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05. Análises\22. Novo pedido SB - emissões\"/>
    </mc:Choice>
  </mc:AlternateContent>
  <bookViews>
    <workbookView xWindow="-4575" yWindow="-16320" windowWidth="29040" windowHeight="15840" activeTab="7"/>
  </bookViews>
  <sheets>
    <sheet name="SCIB" sheetId="1" r:id="rId1"/>
    <sheet name="DQS4" sheetId="3" r:id="rId2"/>
    <sheet name="Sheet6" sheetId="19" r:id="rId3"/>
    <sheet name="DQS5" sheetId="4" r:id="rId4"/>
    <sheet name="Auxiliar &gt;&gt;" sheetId="12" r:id="rId5"/>
    <sheet name="1. Input Junho 2025" sheetId="8" r:id="rId6"/>
    <sheet name="Sheet5" sheetId="18" r:id="rId7"/>
    <sheet name="AS IS " sheetId="14" r:id="rId8"/>
    <sheet name="2. Emissões Reportadas" sheetId="9" r:id="rId9"/>
    <sheet name="3. Clientes KGL diferente" sheetId="7" r:id="rId10"/>
    <sheet name="ANL1" sheetId="17" r:id="rId11"/>
  </sheets>
  <definedNames>
    <definedName name="_b81494">#REF!</definedName>
    <definedName name="_xlnm._FilterDatabase" localSheetId="5" hidden="1">'1. Input Junho 2025'!$A$1:$P$764</definedName>
    <definedName name="_xlnm._FilterDatabase" localSheetId="7" hidden="1">'AS IS '!$A$2:$Q$411</definedName>
    <definedName name="_xlnm._FilterDatabase" localSheetId="2" hidden="1">Sheet6!$B$2:$D$29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7" l="1"/>
  <c r="H15" i="17"/>
  <c r="H14" i="17"/>
  <c r="H13" i="17"/>
  <c r="H12" i="17"/>
  <c r="H11" i="17"/>
  <c r="H10" i="17"/>
  <c r="H9" i="17"/>
  <c r="H8" i="17"/>
  <c r="H7" i="17"/>
  <c r="H6" i="17"/>
  <c r="H5" i="17"/>
  <c r="H4" i="17"/>
  <c r="Z14" i="14"/>
  <c r="Y14" i="14"/>
  <c r="Z13" i="14"/>
  <c r="Y13" i="14"/>
  <c r="Z11" i="14"/>
  <c r="Y11" i="14"/>
  <c r="Z10" i="14"/>
  <c r="Y10" i="14"/>
  <c r="Z9" i="14"/>
  <c r="Y9" i="14"/>
  <c r="Z8" i="14"/>
  <c r="Y8" i="14"/>
  <c r="Z7" i="14"/>
  <c r="Y7" i="14"/>
  <c r="Z6" i="14"/>
  <c r="Y6" i="14"/>
  <c r="Z5" i="14"/>
  <c r="Y5" i="14"/>
  <c r="Z4" i="14"/>
  <c r="Y4" i="14"/>
  <c r="Z3" i="14"/>
  <c r="Y3" i="14"/>
  <c r="P411" i="14"/>
  <c r="P410" i="14"/>
  <c r="P409" i="14"/>
  <c r="P408" i="14"/>
  <c r="P407" i="14"/>
  <c r="P406" i="14"/>
  <c r="P405" i="14"/>
  <c r="P404" i="14"/>
  <c r="P403" i="14"/>
  <c r="P402" i="14"/>
  <c r="P401" i="14"/>
  <c r="P400" i="14"/>
  <c r="P399" i="14"/>
  <c r="P398" i="14"/>
  <c r="P397" i="14"/>
  <c r="P396" i="14"/>
  <c r="P395" i="14"/>
  <c r="P394" i="14"/>
  <c r="P393" i="14"/>
  <c r="P392" i="14"/>
  <c r="P391" i="14"/>
  <c r="P390" i="14"/>
  <c r="P389" i="14"/>
  <c r="P388" i="14"/>
  <c r="P387" i="14"/>
  <c r="P386" i="14"/>
  <c r="P385" i="14"/>
  <c r="P384" i="14"/>
  <c r="P383" i="14"/>
  <c r="P382" i="14"/>
  <c r="P381" i="14"/>
  <c r="P380" i="14"/>
  <c r="P379" i="14"/>
  <c r="P378" i="14"/>
  <c r="P377" i="14"/>
  <c r="P376" i="14"/>
  <c r="P375" i="14"/>
  <c r="P374" i="14"/>
  <c r="P373" i="14"/>
  <c r="P372" i="14"/>
  <c r="P371" i="14"/>
  <c r="P370" i="14"/>
  <c r="P369" i="14"/>
  <c r="P368" i="14"/>
  <c r="P367" i="14"/>
  <c r="P366" i="14"/>
  <c r="P365" i="14"/>
  <c r="P364" i="14"/>
  <c r="P363" i="14"/>
  <c r="P362" i="14"/>
  <c r="P361" i="14"/>
  <c r="P360" i="14"/>
  <c r="P359" i="14"/>
  <c r="P358" i="14"/>
  <c r="P357" i="14"/>
  <c r="P356" i="14"/>
  <c r="P355" i="14"/>
  <c r="P354" i="14"/>
  <c r="P353" i="14"/>
  <c r="P352" i="14"/>
  <c r="P351" i="14"/>
  <c r="P350" i="14"/>
  <c r="P349" i="14"/>
  <c r="P348" i="14"/>
  <c r="P347" i="14"/>
  <c r="P346" i="14"/>
  <c r="P345" i="14"/>
  <c r="P344" i="14"/>
  <c r="P343" i="14"/>
  <c r="P342" i="14"/>
  <c r="P341" i="14"/>
  <c r="P340" i="14"/>
  <c r="P339" i="14"/>
  <c r="P338" i="14"/>
  <c r="P337" i="14"/>
  <c r="P336" i="14"/>
  <c r="P335" i="14"/>
  <c r="P334" i="14"/>
  <c r="P333" i="14"/>
  <c r="P332" i="14"/>
  <c r="P331" i="14"/>
  <c r="P330" i="14"/>
  <c r="P329" i="14"/>
  <c r="P328" i="14"/>
  <c r="P327" i="14"/>
  <c r="P326" i="14"/>
  <c r="P325" i="14"/>
  <c r="P324" i="14"/>
  <c r="P323" i="14"/>
  <c r="P322" i="14"/>
  <c r="P321" i="14"/>
  <c r="P320" i="14"/>
  <c r="P319" i="14"/>
  <c r="P318" i="14"/>
  <c r="P317" i="14"/>
  <c r="P316" i="14"/>
  <c r="P315" i="14"/>
  <c r="P314" i="14"/>
  <c r="P313" i="14"/>
  <c r="P312" i="14"/>
  <c r="P311" i="14"/>
  <c r="P310" i="14"/>
  <c r="P309" i="14"/>
  <c r="P308" i="14"/>
  <c r="P307" i="14"/>
  <c r="P306" i="14"/>
  <c r="P305" i="14"/>
  <c r="P304" i="14"/>
  <c r="P303" i="14"/>
  <c r="P302" i="14"/>
  <c r="P301" i="14"/>
  <c r="P300" i="14"/>
  <c r="P299" i="14"/>
  <c r="P298" i="14"/>
  <c r="P297" i="14"/>
  <c r="P296" i="14"/>
  <c r="P295" i="14"/>
  <c r="P294" i="14"/>
  <c r="P293" i="14"/>
  <c r="P292" i="14"/>
  <c r="P291" i="14"/>
  <c r="P290" i="14"/>
  <c r="P289" i="14"/>
  <c r="P288" i="14"/>
  <c r="P287" i="14"/>
  <c r="P286" i="14"/>
  <c r="P285" i="14"/>
  <c r="P284" i="14"/>
  <c r="P283" i="14"/>
  <c r="P282" i="14"/>
  <c r="P281" i="14"/>
  <c r="P280" i="14"/>
  <c r="P279" i="14"/>
  <c r="P278" i="14"/>
  <c r="P277" i="14"/>
  <c r="P276" i="14"/>
  <c r="P275" i="14"/>
  <c r="P274" i="14"/>
  <c r="P273" i="14"/>
  <c r="P272" i="14"/>
  <c r="P271" i="14"/>
  <c r="P270" i="14"/>
  <c r="P269" i="14"/>
  <c r="P268" i="14"/>
  <c r="P267" i="14"/>
  <c r="P266" i="14"/>
  <c r="P265" i="14"/>
  <c r="P264" i="14"/>
  <c r="P263" i="14"/>
  <c r="P262" i="14"/>
  <c r="P261" i="14"/>
  <c r="P260" i="14"/>
  <c r="P259" i="14"/>
  <c r="P258" i="14"/>
  <c r="P257" i="14"/>
  <c r="P256" i="14"/>
  <c r="P255" i="14"/>
  <c r="P254" i="14"/>
  <c r="P253" i="14"/>
  <c r="P252" i="14"/>
  <c r="P251" i="14"/>
  <c r="P250" i="14"/>
  <c r="P249" i="14"/>
  <c r="P248" i="14"/>
  <c r="P247" i="14"/>
  <c r="P246" i="14"/>
  <c r="P245" i="14"/>
  <c r="P244" i="14"/>
  <c r="P243" i="14"/>
  <c r="P242" i="14"/>
  <c r="P241" i="14"/>
  <c r="P240" i="14"/>
  <c r="P239" i="14"/>
  <c r="P238" i="14"/>
  <c r="P237" i="14"/>
  <c r="P236" i="14"/>
  <c r="P235" i="14"/>
  <c r="P234" i="14"/>
  <c r="P233" i="14"/>
  <c r="P232" i="14"/>
  <c r="P231" i="14"/>
  <c r="P230" i="14"/>
  <c r="P229" i="14"/>
  <c r="P228" i="14"/>
  <c r="P227" i="14"/>
  <c r="P226" i="14"/>
  <c r="P225" i="14"/>
  <c r="P224" i="14"/>
  <c r="P223" i="14"/>
  <c r="P222" i="14"/>
  <c r="P221" i="14"/>
  <c r="P220" i="14"/>
  <c r="P219" i="14"/>
  <c r="P218" i="14"/>
  <c r="P217" i="14"/>
  <c r="P216" i="14"/>
  <c r="P215" i="14"/>
  <c r="P214" i="14"/>
  <c r="P213" i="14"/>
  <c r="P212" i="14"/>
  <c r="P211" i="14"/>
  <c r="P210" i="14"/>
  <c r="P209" i="14"/>
  <c r="P208" i="14"/>
  <c r="P207" i="14"/>
  <c r="P206" i="14"/>
  <c r="P205" i="14"/>
  <c r="P204" i="14"/>
  <c r="P203" i="14"/>
  <c r="P202" i="14"/>
  <c r="P201" i="14"/>
  <c r="P200" i="14"/>
  <c r="P199" i="14"/>
  <c r="P198" i="14"/>
  <c r="P197" i="14"/>
  <c r="P196" i="14"/>
  <c r="P195" i="14"/>
  <c r="P194" i="14"/>
  <c r="P193" i="14"/>
  <c r="P192" i="14"/>
  <c r="P191" i="14"/>
  <c r="P190" i="14"/>
  <c r="P189" i="14"/>
  <c r="P188" i="14"/>
  <c r="P187" i="14"/>
  <c r="P186" i="14"/>
  <c r="P185" i="14"/>
  <c r="P184" i="14"/>
  <c r="P183" i="14"/>
  <c r="P182" i="14"/>
  <c r="P181" i="14"/>
  <c r="P180" i="14"/>
  <c r="P179" i="14"/>
  <c r="P178" i="14"/>
  <c r="P177" i="14"/>
  <c r="P176" i="14"/>
  <c r="P175" i="14"/>
  <c r="P174" i="14"/>
  <c r="P173" i="14"/>
  <c r="P172" i="14"/>
  <c r="P171" i="14"/>
  <c r="P170" i="14"/>
  <c r="P169" i="14"/>
  <c r="P168" i="14"/>
  <c r="P167" i="14"/>
  <c r="P166" i="14"/>
  <c r="P165" i="14"/>
  <c r="P164" i="14"/>
  <c r="P163" i="14"/>
  <c r="P162" i="14"/>
  <c r="P161" i="14"/>
  <c r="P160" i="14"/>
  <c r="P159" i="14"/>
  <c r="P158" i="14"/>
  <c r="P157" i="14"/>
  <c r="P156" i="14"/>
  <c r="P155" i="14"/>
  <c r="P154" i="14"/>
  <c r="P153" i="14"/>
  <c r="P152" i="14"/>
  <c r="P151" i="14"/>
  <c r="P150" i="14"/>
  <c r="P149" i="14"/>
  <c r="P148" i="14"/>
  <c r="P147" i="14"/>
  <c r="P146" i="14"/>
  <c r="P145" i="14"/>
  <c r="P144" i="14"/>
  <c r="P143" i="14"/>
  <c r="P142" i="14"/>
  <c r="P141" i="14"/>
  <c r="P140" i="14"/>
  <c r="P139" i="14"/>
  <c r="P138" i="14"/>
  <c r="P137" i="14"/>
  <c r="P136" i="14"/>
  <c r="P135" i="14"/>
  <c r="P134" i="14"/>
  <c r="P133" i="14"/>
  <c r="P132" i="14"/>
  <c r="P131" i="14"/>
  <c r="P130" i="14"/>
  <c r="P129" i="14"/>
  <c r="P128" i="14"/>
  <c r="P127" i="14"/>
  <c r="P126" i="14"/>
  <c r="P125" i="14"/>
  <c r="P124" i="14"/>
  <c r="P123" i="14"/>
  <c r="P122" i="14"/>
  <c r="P121" i="14"/>
  <c r="P120" i="14"/>
  <c r="P119" i="14"/>
  <c r="P118" i="14"/>
  <c r="P117" i="14"/>
  <c r="P116" i="14"/>
  <c r="P115" i="14"/>
  <c r="P114" i="14"/>
  <c r="P113" i="14"/>
  <c r="P112" i="14"/>
  <c r="P111" i="14"/>
  <c r="P110" i="14"/>
  <c r="P109" i="14"/>
  <c r="P108" i="14"/>
  <c r="P107" i="14"/>
  <c r="P106" i="14"/>
  <c r="P105" i="14"/>
  <c r="P104" i="14"/>
  <c r="P103" i="14"/>
  <c r="P102" i="14"/>
  <c r="P101" i="14"/>
  <c r="P100" i="14"/>
  <c r="P99" i="14"/>
  <c r="P98" i="14"/>
  <c r="P97" i="14"/>
  <c r="P96" i="14"/>
  <c r="P95" i="14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72" i="14"/>
  <c r="P71" i="14"/>
  <c r="P70" i="14"/>
  <c r="P69" i="14"/>
  <c r="P68" i="14"/>
  <c r="P67" i="14"/>
  <c r="P66" i="14"/>
  <c r="P65" i="14"/>
  <c r="P64" i="14"/>
  <c r="P63" i="14"/>
  <c r="P62" i="14"/>
  <c r="P61" i="14"/>
  <c r="P60" i="14"/>
  <c r="P59" i="14"/>
  <c r="P58" i="14"/>
  <c r="P57" i="14"/>
  <c r="P56" i="14"/>
  <c r="P55" i="14"/>
  <c r="P54" i="14"/>
  <c r="P53" i="14"/>
  <c r="P52" i="14"/>
  <c r="P51" i="14"/>
  <c r="P50" i="14"/>
  <c r="P49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AA16" i="14"/>
  <c r="Z16" i="14"/>
  <c r="V61" i="9" l="1"/>
  <c r="U61" i="9"/>
  <c r="V60" i="9"/>
  <c r="U60" i="9"/>
  <c r="V59" i="9"/>
  <c r="U59" i="9"/>
  <c r="V58" i="9"/>
  <c r="U58" i="9"/>
  <c r="V57" i="9"/>
  <c r="U57" i="9"/>
  <c r="V56" i="9"/>
  <c r="U56" i="9"/>
  <c r="V55" i="9"/>
  <c r="U55" i="9"/>
  <c r="V54" i="9"/>
  <c r="U54" i="9"/>
  <c r="V53" i="9"/>
  <c r="U53" i="9"/>
  <c r="V52" i="9"/>
  <c r="U52" i="9"/>
  <c r="V51" i="9"/>
  <c r="U51" i="9"/>
  <c r="V50" i="9"/>
  <c r="U50" i="9"/>
  <c r="V49" i="9"/>
  <c r="U49" i="9"/>
  <c r="V48" i="9"/>
  <c r="U48" i="9"/>
  <c r="V47" i="9"/>
  <c r="U47" i="9"/>
  <c r="V46" i="9"/>
  <c r="U46" i="9"/>
  <c r="V45" i="9"/>
  <c r="U45" i="9"/>
  <c r="V44" i="9"/>
  <c r="U44" i="9"/>
  <c r="V43" i="9"/>
  <c r="U43" i="9"/>
  <c r="V42" i="9"/>
  <c r="U42" i="9"/>
  <c r="V41" i="9"/>
  <c r="U41" i="9"/>
  <c r="V40" i="9"/>
  <c r="U40" i="9"/>
  <c r="V39" i="9"/>
  <c r="U39" i="9"/>
  <c r="V38" i="9"/>
  <c r="U38" i="9"/>
  <c r="V37" i="9"/>
  <c r="U37" i="9"/>
  <c r="V36" i="9"/>
  <c r="U36" i="9"/>
  <c r="V35" i="9"/>
  <c r="U35" i="9"/>
  <c r="V34" i="9"/>
  <c r="U34" i="9"/>
  <c r="V33" i="9"/>
  <c r="U33" i="9"/>
  <c r="V32" i="9"/>
  <c r="U32" i="9"/>
  <c r="V31" i="9"/>
  <c r="U31" i="9"/>
  <c r="V30" i="9"/>
  <c r="U30" i="9"/>
  <c r="V29" i="9"/>
  <c r="U29" i="9"/>
  <c r="V28" i="9"/>
  <c r="U28" i="9"/>
  <c r="V27" i="9"/>
  <c r="U27" i="9"/>
  <c r="V26" i="9"/>
  <c r="U26" i="9"/>
  <c r="V25" i="9"/>
  <c r="U25" i="9"/>
  <c r="V24" i="9"/>
  <c r="U24" i="9"/>
  <c r="V23" i="9"/>
  <c r="U23" i="9"/>
  <c r="V22" i="9"/>
  <c r="U22" i="9"/>
  <c r="V21" i="9"/>
  <c r="U21" i="9"/>
  <c r="V20" i="9"/>
  <c r="U20" i="9"/>
  <c r="V19" i="9"/>
  <c r="U19" i="9"/>
  <c r="V18" i="9"/>
  <c r="U18" i="9"/>
  <c r="V17" i="9"/>
  <c r="U17" i="9"/>
  <c r="V16" i="9"/>
  <c r="U16" i="9"/>
  <c r="V15" i="9"/>
  <c r="U15" i="9"/>
  <c r="V14" i="9"/>
  <c r="U14" i="9"/>
  <c r="V13" i="9"/>
  <c r="U13" i="9"/>
  <c r="V12" i="9"/>
  <c r="U12" i="9"/>
  <c r="V11" i="9"/>
  <c r="U11" i="9"/>
  <c r="V10" i="9"/>
  <c r="U10" i="9"/>
  <c r="V9" i="9"/>
  <c r="U9" i="9"/>
  <c r="V8" i="9"/>
  <c r="U8" i="9"/>
  <c r="V7" i="9"/>
  <c r="U7" i="9"/>
  <c r="V6" i="9"/>
  <c r="U6" i="9"/>
  <c r="AI9" i="7" l="1"/>
  <c r="AH9" i="7"/>
  <c r="AG9" i="7"/>
  <c r="AF9" i="7"/>
  <c r="AE9" i="7"/>
  <c r="AI8" i="7"/>
  <c r="AH8" i="7"/>
  <c r="AG8" i="7"/>
  <c r="AF8" i="7"/>
  <c r="AE8" i="7"/>
  <c r="AI7" i="7"/>
  <c r="AH7" i="7"/>
  <c r="AG7" i="7"/>
  <c r="AF7" i="7"/>
  <c r="AE7" i="7"/>
  <c r="AI6" i="7"/>
  <c r="AH6" i="7"/>
  <c r="AG6" i="7"/>
  <c r="AF6" i="7"/>
  <c r="AE6" i="7"/>
  <c r="AI5" i="7"/>
  <c r="AH5" i="7"/>
  <c r="AG5" i="7"/>
  <c r="AF5" i="7"/>
  <c r="AE5" i="7"/>
</calcChain>
</file>

<file path=xl/sharedStrings.xml><?xml version="1.0" encoding="utf-8"?>
<sst xmlns="http://schemas.openxmlformats.org/spreadsheetml/2006/main" count="9167" uniqueCount="4527">
  <si>
    <t>SCOPE 3 FINANCED EMISSIONS</t>
  </si>
  <si>
    <t>SCOPE 2 FINANCED EMISSIONS</t>
  </si>
  <si>
    <t>SCOPE 1 FINANCED EMISSIONS</t>
  </si>
  <si>
    <t>Total Equity</t>
  </si>
  <si>
    <t>Total Debt</t>
  </si>
  <si>
    <t>SCOPE 3 REPORTED</t>
  </si>
  <si>
    <t>SCOPE 2 REPORTED</t>
  </si>
  <si>
    <t>SCOPE 1 REPORTED</t>
  </si>
  <si>
    <t>Gross Carrying Amount (M€)</t>
  </si>
  <si>
    <t>NACE CODE</t>
  </si>
  <si>
    <t>GLCS Code</t>
  </si>
  <si>
    <t>PCAF FACTOR S3</t>
  </si>
  <si>
    <t>PCAF FACTOR S2</t>
  </si>
  <si>
    <t>PCAF FACTOR S1</t>
  </si>
  <si>
    <t>Region</t>
  </si>
  <si>
    <t>European Union</t>
  </si>
  <si>
    <t>BUSINESS LOANS: EMISSIONS CALCULATED FROM SCIB INFO.</t>
  </si>
  <si>
    <t>BUSINESS LOANS: EMISSIONS ESTIMATED BY PCAF DQS4</t>
  </si>
  <si>
    <t>35.11</t>
  </si>
  <si>
    <t>Total Debt (in Million €)</t>
  </si>
  <si>
    <t>Total Equity (in Million €)</t>
  </si>
  <si>
    <t>Total Revenue (in Million €)</t>
  </si>
  <si>
    <t>Gross Carrying Amount (in Million €)</t>
  </si>
  <si>
    <t>IBR00</t>
  </si>
  <si>
    <t>To be filled out by HQ</t>
  </si>
  <si>
    <t>06.10</t>
  </si>
  <si>
    <t>*Units need to fill out the columns in red, columns in grey will be filled out by HQ</t>
  </si>
  <si>
    <t>BUSINESS LOANS: EMISSIONS ESTIMATED BY PCAF DQS5</t>
  </si>
  <si>
    <t>Dúvidas</t>
  </si>
  <si>
    <t>SCIB com DQS4 ou DQS5 entra aqui? // Se scope 1 for DQS2, mas scope 3 for DQS5 entra?</t>
  </si>
  <si>
    <t>SCIB pode ser cruzado com  input por clei -&gt; Estes casos, assumo o KGL do input corporativo?</t>
  </si>
  <si>
    <t>DQS4 de MVL e RE entra aqui? Se entrar, puxo valor para debt, equity e revenues, ou vai a zero?</t>
  </si>
  <si>
    <t xml:space="preserve">Assumption </t>
  </si>
  <si>
    <t>Não entra emissões calculadas por MVL ou RE, mesmo que o cliente seja SCIB</t>
  </si>
  <si>
    <t>Nace vou tirar letra e último ponto</t>
  </si>
  <si>
    <t>Não entra</t>
  </si>
  <si>
    <t>montante</t>
  </si>
  <si>
    <t>total</t>
  </si>
  <si>
    <t>Q</t>
  </si>
  <si>
    <t>H</t>
  </si>
  <si>
    <t>R</t>
  </si>
  <si>
    <t>M</t>
  </si>
  <si>
    <t>D</t>
  </si>
  <si>
    <t>U</t>
  </si>
  <si>
    <t>P</t>
  </si>
  <si>
    <t>B</t>
  </si>
  <si>
    <t>G</t>
  </si>
  <si>
    <t>L</t>
  </si>
  <si>
    <t>N</t>
  </si>
  <si>
    <t>J</t>
  </si>
  <si>
    <t>E</t>
  </si>
  <si>
    <t>K</t>
  </si>
  <si>
    <t>T</t>
  </si>
  <si>
    <t>C</t>
  </si>
  <si>
    <t>I</t>
  </si>
  <si>
    <t>NULL</t>
  </si>
  <si>
    <t>O</t>
  </si>
  <si>
    <t>A</t>
  </si>
  <si>
    <t>F</t>
  </si>
  <si>
    <t>S</t>
  </si>
  <si>
    <t>ccli_kgl</t>
  </si>
  <si>
    <t>divida_total</t>
  </si>
  <si>
    <t>NA</t>
  </si>
  <si>
    <t>SCFRG</t>
  </si>
  <si>
    <t>GLACG</t>
  </si>
  <si>
    <t>1SULG</t>
  </si>
  <si>
    <t>ACE0G</t>
  </si>
  <si>
    <t>IMPTB</t>
  </si>
  <si>
    <t>ROCHG</t>
  </si>
  <si>
    <t>GALSG</t>
  </si>
  <si>
    <t>5XNEG</t>
  </si>
  <si>
    <t>KLEPI</t>
  </si>
  <si>
    <t>IVECK</t>
  </si>
  <si>
    <t>0430G</t>
  </si>
  <si>
    <t>04D0G</t>
  </si>
  <si>
    <t>5CUMG</t>
  </si>
  <si>
    <t>5VFRG</t>
  </si>
  <si>
    <t>HITKK</t>
  </si>
  <si>
    <t>NVARG</t>
  </si>
  <si>
    <t>SIHOG</t>
  </si>
  <si>
    <t>AXPHG</t>
  </si>
  <si>
    <t>MTHLG</t>
  </si>
  <si>
    <t>0W20G</t>
  </si>
  <si>
    <t>0M20G</t>
  </si>
  <si>
    <t>ABBBG</t>
  </si>
  <si>
    <t>5EBRG</t>
  </si>
  <si>
    <t>ZONGG</t>
  </si>
  <si>
    <t>5XADG</t>
  </si>
  <si>
    <t>5AXMH</t>
  </si>
  <si>
    <t>5ECIS</t>
  </si>
  <si>
    <t>DPWNG</t>
  </si>
  <si>
    <t>BEIEG</t>
  </si>
  <si>
    <t>OL0MK</t>
  </si>
  <si>
    <t>1VI5K</t>
  </si>
  <si>
    <t>FEDEX</t>
  </si>
  <si>
    <t>SIERY</t>
  </si>
  <si>
    <t>LOR0G</t>
  </si>
  <si>
    <t>SNTGG</t>
  </si>
  <si>
    <t>ABTGG</t>
  </si>
  <si>
    <t>TKAAG</t>
  </si>
  <si>
    <t>LUXOG</t>
  </si>
  <si>
    <t>EDP0G</t>
  </si>
  <si>
    <t>HAIEG</t>
  </si>
  <si>
    <t>CGYNG</t>
  </si>
  <si>
    <t>TEHPG</t>
  </si>
  <si>
    <t>SAA0G</t>
  </si>
  <si>
    <t>ASB1G</t>
  </si>
  <si>
    <t>21FSK</t>
  </si>
  <si>
    <t>GAUCG</t>
  </si>
  <si>
    <t>5SAWK</t>
  </si>
  <si>
    <t>OWCNK</t>
  </si>
  <si>
    <t>ACRXG</t>
  </si>
  <si>
    <t>HEIKG</t>
  </si>
  <si>
    <t>5VCNG</t>
  </si>
  <si>
    <t>5GFVG</t>
  </si>
  <si>
    <t>1A00G</t>
  </si>
  <si>
    <t>5HWPG</t>
  </si>
  <si>
    <t>SOGEG</t>
  </si>
  <si>
    <t>0VD0G</t>
  </si>
  <si>
    <t>12X0G</t>
  </si>
  <si>
    <t>CMTAG</t>
  </si>
  <si>
    <t>GBSNG</t>
  </si>
  <si>
    <t>TPFMN</t>
  </si>
  <si>
    <t>ALFAK</t>
  </si>
  <si>
    <t>ASSGG</t>
  </si>
  <si>
    <t>BAYHG</t>
  </si>
  <si>
    <t>5ESRG</t>
  </si>
  <si>
    <t>GRBRI</t>
  </si>
  <si>
    <t>RENLG</t>
  </si>
  <si>
    <t>SIKAG</t>
  </si>
  <si>
    <t>IDVTG</t>
  </si>
  <si>
    <t>0730G</t>
  </si>
  <si>
    <t>VDRLG</t>
  </si>
  <si>
    <t>NIKIG</t>
  </si>
  <si>
    <t>HENHG</t>
  </si>
  <si>
    <t>FAIDT</t>
  </si>
  <si>
    <t>NEHOG</t>
  </si>
  <si>
    <t>ELECN</t>
  </si>
  <si>
    <t>UNHOG</t>
  </si>
  <si>
    <t>IXLZG</t>
  </si>
  <si>
    <t>JYJGG</t>
  </si>
  <si>
    <t>5EBRO</t>
  </si>
  <si>
    <t>SACGG</t>
  </si>
  <si>
    <t>5RKTG</t>
  </si>
  <si>
    <t>EDRDK</t>
  </si>
  <si>
    <t>5VDFG</t>
  </si>
  <si>
    <t>3MGRG</t>
  </si>
  <si>
    <t>12E0G</t>
  </si>
  <si>
    <t>KENVG</t>
  </si>
  <si>
    <t>ASTZG</t>
  </si>
  <si>
    <t>5ACXG</t>
  </si>
  <si>
    <t>PPGIG</t>
  </si>
  <si>
    <t>GRIFL</t>
  </si>
  <si>
    <t>DBBKG</t>
  </si>
  <si>
    <t>ECVOG</t>
  </si>
  <si>
    <t>5IDRG</t>
  </si>
  <si>
    <t>ELMPG</t>
  </si>
  <si>
    <t>PFHOG</t>
  </si>
  <si>
    <t>NOKIG</t>
  </si>
  <si>
    <t>BEBMG</t>
  </si>
  <si>
    <t>VOTLG</t>
  </si>
  <si>
    <t>SHNDG</t>
  </si>
  <si>
    <t>PRXGG</t>
  </si>
  <si>
    <t>GAUTG</t>
  </si>
  <si>
    <t>KIONG</t>
  </si>
  <si>
    <t>JEROG</t>
  </si>
  <si>
    <t>PRISA</t>
  </si>
  <si>
    <t>SCHNG</t>
  </si>
  <si>
    <t>VOLVG</t>
  </si>
  <si>
    <t>MRKKG</t>
  </si>
  <si>
    <t>DSSGG</t>
  </si>
  <si>
    <t>5YATG</t>
  </si>
  <si>
    <t>5GNSG</t>
  </si>
  <si>
    <t>APFNG</t>
  </si>
  <si>
    <t>BIGRG</t>
  </si>
  <si>
    <t>CLGHG</t>
  </si>
  <si>
    <t>D0MTG</t>
  </si>
  <si>
    <t>WEGHG</t>
  </si>
  <si>
    <t>5DI1G</t>
  </si>
  <si>
    <t>BUREG</t>
  </si>
  <si>
    <t>GELEG</t>
  </si>
  <si>
    <t>DUPOG</t>
  </si>
  <si>
    <t>RIPXG</t>
  </si>
  <si>
    <t>5AD5G</t>
  </si>
  <si>
    <t>BNGGG</t>
  </si>
  <si>
    <t>ROBEG</t>
  </si>
  <si>
    <t>IPAGG</t>
  </si>
  <si>
    <t>5BOUG</t>
  </si>
  <si>
    <t>CCEUP</t>
  </si>
  <si>
    <t>CSNNG</t>
  </si>
  <si>
    <t>HWPLC</t>
  </si>
  <si>
    <t>5ENGD</t>
  </si>
  <si>
    <t>5FRQG</t>
  </si>
  <si>
    <t>GRSEM</t>
  </si>
  <si>
    <t>5THGG</t>
  </si>
  <si>
    <t>DENTG</t>
  </si>
  <si>
    <t>CELLN</t>
  </si>
  <si>
    <t>5PROS</t>
  </si>
  <si>
    <t>6SYNT</t>
  </si>
  <si>
    <t>SMURG</t>
  </si>
  <si>
    <t>BRNTG</t>
  </si>
  <si>
    <t>GAAMG</t>
  </si>
  <si>
    <t>EIFFG</t>
  </si>
  <si>
    <t>BERTG</t>
  </si>
  <si>
    <t>14570.2</t>
  </si>
  <si>
    <t>60492.81</t>
  </si>
  <si>
    <t>18727.04</t>
  </si>
  <si>
    <t>77102.86</t>
  </si>
  <si>
    <t>18744.4</t>
  </si>
  <si>
    <t>43175.27</t>
  </si>
  <si>
    <t>72695.51</t>
  </si>
  <si>
    <t>19892.09</t>
  </si>
  <si>
    <t>22259.97</t>
  </si>
  <si>
    <t>5729.87</t>
  </si>
  <si>
    <t>2635.39</t>
  </si>
  <si>
    <t>8438.1</t>
  </si>
  <si>
    <t>9593.88</t>
  </si>
  <si>
    <t>4215.5</t>
  </si>
  <si>
    <t>8995.1</t>
  </si>
  <si>
    <t>62852.88</t>
  </si>
  <si>
    <t>41632.8</t>
  </si>
  <si>
    <t>60807.55</t>
  </si>
  <si>
    <t>39813.06</t>
  </si>
  <si>
    <t>20838.99</t>
  </si>
  <si>
    <t>10423.53</t>
  </si>
  <si>
    <t>4847.01</t>
  </si>
  <si>
    <t>18033.72</t>
  </si>
  <si>
    <t>12444.1</t>
  </si>
  <si>
    <t>8414.26</t>
  </si>
  <si>
    <t>36260.36</t>
  </si>
  <si>
    <t>10511.57</t>
  </si>
  <si>
    <t>1520.16</t>
  </si>
  <si>
    <t>5840.98</t>
  </si>
  <si>
    <t>4248.84</t>
  </si>
  <si>
    <t>4875.89</t>
  </si>
  <si>
    <t>3193.08</t>
  </si>
  <si>
    <t>4117.88</t>
  </si>
  <si>
    <t>13604.39</t>
  </si>
  <si>
    <t>11262.25</t>
  </si>
  <si>
    <t>1703.14</t>
  </si>
  <si>
    <t>25422.78</t>
  </si>
  <si>
    <t>33699.41</t>
  </si>
  <si>
    <t>106559.04</t>
  </si>
  <si>
    <t>1437.04</t>
  </si>
  <si>
    <t>17202.4</t>
  </si>
  <si>
    <t>105225.47</t>
  </si>
  <si>
    <t>2879.72</t>
  </si>
  <si>
    <t>11190.78</t>
  </si>
  <si>
    <t>18751.16</t>
  </si>
  <si>
    <t>16894.94</t>
  </si>
  <si>
    <t>12433.71</t>
  </si>
  <si>
    <t>17697.68</t>
  </si>
  <si>
    <t>68656.82</t>
  </si>
  <si>
    <t>12871.65</t>
  </si>
  <si>
    <t>18723.21</t>
  </si>
  <si>
    <t>71633.86</t>
  </si>
  <si>
    <t>1976.57</t>
  </si>
  <si>
    <t>150069.78</t>
  </si>
  <si>
    <t>3491.22</t>
  </si>
  <si>
    <t>6229.66</t>
  </si>
  <si>
    <t>13899.2</t>
  </si>
  <si>
    <t>888.52</t>
  </si>
  <si>
    <t>40325.61</t>
  </si>
  <si>
    <t>8095.64</t>
  </si>
  <si>
    <t>44614.27</t>
  </si>
  <si>
    <t>2894.36</t>
  </si>
  <si>
    <t>14618.7</t>
  </si>
  <si>
    <t>8716.49</t>
  </si>
  <si>
    <t>4285.3</t>
  </si>
  <si>
    <t>33255.69</t>
  </si>
  <si>
    <t>38445.55</t>
  </si>
  <si>
    <t>26188.94</t>
  </si>
  <si>
    <t>10091.21</t>
  </si>
  <si>
    <t>17390.63</t>
  </si>
  <si>
    <t>7667.5</t>
  </si>
  <si>
    <t>11390.82</t>
  </si>
  <si>
    <t>43076.18</t>
  </si>
  <si>
    <t>6091.86</t>
  </si>
  <si>
    <t>3726.86</t>
  </si>
  <si>
    <t>15381.5</t>
  </si>
  <si>
    <t>9345.77</t>
  </si>
  <si>
    <t>36824.67</t>
  </si>
  <si>
    <t>3215.8</t>
  </si>
  <si>
    <t>2395.17</t>
  </si>
  <si>
    <t>30801.29</t>
  </si>
  <si>
    <t>8318.3</t>
  </si>
  <si>
    <t>1030.8</t>
  </si>
  <si>
    <t>zcliente</t>
  </si>
  <si>
    <t>ccli_grupo</t>
  </si>
  <si>
    <t>clei</t>
  </si>
  <si>
    <t>cpais_residencia</t>
  </si>
  <si>
    <t>valor_mv</t>
  </si>
  <si>
    <t>ccliente_rst159</t>
  </si>
  <si>
    <t>centlegal_rst159</t>
  </si>
  <si>
    <t>cgrupo_rst159</t>
  </si>
  <si>
    <t>zcliente_ct088</t>
  </si>
  <si>
    <t>kgl5_ct071</t>
  </si>
  <si>
    <t>ccli_grupo_max_clei</t>
  </si>
  <si>
    <t>clei_grupo_max_clei</t>
  </si>
  <si>
    <t>rank_max_clei</t>
  </si>
  <si>
    <t>zcliente_fr004</t>
  </si>
  <si>
    <t>sum_saldo_fr004</t>
  </si>
  <si>
    <t>zcliente_pf</t>
  </si>
  <si>
    <t>zcliente_pme</t>
  </si>
  <si>
    <t>fatr_indv_pme</t>
  </si>
  <si>
    <t>zcliente_contraparte</t>
  </si>
  <si>
    <t>ref_date_contraparte</t>
  </si>
  <si>
    <t>contraparte</t>
  </si>
  <si>
    <t>zcliente_jquest</t>
  </si>
  <si>
    <t>ccli_kgl_jquest</t>
  </si>
  <si>
    <t>cpty_code_jquest</t>
  </si>
  <si>
    <t>cptyparent_code_jquest</t>
  </si>
  <si>
    <t>cptylastparent_code_jquest</t>
  </si>
  <si>
    <t>clei_trat</t>
  </si>
  <si>
    <t>flag_pf</t>
  </si>
  <si>
    <t>98DF</t>
  </si>
  <si>
    <t>#</t>
  </si>
  <si>
    <t>EU member states</t>
  </si>
  <si>
    <t>136.000000</t>
  </si>
  <si>
    <t>20970000.000000</t>
  </si>
  <si>
    <t>outras empresas nao financeiras</t>
  </si>
  <si>
    <t>98DFG</t>
  </si>
  <si>
    <t>9SND</t>
  </si>
  <si>
    <t>37185.850000</t>
  </si>
  <si>
    <t>59693583.300000</t>
  </si>
  <si>
    <t>9SNDG</t>
  </si>
  <si>
    <t>0S30G</t>
  </si>
  <si>
    <t>D82E</t>
  </si>
  <si>
    <t>4905803.860000</t>
  </si>
  <si>
    <t>361893280.480000</t>
  </si>
  <si>
    <t>D82EG</t>
  </si>
  <si>
    <t>IPR0</t>
  </si>
  <si>
    <t>7369.850000</t>
  </si>
  <si>
    <t>25553320.730000</t>
  </si>
  <si>
    <t>IPR1G</t>
  </si>
  <si>
    <t>PUNN</t>
  </si>
  <si>
    <t>PPTCG</t>
  </si>
  <si>
    <t>PPTCK</t>
  </si>
  <si>
    <t>13493287.050000</t>
  </si>
  <si>
    <t>97569351.320000</t>
  </si>
  <si>
    <t>PUNNG</t>
  </si>
  <si>
    <t>1500G</t>
  </si>
  <si>
    <t>Y</t>
  </si>
  <si>
    <t>8029317631</t>
  </si>
  <si>
    <t>0006661442</t>
  </si>
  <si>
    <t>620</t>
  </si>
  <si>
    <t>2025-06-30</t>
  </si>
  <si>
    <t>8000520483</t>
  </si>
  <si>
    <t>0008485994</t>
  </si>
  <si>
    <t>8001732068</t>
  </si>
  <si>
    <t>0006504946</t>
  </si>
  <si>
    <t>8008740708</t>
  </si>
  <si>
    <t>0006656255</t>
  </si>
  <si>
    <t>8046459070</t>
  </si>
  <si>
    <t>0005301589</t>
  </si>
  <si>
    <t>nome_grupo</t>
  </si>
  <si>
    <t>isin</t>
  </si>
  <si>
    <t>scp1_emss</t>
  </si>
  <si>
    <t>scp2_emss</t>
  </si>
  <si>
    <t>scp3_emss</t>
  </si>
  <si>
    <t>score_scp1</t>
  </si>
  <si>
    <t>score_scp2</t>
  </si>
  <si>
    <t>score_scp3</t>
  </si>
  <si>
    <t>ano_info</t>
  </si>
  <si>
    <t>origem_scp1</t>
  </si>
  <si>
    <t>origem_scp2</t>
  </si>
  <si>
    <t>origem_scp3</t>
  </si>
  <si>
    <t>capital_proprio</t>
  </si>
  <si>
    <t>3M</t>
  </si>
  <si>
    <t>US88579Y1010</t>
  </si>
  <si>
    <t>LUZQVYP4VS22CLWDAR65</t>
  </si>
  <si>
    <t>72852902.489811</t>
  </si>
  <si>
    <t>Reported</t>
  </si>
  <si>
    <t>Estimated</t>
  </si>
  <si>
    <t>22A2A</t>
  </si>
  <si>
    <t>A2A</t>
  </si>
  <si>
    <t>IT0001233417</t>
  </si>
  <si>
    <t>81560076E3944316DB24</t>
  </si>
  <si>
    <t>27077885.803923</t>
  </si>
  <si>
    <t>ABB</t>
  </si>
  <si>
    <t>CH0012221716</t>
  </si>
  <si>
    <t>5493000LKVGOO9PELI61</t>
  </si>
  <si>
    <t>99031733.625942</t>
  </si>
  <si>
    <t>ABBOTT  LABORATORIES</t>
  </si>
  <si>
    <t>US0028241000</t>
  </si>
  <si>
    <t>HQD377W2YR662HK5JX27</t>
  </si>
  <si>
    <t>ABVIE</t>
  </si>
  <si>
    <t>ABBVIE GROUP</t>
  </si>
  <si>
    <t>US00287Y1091</t>
  </si>
  <si>
    <t>FR5LCKFTG8054YNNRU85</t>
  </si>
  <si>
    <t>8063583.305804</t>
  </si>
  <si>
    <t>68706.87</t>
  </si>
  <si>
    <t>ACCIONA</t>
  </si>
  <si>
    <t>ES0125220311</t>
  </si>
  <si>
    <t>54930002KP75TLLLNO21</t>
  </si>
  <si>
    <t>15545375.935379</t>
  </si>
  <si>
    <t>ACCOR</t>
  </si>
  <si>
    <t>FR0000120404</t>
  </si>
  <si>
    <t>969500QZC2Q0TK11NV07</t>
  </si>
  <si>
    <t>2169583.250466</t>
  </si>
  <si>
    <t>ACERINOX</t>
  </si>
  <si>
    <t>ES0132105018</t>
  </si>
  <si>
    <t>95980020140005582721</t>
  </si>
  <si>
    <t>3735287.887073</t>
  </si>
  <si>
    <t>ACS - DRAGADOS</t>
  </si>
  <si>
    <t>ES0167050915</t>
  </si>
  <si>
    <t>95980020140005558665</t>
  </si>
  <si>
    <t>AB7WK</t>
  </si>
  <si>
    <t>ADECOAGRO</t>
  </si>
  <si>
    <t>LU0584671464</t>
  </si>
  <si>
    <t>529900Q00UR5LFELO811</t>
  </si>
  <si>
    <t>637667.091714</t>
  </si>
  <si>
    <t>2434.85</t>
  </si>
  <si>
    <t>AAP5K</t>
  </si>
  <si>
    <t>ADVANCE AUTO PARTS INC</t>
  </si>
  <si>
    <t>US00751Y1064</t>
  </si>
  <si>
    <t>529900UCNQ5H9FSL0Y70</t>
  </si>
  <si>
    <t>6065722.982578</t>
  </si>
  <si>
    <t>6080.94</t>
  </si>
  <si>
    <t>AENAK</t>
  </si>
  <si>
    <t>AENA</t>
  </si>
  <si>
    <t>ES0105046009</t>
  </si>
  <si>
    <t>959800R7QMXKF0NFMT29</t>
  </si>
  <si>
    <t>3770063.24</t>
  </si>
  <si>
    <t>15527.07</t>
  </si>
  <si>
    <t>AERCG</t>
  </si>
  <si>
    <t>AERCAP, GR</t>
  </si>
  <si>
    <t>NL0000687663</t>
  </si>
  <si>
    <t>549300SZYINBBLJQU475</t>
  </si>
  <si>
    <t>52500783.709817</t>
  </si>
  <si>
    <t>60205.55</t>
  </si>
  <si>
    <t>AEYMX</t>
  </si>
  <si>
    <t>AEROMEXICO</t>
  </si>
  <si>
    <t>MX01AE010005</t>
  </si>
  <si>
    <t>2012140.983574</t>
  </si>
  <si>
    <t>3562.17</t>
  </si>
  <si>
    <t>AEPAR</t>
  </si>
  <si>
    <t>AEROPORTS DE PARIS</t>
  </si>
  <si>
    <t>FR0010340141</t>
  </si>
  <si>
    <t>969500PJMBSFHYC37989</t>
  </si>
  <si>
    <t>5AEBG</t>
  </si>
  <si>
    <t>AES</t>
  </si>
  <si>
    <t>US00130H1059</t>
  </si>
  <si>
    <t>2NUNNB7D43COUIRE5295</t>
  </si>
  <si>
    <t>2450793.622109</t>
  </si>
  <si>
    <t>37533.09</t>
  </si>
  <si>
    <t>AGIZG</t>
  </si>
  <si>
    <t>AGILITY. TRISTAR</t>
  </si>
  <si>
    <t>KW0EQ0601041</t>
  </si>
  <si>
    <t>549300C16Q6C2NMAI063</t>
  </si>
  <si>
    <t>662065.568053</t>
  </si>
  <si>
    <t>11002.93</t>
  </si>
  <si>
    <t>AIR FRANCE KLM</t>
  </si>
  <si>
    <t>FR001400J770</t>
  </si>
  <si>
    <t>969500AQW31GYO8JZD66</t>
  </si>
  <si>
    <t>9621365.772297</t>
  </si>
  <si>
    <t>ARLCG</t>
  </si>
  <si>
    <t>AIR LEASE CORPORATION</t>
  </si>
  <si>
    <t>US00912X3026</t>
  </si>
  <si>
    <t>5493004NW4M4P8TMMK63</t>
  </si>
  <si>
    <t>47954246.865602</t>
  </si>
  <si>
    <t>26702.55</t>
  </si>
  <si>
    <t>AIRPG</t>
  </si>
  <si>
    <t>AIR PRODUCTS</t>
  </si>
  <si>
    <t>US0091581068</t>
  </si>
  <si>
    <t>7QEON6Y1RL5XR3R1W237</t>
  </si>
  <si>
    <t>22395466.965968</t>
  </si>
  <si>
    <t>00027</t>
  </si>
  <si>
    <t>AIR TRANSPORT SERVICES GROUP, GR</t>
  </si>
  <si>
    <t>US00922R1059</t>
  </si>
  <si>
    <t>5493000F3MSFGIXTQE27</t>
  </si>
  <si>
    <t>1606250.46</t>
  </si>
  <si>
    <t>4653.93</t>
  </si>
  <si>
    <t>720635.723355</t>
  </si>
  <si>
    <t>2970.91</t>
  </si>
  <si>
    <t>5EEDG</t>
  </si>
  <si>
    <t>AIRBUS</t>
  </si>
  <si>
    <t>NL0000235190</t>
  </si>
  <si>
    <t>MINO79WLOO247M1IL051</t>
  </si>
  <si>
    <t>439424869.893171</t>
  </si>
  <si>
    <t>5B50G</t>
  </si>
  <si>
    <t>AKZO NOBEL</t>
  </si>
  <si>
    <t>NL0013267909</t>
  </si>
  <si>
    <t>724500XYIJUGXAA5QD70</t>
  </si>
  <si>
    <t>14427286.40937</t>
  </si>
  <si>
    <t>ALBEG</t>
  </si>
  <si>
    <t>ALBEMARLE</t>
  </si>
  <si>
    <t>US0126531013</t>
  </si>
  <si>
    <t>HDBLS2Q6GV1LSKQPBS54</t>
  </si>
  <si>
    <t>2305424.699118</t>
  </si>
  <si>
    <t>13328.83</t>
  </si>
  <si>
    <t>DOALG</t>
  </si>
  <si>
    <t>ALDO</t>
  </si>
  <si>
    <t>385827.61</t>
  </si>
  <si>
    <t>ALTCG</t>
  </si>
  <si>
    <t>ALEATICA</t>
  </si>
  <si>
    <t>MX01AL1C0003</t>
  </si>
  <si>
    <t>529900YI9E9NDAYEDU63</t>
  </si>
  <si>
    <t>112438.80897</t>
  </si>
  <si>
    <t>12365.31</t>
  </si>
  <si>
    <t>ALFA LAVAL, GR</t>
  </si>
  <si>
    <t>549300ZEHHN9SLH1F270</t>
  </si>
  <si>
    <t>BNYLD</t>
  </si>
  <si>
    <t>ALGONQUIN POWER</t>
  </si>
  <si>
    <t>CA0158571053</t>
  </si>
  <si>
    <t>549300K5VIUTJXQL7X75</t>
  </si>
  <si>
    <t>5798987.471637</t>
  </si>
  <si>
    <t>12425.84</t>
  </si>
  <si>
    <t>ALING</t>
  </si>
  <si>
    <t>ALIANSCE</t>
  </si>
  <si>
    <t>BRALSOACNOR5</t>
  </si>
  <si>
    <t>3285.49</t>
  </si>
  <si>
    <t>LBBRP</t>
  </si>
  <si>
    <t>ALIBABA GROUP?</t>
  </si>
  <si>
    <t>US01609W1027</t>
  </si>
  <si>
    <t>5493001NTNQJDH60PM02</t>
  </si>
  <si>
    <t>18957231.899696</t>
  </si>
  <si>
    <t>173822.81</t>
  </si>
  <si>
    <t>AGRLG</t>
  </si>
  <si>
    <t>ALLEGRO</t>
  </si>
  <si>
    <t>LU2237380790</t>
  </si>
  <si>
    <t>222100VRLXV3FPMG4982</t>
  </si>
  <si>
    <t>180170.653572</t>
  </si>
  <si>
    <t>3847.48</t>
  </si>
  <si>
    <t>LPRGT</t>
  </si>
  <si>
    <t>ALPARGATAS</t>
  </si>
  <si>
    <t>BRALPAACNPR7</t>
  </si>
  <si>
    <t>254900LU3422XPKEQJ79</t>
  </si>
  <si>
    <t>599477.57</t>
  </si>
  <si>
    <t>878.99</t>
  </si>
  <si>
    <t>GOOGL</t>
  </si>
  <si>
    <t>ALPHABET INC</t>
  </si>
  <si>
    <t>US02079K3059</t>
  </si>
  <si>
    <t>5493006MHB84DD0ZWV18</t>
  </si>
  <si>
    <t>339978.83</t>
  </si>
  <si>
    <t>ALPIK</t>
  </si>
  <si>
    <t>ALPIQ GROUP</t>
  </si>
  <si>
    <t>5299006COKGB66PUHW42</t>
  </si>
  <si>
    <t>4722123.57</t>
  </si>
  <si>
    <t>377430.94</t>
  </si>
  <si>
    <t>9546595.544146</t>
  </si>
  <si>
    <t>6619.96</t>
  </si>
  <si>
    <t>ALSEA</t>
  </si>
  <si>
    <t>MXP001391012</t>
  </si>
  <si>
    <t>4469000001BJLPKNUN21</t>
  </si>
  <si>
    <t>2271523.206893</t>
  </si>
  <si>
    <t>ALSTOM</t>
  </si>
  <si>
    <t>FR0010220475</t>
  </si>
  <si>
    <t>96950032TUYMW11FB530</t>
  </si>
  <si>
    <t>44972826.283037</t>
  </si>
  <si>
    <t>ALTRG</t>
  </si>
  <si>
    <t>ALTRIA GROUP</t>
  </si>
  <si>
    <t>US02209S1033</t>
  </si>
  <si>
    <t>XSGZFLO9YTNO9VCQV219</t>
  </si>
  <si>
    <t>23991.53</t>
  </si>
  <si>
    <t>AMNHG</t>
  </si>
  <si>
    <t>ALUMINUM CORP OF CHINA</t>
  </si>
  <si>
    <t>CNE1000001T8</t>
  </si>
  <si>
    <t>529900TKZUWQLIQN6T48</t>
  </si>
  <si>
    <t>33656524.357213</t>
  </si>
  <si>
    <t>23282.15</t>
  </si>
  <si>
    <t>ALUOG</t>
  </si>
  <si>
    <t>ALUPAR</t>
  </si>
  <si>
    <t>BRALUPCDAM15</t>
  </si>
  <si>
    <t>536612.751844</t>
  </si>
  <si>
    <t>3804.48</t>
  </si>
  <si>
    <t>AMADEUS, GR</t>
  </si>
  <si>
    <t>ES0109067019</t>
  </si>
  <si>
    <t>9598004A3FTY3TEHHN09</t>
  </si>
  <si>
    <t>284078.118982</t>
  </si>
  <si>
    <t>AMGGI</t>
  </si>
  <si>
    <t>AMAGGI</t>
  </si>
  <si>
    <t>5493009U13BC8YV3EX21</t>
  </si>
  <si>
    <t>5017606.57</t>
  </si>
  <si>
    <t>5128.04</t>
  </si>
  <si>
    <t>AMAZO</t>
  </si>
  <si>
    <t>AMAZON</t>
  </si>
  <si>
    <t>US0231351067</t>
  </si>
  <si>
    <t>ZXTILKJKG63JELOEG630</t>
  </si>
  <si>
    <t>56871574.642786</t>
  </si>
  <si>
    <t>424824.1</t>
  </si>
  <si>
    <t>AMCOG</t>
  </si>
  <si>
    <t>AMCOR PLC</t>
  </si>
  <si>
    <t>JE00BJ1F3079</t>
  </si>
  <si>
    <t>549300GSODGFCDQ3DI89</t>
  </si>
  <si>
    <t>9942364.215251</t>
  </si>
  <si>
    <t>10920.64</t>
  </si>
  <si>
    <t>ATELG</t>
  </si>
  <si>
    <t>AMERICA MOVIL</t>
  </si>
  <si>
    <t>MX01AM050019</t>
  </si>
  <si>
    <t>5493000FNR3UCEAONM59</t>
  </si>
  <si>
    <t>56272.6</t>
  </si>
  <si>
    <t>ATWRK</t>
  </si>
  <si>
    <t>AMERICAN TOWER CORPORATION</t>
  </si>
  <si>
    <t>US03027X1000</t>
  </si>
  <si>
    <t>5493006ORUSIL88JOE18</t>
  </si>
  <si>
    <t>3925696.003332</t>
  </si>
  <si>
    <t>51593.24</t>
  </si>
  <si>
    <t>AQQKG</t>
  </si>
  <si>
    <t>AMERISOURCEBERGEN</t>
  </si>
  <si>
    <t>US03073E1055</t>
  </si>
  <si>
    <t>AI8GXW8LG5WK7E9UD086</t>
  </si>
  <si>
    <t>64586.04</t>
  </si>
  <si>
    <t>AMICG</t>
  </si>
  <si>
    <t>AMICA</t>
  </si>
  <si>
    <t>PLAMICA00010</t>
  </si>
  <si>
    <t>259400IUQZHB2GOLIV25</t>
  </si>
  <si>
    <t>1317399.596007</t>
  </si>
  <si>
    <t>300.12</t>
  </si>
  <si>
    <t>AMORIM</t>
  </si>
  <si>
    <t>PTCOR0AE0006</t>
  </si>
  <si>
    <t>213800J5M11TDEP3LQ76</t>
  </si>
  <si>
    <t>670480.065494</t>
  </si>
  <si>
    <t>AMPLIFON</t>
  </si>
  <si>
    <t>IT0004056880</t>
  </si>
  <si>
    <t>ZYXJDNVM2JI3VBM8G556</t>
  </si>
  <si>
    <t>138646.577413</t>
  </si>
  <si>
    <t>AMSEG</t>
  </si>
  <si>
    <t>AMREST</t>
  </si>
  <si>
    <t>ES0105375002</t>
  </si>
  <si>
    <t>259400T6ZDQIMDBGDN42</t>
  </si>
  <si>
    <t>1451154.817988</t>
  </si>
  <si>
    <t>1975.7</t>
  </si>
  <si>
    <t>ANHOL</t>
  </si>
  <si>
    <t>ANA HOLDINGS</t>
  </si>
  <si>
    <t>JP3429800000</t>
  </si>
  <si>
    <t>5493008IRKIY0G3TE305</t>
  </si>
  <si>
    <t>15557.81</t>
  </si>
  <si>
    <t>5AG1G</t>
  </si>
  <si>
    <t>ANGLO  AMERICAN</t>
  </si>
  <si>
    <t>GB00B1XZS820</t>
  </si>
  <si>
    <t>549300S9XF92D1X8ME43</t>
  </si>
  <si>
    <t>104280876.350962</t>
  </si>
  <si>
    <t>45598.92</t>
  </si>
  <si>
    <t>ANOIG</t>
  </si>
  <si>
    <t>ANTOLIN</t>
  </si>
  <si>
    <t>2074690.528369</t>
  </si>
  <si>
    <t>1596.16</t>
  </si>
  <si>
    <t>AGMPA</t>
  </si>
  <si>
    <t>APOLLO GLOBAL MANAGEMENT</t>
  </si>
  <si>
    <t>US03769M1062</t>
  </si>
  <si>
    <t>254900LMFT1CY9IYB476</t>
  </si>
  <si>
    <t>45668.54</t>
  </si>
  <si>
    <t>1185041.11</t>
  </si>
  <si>
    <t>393530.815456</t>
  </si>
  <si>
    <t>363727.8</t>
  </si>
  <si>
    <t>APPLG</t>
  </si>
  <si>
    <t>APPLE</t>
  </si>
  <si>
    <t>US0378331005</t>
  </si>
  <si>
    <t>HWUPKR0MPOU8FGXBT394</t>
  </si>
  <si>
    <t>24109534.570886</t>
  </si>
  <si>
    <t>169410.46</t>
  </si>
  <si>
    <t>ARAMX</t>
  </si>
  <si>
    <t>ARAMARK</t>
  </si>
  <si>
    <t>US03852U1060</t>
  </si>
  <si>
    <t>549300MR6PG2DWZUIL39</t>
  </si>
  <si>
    <t>6022619.35</t>
  </si>
  <si>
    <t>8290.2</t>
  </si>
  <si>
    <t>EBARG</t>
  </si>
  <si>
    <t>ARCA CONTINENTAL</t>
  </si>
  <si>
    <t>MX01AC100006</t>
  </si>
  <si>
    <t>254900U2BSJCQHJCXN24</t>
  </si>
  <si>
    <t>4426644.95</t>
  </si>
  <si>
    <t>10391.71</t>
  </si>
  <si>
    <t>ARCELOR - MITTAL</t>
  </si>
  <si>
    <t>LU1598757687</t>
  </si>
  <si>
    <t>2EULGUTUI56JI9SAL165</t>
  </si>
  <si>
    <t>80093319.285629</t>
  </si>
  <si>
    <t>AR4HD</t>
  </si>
  <si>
    <t>ARCHER-DANIELS-MIDLAND</t>
  </si>
  <si>
    <t>US0394831020</t>
  </si>
  <si>
    <t>549300LO13MQ9HYSTR83</t>
  </si>
  <si>
    <t>111926488.732468</t>
  </si>
  <si>
    <t>32695.51</t>
  </si>
  <si>
    <t>SAGEX</t>
  </si>
  <si>
    <t>ARCOS DORADOS HOLDINGS</t>
  </si>
  <si>
    <t>VGG0457F1071</t>
  </si>
  <si>
    <t>54930023P2MIZN13DQ85</t>
  </si>
  <si>
    <t>2360973.797396</t>
  </si>
  <si>
    <t>2147.09</t>
  </si>
  <si>
    <t>ARKEG</t>
  </si>
  <si>
    <t>ARKEMA</t>
  </si>
  <si>
    <t>FR0010313833</t>
  </si>
  <si>
    <t>9695000EHMS84KKP2785</t>
  </si>
  <si>
    <t>12146730.72485</t>
  </si>
  <si>
    <t>AROUN</t>
  </si>
  <si>
    <t>AROUNDTOWN SA</t>
  </si>
  <si>
    <t>LU1673108939</t>
  </si>
  <si>
    <t>529900H4DWG3KWMBMQ39</t>
  </si>
  <si>
    <t>638120.781304</t>
  </si>
  <si>
    <t>29713.2</t>
  </si>
  <si>
    <t>AEIMK</t>
  </si>
  <si>
    <t>ARROW ELECTRONICS, INC.</t>
  </si>
  <si>
    <t>US0427351004</t>
  </si>
  <si>
    <t>549300YNNLBXT8N8R512</t>
  </si>
  <si>
    <t>8876.94</t>
  </si>
  <si>
    <t>DVCED</t>
  </si>
  <si>
    <t>ASE TECHNOLOGY HOLDING CO., LTD</t>
  </si>
  <si>
    <t>TW0003711008</t>
  </si>
  <si>
    <t>300300GO8QHPMV87NZ73</t>
  </si>
  <si>
    <t>58343071.65607</t>
  </si>
  <si>
    <t>16023.17</t>
  </si>
  <si>
    <t>AM0LG</t>
  </si>
  <si>
    <t>ASML</t>
  </si>
  <si>
    <t>NL0010273215</t>
  </si>
  <si>
    <t>724500Y6DUVHQD6OXN27</t>
  </si>
  <si>
    <t>13552704.346985</t>
  </si>
  <si>
    <t>23541.3</t>
  </si>
  <si>
    <t>ASSICURAZIONI GENERALI SPA GR</t>
  </si>
  <si>
    <t>IT0000062072</t>
  </si>
  <si>
    <t>549300X5UKJVE386ZB61</t>
  </si>
  <si>
    <t>278740.962682</t>
  </si>
  <si>
    <t>ASSOCIATED BRITISH FOODS</t>
  </si>
  <si>
    <t>GB0006731235</t>
  </si>
  <si>
    <t>GBQKSY6W7G0OHCQ8OQ72</t>
  </si>
  <si>
    <t>7B1LK</t>
  </si>
  <si>
    <t>ASSURA PLC</t>
  </si>
  <si>
    <t>6980.32</t>
  </si>
  <si>
    <t>0A30G</t>
  </si>
  <si>
    <t>ASTM - GAVIO</t>
  </si>
  <si>
    <t>IT0000084027</t>
  </si>
  <si>
    <t>8156003F2286CFA55E20</t>
  </si>
  <si>
    <t>2502482.997973</t>
  </si>
  <si>
    <t>13939.81</t>
  </si>
  <si>
    <t>ASTRA ZENECA, GR</t>
  </si>
  <si>
    <t>GB0009895292</t>
  </si>
  <si>
    <t>PY6ZZQWO2IZFZC3IOL08</t>
  </si>
  <si>
    <t>AT&amp;TG</t>
  </si>
  <si>
    <t>AT&amp;T</t>
  </si>
  <si>
    <t>US00206R1023</t>
  </si>
  <si>
    <t>549300Z40J86GGSTL398</t>
  </si>
  <si>
    <t>255430.96</t>
  </si>
  <si>
    <t>ATEZG</t>
  </si>
  <si>
    <t>ATENTO</t>
  </si>
  <si>
    <t>5527.06</t>
  </si>
  <si>
    <t>20348.18</t>
  </si>
  <si>
    <t>176778.53</t>
  </si>
  <si>
    <t>696.23</t>
  </si>
  <si>
    <t>ATTAN</t>
  </si>
  <si>
    <t>ATLANTICA SUSTAINABLE INFRASTRUCTURE</t>
  </si>
  <si>
    <t>GB00BLP5YB54</t>
  </si>
  <si>
    <t>549300ITBBGKJ651R879</t>
  </si>
  <si>
    <t>6427.61</t>
  </si>
  <si>
    <t>ATOSG</t>
  </si>
  <si>
    <t>ATOS</t>
  </si>
  <si>
    <t>FR0000051732</t>
  </si>
  <si>
    <t>5493001EZOOA66PTBR68</t>
  </si>
  <si>
    <t>1582219.911638</t>
  </si>
  <si>
    <t>AUREN</t>
  </si>
  <si>
    <t>BRAUREACNOR9</t>
  </si>
  <si>
    <t>180331.906215</t>
  </si>
  <si>
    <t>6487.58</t>
  </si>
  <si>
    <t>AUPIG</t>
  </si>
  <si>
    <t>AUTOSTRADE PER L ITALIA SPA</t>
  </si>
  <si>
    <t>815600149448CEB9B230</t>
  </si>
  <si>
    <t>15359.13</t>
  </si>
  <si>
    <t>AUTZK</t>
  </si>
  <si>
    <t>AUTOZONE INC</t>
  </si>
  <si>
    <t>US0533321024</t>
  </si>
  <si>
    <t>GA3JGKJ41LJKXDN23E90</t>
  </si>
  <si>
    <t>5395009.070638</t>
  </si>
  <si>
    <t>12176.57</t>
  </si>
  <si>
    <t>AVNEG</t>
  </si>
  <si>
    <t>AVNET, INC.</t>
  </si>
  <si>
    <t>7750.83</t>
  </si>
  <si>
    <t>AXPO HOLDING</t>
  </si>
  <si>
    <t>4245034.717113</t>
  </si>
  <si>
    <t>AZUL  LINHAS AEREAS</t>
  </si>
  <si>
    <t>BRAZULACNPR4</t>
  </si>
  <si>
    <t>549300Z0MWZ57Q9RR205</t>
  </si>
  <si>
    <t>1440920.619675</t>
  </si>
  <si>
    <t>BABCK</t>
  </si>
  <si>
    <t>BABCOCK INTERNATIONAL</t>
  </si>
  <si>
    <t>GB0009697037</t>
  </si>
  <si>
    <t>213800TSKOLX4EU6L377</t>
  </si>
  <si>
    <t>961622.677502</t>
  </si>
  <si>
    <t>1693.04</t>
  </si>
  <si>
    <t>BAESS</t>
  </si>
  <si>
    <t>BAE SYSTEMS</t>
  </si>
  <si>
    <t>GB0002634946</t>
  </si>
  <si>
    <t>8SVCSVKSGDWMW2QHOH83</t>
  </si>
  <si>
    <t>76585567.157709</t>
  </si>
  <si>
    <t>26639.4</t>
  </si>
  <si>
    <t>BAHUG</t>
  </si>
  <si>
    <t>BAKER HUGHES INC</t>
  </si>
  <si>
    <t>US05722G1004</t>
  </si>
  <si>
    <t>1340525.34</t>
  </si>
  <si>
    <t>401317.2</t>
  </si>
  <si>
    <t>3733950.684326</t>
  </si>
  <si>
    <t>22860.58</t>
  </si>
  <si>
    <t>BCKVK</t>
  </si>
  <si>
    <t>BALL CORPORATION., GR</t>
  </si>
  <si>
    <t>US0584981064</t>
  </si>
  <si>
    <t>0BGI85ALH27ZJP15DY16</t>
  </si>
  <si>
    <t>15435517.547286</t>
  </si>
  <si>
    <t>11499.11</t>
  </si>
  <si>
    <t>LATLP</t>
  </si>
  <si>
    <t>BANCO INTERNACIONAL DEL PERU - INTERBANK, GR (GR)</t>
  </si>
  <si>
    <t>PEP148001006</t>
  </si>
  <si>
    <t>5493001TRCGXJLRLHN14</t>
  </si>
  <si>
    <t>17850.467615</t>
  </si>
  <si>
    <t>5167.03</t>
  </si>
  <si>
    <t>BGIAK</t>
  </si>
  <si>
    <t>BARNES GROUP, INC</t>
  </si>
  <si>
    <t>US0678061096</t>
  </si>
  <si>
    <t>G1MSYD2DQZX30V5DMX12</t>
  </si>
  <si>
    <t>6745301.819799</t>
  </si>
  <si>
    <t>2447.92</t>
  </si>
  <si>
    <t>BDQ1G</t>
  </si>
  <si>
    <t>BARRATT DEVELOPMENTS PLC, GR</t>
  </si>
  <si>
    <t>GB0000811801</t>
  </si>
  <si>
    <t>2138006R85VEOF5YNK29</t>
  </si>
  <si>
    <t>6851.15</t>
  </si>
  <si>
    <t>GOLDG</t>
  </si>
  <si>
    <t>BARRICK GOLD</t>
  </si>
  <si>
    <t>CA0679011084</t>
  </si>
  <si>
    <t>0O4KBQCJZX82UKGCBV73</t>
  </si>
  <si>
    <t>9148695.893907</t>
  </si>
  <si>
    <t>37068.19</t>
  </si>
  <si>
    <t>5BQRG</t>
  </si>
  <si>
    <t>BARRY CALLEBAUT</t>
  </si>
  <si>
    <t>CH0009002962</t>
  </si>
  <si>
    <t>213800Y5RWKLDPUTT265</t>
  </si>
  <si>
    <t>8476011.049276</t>
  </si>
  <si>
    <t>8118.44</t>
  </si>
  <si>
    <t>BASFG</t>
  </si>
  <si>
    <t>BASF</t>
  </si>
  <si>
    <t>DE000BASF111</t>
  </si>
  <si>
    <t>529900PM64WH8AF1E917</t>
  </si>
  <si>
    <t>107674512.545904</t>
  </si>
  <si>
    <t>ITBAG</t>
  </si>
  <si>
    <t>BASIC FIT</t>
  </si>
  <si>
    <t>NL0011872650</t>
  </si>
  <si>
    <t>724500HUXGTQC07CAZ61</t>
  </si>
  <si>
    <t>463576.902865</t>
  </si>
  <si>
    <t>3240.3</t>
  </si>
  <si>
    <t>BXTRG</t>
  </si>
  <si>
    <t>BAXTER INTERNATIONAL</t>
  </si>
  <si>
    <t>US0718131099</t>
  </si>
  <si>
    <t>J5OIVXX3P24RJRW5CK77</t>
  </si>
  <si>
    <t>19705.47</t>
  </si>
  <si>
    <t>BAYER</t>
  </si>
  <si>
    <t>DE000BAY0017</t>
  </si>
  <si>
    <t>549300J4U55H3WP1XT59</t>
  </si>
  <si>
    <t>22379761.041394</t>
  </si>
  <si>
    <t>BEDIG</t>
  </si>
  <si>
    <t>BECTON DICKINSON</t>
  </si>
  <si>
    <t>US0758871091</t>
  </si>
  <si>
    <t>ICE2EP6D98PQUILVRZ91</t>
  </si>
  <si>
    <t>3660347.634078</t>
  </si>
  <si>
    <t>45054.14</t>
  </si>
  <si>
    <t>BEFEG</t>
  </si>
  <si>
    <t>BEFESA</t>
  </si>
  <si>
    <t>LU1704650164</t>
  </si>
  <si>
    <t>222100VXGA8L6J4ZWG61</t>
  </si>
  <si>
    <t>244907.539646</t>
  </si>
  <si>
    <t>1567.21</t>
  </si>
  <si>
    <t>BEIERSDORF</t>
  </si>
  <si>
    <t>DE0005200000</t>
  </si>
  <si>
    <t>L47NHHI0Z9X22DV46U41</t>
  </si>
  <si>
    <t>1973480.313677</t>
  </si>
  <si>
    <t>BE0LG</t>
  </si>
  <si>
    <t>BELLWAY PLC</t>
  </si>
  <si>
    <t>9845008UA759C64C2F52</t>
  </si>
  <si>
    <t>4352.28</t>
  </si>
  <si>
    <t>BERTELSMANN</t>
  </si>
  <si>
    <t>5299001BUUGXAREGE533</t>
  </si>
  <si>
    <t>1612075.725798</t>
  </si>
  <si>
    <t>BBLOG</t>
  </si>
  <si>
    <t>BHP BILLITON</t>
  </si>
  <si>
    <t>AU000000BHP4</t>
  </si>
  <si>
    <t>WZE1WSENV6JSZFK0JC28</t>
  </si>
  <si>
    <t>404883069.15876</t>
  </si>
  <si>
    <t>68676.07</t>
  </si>
  <si>
    <t>BIMBO</t>
  </si>
  <si>
    <t>MXP495211262</t>
  </si>
  <si>
    <t>5493000RIXURZEBFEV60</t>
  </si>
  <si>
    <t>BIOMG</t>
  </si>
  <si>
    <t>BIOMERIEUX, GR</t>
  </si>
  <si>
    <t>FR0013280286</t>
  </si>
  <si>
    <t>549300AK8Y0LBIQ4T071</t>
  </si>
  <si>
    <t>1148806.114313</t>
  </si>
  <si>
    <t>4701.7</t>
  </si>
  <si>
    <t>7NPHG</t>
  </si>
  <si>
    <t>BLACKSTONE</t>
  </si>
  <si>
    <t>US09260D1072</t>
  </si>
  <si>
    <t>5299004LW4QWGZUB8Y96</t>
  </si>
  <si>
    <t>110040.182931</t>
  </si>
  <si>
    <t>31625.66</t>
  </si>
  <si>
    <t>LEDEG</t>
  </si>
  <si>
    <t>BLAQUIER</t>
  </si>
  <si>
    <t>ARP624571096</t>
  </si>
  <si>
    <t>PBE06UMJ3YQ19JJS6K07</t>
  </si>
  <si>
    <t>1261784.730775</t>
  </si>
  <si>
    <t>350.4</t>
  </si>
  <si>
    <t>B03FK</t>
  </si>
  <si>
    <t>BLOOMBERG L.P.</t>
  </si>
  <si>
    <t>549300B56MD0ZC402L06</t>
  </si>
  <si>
    <t>74710.3</t>
  </si>
  <si>
    <t>10228.76</t>
  </si>
  <si>
    <t>BINGG</t>
  </si>
  <si>
    <t>BOEHRINGER INGELHEIM</t>
  </si>
  <si>
    <t>529900UYZPE4QQMRRE87</t>
  </si>
  <si>
    <t>BOEIG</t>
  </si>
  <si>
    <t>BOEING, GR</t>
  </si>
  <si>
    <t>US0970231058</t>
  </si>
  <si>
    <t>RVHJWBXLJ1RFUBSY1F30</t>
  </si>
  <si>
    <t>293886690.357459</t>
  </si>
  <si>
    <t>53860.15</t>
  </si>
  <si>
    <t>BOFIG</t>
  </si>
  <si>
    <t>BOFILL</t>
  </si>
  <si>
    <t>CL0000007949</t>
  </si>
  <si>
    <t>549300IPHLXN814GLO92</t>
  </si>
  <si>
    <t>751335.726204</t>
  </si>
  <si>
    <t>1207.8</t>
  </si>
  <si>
    <t>BUL5K</t>
  </si>
  <si>
    <t>BOOHOO.COM PLC</t>
  </si>
  <si>
    <t>876.12</t>
  </si>
  <si>
    <t>BOOHG</t>
  </si>
  <si>
    <t>BOOKING HOLDINGS INC</t>
  </si>
  <si>
    <t>US09857L1089</t>
  </si>
  <si>
    <t>FXM8FAOHMYDIPD38UZ17</t>
  </si>
  <si>
    <t>16589.83</t>
  </si>
  <si>
    <t>BO4LG</t>
  </si>
  <si>
    <t>BOROUGE 4 LLC</t>
  </si>
  <si>
    <t>AEE01072B225</t>
  </si>
  <si>
    <t>2549001Z4YA6WG9MBM08</t>
  </si>
  <si>
    <t>10057287.742446</t>
  </si>
  <si>
    <t>7314.38</t>
  </si>
  <si>
    <t>BOUYGUES</t>
  </si>
  <si>
    <t>FR0000120503</t>
  </si>
  <si>
    <t>969500MOCLNQFNZN0D63</t>
  </si>
  <si>
    <t>60127400.322759</t>
  </si>
  <si>
    <t>BL1KK</t>
  </si>
  <si>
    <t>BRAMBLES LTD</t>
  </si>
  <si>
    <t>AU000000BXB1</t>
  </si>
  <si>
    <t>2110013.760383</t>
  </si>
  <si>
    <t>5648.11</t>
  </si>
  <si>
    <t>5SKMG</t>
  </si>
  <si>
    <t>BRASKEM</t>
  </si>
  <si>
    <t>BRBRKMACNPA4</t>
  </si>
  <si>
    <t>549300RPMQUFGBB7EY44</t>
  </si>
  <si>
    <t>27828876.37</t>
  </si>
  <si>
    <t>11469.85</t>
  </si>
  <si>
    <t>3RH2G</t>
  </si>
  <si>
    <t>BREEDON GROUP PLC,GR</t>
  </si>
  <si>
    <t>GB00BM8NFJ84</t>
  </si>
  <si>
    <t>213800DQGNQE3X76WS92</t>
  </si>
  <si>
    <t>1367136.119733</t>
  </si>
  <si>
    <t>1935.04</t>
  </si>
  <si>
    <t>BRMBG</t>
  </si>
  <si>
    <t>BREMBO</t>
  </si>
  <si>
    <t>NL0015001KT6</t>
  </si>
  <si>
    <t>549300BLWVJN2BAT0A44</t>
  </si>
  <si>
    <t>20174395.956933</t>
  </si>
  <si>
    <t>3572.72</t>
  </si>
  <si>
    <t>BRENNTAG</t>
  </si>
  <si>
    <t>DE000A1DAHH0</t>
  </si>
  <si>
    <t>NNROIXVWJ7CPSR27SV97</t>
  </si>
  <si>
    <t>42103420.888273</t>
  </si>
  <si>
    <t>FIREG</t>
  </si>
  <si>
    <t>BRIDGESTONE</t>
  </si>
  <si>
    <t>JP3830800003</t>
  </si>
  <si>
    <t>549300DHPOF90OYYD780</t>
  </si>
  <si>
    <t>108386385.446907</t>
  </si>
  <si>
    <t>27686.44</t>
  </si>
  <si>
    <t>BRIKG</t>
  </si>
  <si>
    <t>BRINKS</t>
  </si>
  <si>
    <t>US1096961040</t>
  </si>
  <si>
    <t>XFP140TFNOQMIVFTVQ13</t>
  </si>
  <si>
    <t>665445.484743</t>
  </si>
  <si>
    <t>4394.34</t>
  </si>
  <si>
    <t>BRISA</t>
  </si>
  <si>
    <t>US10970P1093</t>
  </si>
  <si>
    <t>529900N95CHSA2Q49U02</t>
  </si>
  <si>
    <t>BRISTOL MYERS</t>
  </si>
  <si>
    <t>US1101221083</t>
  </si>
  <si>
    <t>BUKGK</t>
  </si>
  <si>
    <t>BRITISH BROADCASTING CORPORATION</t>
  </si>
  <si>
    <t>5493000IBP32UQZ0KL24</t>
  </si>
  <si>
    <t>779932.912864</t>
  </si>
  <si>
    <t>5621.37</t>
  </si>
  <si>
    <t>BLCGG</t>
  </si>
  <si>
    <t>BRITISH LAND COMPANY</t>
  </si>
  <si>
    <t>GB0001367019</t>
  </si>
  <si>
    <t>RV5B68J2GV3QGMRPW209</t>
  </si>
  <si>
    <t>1194384.485256</t>
  </si>
  <si>
    <t>9292.98</t>
  </si>
  <si>
    <t>BRTHG</t>
  </si>
  <si>
    <t>BRITISH TELECOM</t>
  </si>
  <si>
    <t>GB0030913577</t>
  </si>
  <si>
    <t>213800LRO7NS5CYQMN21</t>
  </si>
  <si>
    <t>3477211.119736</t>
  </si>
  <si>
    <t>43407.04</t>
  </si>
  <si>
    <t>BRITV</t>
  </si>
  <si>
    <t>BRITVIC PLC GROUP</t>
  </si>
  <si>
    <t>GB00B0N8QD54</t>
  </si>
  <si>
    <t>635400L3NVMYD4BVCI53</t>
  </si>
  <si>
    <t>915067.37415</t>
  </si>
  <si>
    <t>1320.7</t>
  </si>
  <si>
    <t>BRCMG</t>
  </si>
  <si>
    <t>BROADCOM INC</t>
  </si>
  <si>
    <t>US11135F1012</t>
  </si>
  <si>
    <t>549300WV6GIDOZJTV909</t>
  </si>
  <si>
    <t>26123278.719825</t>
  </si>
  <si>
    <t>131473.12</t>
  </si>
  <si>
    <t>BROOG</t>
  </si>
  <si>
    <t>BROOKFIELD ASSET MANAGEMENT</t>
  </si>
  <si>
    <t>CA11271J1075</t>
  </si>
  <si>
    <t>C6J3FGIWG6MBDGTE8F80</t>
  </si>
  <si>
    <t>630242.604632</t>
  </si>
  <si>
    <t>399052.89</t>
  </si>
  <si>
    <t>SBRGG</t>
  </si>
  <si>
    <t>BROOKFIELD BUSINESS PARTNERS</t>
  </si>
  <si>
    <t>BMG162341090</t>
  </si>
  <si>
    <t>254900LFLTVOFSFM8R24</t>
  </si>
  <si>
    <t>4539356.050202</t>
  </si>
  <si>
    <t>54975.7</t>
  </si>
  <si>
    <t>BRLGG</t>
  </si>
  <si>
    <t>BROOKFIELD RENEWABLE PARTNERS LP</t>
  </si>
  <si>
    <t>69639.54</t>
  </si>
  <si>
    <t>BUENT</t>
  </si>
  <si>
    <t>BUENAVENTURA</t>
  </si>
  <si>
    <t>US2044481040</t>
  </si>
  <si>
    <t>529900WQB1ZU9KB6EL71</t>
  </si>
  <si>
    <t>4029.53</t>
  </si>
  <si>
    <t>BUNGE</t>
  </si>
  <si>
    <t>CH1300646267</t>
  </si>
  <si>
    <t>254900IVXSV9K0B7PO26</t>
  </si>
  <si>
    <t>99134053.65046</t>
  </si>
  <si>
    <t>BUNZK</t>
  </si>
  <si>
    <t>BUNZL PLC</t>
  </si>
  <si>
    <t>GB00B0744B38</t>
  </si>
  <si>
    <t>213800Q1Q9DV4L78UM09</t>
  </si>
  <si>
    <t>7936085.503127</t>
  </si>
  <si>
    <t>7953.84</t>
  </si>
  <si>
    <t>BUREAU VERITAS, GR</t>
  </si>
  <si>
    <t>FR0006174348</t>
  </si>
  <si>
    <t>969500TPU5T3HA5D1F11</t>
  </si>
  <si>
    <t>1425489.850661</t>
  </si>
  <si>
    <t>CAIGG</t>
  </si>
  <si>
    <t>CA IMMO</t>
  </si>
  <si>
    <t>AT0000641352</t>
  </si>
  <si>
    <t>5299003ICAPV07J0R180</t>
  </si>
  <si>
    <t>108971.837962</t>
  </si>
  <si>
    <t>5293.42</t>
  </si>
  <si>
    <t>CAFRG</t>
  </si>
  <si>
    <t>CAF</t>
  </si>
  <si>
    <t>ES0121975009</t>
  </si>
  <si>
    <t>95980020140005275134</t>
  </si>
  <si>
    <t>4171423.065823</t>
  </si>
  <si>
    <t>1806.45</t>
  </si>
  <si>
    <t>05Y0G</t>
  </si>
  <si>
    <t>CAMIL</t>
  </si>
  <si>
    <t>BRCAMLACNOR3</t>
  </si>
  <si>
    <t>1997714.151218</t>
  </si>
  <si>
    <t>1375.6</t>
  </si>
  <si>
    <t>CDSLG</t>
  </si>
  <si>
    <t>CANADIAN SOLAR INC.</t>
  </si>
  <si>
    <t>CA1366351098</t>
  </si>
  <si>
    <t>5493001XSC6TKMBVOM15</t>
  </si>
  <si>
    <t>8541913.904013</t>
  </si>
  <si>
    <t>9255.25</t>
  </si>
  <si>
    <t>CAHGG</t>
  </si>
  <si>
    <t>CARDINAL HEALTH</t>
  </si>
  <si>
    <t>US14149Y1082</t>
  </si>
  <si>
    <t>CCU46N3GJMF4OK4N7U60</t>
  </si>
  <si>
    <t>43429.42</t>
  </si>
  <si>
    <t>GCARG</t>
  </si>
  <si>
    <t>CARGILL</t>
  </si>
  <si>
    <t>QXZYQNMR4JZ5RIRN4T31</t>
  </si>
  <si>
    <t>58499.45</t>
  </si>
  <si>
    <t>PQXGK</t>
  </si>
  <si>
    <t>CARLYLE (FFEE NO BIS)</t>
  </si>
  <si>
    <t>US14316J1088</t>
  </si>
  <si>
    <t>529900NGGVF94UK6PG95</t>
  </si>
  <si>
    <t>72058.630276</t>
  </si>
  <si>
    <t>15249.92</t>
  </si>
  <si>
    <t>GRCAM</t>
  </si>
  <si>
    <t>CARNES MINERVA</t>
  </si>
  <si>
    <t>BRBEEFACNOR6</t>
  </si>
  <si>
    <t>391200UHL6YHY0OA1P30</t>
  </si>
  <si>
    <t>4800188.458222</t>
  </si>
  <si>
    <t>4699.41</t>
  </si>
  <si>
    <t>0O30G</t>
  </si>
  <si>
    <t>CARNIVAL, GR</t>
  </si>
  <si>
    <t>PA1436583006</t>
  </si>
  <si>
    <t>13475943.713282</t>
  </si>
  <si>
    <t>36701.48</t>
  </si>
  <si>
    <t>5CRFG</t>
  </si>
  <si>
    <t>CARREFOUR</t>
  </si>
  <si>
    <t>FR0000120172</t>
  </si>
  <si>
    <t>549300B8P6MUJ1YWTS08</t>
  </si>
  <si>
    <t>92363790.179984</t>
  </si>
  <si>
    <t>CGPFG</t>
  </si>
  <si>
    <t>CASINO.</t>
  </si>
  <si>
    <t>FR001400OKR3</t>
  </si>
  <si>
    <t>969500VHL8F83GBL6L29</t>
  </si>
  <si>
    <t>26525468.670624</t>
  </si>
  <si>
    <t>CA4ER</t>
  </si>
  <si>
    <t>CATERPILLAR</t>
  </si>
  <si>
    <t>US1491231015</t>
  </si>
  <si>
    <t>WRJR7GS4GTRECRRTVX92</t>
  </si>
  <si>
    <t>194887312.659751</t>
  </si>
  <si>
    <t>56311.66</t>
  </si>
  <si>
    <t>CBREG</t>
  </si>
  <si>
    <t>CBRE GROUP</t>
  </si>
  <si>
    <t>US12504L1098</t>
  </si>
  <si>
    <t>52990016II9MJ2OSWA10</t>
  </si>
  <si>
    <t>64983276.888115</t>
  </si>
  <si>
    <t>14486.74</t>
  </si>
  <si>
    <t>GGCCC</t>
  </si>
  <si>
    <t>CCC</t>
  </si>
  <si>
    <t>PLCCC0000016</t>
  </si>
  <si>
    <t>259400NWPQ2HCSMZP970</t>
  </si>
  <si>
    <t>1362.37</t>
  </si>
  <si>
    <t>5RCRG</t>
  </si>
  <si>
    <t>CCR RODOVIAS</t>
  </si>
  <si>
    <t>BRCCROACNOR2</t>
  </si>
  <si>
    <t>564471.60104</t>
  </si>
  <si>
    <t>7525.64</t>
  </si>
  <si>
    <t>ATURN</t>
  </si>
  <si>
    <t>CECONOMY</t>
  </si>
  <si>
    <t>DE0007257503</t>
  </si>
  <si>
    <t>5299001X9L42HXEBCZ51</t>
  </si>
  <si>
    <t>25490114.43576</t>
  </si>
  <si>
    <t>CELLNEX</t>
  </si>
  <si>
    <t>ES0105066007</t>
  </si>
  <si>
    <t>5493008T4YG3AQUI7P67</t>
  </si>
  <si>
    <t>483603.311077</t>
  </si>
  <si>
    <t>CEYEN</t>
  </si>
  <si>
    <t>CEMENTOS CHIHUAHUA</t>
  </si>
  <si>
    <t>MX01GC2M0006</t>
  </si>
  <si>
    <t>254900WY9XL8033CKX68</t>
  </si>
  <si>
    <t>2113231.206722</t>
  </si>
  <si>
    <t>2384.2</t>
  </si>
  <si>
    <t>CMMOG</t>
  </si>
  <si>
    <t>CEMENTOS MOLINS</t>
  </si>
  <si>
    <t>ES0117360117</t>
  </si>
  <si>
    <t>959800JRJW1CZ63R8P20</t>
  </si>
  <si>
    <t>4905162.56501</t>
  </si>
  <si>
    <t>1647.33</t>
  </si>
  <si>
    <t>GCMXG</t>
  </si>
  <si>
    <t>CEMEX</t>
  </si>
  <si>
    <t>MXP225611567</t>
  </si>
  <si>
    <t>549300RIG2CXWN6IV731</t>
  </si>
  <si>
    <t>17103724.904738</t>
  </si>
  <si>
    <t>19091.39</t>
  </si>
  <si>
    <t>CEMBG</t>
  </si>
  <si>
    <t>CEMIG.</t>
  </si>
  <si>
    <t>BRCMIGACNPR3</t>
  </si>
  <si>
    <t>254900W703PXLDSEM056</t>
  </si>
  <si>
    <t>10204785.45823</t>
  </si>
  <si>
    <t>6237.55</t>
  </si>
  <si>
    <t>CENCG</t>
  </si>
  <si>
    <t>CENCOSUD</t>
  </si>
  <si>
    <t>CL0000000100</t>
  </si>
  <si>
    <t>549300NLTGCFV7482429</t>
  </si>
  <si>
    <t>7328834.670454</t>
  </si>
  <si>
    <t>10671.31</t>
  </si>
  <si>
    <t>53CNG</t>
  </si>
  <si>
    <t>CENTRICA</t>
  </si>
  <si>
    <t>GB00B033F229</t>
  </si>
  <si>
    <t>E26EDV109X6EEPBKVH76</t>
  </si>
  <si>
    <t>66873167.207716</t>
  </si>
  <si>
    <t>10036.95</t>
  </si>
  <si>
    <t>CEPUF</t>
  </si>
  <si>
    <t>CEPU</t>
  </si>
  <si>
    <t>ARP2354W1188</t>
  </si>
  <si>
    <t>2549005JLIWQ6B7VNR38</t>
  </si>
  <si>
    <t>567295.29</t>
  </si>
  <si>
    <t>66565.68</t>
  </si>
  <si>
    <t>1158644.76281</t>
  </si>
  <si>
    <t>2094.83</t>
  </si>
  <si>
    <t>CHEDR</t>
  </si>
  <si>
    <t>CHEDRAUI</t>
  </si>
  <si>
    <t>MX01CH170002</t>
  </si>
  <si>
    <t>4469000001BRXSV0JO96</t>
  </si>
  <si>
    <t>3871046.513823</t>
  </si>
  <si>
    <t>5383.81</t>
  </si>
  <si>
    <t>CHENI</t>
  </si>
  <si>
    <t>CHENIERE ENERGY</t>
  </si>
  <si>
    <t>US16411R2085</t>
  </si>
  <si>
    <t>MIHC87W9WTYSYZWV1J40</t>
  </si>
  <si>
    <t>11039911.367934</t>
  </si>
  <si>
    <t>34820.73</t>
  </si>
  <si>
    <t>CCCGG</t>
  </si>
  <si>
    <t>CHINA COMMUNICATIONS CONSTRUCTION GROUP LTD (CCCG)</t>
  </si>
  <si>
    <t>CNE1000002F5</t>
  </si>
  <si>
    <t>35383512.605564</t>
  </si>
  <si>
    <t>145755.14</t>
  </si>
  <si>
    <t>SCHOG</t>
  </si>
  <si>
    <t>CHINA GAS HOLDINGS</t>
  </si>
  <si>
    <t>BMG2109G1033</t>
  </si>
  <si>
    <t>254900KTSZLZ21VV8T33</t>
  </si>
  <si>
    <t>13251364.583775</t>
  </si>
  <si>
    <t>14873.81</t>
  </si>
  <si>
    <t>CRGLG</t>
  </si>
  <si>
    <t>CHINA RAILWAY GROUP LIMITED</t>
  </si>
  <si>
    <t>CNE1000007Z2</t>
  </si>
  <si>
    <t>300300FQQ9DQSCWEC194</t>
  </si>
  <si>
    <t>60010616.9269</t>
  </si>
  <si>
    <t>133921.39</t>
  </si>
  <si>
    <t>CSTPG</t>
  </si>
  <si>
    <t>CHINA SOUTHERN POWER GRID</t>
  </si>
  <si>
    <t>18873.83</t>
  </si>
  <si>
    <t>7679.88</t>
  </si>
  <si>
    <t>51500.457111</t>
  </si>
  <si>
    <t>116565.95</t>
  </si>
  <si>
    <t>CTGOG</t>
  </si>
  <si>
    <t>CHINA THREE GORGES</t>
  </si>
  <si>
    <t>300300YGQJZMCFMU1894</t>
  </si>
  <si>
    <t>5611617.562179</t>
  </si>
  <si>
    <t>159915.05</t>
  </si>
  <si>
    <t>CHINT</t>
  </si>
  <si>
    <t>CNE100000KD8</t>
  </si>
  <si>
    <t>23112229.15293</t>
  </si>
  <si>
    <t>12947.62</t>
  </si>
  <si>
    <t>1CHSG</t>
  </si>
  <si>
    <t>CHS INC GR</t>
  </si>
  <si>
    <t>XEIEFTLYDQ1MZ6TZV015</t>
  </si>
  <si>
    <t>75574633.503661</t>
  </si>
  <si>
    <t>12949.14</t>
  </si>
  <si>
    <t>CIE AUTOMOTIVE</t>
  </si>
  <si>
    <t>ES0105630315</t>
  </si>
  <si>
    <t>95980020140005381252</t>
  </si>
  <si>
    <t>2388092.638968</t>
  </si>
  <si>
    <t>5H26G</t>
  </si>
  <si>
    <t>CISCO SYSTEMS</t>
  </si>
  <si>
    <t>US17275R1023</t>
  </si>
  <si>
    <t>549300LKFJ962MZ46593</t>
  </si>
  <si>
    <t>74787.04</t>
  </si>
  <si>
    <t>HHWWG</t>
  </si>
  <si>
    <t>CK HUTCHISON HOLDINGS</t>
  </si>
  <si>
    <t>KYG217651051</t>
  </si>
  <si>
    <t>254900Z8HM1VEPOQ2G79</t>
  </si>
  <si>
    <t>12644293.409542</t>
  </si>
  <si>
    <t>121122.97</t>
  </si>
  <si>
    <t>0OG0G</t>
  </si>
  <si>
    <t>CLARIANT, GR</t>
  </si>
  <si>
    <t>CH0012142631</t>
  </si>
  <si>
    <t>529900VSEKBY7TMPP349</t>
  </si>
  <si>
    <t>5872658.024399</t>
  </si>
  <si>
    <t>4668.26</t>
  </si>
  <si>
    <t>CLEAR</t>
  </si>
  <si>
    <t>CLEARWAY ENERGY GROUP</t>
  </si>
  <si>
    <t>US18539C1053</t>
  </si>
  <si>
    <t>549300LHAZ9HA9G3XC48</t>
  </si>
  <si>
    <t>32577.28</t>
  </si>
  <si>
    <t>784973.661779</t>
  </si>
  <si>
    <t>12823.52</t>
  </si>
  <si>
    <t>CHLCG</t>
  </si>
  <si>
    <t>CMOC GROUP LIMITED</t>
  </si>
  <si>
    <t>CNE100000114</t>
  </si>
  <si>
    <t>2549008KG3638J59U652</t>
  </si>
  <si>
    <t>11743307.202986</t>
  </si>
  <si>
    <t>15148.25</t>
  </si>
  <si>
    <t>COENR</t>
  </si>
  <si>
    <t>CMS ENERGY</t>
  </si>
  <si>
    <t>US1258961002</t>
  </si>
  <si>
    <t>549300IA9XFBAGNIBW29</t>
  </si>
  <si>
    <t>23325375.310732</t>
  </si>
  <si>
    <t>24388.08</t>
  </si>
  <si>
    <t>CNH INDUSTRIAL</t>
  </si>
  <si>
    <t>NL0010545661</t>
  </si>
  <si>
    <t>549300WGC2HZ5J67V817</t>
  </si>
  <si>
    <t>51903050.770864</t>
  </si>
  <si>
    <t>COCA COLA EUROPEAN PACIFIC</t>
  </si>
  <si>
    <t>GB00BDCPN049</t>
  </si>
  <si>
    <t>549300LTH67W4GWMRF57</t>
  </si>
  <si>
    <t>8647590.207485</t>
  </si>
  <si>
    <t>COKEG</t>
  </si>
  <si>
    <t>COCA COLA GROUP</t>
  </si>
  <si>
    <t>US1912161007</t>
  </si>
  <si>
    <t>UWJKFUJFZ02DKWI3RY53</t>
  </si>
  <si>
    <t>56808350.183398</t>
  </si>
  <si>
    <t>70291.16</t>
  </si>
  <si>
    <t>CCCIG</t>
  </si>
  <si>
    <t>COCA-COLA CONSOLIDATED INC</t>
  </si>
  <si>
    <t>US1910981026</t>
  </si>
  <si>
    <t>57VG5X0E00X0QJU7CQ58</t>
  </si>
  <si>
    <t>2798766.275118</t>
  </si>
  <si>
    <t>3199.97</t>
  </si>
  <si>
    <t>CODEG</t>
  </si>
  <si>
    <t>CODELCO</t>
  </si>
  <si>
    <t>549300UVMBCBCIPSUI70</t>
  </si>
  <si>
    <t>3831045.629259</t>
  </si>
  <si>
    <t>33232.79</t>
  </si>
  <si>
    <t>IZANT</t>
  </si>
  <si>
    <t>COGNIZANT</t>
  </si>
  <si>
    <t>US1924461023</t>
  </si>
  <si>
    <t>5493006IEVQEFQO40L83</t>
  </si>
  <si>
    <t>15314.5</t>
  </si>
  <si>
    <t>CLFAG</t>
  </si>
  <si>
    <t>COLFAX GROUP</t>
  </si>
  <si>
    <t>US1940145022</t>
  </si>
  <si>
    <t>635400OP2DYYYMOIYL17</t>
  </si>
  <si>
    <t>820261.616442</t>
  </si>
  <si>
    <t>3819.85</t>
  </si>
  <si>
    <t>COLGATE PALMOLIVE</t>
  </si>
  <si>
    <t>US1941621039</t>
  </si>
  <si>
    <t>YMEGZFW4SBUSS5BQXF88</t>
  </si>
  <si>
    <t>43511212.391592</t>
  </si>
  <si>
    <t>CCAST</t>
  </si>
  <si>
    <t>COMCAST CORPORATION</t>
  </si>
  <si>
    <t>US20030N1019</t>
  </si>
  <si>
    <t>51M0QTTNCGUN7KFCFZ59</t>
  </si>
  <si>
    <t>13056080.298373</t>
  </si>
  <si>
    <t>184500.7</t>
  </si>
  <si>
    <t>COMXG</t>
  </si>
  <si>
    <t>COMMUNITY HEALTH SYSTEMS</t>
  </si>
  <si>
    <t>US2036681086</t>
  </si>
  <si>
    <t>549300BQWM4WENQ3YW73</t>
  </si>
  <si>
    <t>204851.59</t>
  </si>
  <si>
    <t>324023.75</t>
  </si>
  <si>
    <t>1519715.539074</t>
  </si>
  <si>
    <t>11648.3</t>
  </si>
  <si>
    <t>CDCFG</t>
  </si>
  <si>
    <t>COMPAGNIE D'ENTREPRISES CFE / DEME</t>
  </si>
  <si>
    <t>BE0003883031</t>
  </si>
  <si>
    <t>5493003N7PPOYDZI1G90</t>
  </si>
  <si>
    <t>1250473.188744</t>
  </si>
  <si>
    <t>463.51</t>
  </si>
  <si>
    <t>COMPASS GROUP, GR</t>
  </si>
  <si>
    <t>GB00BD6K4575</t>
  </si>
  <si>
    <t>2138008M6MH9OZ6U2T68</t>
  </si>
  <si>
    <t>CHTOG</t>
  </si>
  <si>
    <t>CONCHA Y TORO</t>
  </si>
  <si>
    <t>CLP9796J1008</t>
  </si>
  <si>
    <t>5493008GQ74NEYBVB518</t>
  </si>
  <si>
    <t>1286.6</t>
  </si>
  <si>
    <t>CEGNK</t>
  </si>
  <si>
    <t>CONSTELLATION ENERGY GENERATION</t>
  </si>
  <si>
    <t>US21037T1097</t>
  </si>
  <si>
    <t>549300F8Y20RYGNGV346</t>
  </si>
  <si>
    <t>89905250.579848</t>
  </si>
  <si>
    <t>21689.21</t>
  </si>
  <si>
    <t>CATCG</t>
  </si>
  <si>
    <t>CONTEMPORARY AMPEREX TECHNOLOGY CO., LIMITED</t>
  </si>
  <si>
    <t>CNE100003662</t>
  </si>
  <si>
    <t>300300KINDY1K0E9I032</t>
  </si>
  <si>
    <t>183988493.393304</t>
  </si>
  <si>
    <t>54037.6</t>
  </si>
  <si>
    <t>5NENG</t>
  </si>
  <si>
    <t>CONTINENTAL</t>
  </si>
  <si>
    <t>DE0005439004</t>
  </si>
  <si>
    <t>529900A7YD9C0LLXM621</t>
  </si>
  <si>
    <t>102960341.104992</t>
  </si>
  <si>
    <t>5OLPG</t>
  </si>
  <si>
    <t>COPEL</t>
  </si>
  <si>
    <t>BRCPLEACNPB9</t>
  </si>
  <si>
    <t>2549001AS1I9A71VG663</t>
  </si>
  <si>
    <t>4176493.802333</t>
  </si>
  <si>
    <t>6722.97</t>
  </si>
  <si>
    <t>CORTEVA INC</t>
  </si>
  <si>
    <t>US22052L1044</t>
  </si>
  <si>
    <t>549300WZN9I2QKLS0O94</t>
  </si>
  <si>
    <t>6955794.494564</t>
  </si>
  <si>
    <t>06X0G</t>
  </si>
  <si>
    <t>COSAN</t>
  </si>
  <si>
    <t>BRCSANACNOR6</t>
  </si>
  <si>
    <t>549300PGFCX2JMKKLC96</t>
  </si>
  <si>
    <t>59686342.535639</t>
  </si>
  <si>
    <t>17481.8</t>
  </si>
  <si>
    <t>CWCNK</t>
  </si>
  <si>
    <t>COSTCO WHOLESALE CORP NEW.</t>
  </si>
  <si>
    <t>US22160K1051</t>
  </si>
  <si>
    <t>29DX7H14B9S6O3FD6V18</t>
  </si>
  <si>
    <t>32312.43</t>
  </si>
  <si>
    <t>CVSTR</t>
  </si>
  <si>
    <t>COVESTRO</t>
  </si>
  <si>
    <t>DE0006062144</t>
  </si>
  <si>
    <t>3912005AWHKLQ1CPLV11</t>
  </si>
  <si>
    <t>23424712.644125</t>
  </si>
  <si>
    <t>8X0GG</t>
  </si>
  <si>
    <t>COVIVIO</t>
  </si>
  <si>
    <t>FR0000064578</t>
  </si>
  <si>
    <t>969500P8M3W2XX376054</t>
  </si>
  <si>
    <t>244865.135286</t>
  </si>
  <si>
    <t>22918.4</t>
  </si>
  <si>
    <t>CXBEG</t>
  </si>
  <si>
    <t>COXABENGOA</t>
  </si>
  <si>
    <t>865.13</t>
  </si>
  <si>
    <t>CPFGG</t>
  </si>
  <si>
    <t>CP FOODS GROUP</t>
  </si>
  <si>
    <t>TH0101A10Z01</t>
  </si>
  <si>
    <t>529900FJ3AI2GKGIWK15</t>
  </si>
  <si>
    <t>22086.88</t>
  </si>
  <si>
    <t>CPIPG</t>
  </si>
  <si>
    <t>LU0251710041</t>
  </si>
  <si>
    <t>222100CO2ZOTEPGJO223</t>
  </si>
  <si>
    <t>647159.362129</t>
  </si>
  <si>
    <t>CRHLG</t>
  </si>
  <si>
    <t>CRH</t>
  </si>
  <si>
    <t>IE0001827041</t>
  </si>
  <si>
    <t>549300MIDJNNTH068E74</t>
  </si>
  <si>
    <t>13856338.902415</t>
  </si>
  <si>
    <t>36973.87</t>
  </si>
  <si>
    <t>DOOUK</t>
  </si>
  <si>
    <t>CRODA INTERNATIONAL PLC</t>
  </si>
  <si>
    <t>GB00BJFFLV09</t>
  </si>
  <si>
    <t>2138004WCNBFJEEOXV26</t>
  </si>
  <si>
    <t>2033446.162757</t>
  </si>
  <si>
    <t>3612.53</t>
  </si>
  <si>
    <t>J6CNK</t>
  </si>
  <si>
    <t>CROWN CASTLE</t>
  </si>
  <si>
    <t>US22822V1017</t>
  </si>
  <si>
    <t>54930012H97VSM0I2R19</t>
  </si>
  <si>
    <t>3836497.456801</t>
  </si>
  <si>
    <t>28502.82</t>
  </si>
  <si>
    <t>GUEVG</t>
  </si>
  <si>
    <t>CROWN HOLDINGS INC, GR</t>
  </si>
  <si>
    <t>US2283681060</t>
  </si>
  <si>
    <t>NYLWZIOY8PUNIT4JOE22</t>
  </si>
  <si>
    <t>9288.22</t>
  </si>
  <si>
    <t>CCROG</t>
  </si>
  <si>
    <t>CRRC CORPORATION LIMITED(CRRC)</t>
  </si>
  <si>
    <t>CNE100000CP9</t>
  </si>
  <si>
    <t>30030099HATQH2XC0B72</t>
  </si>
  <si>
    <t>151495697.658754</t>
  </si>
  <si>
    <t>30384.73</t>
  </si>
  <si>
    <t>CSN</t>
  </si>
  <si>
    <t>BRCSNAACNOR6</t>
  </si>
  <si>
    <t>529900K40TEND42S0T46</t>
  </si>
  <si>
    <t>4419117.087799</t>
  </si>
  <si>
    <t>CICZK</t>
  </si>
  <si>
    <t>CUMMINS INC</t>
  </si>
  <si>
    <t>US2310211063</t>
  </si>
  <si>
    <t>ZUNI8PYC725B6H8JU438</t>
  </si>
  <si>
    <t>138294747.060144</t>
  </si>
  <si>
    <t>18282.88</t>
  </si>
  <si>
    <t>CCWVK</t>
  </si>
  <si>
    <t>CVS HEALTH CORPORATION.</t>
  </si>
  <si>
    <t>US1266501006</t>
  </si>
  <si>
    <t>549300EJG376EN5NQE29</t>
  </si>
  <si>
    <t>14283806.116816</t>
  </si>
  <si>
    <t>152702.25</t>
  </si>
  <si>
    <t>CYFRG</t>
  </si>
  <si>
    <t>CYFROWY POLSAT</t>
  </si>
  <si>
    <t>PLCFRPT00013</t>
  </si>
  <si>
    <t>259400EM1ITR201TTX36</t>
  </si>
  <si>
    <t>230647.788251</t>
  </si>
  <si>
    <t>7543.25</t>
  </si>
  <si>
    <t>CYREX</t>
  </si>
  <si>
    <t>CYRELA</t>
  </si>
  <si>
    <t>BRCYREACNOR7</t>
  </si>
  <si>
    <t>194433.897497</t>
  </si>
  <si>
    <t>2497.57</t>
  </si>
  <si>
    <t>CYONG</t>
  </si>
  <si>
    <t>CYRUSONE</t>
  </si>
  <si>
    <t>US23283R1005</t>
  </si>
  <si>
    <t>5493006S177ZK2ZNBU43</t>
  </si>
  <si>
    <t>13944.18</t>
  </si>
  <si>
    <t>DAIMLER TRUCK</t>
  </si>
  <si>
    <t>DE000DTR0CK8</t>
  </si>
  <si>
    <t>529900PW78JIYOUBSR24</t>
  </si>
  <si>
    <t>100323597.188315</t>
  </si>
  <si>
    <t>DNHGR</t>
  </si>
  <si>
    <t>DANAHER CORPORATION</t>
  </si>
  <si>
    <t>US2358511028</t>
  </si>
  <si>
    <t>S4BKK9OTCEWQ3YHPFM11</t>
  </si>
  <si>
    <t>5123673.216956</t>
  </si>
  <si>
    <t>64195.58</t>
  </si>
  <si>
    <t>DANIE</t>
  </si>
  <si>
    <t>DANIELI</t>
  </si>
  <si>
    <t>IT0000076502</t>
  </si>
  <si>
    <t>815600B4B8C6A353E566</t>
  </si>
  <si>
    <t>17653074.092169</t>
  </si>
  <si>
    <t>3222.3</t>
  </si>
  <si>
    <t>DANONE</t>
  </si>
  <si>
    <t>FR0000120644</t>
  </si>
  <si>
    <t>969500KMUQ2B6CBAF162</t>
  </si>
  <si>
    <t>23529319.885244</t>
  </si>
  <si>
    <t>8DSTK</t>
  </si>
  <si>
    <t>DASSAULT SYSTEMES</t>
  </si>
  <si>
    <t>FR0014003TT8</t>
  </si>
  <si>
    <t>96950065LBWY0APQIM86</t>
  </si>
  <si>
    <t>12142.9</t>
  </si>
  <si>
    <t>DERUG</t>
  </si>
  <si>
    <t>DE LA RUE PLC.</t>
  </si>
  <si>
    <t>GB00B3DGH821</t>
  </si>
  <si>
    <t>213800DH741LZWIJXP78</t>
  </si>
  <si>
    <t>118604.613667</t>
  </si>
  <si>
    <t>158.44</t>
  </si>
  <si>
    <t>IDEAL</t>
  </si>
  <si>
    <t>DEAL</t>
  </si>
  <si>
    <t>MX01ID000009</t>
  </si>
  <si>
    <t>529900HHL7GDSBBX4835</t>
  </si>
  <si>
    <t>265861.722843</t>
  </si>
  <si>
    <t>3778.45</t>
  </si>
  <si>
    <t>5H46G</t>
  </si>
  <si>
    <t>DELL</t>
  </si>
  <si>
    <t>US24703L2025</t>
  </si>
  <si>
    <t>549300TJB5YBRUPOG437</t>
  </si>
  <si>
    <t>31940550.869055</t>
  </si>
  <si>
    <t>24416.96</t>
  </si>
  <si>
    <t>DELTA</t>
  </si>
  <si>
    <t>US2473617023</t>
  </si>
  <si>
    <t>Q2CCMS6R0AS67HJMBN42</t>
  </si>
  <si>
    <t>14558832.468337</t>
  </si>
  <si>
    <t>37695.75</t>
  </si>
  <si>
    <t>DENTSU GROUP INC</t>
  </si>
  <si>
    <t>JP3551520004</t>
  </si>
  <si>
    <t>5299007PBBE83ZLJZG91</t>
  </si>
  <si>
    <t>527575.330965</t>
  </si>
  <si>
    <t>5SOSC</t>
  </si>
  <si>
    <t>DEOLEO</t>
  </si>
  <si>
    <t>ES0110047919</t>
  </si>
  <si>
    <t>95980020140005319366</t>
  </si>
  <si>
    <t>2250.75</t>
  </si>
  <si>
    <t>753385.263112</t>
  </si>
  <si>
    <t>583.87</t>
  </si>
  <si>
    <t>5DHFG</t>
  </si>
  <si>
    <t>DEUTSCHE BAHN</t>
  </si>
  <si>
    <t>DE0008220005</t>
  </si>
  <si>
    <t>52990063S23N13HU4E98</t>
  </si>
  <si>
    <t>28146151.745724</t>
  </si>
  <si>
    <t>DEUTSCHE BANK AKTIENGESELLSCHAFT, GR</t>
  </si>
  <si>
    <t>DE0005140008</t>
  </si>
  <si>
    <t>7LTWFZYICNSX8D621K86</t>
  </si>
  <si>
    <t>91705630.838807</t>
  </si>
  <si>
    <t>DEUTSCHE POST WORLD NET</t>
  </si>
  <si>
    <t>DE0005552004</t>
  </si>
  <si>
    <t>8ER8GIG7CSMVD8VUFE78</t>
  </si>
  <si>
    <t>33470269.416479</t>
  </si>
  <si>
    <t>1700G</t>
  </si>
  <si>
    <t>DEUTSCHE TELEKOM, GR</t>
  </si>
  <si>
    <t>DE0005557508</t>
  </si>
  <si>
    <t>549300V9QSIG4WX4GJ96</t>
  </si>
  <si>
    <t>14183423.45258</t>
  </si>
  <si>
    <t>ITAWG</t>
  </si>
  <si>
    <t>DEXCO</t>
  </si>
  <si>
    <t>BRITSAACNPR7</t>
  </si>
  <si>
    <t>63798.3252809999</t>
  </si>
  <si>
    <t>16699.29</t>
  </si>
  <si>
    <t>DSFPG</t>
  </si>
  <si>
    <t>DFS FURNITURE PLC</t>
  </si>
  <si>
    <t>GB00BTC0LB89</t>
  </si>
  <si>
    <t>213800GDSOBNKS1U1P93</t>
  </si>
  <si>
    <t>504044.996311</t>
  </si>
  <si>
    <t>989.59</t>
  </si>
  <si>
    <t>DIAKG</t>
  </si>
  <si>
    <t>DIA</t>
  </si>
  <si>
    <t>ES0126775032</t>
  </si>
  <si>
    <t>54930063C6K2TNFL6H10</t>
  </si>
  <si>
    <t>2719833.105381</t>
  </si>
  <si>
    <t>985.49</t>
  </si>
  <si>
    <t>DIAGEO</t>
  </si>
  <si>
    <t>GB0002374006</t>
  </si>
  <si>
    <t>213800ZVIELEA55JMJ32</t>
  </si>
  <si>
    <t>5843102.173609</t>
  </si>
  <si>
    <t>DIGRG</t>
  </si>
  <si>
    <t>DIGITAL REALTY</t>
  </si>
  <si>
    <t>US2538681030</t>
  </si>
  <si>
    <t>549300HKCZ31D08NEI41</t>
  </si>
  <si>
    <t>1006545.066119</t>
  </si>
  <si>
    <t>40031.29</t>
  </si>
  <si>
    <t>40626</t>
  </si>
  <si>
    <t>DIRECIONAL ENGENHARIA</t>
  </si>
  <si>
    <t>BRDIRRACNOR0</t>
  </si>
  <si>
    <t>96100.626481</t>
  </si>
  <si>
    <t>608.74</t>
  </si>
  <si>
    <t>TIINC</t>
  </si>
  <si>
    <t>DISCOVERY INC</t>
  </si>
  <si>
    <t>3296312.929381</t>
  </si>
  <si>
    <t>75021.9</t>
  </si>
  <si>
    <t>DOENK</t>
  </si>
  <si>
    <t>DOMINION ENERGY</t>
  </si>
  <si>
    <t>US25746U1097</t>
  </si>
  <si>
    <t>ILUL7B6Z54MRYCF6H308</t>
  </si>
  <si>
    <t>18078402.284356</t>
  </si>
  <si>
    <t>70089.03</t>
  </si>
  <si>
    <t>DPIZA</t>
  </si>
  <si>
    <t>DOMINOS PIZZA GROUP PLC, GR</t>
  </si>
  <si>
    <t>GB00BYN59130</t>
  </si>
  <si>
    <t>213800Q6ZKHAOV48JL75</t>
  </si>
  <si>
    <t>537743.37</t>
  </si>
  <si>
    <t>660.05</t>
  </si>
  <si>
    <t>ONDOG</t>
  </si>
  <si>
    <t>DOVER CORPORATION</t>
  </si>
  <si>
    <t>US2600031080</t>
  </si>
  <si>
    <t>549300FMC2ALGA7N9E80</t>
  </si>
  <si>
    <t>16816041.854864</t>
  </si>
  <si>
    <t>9737.81</t>
  </si>
  <si>
    <t>DOWG1</t>
  </si>
  <si>
    <t>DOWLAIS</t>
  </si>
  <si>
    <t>13867069.842863</t>
  </si>
  <si>
    <t>4510.84</t>
  </si>
  <si>
    <t>DPORG</t>
  </si>
  <si>
    <t>DP WORLD</t>
  </si>
  <si>
    <t>AEDFXA0M6V00</t>
  </si>
  <si>
    <t>549300M3U2DNF4QVSS04</t>
  </si>
  <si>
    <t>5341812.569059</t>
  </si>
  <si>
    <t>37608.93</t>
  </si>
  <si>
    <t>DRMAP</t>
  </si>
  <si>
    <t>DR. MARTENS PLC</t>
  </si>
  <si>
    <t>GB00BL6NGV24</t>
  </si>
  <si>
    <t>213800QPT8YM6NQZPH28</t>
  </si>
  <si>
    <t>269280.004967</t>
  </si>
  <si>
    <t>1019.13</t>
  </si>
  <si>
    <t>DRAXG</t>
  </si>
  <si>
    <t>DRAX GROUP PLC</t>
  </si>
  <si>
    <t>GB00B1VNSX38</t>
  </si>
  <si>
    <t>549300YPSNTXR4ZHSR98</t>
  </si>
  <si>
    <t>11427008.756581</t>
  </si>
  <si>
    <t>4075.91</t>
  </si>
  <si>
    <t>DS SMITH</t>
  </si>
  <si>
    <t>GB0008220112</t>
  </si>
  <si>
    <t>39RSBE4RCI4M15BLWH36</t>
  </si>
  <si>
    <t>4923027.301204</t>
  </si>
  <si>
    <t>01028</t>
  </si>
  <si>
    <t>DUFRY</t>
  </si>
  <si>
    <t>CH0023405456</t>
  </si>
  <si>
    <t>57889.28</t>
  </si>
  <si>
    <t>341879.65</t>
  </si>
  <si>
    <t>3738002.103666</t>
  </si>
  <si>
    <t>15336.6</t>
  </si>
  <si>
    <t>5DKEG</t>
  </si>
  <si>
    <t>DUKE ENERGY</t>
  </si>
  <si>
    <t>US26441C2044</t>
  </si>
  <si>
    <t>I1BZKREC126H0VB1BL91</t>
  </si>
  <si>
    <t>63190919.376704</t>
  </si>
  <si>
    <t>131569.37</t>
  </si>
  <si>
    <t>9Y85K</t>
  </si>
  <si>
    <t>DUNELM GROUP PLC</t>
  </si>
  <si>
    <t>GB00B1CKQ739</t>
  </si>
  <si>
    <t>213800WCOWEI3T5DUV19</t>
  </si>
  <si>
    <t>1031862.830986</t>
  </si>
  <si>
    <t>560.09</t>
  </si>
  <si>
    <t>DOWDG</t>
  </si>
  <si>
    <t>DUPONT DE NEMOURS INC</t>
  </si>
  <si>
    <t>US26614N1028</t>
  </si>
  <si>
    <t>5493004JF0SDFLM8GD76</t>
  </si>
  <si>
    <t>30193.95</t>
  </si>
  <si>
    <t>DURRG</t>
  </si>
  <si>
    <t>DURR AG</t>
  </si>
  <si>
    <t>DE0005565204</t>
  </si>
  <si>
    <t>5299003APZ54EDTSRO20</t>
  </si>
  <si>
    <t>6503707.471249</t>
  </si>
  <si>
    <t>2548.93</t>
  </si>
  <si>
    <t>5EONG</t>
  </si>
  <si>
    <t>E.ON</t>
  </si>
  <si>
    <t>DE000ENAG999</t>
  </si>
  <si>
    <t>Q9MAIUP40P25UFBFG033</t>
  </si>
  <si>
    <t>86622360.611527</t>
  </si>
  <si>
    <t>5TCXK</t>
  </si>
  <si>
    <t>EASTMAN CHEMICAL COMPANY</t>
  </si>
  <si>
    <t>US2774321002</t>
  </si>
  <si>
    <t>FDPVHDGJ1IQZFK9KH630</t>
  </si>
  <si>
    <t>14623170.202563</t>
  </si>
  <si>
    <t>10656.91</t>
  </si>
  <si>
    <t>EASYG</t>
  </si>
  <si>
    <t>EASY JET PLC</t>
  </si>
  <si>
    <t>GB00B7KR2P84</t>
  </si>
  <si>
    <t>2138001S47XKWIB7TH90</t>
  </si>
  <si>
    <t>7581.97</t>
  </si>
  <si>
    <t>EBAYG</t>
  </si>
  <si>
    <t>EBAY, GR</t>
  </si>
  <si>
    <t>US2786421030</t>
  </si>
  <si>
    <t>OML71K8X303XQONU6T67</t>
  </si>
  <si>
    <t>1753116.98819</t>
  </si>
  <si>
    <t>12532.85</t>
  </si>
  <si>
    <t>EBRO FOODS</t>
  </si>
  <si>
    <t>ES0112501012</t>
  </si>
  <si>
    <t>959800NW6DLQT89M3240</t>
  </si>
  <si>
    <t>4942612.29555</t>
  </si>
  <si>
    <t>ABECG</t>
  </si>
  <si>
    <t>ECOLAB</t>
  </si>
  <si>
    <t>US2788651006</t>
  </si>
  <si>
    <t>82DYEISM090VG8LTLS26</t>
  </si>
  <si>
    <t>16431.88</t>
  </si>
  <si>
    <t>EDENRED.</t>
  </si>
  <si>
    <t>FR0010908533</t>
  </si>
  <si>
    <t>9695006LOD5B2D7Y0N70</t>
  </si>
  <si>
    <t>ELFRG</t>
  </si>
  <si>
    <t>EDF ELECTRICITE FRANCE</t>
  </si>
  <si>
    <t>0D20G</t>
  </si>
  <si>
    <t>EDISON INTERNATIONAL</t>
  </si>
  <si>
    <t>US2810201077</t>
  </si>
  <si>
    <t>549300I7ROF15MAEVP56</t>
  </si>
  <si>
    <t>23382088.669215</t>
  </si>
  <si>
    <t>53420.28</t>
  </si>
  <si>
    <t>EDIZIONE-ATLANTIA</t>
  </si>
  <si>
    <t>IT0003506190</t>
  </si>
  <si>
    <t>8156008DEC771409C487</t>
  </si>
  <si>
    <t>1642676.235191</t>
  </si>
  <si>
    <t>EIFFAGE SA GR, D</t>
  </si>
  <si>
    <t>FR0000130452</t>
  </si>
  <si>
    <t>969500OQXKE5WDM9M994</t>
  </si>
  <si>
    <t>7212474.734228</t>
  </si>
  <si>
    <t>EL CORTE INGLES</t>
  </si>
  <si>
    <t>95980020140005374753</t>
  </si>
  <si>
    <t>3593073.468048</t>
  </si>
  <si>
    <t>ELECNOR</t>
  </si>
  <si>
    <t>ES0129743318</t>
  </si>
  <si>
    <t>237822.558</t>
  </si>
  <si>
    <t>ELECTRICIDAD DE PORTUGAL (EDP)</t>
  </si>
  <si>
    <t>PTEDP0AM0009</t>
  </si>
  <si>
    <t>529900CLC3WDMGI9VH80</t>
  </si>
  <si>
    <t>10149524.289307</t>
  </si>
  <si>
    <t>ELECG</t>
  </si>
  <si>
    <t>ELECTROCOMPONENTS</t>
  </si>
  <si>
    <t>2543.96</t>
  </si>
  <si>
    <t>ELEMENTIS PLC, GR</t>
  </si>
  <si>
    <t>GB0002418548</t>
  </si>
  <si>
    <t>549300LQIH685LI2ML36</t>
  </si>
  <si>
    <t>977956.818535</t>
  </si>
  <si>
    <t>ELBRG</t>
  </si>
  <si>
    <t>ELETROBRAS.</t>
  </si>
  <si>
    <t>BRELETACNPB7</t>
  </si>
  <si>
    <t>254900I8KYDELP4B4Z08</t>
  </si>
  <si>
    <t>1679489.805912</t>
  </si>
  <si>
    <t>31336.38</t>
  </si>
  <si>
    <t>5H67G</t>
  </si>
  <si>
    <t>ELI LILLY</t>
  </si>
  <si>
    <t>US5324571083</t>
  </si>
  <si>
    <t>FRDRIPF3EKNDJ2CQJL29</t>
  </si>
  <si>
    <t>5465554.468769</t>
  </si>
  <si>
    <t>47338.37</t>
  </si>
  <si>
    <t>ELO SA</t>
  </si>
  <si>
    <t>969500ASEC557H5A4F22</t>
  </si>
  <si>
    <t>32466453.690927</t>
  </si>
  <si>
    <t>EMBRAER</t>
  </si>
  <si>
    <t>BREMBRACNOR4</t>
  </si>
  <si>
    <t>549300EM51WYXFHUY333</t>
  </si>
  <si>
    <t>19792537.168109</t>
  </si>
  <si>
    <t>5EMGG</t>
  </si>
  <si>
    <t>EMPRESA DE ENERGIA DE BOGOTA SA ESP</t>
  </si>
  <si>
    <t>COE01PA00026</t>
  </si>
  <si>
    <t>529900LG618OWYVHI655</t>
  </si>
  <si>
    <t>1036907.802141</t>
  </si>
  <si>
    <t>8904.28</t>
  </si>
  <si>
    <t>ENAGAS</t>
  </si>
  <si>
    <t>ES0130960018</t>
  </si>
  <si>
    <t>213800OU3FQKGM4M2U23</t>
  </si>
  <si>
    <t>762448.72</t>
  </si>
  <si>
    <t>ENBRI</t>
  </si>
  <si>
    <t>ENBRIDGE INCORPORATED</t>
  </si>
  <si>
    <t>CA29250N1050</t>
  </si>
  <si>
    <t>98TPTUM4IVMFCZBCUR27</t>
  </si>
  <si>
    <t>66231825.248299</t>
  </si>
  <si>
    <t>115007.48</t>
  </si>
  <si>
    <t>ENBWG</t>
  </si>
  <si>
    <t>ENBW</t>
  </si>
  <si>
    <t>DE0005220008</t>
  </si>
  <si>
    <t>529900JSFZ4TS59HKD79</t>
  </si>
  <si>
    <t>42040796.490837</t>
  </si>
  <si>
    <t>38525.6</t>
  </si>
  <si>
    <t>5ECEG</t>
  </si>
  <si>
    <t>ENCE</t>
  </si>
  <si>
    <t>ES0130625512</t>
  </si>
  <si>
    <t>95980020140005309084</t>
  </si>
  <si>
    <t>972436.846617</t>
  </si>
  <si>
    <t>1266.45</t>
  </si>
  <si>
    <t>ENCGG</t>
  </si>
  <si>
    <t>ENEA</t>
  </si>
  <si>
    <t>PLENEA000013</t>
  </si>
  <si>
    <t>2594003JTXPYO8NOG018</t>
  </si>
  <si>
    <t>14423900.251037</t>
  </si>
  <si>
    <t>5592.8</t>
  </si>
  <si>
    <t>ENEL</t>
  </si>
  <si>
    <t>IT0003128367</t>
  </si>
  <si>
    <t>WOCMU6HCI0OJWNPRZS33</t>
  </si>
  <si>
    <t>120685932.643396</t>
  </si>
  <si>
    <t>1CIAG</t>
  </si>
  <si>
    <t>ENERGISA</t>
  </si>
  <si>
    <t>BRENGIACNOR0</t>
  </si>
  <si>
    <t>4142111.18</t>
  </si>
  <si>
    <t>9130.07</t>
  </si>
  <si>
    <t>ENGIX</t>
  </si>
  <si>
    <t>ENERGIX</t>
  </si>
  <si>
    <t>IL0011233553</t>
  </si>
  <si>
    <t>155894.891246</t>
  </si>
  <si>
    <t>2238.87</t>
  </si>
  <si>
    <t>TRASF</t>
  </si>
  <si>
    <t>ENERGY TRANSFER</t>
  </si>
  <si>
    <t>US29273V1008</t>
  </si>
  <si>
    <t>MTLVN9N7JE8MIBIJ1H73</t>
  </si>
  <si>
    <t>29593228.436559</t>
  </si>
  <si>
    <t>102980.89</t>
  </si>
  <si>
    <t>PARNA</t>
  </si>
  <si>
    <t>ENEVA</t>
  </si>
  <si>
    <t>BRENEVACNOR8</t>
  </si>
  <si>
    <t>549300T1AP7HKCABII19</t>
  </si>
  <si>
    <t>2709612.57</t>
  </si>
  <si>
    <t>3374893.347619</t>
  </si>
  <si>
    <t>6548.01</t>
  </si>
  <si>
    <t>ENGIE</t>
  </si>
  <si>
    <t>FR0010208488</t>
  </si>
  <si>
    <t>LAXUQCHT4FH58LRZDY46</t>
  </si>
  <si>
    <t>129904697.152259</t>
  </si>
  <si>
    <t>ENNIG</t>
  </si>
  <si>
    <t>ENN GROUP</t>
  </si>
  <si>
    <t>KYG3066L1014</t>
  </si>
  <si>
    <t>549300V7BXPWT6WIPR03</t>
  </si>
  <si>
    <t>54645067.368533</t>
  </si>
  <si>
    <t>9520.87</t>
  </si>
  <si>
    <t>5TI1G</t>
  </si>
  <si>
    <t>ENTEL</t>
  </si>
  <si>
    <t>CLP371151059</t>
  </si>
  <si>
    <t>529900N4SUIP0URJT330</t>
  </si>
  <si>
    <t>4392.95</t>
  </si>
  <si>
    <t>EQTAG</t>
  </si>
  <si>
    <t>EQT AB</t>
  </si>
  <si>
    <t>US26884L1098</t>
  </si>
  <si>
    <t>4NT01YGM4X7ZX86ISY52</t>
  </si>
  <si>
    <t>40750488.174067</t>
  </si>
  <si>
    <t>32439.33</t>
  </si>
  <si>
    <t>0Q00G</t>
  </si>
  <si>
    <t>EQUATORIAL</t>
  </si>
  <si>
    <t>BREQTLACNOR0</t>
  </si>
  <si>
    <t>814276.350838</t>
  </si>
  <si>
    <t>13376.25</t>
  </si>
  <si>
    <t>728QK</t>
  </si>
  <si>
    <t>EQUINIX</t>
  </si>
  <si>
    <t>US29444U7000</t>
  </si>
  <si>
    <t>549300EVUN2BTLJ3GT74</t>
  </si>
  <si>
    <t>1194232.345913</t>
  </si>
  <si>
    <t>31294.1</t>
  </si>
  <si>
    <t>ERAMG</t>
  </si>
  <si>
    <t>ERAMET</t>
  </si>
  <si>
    <t>FR0000131757</t>
  </si>
  <si>
    <t>549300LUH78PG2MP6N64</t>
  </si>
  <si>
    <t>14998493.962398</t>
  </si>
  <si>
    <t>ERGKG</t>
  </si>
  <si>
    <t>ERG</t>
  </si>
  <si>
    <t>IT0001157020</t>
  </si>
  <si>
    <t>8156004604684CA44A90</t>
  </si>
  <si>
    <t>5318.74</t>
  </si>
  <si>
    <t>5ERIG</t>
  </si>
  <si>
    <t>ERICSSON</t>
  </si>
  <si>
    <t>SE0000108656</t>
  </si>
  <si>
    <t>549300W9JLPW15XIFM52</t>
  </si>
  <si>
    <t>37304748.710734</t>
  </si>
  <si>
    <t>12088.61</t>
  </si>
  <si>
    <t>ESSILORLUXOTTICA</t>
  </si>
  <si>
    <t>FR0000121667</t>
  </si>
  <si>
    <t>549300M3VH1A3ER1TB49</t>
  </si>
  <si>
    <t>ETXXG</t>
  </si>
  <si>
    <t>ETEX</t>
  </si>
  <si>
    <t>BE0941244536</t>
  </si>
  <si>
    <t>549300QEP36CTLK2U748</t>
  </si>
  <si>
    <t>201263.32</t>
  </si>
  <si>
    <t>2595945.269046</t>
  </si>
  <si>
    <t>3556.69</t>
  </si>
  <si>
    <t>ACIKK</t>
  </si>
  <si>
    <t>EURNEKIAN</t>
  </si>
  <si>
    <t>US0044981019</t>
  </si>
  <si>
    <t>5493003BPVMZUJ6F5C02</t>
  </si>
  <si>
    <t>663.45</t>
  </si>
  <si>
    <t>8181.1</t>
  </si>
  <si>
    <t>63975.475374</t>
  </si>
  <si>
    <t>2305.43</t>
  </si>
  <si>
    <t>EUROFINS</t>
  </si>
  <si>
    <t>FR0014000MR3</t>
  </si>
  <si>
    <t>529900JEHFM47DYY3S57</t>
  </si>
  <si>
    <t>1192622.084984</t>
  </si>
  <si>
    <t>ETSTG</t>
  </si>
  <si>
    <t>EUTELSAT</t>
  </si>
  <si>
    <t>FR0010221234</t>
  </si>
  <si>
    <t>549300EFWH9UR17YSK05</t>
  </si>
  <si>
    <t>396996.29</t>
  </si>
  <si>
    <t>7323.2</t>
  </si>
  <si>
    <t>5EVER</t>
  </si>
  <si>
    <t>EVERSOURCE ENERGY</t>
  </si>
  <si>
    <t>US30040W1080</t>
  </si>
  <si>
    <t>SJ7XXD41SQU3ZNWUJ746</t>
  </si>
  <si>
    <t>28856120.464819</t>
  </si>
  <si>
    <t>42767.8</t>
  </si>
  <si>
    <t>0BD0G</t>
  </si>
  <si>
    <t>EVONIK</t>
  </si>
  <si>
    <t>DE000EVNK013</t>
  </si>
  <si>
    <t>41GUOJQTALQHLF39XJ34</t>
  </si>
  <si>
    <t>27013022.563407</t>
  </si>
  <si>
    <t>EXELG</t>
  </si>
  <si>
    <t>EXELON</t>
  </si>
  <si>
    <t>US30161N1019</t>
  </si>
  <si>
    <t>3SOUA6IRML7435B56G12</t>
  </si>
  <si>
    <t>71058.28</t>
  </si>
  <si>
    <t>EXINC</t>
  </si>
  <si>
    <t>EXPEDIA GROUP INC</t>
  </si>
  <si>
    <t>US30212P3038</t>
  </si>
  <si>
    <t>9040.86</t>
  </si>
  <si>
    <t>14Y0G</t>
  </si>
  <si>
    <t>EXPERIAN GROUP, GR</t>
  </si>
  <si>
    <t>GB00B19NLV48</t>
  </si>
  <si>
    <t>635400RXXHHYT1JTSZ26</t>
  </si>
  <si>
    <t>247312.856177</t>
  </si>
  <si>
    <t>8728.04</t>
  </si>
  <si>
    <t>FALAG</t>
  </si>
  <si>
    <t>FALABELLA</t>
  </si>
  <si>
    <t>CLP3880F1085</t>
  </si>
  <si>
    <t>5493004CKJQ7H391LM41</t>
  </si>
  <si>
    <t>8597563.028315</t>
  </si>
  <si>
    <t>14400.52</t>
  </si>
  <si>
    <t>FEDEX GROUP</t>
  </si>
  <si>
    <t>US31428X1063</t>
  </si>
  <si>
    <t>549300E707U7WNPZN687</t>
  </si>
  <si>
    <t>22445746.535522</t>
  </si>
  <si>
    <t>GFEMG</t>
  </si>
  <si>
    <t>FEMSA - PANAMCO</t>
  </si>
  <si>
    <t>MXP320321310</t>
  </si>
  <si>
    <t>549300A8MDWDJNMLV153</t>
  </si>
  <si>
    <t>29573.48</t>
  </si>
  <si>
    <t>RRFEG</t>
  </si>
  <si>
    <t>FERRARI</t>
  </si>
  <si>
    <t>NL0011585146</t>
  </si>
  <si>
    <t>549300RIVY5EX8RCON76</t>
  </si>
  <si>
    <t>947365.302204</t>
  </si>
  <si>
    <t>6895.13</t>
  </si>
  <si>
    <t>FEYRG</t>
  </si>
  <si>
    <t>FERREYCORP</t>
  </si>
  <si>
    <t>PEP736001004</t>
  </si>
  <si>
    <t>529900LVRQMD6PSRZA32</t>
  </si>
  <si>
    <t>1664723.005115</t>
  </si>
  <si>
    <t>1365.31</t>
  </si>
  <si>
    <t>FERROVIAL</t>
  </si>
  <si>
    <t>NL0015001FS8</t>
  </si>
  <si>
    <t>72450022R2ZFL41Y6I04</t>
  </si>
  <si>
    <t>5703161.181019</t>
  </si>
  <si>
    <t>FKAYK</t>
  </si>
  <si>
    <t>FERROVIE DELLO STATO</t>
  </si>
  <si>
    <t>549300J4SXC5ALCJM731</t>
  </si>
  <si>
    <t>7388024.96</t>
  </si>
  <si>
    <t>FINET</t>
  </si>
  <si>
    <t>FIBERHOME TELECOMMUNICATION TECHNOLOGIES CO., LTD.</t>
  </si>
  <si>
    <t>CNE0000018P2</t>
  </si>
  <si>
    <t>18017316.181821</t>
  </si>
  <si>
    <t>3421.68</t>
  </si>
  <si>
    <t>FDNHG</t>
  </si>
  <si>
    <t>FIBRA DANHOS</t>
  </si>
  <si>
    <t>MXCFDA020005</t>
  </si>
  <si>
    <t>118080.720483</t>
  </si>
  <si>
    <t>3395.08</t>
  </si>
  <si>
    <t>FBDCG</t>
  </si>
  <si>
    <t>FIBRA EDUCA</t>
  </si>
  <si>
    <t>MXCFED090004</t>
  </si>
  <si>
    <t>1890.29</t>
  </si>
  <si>
    <t>FIMAG</t>
  </si>
  <si>
    <t>FIBRA MACQUARIE</t>
  </si>
  <si>
    <t>3102.73</t>
  </si>
  <si>
    <t>GRUPG</t>
  </si>
  <si>
    <t>FIBRA UNO</t>
  </si>
  <si>
    <t>MXCFFU000001</t>
  </si>
  <si>
    <t>37105.1</t>
  </si>
  <si>
    <t>15614.65</t>
  </si>
  <si>
    <t>FNTRG</t>
  </si>
  <si>
    <t>FINNING INTERNATIONAL</t>
  </si>
  <si>
    <t>CA3180714048</t>
  </si>
  <si>
    <t>549300QLDCP11KB6XW55</t>
  </si>
  <si>
    <t>3572676.231875</t>
  </si>
  <si>
    <t>3493.71</t>
  </si>
  <si>
    <t>5FXTK</t>
  </si>
  <si>
    <t>FLEX LTD</t>
  </si>
  <si>
    <t>SG9999000020</t>
  </si>
  <si>
    <t>549300EAQH74YHD07T53</t>
  </si>
  <si>
    <t>72735581.263974</t>
  </si>
  <si>
    <t>8867.61</t>
  </si>
  <si>
    <t>FLSMG</t>
  </si>
  <si>
    <t>FLSMIDTH</t>
  </si>
  <si>
    <t>DK0010234467</t>
  </si>
  <si>
    <t>213800MXXDGQ3ITPXI41</t>
  </si>
  <si>
    <t>117967943.55819</t>
  </si>
  <si>
    <t>1817.4</t>
  </si>
  <si>
    <t>FLZAG</t>
  </si>
  <si>
    <t>FLUGHAFEN ZURICH AG</t>
  </si>
  <si>
    <t>CH0319416936</t>
  </si>
  <si>
    <t>529900PFO97GCN5SYB55</t>
  </si>
  <si>
    <t>350767.675135</t>
  </si>
  <si>
    <t>4725.98</t>
  </si>
  <si>
    <t>KLKGG</t>
  </si>
  <si>
    <t>FLUTTER</t>
  </si>
  <si>
    <t>IE00BWT6H894</t>
  </si>
  <si>
    <t>635400EG4YIJLJMZJ782</t>
  </si>
  <si>
    <t>FLXXG</t>
  </si>
  <si>
    <t>FLUXYS</t>
  </si>
  <si>
    <t>BE0974265945</t>
  </si>
  <si>
    <t>52990071WX2UW1WNHC16</t>
  </si>
  <si>
    <t>231915.748469</t>
  </si>
  <si>
    <t>3841.02</t>
  </si>
  <si>
    <t>FMC1K</t>
  </si>
  <si>
    <t>FMC CORPORATION</t>
  </si>
  <si>
    <t>US3024913036</t>
  </si>
  <si>
    <t>CKDHZ2X64EEBQCSP7013</t>
  </si>
  <si>
    <t>3819779.122138</t>
  </si>
  <si>
    <t>7704.61</t>
  </si>
  <si>
    <t>FRUMG</t>
  </si>
  <si>
    <t>FORTUM</t>
  </si>
  <si>
    <t>FI0009007132</t>
  </si>
  <si>
    <t>635400IUIZZIUJSAMF76</t>
  </si>
  <si>
    <t>12165033.168853</t>
  </si>
  <si>
    <t>FORVIA</t>
  </si>
  <si>
    <t>FR0000121147</t>
  </si>
  <si>
    <t>969500F0VMZLK2IULV85</t>
  </si>
  <si>
    <t>35626212.692625</t>
  </si>
  <si>
    <t>3FRAP</t>
  </si>
  <si>
    <t>FRAPORT</t>
  </si>
  <si>
    <t>DE0005773303</t>
  </si>
  <si>
    <t>5299001ERX0K10IZUL40</t>
  </si>
  <si>
    <t>1314817.247885</t>
  </si>
  <si>
    <t>17654.6</t>
  </si>
  <si>
    <t>FRESENIUS, GR</t>
  </si>
  <si>
    <t>DE0005785604</t>
  </si>
  <si>
    <t>XDFJ0CYCOO1FXRFTQS51</t>
  </si>
  <si>
    <t>5052163.657764</t>
  </si>
  <si>
    <t>GAFIS</t>
  </si>
  <si>
    <t>GAFISA</t>
  </si>
  <si>
    <t>BRGFSAACNOR3</t>
  </si>
  <si>
    <t>161543.611673</t>
  </si>
  <si>
    <t>596.75</t>
  </si>
  <si>
    <t>GATRG</t>
  </si>
  <si>
    <t>GALLIFORD TRY</t>
  </si>
  <si>
    <t>GB00BKY40Q38</t>
  </si>
  <si>
    <t>213800MR6DRHCJIV8113</t>
  </si>
  <si>
    <t>211.49</t>
  </si>
  <si>
    <t>GGLHG</t>
  </si>
  <si>
    <t>GANFENG LITHIUM</t>
  </si>
  <si>
    <t>CNE100000SF6</t>
  </si>
  <si>
    <t>3003006BE6UOHWEOOR42</t>
  </si>
  <si>
    <t>9860373.835499</t>
  </si>
  <si>
    <t>10994.07</t>
  </si>
  <si>
    <t>GECIN</t>
  </si>
  <si>
    <t>GECINA</t>
  </si>
  <si>
    <t>FR0010040865</t>
  </si>
  <si>
    <t>9695003E4MMA10IBTR26</t>
  </si>
  <si>
    <t>58873.541331</t>
  </si>
  <si>
    <t>17392.69</t>
  </si>
  <si>
    <t>GRDMG</t>
  </si>
  <si>
    <t>GENERAL DYNAMICS</t>
  </si>
  <si>
    <t>US3695501086</t>
  </si>
  <si>
    <t>9C1X8XOOTYY2FNYTVH06</t>
  </si>
  <si>
    <t>113155605.557284</t>
  </si>
  <si>
    <t>31511.62</t>
  </si>
  <si>
    <t>GENERAL ELECTRIC</t>
  </si>
  <si>
    <t>US3696043013</t>
  </si>
  <si>
    <t>3C7474T6CDKPR9K6YT90</t>
  </si>
  <si>
    <t>241560902.914838</t>
  </si>
  <si>
    <t>GENOG</t>
  </si>
  <si>
    <t>GENOMMA LAB INTERNACIONAL</t>
  </si>
  <si>
    <t>MX01LA010006</t>
  </si>
  <si>
    <t>50336.560505</t>
  </si>
  <si>
    <t>805.99</t>
  </si>
  <si>
    <t>GNPTG</t>
  </si>
  <si>
    <t>GENUINE PARTS COMPANY GR</t>
  </si>
  <si>
    <t>US3724601055</t>
  </si>
  <si>
    <t>549300D46DQVEU651W04</t>
  </si>
  <si>
    <t>7980745.044884</t>
  </si>
  <si>
    <t>10046.55</t>
  </si>
  <si>
    <t>GERDG</t>
  </si>
  <si>
    <t>GERDAU</t>
  </si>
  <si>
    <t>BRGGBRACNPR8</t>
  </si>
  <si>
    <t>254900YDV6SEQQPZVG24</t>
  </si>
  <si>
    <t>10085047.778042</t>
  </si>
  <si>
    <t>11371.67</t>
  </si>
  <si>
    <t>J799G</t>
  </si>
  <si>
    <t>GETLINK S.E., GR</t>
  </si>
  <si>
    <t>FR0010533075</t>
  </si>
  <si>
    <t>9695007ZEQ7M0OE74G82</t>
  </si>
  <si>
    <t>GLAXOSMITHKLINE PLC</t>
  </si>
  <si>
    <t>GB00BN7SWP63</t>
  </si>
  <si>
    <t>5493000HZTVUYLO1D793</t>
  </si>
  <si>
    <t>8786628.204029</t>
  </si>
  <si>
    <t>GLENG</t>
  </si>
  <si>
    <t>GLENCORE</t>
  </si>
  <si>
    <t>JE00B4T3BW64</t>
  </si>
  <si>
    <t>2138002658CPO9NBH955</t>
  </si>
  <si>
    <t>1757565556.50045</t>
  </si>
  <si>
    <t>71809.04</t>
  </si>
  <si>
    <t>GOBYG</t>
  </si>
  <si>
    <t>GLOBANT</t>
  </si>
  <si>
    <t>LU0974299876</t>
  </si>
  <si>
    <t>2221008DCMSPYS42DS88</t>
  </si>
  <si>
    <t>20316.667866</t>
  </si>
  <si>
    <t>2351.9</t>
  </si>
  <si>
    <t>GGOLG</t>
  </si>
  <si>
    <t>GOL</t>
  </si>
  <si>
    <t>BRGOLLACNPR4</t>
  </si>
  <si>
    <t>5299002CCNWVL0PVLP96</t>
  </si>
  <si>
    <t>825159.552723</t>
  </si>
  <si>
    <t>5581.73</t>
  </si>
  <si>
    <t>GOLTG</t>
  </si>
  <si>
    <t>GOLDEN ENTERTAINMENT</t>
  </si>
  <si>
    <t>US3810131017</t>
  </si>
  <si>
    <t>549300P8YYCKQVJ0Y638</t>
  </si>
  <si>
    <t>41982.19</t>
  </si>
  <si>
    <t>162060.706788</t>
  </si>
  <si>
    <t>941.59</t>
  </si>
  <si>
    <t>XGSTG</t>
  </si>
  <si>
    <t>GOLDWIND SCIENCE &amp; TECHNOLOGY CO LTD</t>
  </si>
  <si>
    <t>CNE1000008S5</t>
  </si>
  <si>
    <t>529900UCUDMIZJ2ZJJ84</t>
  </si>
  <si>
    <t>6716509.791487</t>
  </si>
  <si>
    <t>10875.53</t>
  </si>
  <si>
    <t>GPAYG</t>
  </si>
  <si>
    <t>GPA</t>
  </si>
  <si>
    <t>BRPCARACNOR3</t>
  </si>
  <si>
    <t>5299003V5B6KLICZCC14</t>
  </si>
  <si>
    <t>3056301.713897</t>
  </si>
  <si>
    <t>1783.6</t>
  </si>
  <si>
    <t>GPEGG</t>
  </si>
  <si>
    <t>GREAT PORTLAND ESTATES GROUP</t>
  </si>
  <si>
    <t>GB00BF5H9P87</t>
  </si>
  <si>
    <t>213800JMEDD2Q4N1MC42</t>
  </si>
  <si>
    <t>2892.07</t>
  </si>
  <si>
    <t>0R0RG</t>
  </si>
  <si>
    <t>GREAT WALL MOTOR</t>
  </si>
  <si>
    <t>CNE100000338</t>
  </si>
  <si>
    <t>254900CR8AHWTMFZHH60</t>
  </si>
  <si>
    <t>37134488.934732</t>
  </si>
  <si>
    <t>13299.67</t>
  </si>
  <si>
    <t>GREEG</t>
  </si>
  <si>
    <t>GREE</t>
  </si>
  <si>
    <t>JP3274070006</t>
  </si>
  <si>
    <t>5299003NKP8638R7J253</t>
  </si>
  <si>
    <t>34561.942708</t>
  </si>
  <si>
    <t>688.32</t>
  </si>
  <si>
    <t>GRIFOLS</t>
  </si>
  <si>
    <t>ES0171996087</t>
  </si>
  <si>
    <t>959800HSSNXWRKBK4N60</t>
  </si>
  <si>
    <t>1028432.97</t>
  </si>
  <si>
    <t>GROUPE LACTALIS</t>
  </si>
  <si>
    <t>GRUMG</t>
  </si>
  <si>
    <t>GRUMA</t>
  </si>
  <si>
    <t>MXP4948K1056</t>
  </si>
  <si>
    <t>5493000XJLJ6C4T0PG82</t>
  </si>
  <si>
    <t>6048365.570331</t>
  </si>
  <si>
    <t>3481.25</t>
  </si>
  <si>
    <t>AZOYG</t>
  </si>
  <si>
    <t>GRUPA AZOTY</t>
  </si>
  <si>
    <t>PLZATRM00012</t>
  </si>
  <si>
    <t>259400Z9C99U5B36R274</t>
  </si>
  <si>
    <t>4.317</t>
  </si>
  <si>
    <t>1.22</t>
  </si>
  <si>
    <t>7481727.393704</t>
  </si>
  <si>
    <t>3817.88</t>
  </si>
  <si>
    <t>GRUPO ADECCO, GR</t>
  </si>
  <si>
    <t>CH0012138605</t>
  </si>
  <si>
    <t>NI14Y5UMU60O7JE9P611</t>
  </si>
  <si>
    <t>2908801.763976</t>
  </si>
  <si>
    <t>GANWG</t>
  </si>
  <si>
    <t>GRUPO ANGLIAN WATER</t>
  </si>
  <si>
    <t>331542.48</t>
  </si>
  <si>
    <t>13445.46</t>
  </si>
  <si>
    <t>CEMEG</t>
  </si>
  <si>
    <t>GRUPO ARGOS</t>
  </si>
  <si>
    <t>COT09PA00035</t>
  </si>
  <si>
    <t>254900HANAO95XIAE681</t>
  </si>
  <si>
    <t>1060506.58</t>
  </si>
  <si>
    <t>8372370.603602</t>
  </si>
  <si>
    <t>9645.33</t>
  </si>
  <si>
    <t>ASSAI</t>
  </si>
  <si>
    <t>GRUPO ASSAI</t>
  </si>
  <si>
    <t>BRASAIACNOR0</t>
  </si>
  <si>
    <t>4532627.750114</t>
  </si>
  <si>
    <t>4895.25</t>
  </si>
  <si>
    <t>GRCAG</t>
  </si>
  <si>
    <t>GRUPO CARSO</t>
  </si>
  <si>
    <t>MXP461181085</t>
  </si>
  <si>
    <t>10029.24</t>
  </si>
  <si>
    <t>EURCK</t>
  </si>
  <si>
    <t>GRUPO EUROCASH</t>
  </si>
  <si>
    <t>PLEURCH00011</t>
  </si>
  <si>
    <t>259400FVIQJS5VD8JO79</t>
  </si>
  <si>
    <t>3631603.995261</t>
  </si>
  <si>
    <t>842.55</t>
  </si>
  <si>
    <t>1BJLP</t>
  </si>
  <si>
    <t>GRUPO FINANCIERO BANBAJIO</t>
  </si>
  <si>
    <t>MX41BB000000</t>
  </si>
  <si>
    <t>4469000001BD95FFLY16</t>
  </si>
  <si>
    <t>19869.609898</t>
  </si>
  <si>
    <t>5032.96</t>
  </si>
  <si>
    <t>FICAG</t>
  </si>
  <si>
    <t>GRUPO FINCANTIERI</t>
  </si>
  <si>
    <t>IT0005599938</t>
  </si>
  <si>
    <t>8156005BDF49128B6239</t>
  </si>
  <si>
    <t>3671.95</t>
  </si>
  <si>
    <t>GGEOG</t>
  </si>
  <si>
    <t>GRUPO GEO</t>
  </si>
  <si>
    <t>US36162J1060</t>
  </si>
  <si>
    <t>54930024XOXET7NQVZ63</t>
  </si>
  <si>
    <t>330981.605196</t>
  </si>
  <si>
    <t>3027.49</t>
  </si>
  <si>
    <t>GRGIG</t>
  </si>
  <si>
    <t>GRUPO GIGANTE</t>
  </si>
  <si>
    <t>MXP370791214</t>
  </si>
  <si>
    <t>4469000001BRKQF2MF33</t>
  </si>
  <si>
    <t>587926.565106</t>
  </si>
  <si>
    <t>2035.39</t>
  </si>
  <si>
    <t>HERDK</t>
  </si>
  <si>
    <t>GRUPO HERDEZ</t>
  </si>
  <si>
    <t>MX01HE010008</t>
  </si>
  <si>
    <t>4469000001BQVIMOLQ55</t>
  </si>
  <si>
    <t>1420181.346677</t>
  </si>
  <si>
    <t>1328.92</t>
  </si>
  <si>
    <t>GPICH</t>
  </si>
  <si>
    <t>GRUPO ICH</t>
  </si>
  <si>
    <t>MXP524131127</t>
  </si>
  <si>
    <t>529900SVERL8O0Z3WG95</t>
  </si>
  <si>
    <t>1434412.194532</t>
  </si>
  <si>
    <t>3283.69</t>
  </si>
  <si>
    <t>MEDZK</t>
  </si>
  <si>
    <t>GRUPO KGHM POLSKA MIEDZ</t>
  </si>
  <si>
    <t>PLKGHM000017</t>
  </si>
  <si>
    <t>G30CO71KTT9JDYJESN22</t>
  </si>
  <si>
    <t>1646572.924309</t>
  </si>
  <si>
    <t>8758.26</t>
  </si>
  <si>
    <t>GLALG</t>
  </si>
  <si>
    <t>GRUPO LALA</t>
  </si>
  <si>
    <t>MX01LA040003</t>
  </si>
  <si>
    <t>4469000001BR12ARD937</t>
  </si>
  <si>
    <t>3553140.653459</t>
  </si>
  <si>
    <t>1837.79</t>
  </si>
  <si>
    <t>SLMIG</t>
  </si>
  <si>
    <t>GRUPO MELIA HOTELS INTERNATIONAL</t>
  </si>
  <si>
    <t>ES0176252718</t>
  </si>
  <si>
    <t>959800JRKSZ6YZD4EL80</t>
  </si>
  <si>
    <t>3490.64</t>
  </si>
  <si>
    <t>MXCOG</t>
  </si>
  <si>
    <t>GRUPO MEXICO</t>
  </si>
  <si>
    <t>MXP370841019</t>
  </si>
  <si>
    <t>529900JWLZAYET2ZGW20</t>
  </si>
  <si>
    <t>10139914.195749</t>
  </si>
  <si>
    <t>31082.16</t>
  </si>
  <si>
    <t>MEXIG</t>
  </si>
  <si>
    <t>GRUPO ORBIA</t>
  </si>
  <si>
    <t>MX01OR010004</t>
  </si>
  <si>
    <t>549300MVHZ20SBIOEQ79</t>
  </si>
  <si>
    <t>77733505.967167</t>
  </si>
  <si>
    <t>8139.95</t>
  </si>
  <si>
    <t>GRUPO PRISA</t>
  </si>
  <si>
    <t>ES0171743901</t>
  </si>
  <si>
    <t>4088.61</t>
  </si>
  <si>
    <t>6394.31</t>
  </si>
  <si>
    <t>97065.54</t>
  </si>
  <si>
    <t>PROZK</t>
  </si>
  <si>
    <t>GRUPO PROEZA (METALSA)</t>
  </si>
  <si>
    <t>81165.013</t>
  </si>
  <si>
    <t>122388.138</t>
  </si>
  <si>
    <t>969.06</t>
  </si>
  <si>
    <t>GRUPO SAP AG</t>
  </si>
  <si>
    <t>DE0007164600</t>
  </si>
  <si>
    <t>529900D6BF99LW9R2E68</t>
  </si>
  <si>
    <t>11080636.858873</t>
  </si>
  <si>
    <t>6TMEK</t>
  </si>
  <si>
    <t>GVC HOLDINGS PLC</t>
  </si>
  <si>
    <t>IM00B5VQMV65</t>
  </si>
  <si>
    <t>213800GNI3K45LQR8L28</t>
  </si>
  <si>
    <t>394457.130812</t>
  </si>
  <si>
    <t>7228.32</t>
  </si>
  <si>
    <t>HAIER</t>
  </si>
  <si>
    <t>CNE000000CG9</t>
  </si>
  <si>
    <t>3003002BYTNGNJTWSH07</t>
  </si>
  <si>
    <t>1460671.08</t>
  </si>
  <si>
    <t>114779576.667472</t>
  </si>
  <si>
    <t>HA0EG</t>
  </si>
  <si>
    <t>HALEON PLC</t>
  </si>
  <si>
    <t>GB00BMX86B70</t>
  </si>
  <si>
    <t>549300PSB3WWEODCUP19</t>
  </si>
  <si>
    <t>2260344.165146</t>
  </si>
  <si>
    <t>31966.56</t>
  </si>
  <si>
    <t>HLFDG</t>
  </si>
  <si>
    <t>HALFORDS</t>
  </si>
  <si>
    <t>GB00B012TP20</t>
  </si>
  <si>
    <t>54930086FKBWWJIOBI79</t>
  </si>
  <si>
    <t>789165.145406</t>
  </si>
  <si>
    <t>1063.98</t>
  </si>
  <si>
    <t>HALLG</t>
  </si>
  <si>
    <t>HALLIBURTON</t>
  </si>
  <si>
    <t>US4062161017</t>
  </si>
  <si>
    <t>ENYF8GB5SMQZ25S06U51</t>
  </si>
  <si>
    <t>4315646.990578</t>
  </si>
  <si>
    <t>18595.7</t>
  </si>
  <si>
    <t>5HMHG</t>
  </si>
  <si>
    <t>HAMMERSON PLC, GR</t>
  </si>
  <si>
    <t>GB00BRJQ8J25</t>
  </si>
  <si>
    <t>213800G1C9KKVVDN1A60</t>
  </si>
  <si>
    <t>31103.323442</t>
  </si>
  <si>
    <t>4030.58</t>
  </si>
  <si>
    <t>H0NWT</t>
  </si>
  <si>
    <t>HANWHA CORPORATION</t>
  </si>
  <si>
    <t>KR7000880005</t>
  </si>
  <si>
    <t>988400JE9FIHQS7TX614</t>
  </si>
  <si>
    <t>28465696.665607</t>
  </si>
  <si>
    <t>55338.93</t>
  </si>
  <si>
    <t>HAPAG</t>
  </si>
  <si>
    <t>HAPAG-LLOYD AG, GR</t>
  </si>
  <si>
    <t>DE000HLAG475</t>
  </si>
  <si>
    <t>HD52L5PJVBXJUUX8I539</t>
  </si>
  <si>
    <t>12321716.652579</t>
  </si>
  <si>
    <t>27331.5</t>
  </si>
  <si>
    <t>HPPKG</t>
  </si>
  <si>
    <t>HEALTHPEAK PROPERTIES</t>
  </si>
  <si>
    <t>US42250P1030</t>
  </si>
  <si>
    <t>PZ9HF5U52KPF0MH0QN75</t>
  </si>
  <si>
    <t>152706.283948</t>
  </si>
  <si>
    <t>17403.04</t>
  </si>
  <si>
    <t>HEINEKEN</t>
  </si>
  <si>
    <t>NL0000009165</t>
  </si>
  <si>
    <t>724500K5PTPSST86UQ23</t>
  </si>
  <si>
    <t>14812818.872209</t>
  </si>
  <si>
    <t>HEOEG</t>
  </si>
  <si>
    <t>HENGTONG OPTIC-ELECTRIC</t>
  </si>
  <si>
    <t>CNE000001FQ9</t>
  </si>
  <si>
    <t>655600VKTXMT2WKBE151</t>
  </si>
  <si>
    <t>148525.39</t>
  </si>
  <si>
    <t>328989.76</t>
  </si>
  <si>
    <t>19165429.229573</t>
  </si>
  <si>
    <t>6112.9</t>
  </si>
  <si>
    <t>HENKEL</t>
  </si>
  <si>
    <t>DE0006048432</t>
  </si>
  <si>
    <t>549300VZCL1HTH4O4Y49</t>
  </si>
  <si>
    <t>39095087.390283</t>
  </si>
  <si>
    <t>HERSG</t>
  </si>
  <si>
    <t>HERA</t>
  </si>
  <si>
    <t>IT0001250932</t>
  </si>
  <si>
    <t>8156009414FD99443B48</t>
  </si>
  <si>
    <t>13465653.66599</t>
  </si>
  <si>
    <t>9156.5</t>
  </si>
  <si>
    <t>HERMG</t>
  </si>
  <si>
    <t>HERMES INTERNATIONAL, GR</t>
  </si>
  <si>
    <t>FR0000052292</t>
  </si>
  <si>
    <t>969500Y4IJGHJE2MTJ13</t>
  </si>
  <si>
    <t>HEWLETT PACKARD ENTERPRISE CO.</t>
  </si>
  <si>
    <t>US42824C1099</t>
  </si>
  <si>
    <t>549300BX44RGX6ANDV88</t>
  </si>
  <si>
    <t>HITACHI LTD</t>
  </si>
  <si>
    <t>549300T6IPOCDWLKC615</t>
  </si>
  <si>
    <t>216033351.993351</t>
  </si>
  <si>
    <t>HOCHG</t>
  </si>
  <si>
    <t>HOCHSCHILD MINING</t>
  </si>
  <si>
    <t>GB00B1FW5029</t>
  </si>
  <si>
    <t>549300JK10TVQ3CCJQ89</t>
  </si>
  <si>
    <t>470884.136537</t>
  </si>
  <si>
    <t>968.92</t>
  </si>
  <si>
    <t>HOLCG</t>
  </si>
  <si>
    <t>HOLCIM</t>
  </si>
  <si>
    <t>CH0012214059</t>
  </si>
  <si>
    <t>529900EHPFPYHV6IQO98</t>
  </si>
  <si>
    <t>47742689.46</t>
  </si>
  <si>
    <t>44440.96</t>
  </si>
  <si>
    <t>FXCOG</t>
  </si>
  <si>
    <t>HON HAI PRECISION INDUSTRY</t>
  </si>
  <si>
    <t>TW0002317005</t>
  </si>
  <si>
    <t>30030004CM3GSZXX7O56</t>
  </si>
  <si>
    <t>533786337.333642</t>
  </si>
  <si>
    <t>82380.85</t>
  </si>
  <si>
    <t>HWIGG</t>
  </si>
  <si>
    <t>HONEYWELL</t>
  </si>
  <si>
    <t>US4385161066</t>
  </si>
  <si>
    <t>ISRPG12PN4EIEOEMW547</t>
  </si>
  <si>
    <t>121829322.574332</t>
  </si>
  <si>
    <t>49459.55</t>
  </si>
  <si>
    <t>HSAOG</t>
  </si>
  <si>
    <t>HORTIFRUT S A GR</t>
  </si>
  <si>
    <t>CL0002852730</t>
  </si>
  <si>
    <t>984500B14775C95DE604</t>
  </si>
  <si>
    <t>255529.103335</t>
  </si>
  <si>
    <t>1464.34</t>
  </si>
  <si>
    <t>HP INC</t>
  </si>
  <si>
    <t>US40434L1052</t>
  </si>
  <si>
    <t>WHKXQACZ14C5XRO8LW03</t>
  </si>
  <si>
    <t>HUAWG</t>
  </si>
  <si>
    <t>HUAWEI</t>
  </si>
  <si>
    <t>300300G4NLFHF8PDPY52</t>
  </si>
  <si>
    <t>105362.06</t>
  </si>
  <si>
    <t>HYTTG</t>
  </si>
  <si>
    <t>HYATT HOTELS CORPORATION GR</t>
  </si>
  <si>
    <t>US4485791028</t>
  </si>
  <si>
    <t>T27JQIMTYSH41TCD5186</t>
  </si>
  <si>
    <t>2299526.073577</t>
  </si>
  <si>
    <t>7591.32</t>
  </si>
  <si>
    <t>40215</t>
  </si>
  <si>
    <t>HYPERA</t>
  </si>
  <si>
    <t>19653.503947</t>
  </si>
  <si>
    <t>3377.21</t>
  </si>
  <si>
    <t>HYUNK</t>
  </si>
  <si>
    <t>HYUNDAI E&amp;C, GR</t>
  </si>
  <si>
    <t>8501.77</t>
  </si>
  <si>
    <t>IBERDROLA.</t>
  </si>
  <si>
    <t>ES0144580Y14</t>
  </si>
  <si>
    <t>5QK37QC7NWOJ8D7WVQ45</t>
  </si>
  <si>
    <t>50278336.989153</t>
  </si>
  <si>
    <t>IBMHG</t>
  </si>
  <si>
    <t>IBM</t>
  </si>
  <si>
    <t>US4592001014</t>
  </si>
  <si>
    <t>VGRQXHF3J8VDLUA7XE92</t>
  </si>
  <si>
    <t>1873022.379891</t>
  </si>
  <si>
    <t>82572.79</t>
  </si>
  <si>
    <t>CNPLG</t>
  </si>
  <si>
    <t>ICON PLC</t>
  </si>
  <si>
    <t>IE0005711209</t>
  </si>
  <si>
    <t>6354008SRQGEMC4XFI67</t>
  </si>
  <si>
    <t>12633.94</t>
  </si>
  <si>
    <t>ILIAD</t>
  </si>
  <si>
    <t>FR0004035913</t>
  </si>
  <si>
    <t>9695009PXA7OI9NXN582</t>
  </si>
  <si>
    <t>IMCDG</t>
  </si>
  <si>
    <t>IMCD N.V.</t>
  </si>
  <si>
    <t>NL0010801007</t>
  </si>
  <si>
    <t>724500NSJPNFJPDAUP02</t>
  </si>
  <si>
    <t>2220215.79247</t>
  </si>
  <si>
    <t>4022.07</t>
  </si>
  <si>
    <t>IGY7L</t>
  </si>
  <si>
    <t>IMI PLC.</t>
  </si>
  <si>
    <t>GB00BGLP8L22</t>
  </si>
  <si>
    <t>2138002W9Q21PF751R30</t>
  </si>
  <si>
    <t>551220.744068</t>
  </si>
  <si>
    <t>2147.02</t>
  </si>
  <si>
    <t>IMPERIAL TOBACCO</t>
  </si>
  <si>
    <t>GB0004544929</t>
  </si>
  <si>
    <t>549300DFVPOB67JL3A42</t>
  </si>
  <si>
    <t>766273.198935</t>
  </si>
  <si>
    <t>INBEG</t>
  </si>
  <si>
    <t>INBEV</t>
  </si>
  <si>
    <t>BE0974293251</t>
  </si>
  <si>
    <t>5493008H3828EMEXB082</t>
  </si>
  <si>
    <t>154981.47</t>
  </si>
  <si>
    <t>HCAPE</t>
  </si>
  <si>
    <t>INCHCAPE</t>
  </si>
  <si>
    <t>GB00B61TVQ02</t>
  </si>
  <si>
    <t>213800RGEH1MPPNM2T57</t>
  </si>
  <si>
    <t>4940.1</t>
  </si>
  <si>
    <t>VINPT</t>
  </si>
  <si>
    <t>INDIGO</t>
  </si>
  <si>
    <t>213800H5J9NKEXSUQX44</t>
  </si>
  <si>
    <t>166489.52779</t>
  </si>
  <si>
    <t>4168.4</t>
  </si>
  <si>
    <t>GAORG</t>
  </si>
  <si>
    <t>INDITEX</t>
  </si>
  <si>
    <t>ES0148396007</t>
  </si>
  <si>
    <t>549300TTCXZOGZM2EY83</t>
  </si>
  <si>
    <t>INDORAMA VENTURES GROUP</t>
  </si>
  <si>
    <t>TH1027010004</t>
  </si>
  <si>
    <t>39794052.833215</t>
  </si>
  <si>
    <t>INDRA</t>
  </si>
  <si>
    <t>ES0118594417</t>
  </si>
  <si>
    <t>95980020140005308793</t>
  </si>
  <si>
    <t>SALTI</t>
  </si>
  <si>
    <t>INDUSTRIAL SALTILLO</t>
  </si>
  <si>
    <t>MX01GI000030</t>
  </si>
  <si>
    <t>254900T3XUOSAMHD8U05</t>
  </si>
  <si>
    <t>607975.166047</t>
  </si>
  <si>
    <t>835.13</t>
  </si>
  <si>
    <t>BCHOC</t>
  </si>
  <si>
    <t>INDUSTRIAS BACHOCO</t>
  </si>
  <si>
    <t>MX01BA1D0003</t>
  </si>
  <si>
    <t>254900CZQ27EMGKCHG63</t>
  </si>
  <si>
    <t>4941162.63237</t>
  </si>
  <si>
    <t>2738.98</t>
  </si>
  <si>
    <t>IPENG</t>
  </si>
  <si>
    <t>INDUSTRIAS PE?OLES</t>
  </si>
  <si>
    <t>MXP554091415</t>
  </si>
  <si>
    <t>549300WA2HB7776CB324</t>
  </si>
  <si>
    <t>6341587.19765</t>
  </si>
  <si>
    <t>8410.95</t>
  </si>
  <si>
    <t>JTKGG</t>
  </si>
  <si>
    <t>INEOS GROUP HOLDINGS</t>
  </si>
  <si>
    <t>2138006L223HJ6TEF586</t>
  </si>
  <si>
    <t>18977.3</t>
  </si>
  <si>
    <t>00E0G</t>
  </si>
  <si>
    <t>INFORMA</t>
  </si>
  <si>
    <t>GB00BMJ6DW54</t>
  </si>
  <si>
    <t>5493006VM2LKUPSEDU20</t>
  </si>
  <si>
    <t>13273.16</t>
  </si>
  <si>
    <t>5C15G</t>
  </si>
  <si>
    <t>INGRAM MICRO INC, GR</t>
  </si>
  <si>
    <t>549300KJMEWPKRQZHX63</t>
  </si>
  <si>
    <t>7267.33</t>
  </si>
  <si>
    <t>IGRDG</t>
  </si>
  <si>
    <t>INGREDION</t>
  </si>
  <si>
    <t>US4571871023</t>
  </si>
  <si>
    <t>PKSTQ48QDN0XSVS7YK88</t>
  </si>
  <si>
    <t>5645.12</t>
  </si>
  <si>
    <t>NNGXG</t>
  </si>
  <si>
    <t>INNERGEX RENEWABLE ENERGY</t>
  </si>
  <si>
    <t>CA45790B1040</t>
  </si>
  <si>
    <t>549300EORYEC4J59SU80</t>
  </si>
  <si>
    <t>243413.666614</t>
  </si>
  <si>
    <t>5606.26</t>
  </si>
  <si>
    <t>TINGG</t>
  </si>
  <si>
    <t>INPOST</t>
  </si>
  <si>
    <t>LU2290522684</t>
  </si>
  <si>
    <t>2221003M23QLERR89585</t>
  </si>
  <si>
    <t>2388.66</t>
  </si>
  <si>
    <t>IN9EL</t>
  </si>
  <si>
    <t>INTEL</t>
  </si>
  <si>
    <t>US4581401001</t>
  </si>
  <si>
    <t>KNX4USFCNGPY45LOCE31</t>
  </si>
  <si>
    <t>12899720.863948</t>
  </si>
  <si>
    <t>149899.42</t>
  </si>
  <si>
    <t>INCAR</t>
  </si>
  <si>
    <t>INTER CARS</t>
  </si>
  <si>
    <t>PLINTCS00010</t>
  </si>
  <si>
    <t>2594008ZF17JSW0OV865</t>
  </si>
  <si>
    <t>1411059.713591</t>
  </si>
  <si>
    <t>2063.14</t>
  </si>
  <si>
    <t>ICAGG</t>
  </si>
  <si>
    <t>INTERNATIONAL CONSOLIDATED AIRLINES GROUP</t>
  </si>
  <si>
    <t>ES0177542018</t>
  </si>
  <si>
    <t>959800TZHQRUSH1ESL13</t>
  </si>
  <si>
    <t>6526465.37</t>
  </si>
  <si>
    <t>IKMDK</t>
  </si>
  <si>
    <t>INTERNATIONAL FLAVORS AND FRAGRANCES, GR</t>
  </si>
  <si>
    <t>US4595061015</t>
  </si>
  <si>
    <t>BZLRL03D3GPGMOGFO832</t>
  </si>
  <si>
    <t>9184960.458656</t>
  </si>
  <si>
    <t>22649.79</t>
  </si>
  <si>
    <t>IGTPG</t>
  </si>
  <si>
    <t>INTERNATIONAL GAME TECHNOLOGY PLC (IGT)</t>
  </si>
  <si>
    <t>7181.29</t>
  </si>
  <si>
    <t>IPAPG</t>
  </si>
  <si>
    <t>INTERNATIONAL PAPER COMPANY</t>
  </si>
  <si>
    <t>US4601461035</t>
  </si>
  <si>
    <t>824LMFJDH41EY779Q875</t>
  </si>
  <si>
    <t>30689266.204642</t>
  </si>
  <si>
    <t>13650.32</t>
  </si>
  <si>
    <t>MAXGR</t>
  </si>
  <si>
    <t>IOCHPE MAXION</t>
  </si>
  <si>
    <t>BRMYPKACNOR7</t>
  </si>
  <si>
    <t>2549005ZCUW2L5GKJI76</t>
  </si>
  <si>
    <t>3756975.440184</t>
  </si>
  <si>
    <t>1782.97</t>
  </si>
  <si>
    <t>13X0G</t>
  </si>
  <si>
    <t>IRACEMA SAO MARTINHO</t>
  </si>
  <si>
    <t>BRSMTOACNOR3</t>
  </si>
  <si>
    <t>549300R3Z74BNJBF4161</t>
  </si>
  <si>
    <t>925619.379333</t>
  </si>
  <si>
    <t>2549.37</t>
  </si>
  <si>
    <t>7AILP</t>
  </si>
  <si>
    <t>IRB BRASIL RE. (GR)</t>
  </si>
  <si>
    <t>BRIRBRACNOR4</t>
  </si>
  <si>
    <t>21380017DVWSU9AEU878</t>
  </si>
  <si>
    <t>4910.569956</t>
  </si>
  <si>
    <t>845.75</t>
  </si>
  <si>
    <t>0120G</t>
  </si>
  <si>
    <t>ISS</t>
  </si>
  <si>
    <t>DK0060542181</t>
  </si>
  <si>
    <t>213800LEZA58SZNCBN19</t>
  </si>
  <si>
    <t>1466551.436229</t>
  </si>
  <si>
    <t>4056.64</t>
  </si>
  <si>
    <t>IVECO</t>
  </si>
  <si>
    <t>NL0015000LU4</t>
  </si>
  <si>
    <t>549300ZWF2ZJDD9EOR96</t>
  </si>
  <si>
    <t>REGUP</t>
  </si>
  <si>
    <t>IWG PLC, GR</t>
  </si>
  <si>
    <t>JE00BYVQYS01</t>
  </si>
  <si>
    <t>2138003LWDII27UTAG52</t>
  </si>
  <si>
    <t>466897.109804</t>
  </si>
  <si>
    <t>6876.17</t>
  </si>
  <si>
    <t>FOU4K</t>
  </si>
  <si>
    <t>JAB HOLDING</t>
  </si>
  <si>
    <t>529900RRNKUM3INJGF98</t>
  </si>
  <si>
    <t>21428.457075</t>
  </si>
  <si>
    <t>40561.53</t>
  </si>
  <si>
    <t>JABIG</t>
  </si>
  <si>
    <t>JABIL INC</t>
  </si>
  <si>
    <t>US4663131039</t>
  </si>
  <si>
    <t>5493000CGCQY2OQU7669</t>
  </si>
  <si>
    <t>5147.5</t>
  </si>
  <si>
    <t>JNULG</t>
  </si>
  <si>
    <t>JAN DE NUL</t>
  </si>
  <si>
    <t>3914.25</t>
  </si>
  <si>
    <t>01018</t>
  </si>
  <si>
    <t>JBS</t>
  </si>
  <si>
    <t>BRJBSSACNOR8</t>
  </si>
  <si>
    <t>529900RM0MTMZL9O5050</t>
  </si>
  <si>
    <t>3455664.44</t>
  </si>
  <si>
    <t>1545135.43</t>
  </si>
  <si>
    <t>147610257.768648</t>
  </si>
  <si>
    <t>28829.08</t>
  </si>
  <si>
    <t>KO80G</t>
  </si>
  <si>
    <t>JD WETHERSPOON PLC GROUP</t>
  </si>
  <si>
    <t>GB0001638955</t>
  </si>
  <si>
    <t>213800CHWARFAAN7UB85</t>
  </si>
  <si>
    <t>1861.46</t>
  </si>
  <si>
    <t>JDCOG</t>
  </si>
  <si>
    <t>JD.COM INC</t>
  </si>
  <si>
    <t>US47215P1066</t>
  </si>
  <si>
    <t>549300HVTWB0GJZ16V92</t>
  </si>
  <si>
    <t>1815861.75</t>
  </si>
  <si>
    <t>1092646.25</t>
  </si>
  <si>
    <t>8429149.321321</t>
  </si>
  <si>
    <t>53149.14</t>
  </si>
  <si>
    <t>JERAG</t>
  </si>
  <si>
    <t>JERA</t>
  </si>
  <si>
    <t>353800OO5E7W1FV1SB75</t>
  </si>
  <si>
    <t>26069814.938902</t>
  </si>
  <si>
    <t>38148.03</t>
  </si>
  <si>
    <t>0QD0G</t>
  </si>
  <si>
    <t>JEREISSATI</t>
  </si>
  <si>
    <t>BRIGTIACNOR8</t>
  </si>
  <si>
    <t>26785.464134</t>
  </si>
  <si>
    <t>1206.12</t>
  </si>
  <si>
    <t>JERONIMO MARTINS &amp; FILHO S.A.  GR</t>
  </si>
  <si>
    <t>PTJMT0AE0001</t>
  </si>
  <si>
    <t>259400A8SZP10GB5IB19</t>
  </si>
  <si>
    <t>0400G</t>
  </si>
  <si>
    <t>JHSF</t>
  </si>
  <si>
    <t>BRJHSFACNOR2</t>
  </si>
  <si>
    <t>73636.501569</t>
  </si>
  <si>
    <t>1625.78</t>
  </si>
  <si>
    <t>JINKO</t>
  </si>
  <si>
    <t>JINKOSOLAR HOLDING CO LTD</t>
  </si>
  <si>
    <t>US47759T1007</t>
  </si>
  <si>
    <t>529900Y93WNCS05FG852</t>
  </si>
  <si>
    <t>7945974.06791</t>
  </si>
  <si>
    <t>9348.41</t>
  </si>
  <si>
    <t>JOHNSON &amp; JOHNSON</t>
  </si>
  <si>
    <t>US4781601046</t>
  </si>
  <si>
    <t>549300G0CFPGEF6X2043</t>
  </si>
  <si>
    <t>14681984.132405</t>
  </si>
  <si>
    <t>JOKNG</t>
  </si>
  <si>
    <t>JOHNSON CONTROLS</t>
  </si>
  <si>
    <t>IE00BY7QL619</t>
  </si>
  <si>
    <t>549300XQ6S1GYKGBL205</t>
  </si>
  <si>
    <t>118391483.670189</t>
  </si>
  <si>
    <t>27011.89</t>
  </si>
  <si>
    <t>JHNMG</t>
  </si>
  <si>
    <t>JOHNSON MATTHEY</t>
  </si>
  <si>
    <t>GB00BZ4BQC70</t>
  </si>
  <si>
    <t>2138001AVBSD1HSC6Z10</t>
  </si>
  <si>
    <t>4682.06</t>
  </si>
  <si>
    <t>JULIO SIMOES</t>
  </si>
  <si>
    <t>BRJSLGACNOR2</t>
  </si>
  <si>
    <t>444288.929434</t>
  </si>
  <si>
    <t>KAJIM</t>
  </si>
  <si>
    <t>KAJIMA CORPORATION</t>
  </si>
  <si>
    <t>JP3210200006</t>
  </si>
  <si>
    <t>11262.43</t>
  </si>
  <si>
    <t>KELOG</t>
  </si>
  <si>
    <t>KELLOGG COMPANY</t>
  </si>
  <si>
    <t>US4878361082</t>
  </si>
  <si>
    <t>LONOZNOJYIBXOHXWDB86</t>
  </si>
  <si>
    <t>6308710.236945</t>
  </si>
  <si>
    <t>9888.83</t>
  </si>
  <si>
    <t>KENVUE</t>
  </si>
  <si>
    <t>3472513.932519</t>
  </si>
  <si>
    <t>0QX0G</t>
  </si>
  <si>
    <t>KEPPEL CORP</t>
  </si>
  <si>
    <t>SG1U68934629</t>
  </si>
  <si>
    <t>254900SQ7IPDOY6IDW33</t>
  </si>
  <si>
    <t>1590824.752405</t>
  </si>
  <si>
    <t>16878.62</t>
  </si>
  <si>
    <t>0340G</t>
  </si>
  <si>
    <t>KERING.</t>
  </si>
  <si>
    <t>FR0000121485</t>
  </si>
  <si>
    <t>549300VGEJKB7SVUZR78</t>
  </si>
  <si>
    <t>KETYG</t>
  </si>
  <si>
    <t>KETY</t>
  </si>
  <si>
    <t>PLKETY000011</t>
  </si>
  <si>
    <t>2594007JKYYF3WGI0129</t>
  </si>
  <si>
    <t>856434.997689</t>
  </si>
  <si>
    <t>823.57</t>
  </si>
  <si>
    <t>KERPG</t>
  </si>
  <si>
    <t>KIER GROUP</t>
  </si>
  <si>
    <t>2526.6</t>
  </si>
  <si>
    <t>KCCGG</t>
  </si>
  <si>
    <t>KIMBERLY CLARK</t>
  </si>
  <si>
    <t>US4943681035</t>
  </si>
  <si>
    <t>MP3J6QPYPGN75NVW2S34</t>
  </si>
  <si>
    <t>10946743.79824</t>
  </si>
  <si>
    <t>8557.68</t>
  </si>
  <si>
    <t>KINMO</t>
  </si>
  <si>
    <t>KINDER MORGAN</t>
  </si>
  <si>
    <t>US49456B1017</t>
  </si>
  <si>
    <t>549300WR7IX8XE0TBO16</t>
  </si>
  <si>
    <t>13125147.440571</t>
  </si>
  <si>
    <t>61856.68</t>
  </si>
  <si>
    <t>KION GROUP</t>
  </si>
  <si>
    <t>DE000KGX8881</t>
  </si>
  <si>
    <t>5299005KY91C4C6U9H17</t>
  </si>
  <si>
    <t>17996043.147504</t>
  </si>
  <si>
    <t>NC7CX</t>
  </si>
  <si>
    <t>KKR</t>
  </si>
  <si>
    <t>US48251W1045</t>
  </si>
  <si>
    <t>K3NEK11EF7N3JVJE7V46</t>
  </si>
  <si>
    <t>121956.027418</t>
  </si>
  <si>
    <t>109073.25</t>
  </si>
  <si>
    <t>5KLAG</t>
  </si>
  <si>
    <t>KLABIN</t>
  </si>
  <si>
    <t>BRKLBNACNPR9</t>
  </si>
  <si>
    <t>4175826.748789</t>
  </si>
  <si>
    <t>7761.54</t>
  </si>
  <si>
    <t>KLEPIERRE</t>
  </si>
  <si>
    <t>FR0000121964</t>
  </si>
  <si>
    <t>969500PB4U31KEFHZ621</t>
  </si>
  <si>
    <t>1034747.535453</t>
  </si>
  <si>
    <t>KOMTG</t>
  </si>
  <si>
    <t>KOMATSU</t>
  </si>
  <si>
    <t>JP3304200003</t>
  </si>
  <si>
    <t>5493004LQ0B4T7QPQV17</t>
  </si>
  <si>
    <t>34304671.703017</t>
  </si>
  <si>
    <t>27425.4</t>
  </si>
  <si>
    <t>KOABG</t>
  </si>
  <si>
    <t>KONECRANES ABP</t>
  </si>
  <si>
    <t>FI0009005870</t>
  </si>
  <si>
    <t>549300EF0CDEQZBMA096</t>
  </si>
  <si>
    <t>16300758.285866</t>
  </si>
  <si>
    <t>2753.6</t>
  </si>
  <si>
    <t>KPNNG</t>
  </si>
  <si>
    <t>KPN</t>
  </si>
  <si>
    <t>NL0000009082</t>
  </si>
  <si>
    <t>549300YO0JZHAL7FVP81</t>
  </si>
  <si>
    <t>735353.328043</t>
  </si>
  <si>
    <t>KUOGG</t>
  </si>
  <si>
    <t>KUO</t>
  </si>
  <si>
    <t>MX01KU000012</t>
  </si>
  <si>
    <t>549300WIYIAVCFZI6Z04</t>
  </si>
  <si>
    <t>1755197.265877</t>
  </si>
  <si>
    <t>1399.52</t>
  </si>
  <si>
    <t>KYHOG</t>
  </si>
  <si>
    <t>KYNDRYL HOLDINGS INC</t>
  </si>
  <si>
    <t>US50155Q1004</t>
  </si>
  <si>
    <t>549300LQ4LWX2R8ZV130</t>
  </si>
  <si>
    <t>1056954.65351</t>
  </si>
  <si>
    <t>5069.54</t>
  </si>
  <si>
    <t>L OREAL</t>
  </si>
  <si>
    <t>FR0000120321</t>
  </si>
  <si>
    <t>529900JI1GG6F7RKVI53</t>
  </si>
  <si>
    <t>16623786.838437</t>
  </si>
  <si>
    <t>5A03G</t>
  </si>
  <si>
    <t>LAND SECURITIES GROUP PLC</t>
  </si>
  <si>
    <t>GB00BYW0PQ60</t>
  </si>
  <si>
    <t>213800V8IAVKS37D6B88</t>
  </si>
  <si>
    <t>12331.56</t>
  </si>
  <si>
    <t>CUETG</t>
  </si>
  <si>
    <t>LATAM AIRLINES</t>
  </si>
  <si>
    <t>CL0000000423</t>
  </si>
  <si>
    <t>549300HX3UUDPEFTG707</t>
  </si>
  <si>
    <t>4186548.23813</t>
  </si>
  <si>
    <t>7567.04</t>
  </si>
  <si>
    <t>LENOG</t>
  </si>
  <si>
    <t>LEGEND HOLDINGS</t>
  </si>
  <si>
    <t>CNE100001ZT0</t>
  </si>
  <si>
    <t>5299003ONUYCE70HZ185</t>
  </si>
  <si>
    <t>174760530.90907</t>
  </si>
  <si>
    <t>33337.42</t>
  </si>
  <si>
    <t>5FMEG</t>
  </si>
  <si>
    <t>LEONARDO S.P.A.</t>
  </si>
  <si>
    <t>IT0003856405</t>
  </si>
  <si>
    <t>529900X4EEX1U9LN3U39</t>
  </si>
  <si>
    <t>7688451.287212</t>
  </si>
  <si>
    <t>LGCHG</t>
  </si>
  <si>
    <t>LG CHEMICAL</t>
  </si>
  <si>
    <t>KR7051910008</t>
  </si>
  <si>
    <t>988400IES4EIG7O06940</t>
  </si>
  <si>
    <t>29913249.416896</t>
  </si>
  <si>
    <t>49191.33</t>
  </si>
  <si>
    <t>5LGLG</t>
  </si>
  <si>
    <t>LG ELECTRONICS</t>
  </si>
  <si>
    <t>KR7066570003</t>
  </si>
  <si>
    <t>988400RMQFTGZIOG0609</t>
  </si>
  <si>
    <t>184843126.499633</t>
  </si>
  <si>
    <t>26402.39</t>
  </si>
  <si>
    <t>LIBEK</t>
  </si>
  <si>
    <t>LIBERTY GLOBAL, GR</t>
  </si>
  <si>
    <t>GB00B8W67662</t>
  </si>
  <si>
    <t>549300BSGXG3QLIQYT84</t>
  </si>
  <si>
    <t>21734.92</t>
  </si>
  <si>
    <t>LBRTG</t>
  </si>
  <si>
    <t>LIBERTY LATIN AMERICA</t>
  </si>
  <si>
    <t>BMG9001E1021</t>
  </si>
  <si>
    <t>213800YWQHEAX7CAVO83</t>
  </si>
  <si>
    <t>9904.62</t>
  </si>
  <si>
    <t>LS09K</t>
  </si>
  <si>
    <t>LIGHT S.A</t>
  </si>
  <si>
    <t>BRLIGTACNOR2</t>
  </si>
  <si>
    <t>10806.759</t>
  </si>
  <si>
    <t>102818.964</t>
  </si>
  <si>
    <t>2552694.761663</t>
  </si>
  <si>
    <t>2337.01</t>
  </si>
  <si>
    <t>LINDE PLC</t>
  </si>
  <si>
    <t>IE00BZ12WP82</t>
  </si>
  <si>
    <t>ZU69GUVJQGZ6Z1UOOO79</t>
  </si>
  <si>
    <t>LOCAL</t>
  </si>
  <si>
    <t>LOCALIZA</t>
  </si>
  <si>
    <t>BRRENTACNOR4</t>
  </si>
  <si>
    <t>30423.15</t>
  </si>
  <si>
    <t>870.08</t>
  </si>
  <si>
    <t>5057908.229066</t>
  </si>
  <si>
    <t>11287.53</t>
  </si>
  <si>
    <t>LOJA3</t>
  </si>
  <si>
    <t>LOJAS RENNER</t>
  </si>
  <si>
    <t>BRLRENACNOR1</t>
  </si>
  <si>
    <t>479572.691877</t>
  </si>
  <si>
    <t>2232.59</t>
  </si>
  <si>
    <t>LSEGG</t>
  </si>
  <si>
    <t>LONDON STOCK EXCHANGE</t>
  </si>
  <si>
    <t>GB00B0SWJX34</t>
  </si>
  <si>
    <t>213800QAUUUP6I445N30</t>
  </si>
  <si>
    <t>863876.308773</t>
  </si>
  <si>
    <t>883621.92</t>
  </si>
  <si>
    <t>248YG</t>
  </si>
  <si>
    <t>LONDONMETRIC PROPERTY PLC</t>
  </si>
  <si>
    <t>GB00B4WFW713</t>
  </si>
  <si>
    <t>213800OCERWWPQDURL87</t>
  </si>
  <si>
    <t>161882.246247</t>
  </si>
  <si>
    <t>7612.36</t>
  </si>
  <si>
    <t>LTTCG</t>
  </si>
  <si>
    <t>LOTTE CHEMICAL CORPORATION</t>
  </si>
  <si>
    <t>KR7011170008</t>
  </si>
  <si>
    <t>988400TPNFJZDPI94Y56</t>
  </si>
  <si>
    <t>31786408.537054</t>
  </si>
  <si>
    <t>20005.13</t>
  </si>
  <si>
    <t>GLDRG</t>
  </si>
  <si>
    <t>LOUIS DREYFUS COMPANY BV</t>
  </si>
  <si>
    <t>54930077YL0GMTEGZD16</t>
  </si>
  <si>
    <t>117583141.913907</t>
  </si>
  <si>
    <t>15754.37</t>
  </si>
  <si>
    <t>LPPGR</t>
  </si>
  <si>
    <t>LPP</t>
  </si>
  <si>
    <t>PLLPP0000011</t>
  </si>
  <si>
    <t>259400NUS7MKGPJL4752</t>
  </si>
  <si>
    <t>2718438.395174</t>
  </si>
  <si>
    <t>3370.31</t>
  </si>
  <si>
    <t>LUPSY</t>
  </si>
  <si>
    <t>LUXSHARE PRECISION INDUSTRY</t>
  </si>
  <si>
    <t>CNE100000TP3</t>
  </si>
  <si>
    <t>300300QLLDUELXN16530</t>
  </si>
  <si>
    <t>6046462.709857</t>
  </si>
  <si>
    <t>19904.6</t>
  </si>
  <si>
    <t>LVMH</t>
  </si>
  <si>
    <t>FR0000121014</t>
  </si>
  <si>
    <t>IOG4E947OATN0KJYSD45</t>
  </si>
  <si>
    <t>9138853.250594</t>
  </si>
  <si>
    <t>LXIRG</t>
  </si>
  <si>
    <t>LXI REIT PLC</t>
  </si>
  <si>
    <t>GB00BYQ46T41</t>
  </si>
  <si>
    <t>2138008YZGXOKAXQVI45</t>
  </si>
  <si>
    <t>3056.91</t>
  </si>
  <si>
    <t>LYKNG</t>
  </si>
  <si>
    <t>LYONDELLBASELL</t>
  </si>
  <si>
    <t>NL0009434992</t>
  </si>
  <si>
    <t>BN6WCCZ8OVP3ITUUVN49</t>
  </si>
  <si>
    <t>127025962.569633</t>
  </si>
  <si>
    <t>24695.12</t>
  </si>
  <si>
    <t>MAERSK</t>
  </si>
  <si>
    <t>DK0010244508</t>
  </si>
  <si>
    <t>549300D2K6PKKKXVNN73</t>
  </si>
  <si>
    <t>50077549.891709</t>
  </si>
  <si>
    <t>MALUX</t>
  </si>
  <si>
    <t>MAGAZINE LUIZA</t>
  </si>
  <si>
    <t>BRMGLUACNOR2</t>
  </si>
  <si>
    <t>2009732.186172</t>
  </si>
  <si>
    <t>3023.74</t>
  </si>
  <si>
    <t>O8R9K</t>
  </si>
  <si>
    <t>MAIRE TECNIMONT</t>
  </si>
  <si>
    <t>IT0004931058</t>
  </si>
  <si>
    <t>815600D85A61200A1B83</t>
  </si>
  <si>
    <t>1991217.940607</t>
  </si>
  <si>
    <t>1713.23</t>
  </si>
  <si>
    <t>MARCG</t>
  </si>
  <si>
    <t>MARCOPOLO</t>
  </si>
  <si>
    <t>BRPOMOACNPR7</t>
  </si>
  <si>
    <t>254900XL58LF2D2QUX37</t>
  </si>
  <si>
    <t>733836.305027</t>
  </si>
  <si>
    <t>1154.65</t>
  </si>
  <si>
    <t>40613</t>
  </si>
  <si>
    <t>MARFRIG</t>
  </si>
  <si>
    <t>BRMRFGACNOR0</t>
  </si>
  <si>
    <t>391200219USWMOBN3F92</t>
  </si>
  <si>
    <t>30513140.164009</t>
  </si>
  <si>
    <t>13413.97</t>
  </si>
  <si>
    <t>MASTK</t>
  </si>
  <si>
    <t>MARSTON S</t>
  </si>
  <si>
    <t>GB00B1JQDM80</t>
  </si>
  <si>
    <t>213800Q6RP3ZJ2CZR962</t>
  </si>
  <si>
    <t>633921.071331</t>
  </si>
  <si>
    <t>2432.19</t>
  </si>
  <si>
    <t>MRBNG</t>
  </si>
  <si>
    <t>MARUBENI</t>
  </si>
  <si>
    <t>JP3877600001</t>
  </si>
  <si>
    <t>4P4N3ORD02UGQT1T1W12</t>
  </si>
  <si>
    <t>66570222.931598</t>
  </si>
  <si>
    <t>38275.22</t>
  </si>
  <si>
    <t>NP8FK</t>
  </si>
  <si>
    <t>MASTERCARD</t>
  </si>
  <si>
    <t>US57636Q1040</t>
  </si>
  <si>
    <t>AR5L2ODV9HN37376R084</t>
  </si>
  <si>
    <t>837912.73558</t>
  </si>
  <si>
    <t>24544.97</t>
  </si>
  <si>
    <t>MCKGK</t>
  </si>
  <si>
    <t>MCKESSON CORPORATION</t>
  </si>
  <si>
    <t>US58155Q1031</t>
  </si>
  <si>
    <t>549300WZWOM80UCFSF54</t>
  </si>
  <si>
    <t>36957553.823817</t>
  </si>
  <si>
    <t>64914.58</t>
  </si>
  <si>
    <t>5TV5G</t>
  </si>
  <si>
    <t>MEDIAFOREUROPE</t>
  </si>
  <si>
    <t>ES0152503035</t>
  </si>
  <si>
    <t>95980020140005021479</t>
  </si>
  <si>
    <t>3906.5</t>
  </si>
  <si>
    <t>METNC</t>
  </si>
  <si>
    <t>MEDTRONIC PLC</t>
  </si>
  <si>
    <t>IE00BTN1Y115</t>
  </si>
  <si>
    <t>D56MRZY2INAN94ZONZ37</t>
  </si>
  <si>
    <t>73600.27</t>
  </si>
  <si>
    <t>MEGAG</t>
  </si>
  <si>
    <t>MEGACABLE HOLDINGS</t>
  </si>
  <si>
    <t>MX01ME090003</t>
  </si>
  <si>
    <t>46207.01</t>
  </si>
  <si>
    <t>70285.84</t>
  </si>
  <si>
    <t>260505.58829</t>
  </si>
  <si>
    <t>2920.58</t>
  </si>
  <si>
    <t>MELGG</t>
  </si>
  <si>
    <t>MELROSE</t>
  </si>
  <si>
    <t>GB00BNGDN821</t>
  </si>
  <si>
    <t>213800RGNXXZY2M7TR85</t>
  </si>
  <si>
    <t>16139934.205131</t>
  </si>
  <si>
    <t>5413.97</t>
  </si>
  <si>
    <t>MERYG</t>
  </si>
  <si>
    <t>MERCADO LIBRE</t>
  </si>
  <si>
    <t>US58733R1023</t>
  </si>
  <si>
    <t>549300KPZGA0U26ODA70</t>
  </si>
  <si>
    <t>1302520.7</t>
  </si>
  <si>
    <t>10808.99</t>
  </si>
  <si>
    <t>MERKK</t>
  </si>
  <si>
    <t>MERCK &amp; CO</t>
  </si>
  <si>
    <t>US58933Y1055</t>
  </si>
  <si>
    <t>4YV9Y5M8S0BRK1RP0397</t>
  </si>
  <si>
    <t>6527013.611138</t>
  </si>
  <si>
    <t>81468.79</t>
  </si>
  <si>
    <t>MERCK KGAA</t>
  </si>
  <si>
    <t>DE0006599905</t>
  </si>
  <si>
    <t>529900OAREIS0MOPTW25</t>
  </si>
  <si>
    <t>7421986.304555</t>
  </si>
  <si>
    <t>MERLIN</t>
  </si>
  <si>
    <t>ES0105025003</t>
  </si>
  <si>
    <t>959800L8KD863DP30X04</t>
  </si>
  <si>
    <t>METRO</t>
  </si>
  <si>
    <t>DE000BFB0019</t>
  </si>
  <si>
    <t>5299006EQ03K3SSUYS12</t>
  </si>
  <si>
    <t>26152943.897735</t>
  </si>
  <si>
    <t>3YW4K</t>
  </si>
  <si>
    <t>METROVACESA</t>
  </si>
  <si>
    <t>ES0105122024</t>
  </si>
  <si>
    <t>959800ZQW44V5U3SEZ73</t>
  </si>
  <si>
    <t>145024.947459</t>
  </si>
  <si>
    <t>1990.99</t>
  </si>
  <si>
    <t>MICHELIN</t>
  </si>
  <si>
    <t>FR001400AJ45</t>
  </si>
  <si>
    <t>549300SOSI58J6VIW052</t>
  </si>
  <si>
    <t>MICTG</t>
  </si>
  <si>
    <t>MICRON TECHNOLOGY ,INC</t>
  </si>
  <si>
    <t>US5951121038</t>
  </si>
  <si>
    <t>B3DXGBC8GAIYWI2Z0172</t>
  </si>
  <si>
    <t>56989.27</t>
  </si>
  <si>
    <t>MICRK</t>
  </si>
  <si>
    <t>MICROSOFT</t>
  </si>
  <si>
    <t>US5949181045</t>
  </si>
  <si>
    <t>INR2EJN1ERAN0W5ZP974</t>
  </si>
  <si>
    <t>352595.41</t>
  </si>
  <si>
    <t>MIGUG</t>
  </si>
  <si>
    <t>MIDEA GROUP</t>
  </si>
  <si>
    <t>CNE100001QQ5</t>
  </si>
  <si>
    <t>3003003TRPHLHZD2IF61</t>
  </si>
  <si>
    <t>7274440.411651</t>
  </si>
  <si>
    <t>41394.59</t>
  </si>
  <si>
    <t>MLLCG</t>
  </si>
  <si>
    <t>MILLICOM</t>
  </si>
  <si>
    <t>LU0038705702</t>
  </si>
  <si>
    <t>549300CTHC1CP86P2G96</t>
  </si>
  <si>
    <t>1626234.96</t>
  </si>
  <si>
    <t>10012.03</t>
  </si>
  <si>
    <t>MNFRG</t>
  </si>
  <si>
    <t>MINERA FRISCO</t>
  </si>
  <si>
    <t>MX01MF010000</t>
  </si>
  <si>
    <t>4469000001DQSAKX9X42</t>
  </si>
  <si>
    <t>1221.14</t>
  </si>
  <si>
    <t>UPMIG</t>
  </si>
  <si>
    <t>MINGYANG SMART ENERGY GROUP</t>
  </si>
  <si>
    <t>CNE100003HQ0</t>
  </si>
  <si>
    <t>300300W76R6UJHEZL847</t>
  </si>
  <si>
    <t>3018406.03084</t>
  </si>
  <si>
    <t>5596.28</t>
  </si>
  <si>
    <t>MTBTZ</t>
  </si>
  <si>
    <t>MITCHELLS AND BUTLERS GROUP</t>
  </si>
  <si>
    <t>GB00B1FP6H53</t>
  </si>
  <si>
    <t>5095.65</t>
  </si>
  <si>
    <t>MIETG</t>
  </si>
  <si>
    <t>MITIE GROUP</t>
  </si>
  <si>
    <t>GB0004657408</t>
  </si>
  <si>
    <t>213800MTCLTKEHWZMJ03</t>
  </si>
  <si>
    <t>375805.072971</t>
  </si>
  <si>
    <t>958.84</t>
  </si>
  <si>
    <t>5MTSG</t>
  </si>
  <si>
    <t>MITSUBISHI.</t>
  </si>
  <si>
    <t>JP3898400001</t>
  </si>
  <si>
    <t>KVIPTY4PULAPGC1VVD26</t>
  </si>
  <si>
    <t>424512295.708062</t>
  </si>
  <si>
    <t>96790.25</t>
  </si>
  <si>
    <t>5MTPG</t>
  </si>
  <si>
    <t>MITSUI</t>
  </si>
  <si>
    <t>JP3893600001</t>
  </si>
  <si>
    <t>2NRSB4GOU9DD6CNW5R48</t>
  </si>
  <si>
    <t>100315025.225015</t>
  </si>
  <si>
    <t>76946.84</t>
  </si>
  <si>
    <t>KRAFG</t>
  </si>
  <si>
    <t>MONDELEZ</t>
  </si>
  <si>
    <t>US6092071058</t>
  </si>
  <si>
    <t>549300DV9GIB88LZ5P30</t>
  </si>
  <si>
    <t>35504634.69554</t>
  </si>
  <si>
    <t>43796.14</t>
  </si>
  <si>
    <t>MOTSG</t>
  </si>
  <si>
    <t>MOTOROLA SOLUTIONS</t>
  </si>
  <si>
    <t>US6200763075</t>
  </si>
  <si>
    <t>6S552MUG6KGJVEBSEC55</t>
  </si>
  <si>
    <t>7959.96</t>
  </si>
  <si>
    <t>37ZHK</t>
  </si>
  <si>
    <t>MOTORPOINT GROUP PLC</t>
  </si>
  <si>
    <t>GB00BD0SFR60</t>
  </si>
  <si>
    <t>213800WG8RSE45I3MF22</t>
  </si>
  <si>
    <t>562907.023693</t>
  </si>
  <si>
    <t>196.06</t>
  </si>
  <si>
    <t>MRSGX</t>
  </si>
  <si>
    <t>MRS</t>
  </si>
  <si>
    <t>BRMRSAACNOR6</t>
  </si>
  <si>
    <t>254900TMZ6ZUAB7QUO03</t>
  </si>
  <si>
    <t>434543.452228</t>
  </si>
  <si>
    <t>2742.87</t>
  </si>
  <si>
    <t>MRVEN</t>
  </si>
  <si>
    <t>MRV ENGENHARIA</t>
  </si>
  <si>
    <t>BRMRVEACNOR2</t>
  </si>
  <si>
    <t>848947.221297</t>
  </si>
  <si>
    <t>2728.27</t>
  </si>
  <si>
    <t>0UG0G</t>
  </si>
  <si>
    <t>MULTIPLAN, GR</t>
  </si>
  <si>
    <t>US62548M2098</t>
  </si>
  <si>
    <t>5493001DXJZWKKRPUT21</t>
  </si>
  <si>
    <t>0.11</t>
  </si>
  <si>
    <t>37151.862629</t>
  </si>
  <si>
    <t>4458.3</t>
  </si>
  <si>
    <t>5NGRG</t>
  </si>
  <si>
    <t>NATIONAL GRID GROUP,  GR</t>
  </si>
  <si>
    <t>GB00BDR05C01</t>
  </si>
  <si>
    <t>8R95QZMKZLJX5Q2XR704</t>
  </si>
  <si>
    <t>31997393.168987</t>
  </si>
  <si>
    <t>94159.73</t>
  </si>
  <si>
    <t>NTURG</t>
  </si>
  <si>
    <t>NATURA</t>
  </si>
  <si>
    <t>BRNTCOACNOR5</t>
  </si>
  <si>
    <t>2508274.475142</t>
  </si>
  <si>
    <t>3654.8</t>
  </si>
  <si>
    <t>NATURGY</t>
  </si>
  <si>
    <t>ES0116870314</t>
  </si>
  <si>
    <t>TL2N6M87CW970S5SV098</t>
  </si>
  <si>
    <t>NEMAG</t>
  </si>
  <si>
    <t>NEMAK</t>
  </si>
  <si>
    <t>MX01NM010000</t>
  </si>
  <si>
    <t>3392.15</t>
  </si>
  <si>
    <t>NESTLE</t>
  </si>
  <si>
    <t>CH0038863350</t>
  </si>
  <si>
    <t>KY37LUS27QQX7BB93L28</t>
  </si>
  <si>
    <t>NETFG</t>
  </si>
  <si>
    <t>NETFLIX, INC.</t>
  </si>
  <si>
    <t>US64110L1061</t>
  </si>
  <si>
    <t>549300Y7VHGU0I7CE873</t>
  </si>
  <si>
    <t>2608870.992988</t>
  </si>
  <si>
    <t>41136.28</t>
  </si>
  <si>
    <t>NEUCA</t>
  </si>
  <si>
    <t>NEUCA SA WSE</t>
  </si>
  <si>
    <t>PLTRFRM00018</t>
  </si>
  <si>
    <t>259400KFX90IZ97UDQ91</t>
  </si>
  <si>
    <t>322086.793632</t>
  </si>
  <si>
    <t>503.73</t>
  </si>
  <si>
    <t>NEWFE</t>
  </si>
  <si>
    <t>NEW FORTRESS ENERGY</t>
  </si>
  <si>
    <t>US6443931000</t>
  </si>
  <si>
    <t>254900EICTYTCHA5X705</t>
  </si>
  <si>
    <t>1179074.734868</t>
  </si>
  <si>
    <t>11153.58</t>
  </si>
  <si>
    <t>NEKMG</t>
  </si>
  <si>
    <t>NEWMONT MINING CORP</t>
  </si>
  <si>
    <t>US6516391066</t>
  </si>
  <si>
    <t>549300VSP3RIX7FGDZ51</t>
  </si>
  <si>
    <t>5132683.006</t>
  </si>
  <si>
    <t>37699.6</t>
  </si>
  <si>
    <t>NXNSK</t>
  </si>
  <si>
    <t>NEXANS</t>
  </si>
  <si>
    <t>FR0000044448</t>
  </si>
  <si>
    <t>96950015FU78G84UIV14</t>
  </si>
  <si>
    <t>94326526.72969</t>
  </si>
  <si>
    <t>NEXIS</t>
  </si>
  <si>
    <t>NEXI SPA</t>
  </si>
  <si>
    <t>IT0005366767</t>
  </si>
  <si>
    <t>5493000P70CQRQG8SN85</t>
  </si>
  <si>
    <t>88104.19</t>
  </si>
  <si>
    <t>17406.95</t>
  </si>
  <si>
    <t>5FPLG</t>
  </si>
  <si>
    <t>NEXTERA ENERGY INC</t>
  </si>
  <si>
    <t>US65339F1012</t>
  </si>
  <si>
    <t>254900RHL9MEUS5NKX63</t>
  </si>
  <si>
    <t>15552085.323492</t>
  </si>
  <si>
    <t>139006.69</t>
  </si>
  <si>
    <t>NETRG</t>
  </si>
  <si>
    <t>NEXTRACKER</t>
  </si>
  <si>
    <t>US65290E1010</t>
  </si>
  <si>
    <t>223.64</t>
  </si>
  <si>
    <t>322.94</t>
  </si>
  <si>
    <t>1925394.539106</t>
  </si>
  <si>
    <t>1113.77</t>
  </si>
  <si>
    <t>NHHGG</t>
  </si>
  <si>
    <t>NH HOTELES</t>
  </si>
  <si>
    <t>ES0161560018</t>
  </si>
  <si>
    <t>959800LM1RW3PKJ4A296</t>
  </si>
  <si>
    <t>353170.41968</t>
  </si>
  <si>
    <t>3666.3</t>
  </si>
  <si>
    <t>NIKE,GR</t>
  </si>
  <si>
    <t>US6541061031</t>
  </si>
  <si>
    <t>787RXPR0UX0O0XUXPZ81</t>
  </si>
  <si>
    <t>17954691.23304</t>
  </si>
  <si>
    <t>NOKIA</t>
  </si>
  <si>
    <t>FI0009000681</t>
  </si>
  <si>
    <t>549300A0JPRWG1KI7U06</t>
  </si>
  <si>
    <t>40777654.784989</t>
  </si>
  <si>
    <t>NRDGG</t>
  </si>
  <si>
    <t>NORDEX</t>
  </si>
  <si>
    <t>DE000A0D6554</t>
  </si>
  <si>
    <t>529900HVDYCUWVD0OE76</t>
  </si>
  <si>
    <t>1497.18</t>
  </si>
  <si>
    <t>NORPG</t>
  </si>
  <si>
    <t>NORTHLAND POWER</t>
  </si>
  <si>
    <t>CA6665111002</t>
  </si>
  <si>
    <t>549300IT8CIDW8V5KX72</t>
  </si>
  <si>
    <t>8025.66</t>
  </si>
  <si>
    <t>NOS SGPS</t>
  </si>
  <si>
    <t>PTZON0AM0006</t>
  </si>
  <si>
    <t>5493004DM8FGIY6QKF37</t>
  </si>
  <si>
    <t>368310.085585</t>
  </si>
  <si>
    <t>NOURY</t>
  </si>
  <si>
    <t>NOURYON, GR</t>
  </si>
  <si>
    <t>8786.75</t>
  </si>
  <si>
    <t>NOVARTIS</t>
  </si>
  <si>
    <t>CH0012005267</t>
  </si>
  <si>
    <t>5493007HIVTX6SY6XD66</t>
  </si>
  <si>
    <t>9248219.789195</t>
  </si>
  <si>
    <t>NRGGG</t>
  </si>
  <si>
    <t>NRG ENERGY INC</t>
  </si>
  <si>
    <t>US6293775085</t>
  </si>
  <si>
    <t>5E2UPK5SW04M13XY7I38</t>
  </si>
  <si>
    <t>18301822.782548</t>
  </si>
  <si>
    <t>12966.94</t>
  </si>
  <si>
    <t>NUTNX</t>
  </si>
  <si>
    <t>NUTANIX</t>
  </si>
  <si>
    <t>US67059N1081</t>
  </si>
  <si>
    <t>549300X7J6E8TKVIXW09</t>
  </si>
  <si>
    <t>8156.48</t>
  </si>
  <si>
    <t>40498.46</t>
  </si>
  <si>
    <t>5148609.024688</t>
  </si>
  <si>
    <t>669.15</t>
  </si>
  <si>
    <t>NUTEG</t>
  </si>
  <si>
    <t>NUTRESA</t>
  </si>
  <si>
    <t>COT04PA00028</t>
  </si>
  <si>
    <t>6042196.215343</t>
  </si>
  <si>
    <t>2767.38</t>
  </si>
  <si>
    <t>NTRNG</t>
  </si>
  <si>
    <t>NUTRIEN</t>
  </si>
  <si>
    <t>CA67077M1086</t>
  </si>
  <si>
    <t>5493002QQ7GD21OWF963</t>
  </si>
  <si>
    <t>57991038.18274</t>
  </si>
  <si>
    <t>35852.54</t>
  </si>
  <si>
    <t>OREIG</t>
  </si>
  <si>
    <t>O?REILLY AUTO PARTS</t>
  </si>
  <si>
    <t>US67103H1077</t>
  </si>
  <si>
    <t>549300K2RLMQL149Q332</t>
  </si>
  <si>
    <t>7623.9</t>
  </si>
  <si>
    <t>OCADG</t>
  </si>
  <si>
    <t>OCADO GROUP</t>
  </si>
  <si>
    <t>GB00B3MBS747</t>
  </si>
  <si>
    <t>213800LO8F61YB8MBC74</t>
  </si>
  <si>
    <t>3460.12</t>
  </si>
  <si>
    <t>TEGGJ</t>
  </si>
  <si>
    <t>OCEAN NETWORK EXPRESS GROUP</t>
  </si>
  <si>
    <t>9779.99</t>
  </si>
  <si>
    <t>7063732.65</t>
  </si>
  <si>
    <t>27520.67</t>
  </si>
  <si>
    <t>OHLGG</t>
  </si>
  <si>
    <t>OHL</t>
  </si>
  <si>
    <t>ES0142090317</t>
  </si>
  <si>
    <t>95980020140005395317</t>
  </si>
  <si>
    <t>3128498.485014</t>
  </si>
  <si>
    <t>1224.84</t>
  </si>
  <si>
    <t>06G0G</t>
  </si>
  <si>
    <t>OLAM, GR</t>
  </si>
  <si>
    <t>SGXE65760014</t>
  </si>
  <si>
    <t>9845006F83F5EEC2A704</t>
  </si>
  <si>
    <t>92866005.937789</t>
  </si>
  <si>
    <t>21565.93</t>
  </si>
  <si>
    <t>OCEIK</t>
  </si>
  <si>
    <t>OLIN CORPORATION</t>
  </si>
  <si>
    <t>US6806652052</t>
  </si>
  <si>
    <t>549300GKK294V7W57P06</t>
  </si>
  <si>
    <t>9230682.834526</t>
  </si>
  <si>
    <t>5010.44</t>
  </si>
  <si>
    <t>ORACL</t>
  </si>
  <si>
    <t>ORACLE</t>
  </si>
  <si>
    <t>US68389X1054</t>
  </si>
  <si>
    <t>1Z4GXXU7ZHVWFCD8TV52</t>
  </si>
  <si>
    <t>14947224.697601</t>
  </si>
  <si>
    <t>99767.07</t>
  </si>
  <si>
    <t>FTEHG</t>
  </si>
  <si>
    <t>ORANGE</t>
  </si>
  <si>
    <t>FR0000133308</t>
  </si>
  <si>
    <t>969500MCOONR8990S771</t>
  </si>
  <si>
    <t>5265793.23827</t>
  </si>
  <si>
    <t>ORGKK</t>
  </si>
  <si>
    <t>ORGANON &amp; CO</t>
  </si>
  <si>
    <t>US68622V1061</t>
  </si>
  <si>
    <t>549300AMCKY57OK2CO56</t>
  </si>
  <si>
    <t>1284826.264459</t>
  </si>
  <si>
    <t>9151.55</t>
  </si>
  <si>
    <t>ORICA</t>
  </si>
  <si>
    <t>AU000000ORI1</t>
  </si>
  <si>
    <t>5814732.47109</t>
  </si>
  <si>
    <t>P9NXG</t>
  </si>
  <si>
    <t>ORIGIN ENERGY LIMITED, GR</t>
  </si>
  <si>
    <t>AU000000ORG5</t>
  </si>
  <si>
    <t>ZSN2LWNPYW6ISMRUC664</t>
  </si>
  <si>
    <t>4619088.335278</t>
  </si>
  <si>
    <t>7708.67</t>
  </si>
  <si>
    <t>ONORG</t>
  </si>
  <si>
    <t>ORIX CORPORATION</t>
  </si>
  <si>
    <t>JP3200450009</t>
  </si>
  <si>
    <t>35380016EMHNBOVYE123</t>
  </si>
  <si>
    <t>5330616.432502</t>
  </si>
  <si>
    <t>64331.09</t>
  </si>
  <si>
    <t>ORSTG</t>
  </si>
  <si>
    <t>ORSTED ENERGY</t>
  </si>
  <si>
    <t>DK0060094928</t>
  </si>
  <si>
    <t>W9NG6WMZIYEU8VEDOG48</t>
  </si>
  <si>
    <t>24648286.405226</t>
  </si>
  <si>
    <t>25490.04</t>
  </si>
  <si>
    <t>OTIS WORLDWIDE CORPORATION</t>
  </si>
  <si>
    <t>US68902V1070</t>
  </si>
  <si>
    <t>549300ZLBKR8VSU25153</t>
  </si>
  <si>
    <t>8102515.035983</t>
  </si>
  <si>
    <t>OTPOG</t>
  </si>
  <si>
    <t>OTTO GROUP</t>
  </si>
  <si>
    <t>0OI8X</t>
  </si>
  <si>
    <t>OWENS AND MINOR,GR</t>
  </si>
  <si>
    <t>US6907321029</t>
  </si>
  <si>
    <t>549300LMT5KQQXCEZ733</t>
  </si>
  <si>
    <t>1267424.456378</t>
  </si>
  <si>
    <t>2691.42</t>
  </si>
  <si>
    <t>AMIDA</t>
  </si>
  <si>
    <t>OX2</t>
  </si>
  <si>
    <t>SE0016075337</t>
  </si>
  <si>
    <t>549300DSDIWP6USPXU21</t>
  </si>
  <si>
    <t>105600.46</t>
  </si>
  <si>
    <t>50760.81</t>
  </si>
  <si>
    <t>778186.845522</t>
  </si>
  <si>
    <t>416.58</t>
  </si>
  <si>
    <t>PIBAG</t>
  </si>
  <si>
    <t>PACCAR</t>
  </si>
  <si>
    <t>US6937181088</t>
  </si>
  <si>
    <t>KDTEY8BWE486IKZ3CC07</t>
  </si>
  <si>
    <t>95953014.700471</t>
  </si>
  <si>
    <t>32259.59</t>
  </si>
  <si>
    <t>BAI3G</t>
  </si>
  <si>
    <t>PALACIO DE HIERRO</t>
  </si>
  <si>
    <t>MXP496851033</t>
  </si>
  <si>
    <t>4469000001C84MQZ9F80</t>
  </si>
  <si>
    <t>712708.121718</t>
  </si>
  <si>
    <t>1825.48</t>
  </si>
  <si>
    <t>13Y0G</t>
  </si>
  <si>
    <t>PAMPA ENERG?A, GR</t>
  </si>
  <si>
    <t>ARP432631215</t>
  </si>
  <si>
    <t>254900QNIK0CVURGML24</t>
  </si>
  <si>
    <t>1474822.597323</t>
  </si>
  <si>
    <t>5172.53</t>
  </si>
  <si>
    <t>PAPGR</t>
  </si>
  <si>
    <t>PAPA JOHN'S, GR</t>
  </si>
  <si>
    <t>US6988131024</t>
  </si>
  <si>
    <t>HZYLD3DK5XOX0WBVNB56</t>
  </si>
  <si>
    <t>45237.43</t>
  </si>
  <si>
    <t>190177.49</t>
  </si>
  <si>
    <t>1001998.170794</t>
  </si>
  <si>
    <t>935.03</t>
  </si>
  <si>
    <t>PHUS1</t>
  </si>
  <si>
    <t>PARKER-HANNIFIN</t>
  </si>
  <si>
    <t>US7010941042</t>
  </si>
  <si>
    <t>5493002CONDB4N2HKI23</t>
  </si>
  <si>
    <t>88990054.220028</t>
  </si>
  <si>
    <t>22017.42</t>
  </si>
  <si>
    <t>PQARG</t>
  </si>
  <si>
    <t>PARQUE ARAUCO</t>
  </si>
  <si>
    <t>CLP763281068</t>
  </si>
  <si>
    <t>2549001WW2PV1Y0UEU97</t>
  </si>
  <si>
    <t>76516.844676</t>
  </si>
  <si>
    <t>3346.59</t>
  </si>
  <si>
    <t>PAYPG</t>
  </si>
  <si>
    <t>PAYPAL</t>
  </si>
  <si>
    <t>US70450Y1038</t>
  </si>
  <si>
    <t>5493005X2GO78EFZ3E94</t>
  </si>
  <si>
    <t>694414.078359</t>
  </si>
  <si>
    <t>31064.06</t>
  </si>
  <si>
    <t>UJ9MK</t>
  </si>
  <si>
    <t>PENSKE CORPORATION</t>
  </si>
  <si>
    <t>US70959W1036</t>
  </si>
  <si>
    <t>549300W7UTQ0M4C7LB15</t>
  </si>
  <si>
    <t>8536499.748326</t>
  </si>
  <si>
    <t>13079.84</t>
  </si>
  <si>
    <t>PEPCO</t>
  </si>
  <si>
    <t>PEPCO GROUP</t>
  </si>
  <si>
    <t>NL0015000AU7</t>
  </si>
  <si>
    <t>213800OVMJPFP79OB449</t>
  </si>
  <si>
    <t>2158449.316297</t>
  </si>
  <si>
    <t>2505.39</t>
  </si>
  <si>
    <t>PERNG</t>
  </si>
  <si>
    <t>PERNOD RICARD</t>
  </si>
  <si>
    <t>FR0000120693</t>
  </si>
  <si>
    <t>52990097YFPX9J0H5D87</t>
  </si>
  <si>
    <t>9BEGG</t>
  </si>
  <si>
    <t>PETROLEOS DEL PERU PETROPERU</t>
  </si>
  <si>
    <t>PEP496001202</t>
  </si>
  <si>
    <t>549300ZMGDLC9JT2OR80</t>
  </si>
  <si>
    <t>11985144.839657</t>
  </si>
  <si>
    <t>8078.67</t>
  </si>
  <si>
    <t>PFIZER HOLDING, GR</t>
  </si>
  <si>
    <t>US7170811035</t>
  </si>
  <si>
    <t>765LHXWGK1KXCLTFYQ30</t>
  </si>
  <si>
    <t>4918578.390987</t>
  </si>
  <si>
    <t>PGETG</t>
  </si>
  <si>
    <t>PGE POLSKA GRUPA ENERGETYCZNA</t>
  </si>
  <si>
    <t>PLPGER000010</t>
  </si>
  <si>
    <t>259400MP9VXR0E69MJ89</t>
  </si>
  <si>
    <t>41074565.58308</t>
  </si>
  <si>
    <t>13735.01</t>
  </si>
  <si>
    <t>PHILIP MORRIS</t>
  </si>
  <si>
    <t>US7181721090</t>
  </si>
  <si>
    <t>HL3H1H2BGXWVG3BSWR90</t>
  </si>
  <si>
    <t>PIHLG</t>
  </si>
  <si>
    <t>PHILIPS</t>
  </si>
  <si>
    <t>NL0000009538</t>
  </si>
  <si>
    <t>H1FJE8H61JGM1JSGM897</t>
  </si>
  <si>
    <t>5355813.761843</t>
  </si>
  <si>
    <t>5PLOG</t>
  </si>
  <si>
    <t>PLASTIC OMNIUM</t>
  </si>
  <si>
    <t>FR0000124570</t>
  </si>
  <si>
    <t>9695001VLC2KYXX0DW73</t>
  </si>
  <si>
    <t>32572085.304525</t>
  </si>
  <si>
    <t>PLYTG</t>
  </si>
  <si>
    <t>PLAYTECH PLC</t>
  </si>
  <si>
    <t>IM00B7S9G985</t>
  </si>
  <si>
    <t>21380068TTB6Z9ZEU548</t>
  </si>
  <si>
    <t>244054.582625</t>
  </si>
  <si>
    <t>2309.1</t>
  </si>
  <si>
    <t>PN0GG</t>
  </si>
  <si>
    <t>PNM RESOURCES INC</t>
  </si>
  <si>
    <t>US69349H1077</t>
  </si>
  <si>
    <t>5493003JOBJGLZSDDQ28</t>
  </si>
  <si>
    <t>1739182.704945</t>
  </si>
  <si>
    <t>8106.98</t>
  </si>
  <si>
    <t>PLNRG</t>
  </si>
  <si>
    <t>POLENERGIA</t>
  </si>
  <si>
    <t>PLPLSEP00013</t>
  </si>
  <si>
    <t>259400CXBGPCDXIXSM81</t>
  </si>
  <si>
    <t>1174026.092996</t>
  </si>
  <si>
    <t>1562.54</t>
  </si>
  <si>
    <t>PCCCG</t>
  </si>
  <si>
    <t>POWER CONSTRUCTION CORPORATION OF CHINA</t>
  </si>
  <si>
    <t>3003000OW2E3NMDVC816</t>
  </si>
  <si>
    <t>4009697.59</t>
  </si>
  <si>
    <t>4184197.84</t>
  </si>
  <si>
    <t>27186158.400134</t>
  </si>
  <si>
    <t>98178.28</t>
  </si>
  <si>
    <t>PPG INDUSTRIES, INC.</t>
  </si>
  <si>
    <t>US6935061076</t>
  </si>
  <si>
    <t>549300BKPEP01R3V6C59</t>
  </si>
  <si>
    <t>22870219.089937</t>
  </si>
  <si>
    <t>PPLGG</t>
  </si>
  <si>
    <t>PPL GROUP, GR</t>
  </si>
  <si>
    <t>US69351T1060</t>
  </si>
  <si>
    <t>9N3UAJSNOUXFKQLF3V18</t>
  </si>
  <si>
    <t>15667766.923178</t>
  </si>
  <si>
    <t>29878.24</t>
  </si>
  <si>
    <t>PRRTG</t>
  </si>
  <si>
    <t>PROMIGAS S.A. E.S.P.</t>
  </si>
  <si>
    <t>COI04PA00021</t>
  </si>
  <si>
    <t>254900IXHTV7LDSFQD65</t>
  </si>
  <si>
    <t>4303260.605934</t>
  </si>
  <si>
    <t>3860.25</t>
  </si>
  <si>
    <t>PROSEGUR</t>
  </si>
  <si>
    <t>ES0175438003</t>
  </si>
  <si>
    <t>549300N94L4D5NDBFG97</t>
  </si>
  <si>
    <t>10313.3</t>
  </si>
  <si>
    <t>806930.167471</t>
  </si>
  <si>
    <t>PRY1G</t>
  </si>
  <si>
    <t>PRYSMIAN</t>
  </si>
  <si>
    <t>IT0004176001</t>
  </si>
  <si>
    <t>529900X0H1IO3RS1A464</t>
  </si>
  <si>
    <t>PSA . PORT OF SINGAPORE AUTHORITY</t>
  </si>
  <si>
    <t>254900SIC44UKBM2WI40</t>
  </si>
  <si>
    <t>18627.4</t>
  </si>
  <si>
    <t>PUBLICIS, GR</t>
  </si>
  <si>
    <t>FR0000130577</t>
  </si>
  <si>
    <t>2138004KW8BV57III342</t>
  </si>
  <si>
    <t>PUMAJ</t>
  </si>
  <si>
    <t>PUMA SE</t>
  </si>
  <si>
    <t>DE0006969603</t>
  </si>
  <si>
    <t>529900GRZ2BQY5ZM9N49</t>
  </si>
  <si>
    <t>2305692.267977</t>
  </si>
  <si>
    <t>4547.2</t>
  </si>
  <si>
    <t>R1RLP</t>
  </si>
  <si>
    <t>R1 RCM INC, GR</t>
  </si>
  <si>
    <t>US77634L1052</t>
  </si>
  <si>
    <t>549300VKOMJ3EM506212</t>
  </si>
  <si>
    <t>4718.82</t>
  </si>
  <si>
    <t>93759.27</t>
  </si>
  <si>
    <t>97267.454923</t>
  </si>
  <si>
    <t>4063.87</t>
  </si>
  <si>
    <t>RADGG</t>
  </si>
  <si>
    <t>RANDON</t>
  </si>
  <si>
    <t>BRRAPTACNPR4</t>
  </si>
  <si>
    <t>3922420.168043</t>
  </si>
  <si>
    <t>1791.4</t>
  </si>
  <si>
    <t>RAGFG</t>
  </si>
  <si>
    <t>RANK GROUP</t>
  </si>
  <si>
    <t>GB00B1L5QH97</t>
  </si>
  <si>
    <t>213800TXKD6XZWOFTE12</t>
  </si>
  <si>
    <t>74290.801071</t>
  </si>
  <si>
    <t>646.66</t>
  </si>
  <si>
    <t>RECKITT BENCKISER</t>
  </si>
  <si>
    <t>GB00B24CGK77</t>
  </si>
  <si>
    <t>5493003JFSMOJG48V108</t>
  </si>
  <si>
    <t>12519495.335629</t>
  </si>
  <si>
    <t>REESG</t>
  </si>
  <si>
    <t>RED ELECTRICA</t>
  </si>
  <si>
    <t>ES0173093024</t>
  </si>
  <si>
    <t>54930070W8XSY31XK130</t>
  </si>
  <si>
    <t>11681.4</t>
  </si>
  <si>
    <t>RED7G</t>
  </si>
  <si>
    <t>REDROW PLC, GR</t>
  </si>
  <si>
    <t>GB00BG11K365</t>
  </si>
  <si>
    <t>2138008WJZBBA7EYEL28</t>
  </si>
  <si>
    <t>1114057.121161</t>
  </si>
  <si>
    <t>2346.47</t>
  </si>
  <si>
    <t>01I0G</t>
  </si>
  <si>
    <t>RELIANCE</t>
  </si>
  <si>
    <t>INE002A01018</t>
  </si>
  <si>
    <t>5493003UOETFYRONLG31</t>
  </si>
  <si>
    <t>356514807.017739</t>
  </si>
  <si>
    <t>143013.5</t>
  </si>
  <si>
    <t>REEDG</t>
  </si>
  <si>
    <t>RELX</t>
  </si>
  <si>
    <t>549300EBL9L0JQ3SK247</t>
  </si>
  <si>
    <t>12115.72</t>
  </si>
  <si>
    <t>REN</t>
  </si>
  <si>
    <t>PTREL0AM0008</t>
  </si>
  <si>
    <t>549300FR1FN48IGHR915</t>
  </si>
  <si>
    <t>RENTOKIL INITIAL PLC</t>
  </si>
  <si>
    <t>GB00B082RF11</t>
  </si>
  <si>
    <t>549300VN4WV7Z6T14K68</t>
  </si>
  <si>
    <t>858190.003722</t>
  </si>
  <si>
    <t>5RHMG</t>
  </si>
  <si>
    <t>RHEINMETALL</t>
  </si>
  <si>
    <t>DE0007030009</t>
  </si>
  <si>
    <t>5299001OU9CSE29O6S05</t>
  </si>
  <si>
    <t>35609876.763741</t>
  </si>
  <si>
    <t>5RQTG</t>
  </si>
  <si>
    <t>RIO TINTO</t>
  </si>
  <si>
    <t>GB0007188757</t>
  </si>
  <si>
    <t>574504329.233473</t>
  </si>
  <si>
    <t>69480.73</t>
  </si>
  <si>
    <t>ROBERT BOSCH GROUP, GR</t>
  </si>
  <si>
    <t>529900F0LT5OP4SV6122</t>
  </si>
  <si>
    <t>ROCHE</t>
  </si>
  <si>
    <t>CH0012032048</t>
  </si>
  <si>
    <t>549300U41AUUVOAAOB37</t>
  </si>
  <si>
    <t>10935607.262404</t>
  </si>
  <si>
    <t>ROLLG</t>
  </si>
  <si>
    <t>ROLLS ROYCE</t>
  </si>
  <si>
    <t>GB00B63H8491</t>
  </si>
  <si>
    <t>X57JK1U580XATGR67572</t>
  </si>
  <si>
    <t>102283290.382152</t>
  </si>
  <si>
    <t>43029.63</t>
  </si>
  <si>
    <t>ROTOG</t>
  </si>
  <si>
    <t>ROTORK</t>
  </si>
  <si>
    <t>GB00BVFNZH21</t>
  </si>
  <si>
    <t>213800AH5RZIHGWRJ718</t>
  </si>
  <si>
    <t>751.39</t>
  </si>
  <si>
    <t>RBWNV</t>
  </si>
  <si>
    <t>ROYAL BOSKALIS WESTMINSTER N.V.</t>
  </si>
  <si>
    <t>NL0000852580</t>
  </si>
  <si>
    <t>724500W1FESNTNY5DL70</t>
  </si>
  <si>
    <t>4036.72</t>
  </si>
  <si>
    <t>55RYK</t>
  </si>
  <si>
    <t>ROYAL CARIBBEAN CRUISES LTD</t>
  </si>
  <si>
    <t>LR0008862868</t>
  </si>
  <si>
    <t>K2NEH8QNVW44JIWK7Z55</t>
  </si>
  <si>
    <t>5906995.891214</t>
  </si>
  <si>
    <t>27484.48</t>
  </si>
  <si>
    <t>5RWDG</t>
  </si>
  <si>
    <t>RWE</t>
  </si>
  <si>
    <t>DE0007037129</t>
  </si>
  <si>
    <t>529900GB7KCA94ACC940</t>
  </si>
  <si>
    <t>24259904.9</t>
  </si>
  <si>
    <t>RYANG</t>
  </si>
  <si>
    <t>RYANAIR</t>
  </si>
  <si>
    <t>IE00BYTBXV33</t>
  </si>
  <si>
    <t>635400BR2ROC1FVEBQ56</t>
  </si>
  <si>
    <t>5CHNG</t>
  </si>
  <si>
    <t>SABESP</t>
  </si>
  <si>
    <t>BRSBSPACNOR5</t>
  </si>
  <si>
    <t>254900UOXRZRS2TNWP19</t>
  </si>
  <si>
    <t>1728773.959</t>
  </si>
  <si>
    <t>101480.043</t>
  </si>
  <si>
    <t>776921.44195</t>
  </si>
  <si>
    <t>9675.11</t>
  </si>
  <si>
    <t>SACYR</t>
  </si>
  <si>
    <t>ES0182870214</t>
  </si>
  <si>
    <t>959800XKAB9VNAVN9425</t>
  </si>
  <si>
    <t>1429233.464695</t>
  </si>
  <si>
    <t>0F30G</t>
  </si>
  <si>
    <t>SAFRAN, GR</t>
  </si>
  <si>
    <t>FR0000073272</t>
  </si>
  <si>
    <t>969500UIC89GT3UL7L24</t>
  </si>
  <si>
    <t>116411415.717559</t>
  </si>
  <si>
    <t>SMCLG</t>
  </si>
  <si>
    <t>SAIC MOTOR CORPORATION LIMITED</t>
  </si>
  <si>
    <t>CNE000000TY6</t>
  </si>
  <si>
    <t>30030001QBC7EXJJGT71</t>
  </si>
  <si>
    <t>284080880.928611</t>
  </si>
  <si>
    <t>67698.65</t>
  </si>
  <si>
    <t>SAIDX</t>
  </si>
  <si>
    <t>SAID ANDINA</t>
  </si>
  <si>
    <t>CLP3697S1034</t>
  </si>
  <si>
    <t>254900NNPKP1J9XTSA53</t>
  </si>
  <si>
    <t>1233665.25</t>
  </si>
  <si>
    <t>2067.66</t>
  </si>
  <si>
    <t>SAINT GOBAIN.</t>
  </si>
  <si>
    <t>FR0000125007</t>
  </si>
  <si>
    <t>NFONVGN05Z0FMN5PEC35</t>
  </si>
  <si>
    <t>SALEK</t>
  </si>
  <si>
    <t>SALESFORCE, GR</t>
  </si>
  <si>
    <t>US79466L3024</t>
  </si>
  <si>
    <t>RCGZFPDMRW58VJ54VR07</t>
  </si>
  <si>
    <t>1041941.349319</t>
  </si>
  <si>
    <t>70497.14</t>
  </si>
  <si>
    <t>5SSCG</t>
  </si>
  <si>
    <t>SAMSUNG C&amp;T</t>
  </si>
  <si>
    <t>KR7028260008</t>
  </si>
  <si>
    <t>988400GFRE4IDFPE9E64</t>
  </si>
  <si>
    <t>12539731.473471</t>
  </si>
  <si>
    <t>27326.45</t>
  </si>
  <si>
    <t>SMELG</t>
  </si>
  <si>
    <t>SAMSUNG ELECTRONICS</t>
  </si>
  <si>
    <t>KR7005930003</t>
  </si>
  <si>
    <t>9884007ER46L6N7EI764</t>
  </si>
  <si>
    <t>275106.97</t>
  </si>
  <si>
    <t>SV4KK</t>
  </si>
  <si>
    <t>SAMSUNG ENGINEERING CORPORATION</t>
  </si>
  <si>
    <t>KR7028050003</t>
  </si>
  <si>
    <t>988400HDAY5KIVHGZ188</t>
  </si>
  <si>
    <t>627716.584109</t>
  </si>
  <si>
    <t>2624.96</t>
  </si>
  <si>
    <t>5SMMM</t>
  </si>
  <si>
    <t>SAN MIGUEL CORPORATION</t>
  </si>
  <si>
    <t>PHY751061151</t>
  </si>
  <si>
    <t>549300AGC9NFF12PHN68</t>
  </si>
  <si>
    <t>88625102.778578</t>
  </si>
  <si>
    <t>37783.33</t>
  </si>
  <si>
    <t>S00DG</t>
  </si>
  <si>
    <t>SANDOZ</t>
  </si>
  <si>
    <t>1855297.572365</t>
  </si>
  <si>
    <t>12544.4</t>
  </si>
  <si>
    <t>SANOFI AVENTIS</t>
  </si>
  <si>
    <t>FR0000120578</t>
  </si>
  <si>
    <t>549300E9PC51EN656011</t>
  </si>
  <si>
    <t>9048197.615396</t>
  </si>
  <si>
    <t>S4DMG</t>
  </si>
  <si>
    <t>SAUDI ELECTRICITY COMPANY (SEC)</t>
  </si>
  <si>
    <t>SA0007879550</t>
  </si>
  <si>
    <t>549300FXO4ZXUIAXGP41</t>
  </si>
  <si>
    <t>27778804.250907</t>
  </si>
  <si>
    <t>101536.1</t>
  </si>
  <si>
    <t>SBMEJ</t>
  </si>
  <si>
    <t>SBM OFFSHORE</t>
  </si>
  <si>
    <t>NL0000360618</t>
  </si>
  <si>
    <t>549300RDGCRYZ5QE6513</t>
  </si>
  <si>
    <t>6238376.590067</t>
  </si>
  <si>
    <t>14232.64</t>
  </si>
  <si>
    <t>SCJHG</t>
  </si>
  <si>
    <t>SC JOHNSON WAX</t>
  </si>
  <si>
    <t>PH5ZFDENRYXEVLP50443</t>
  </si>
  <si>
    <t>8442.96</t>
  </si>
  <si>
    <t>SCHAEFFLER AG</t>
  </si>
  <si>
    <t>DE000SHA0159</t>
  </si>
  <si>
    <t>SCHINDLER</t>
  </si>
  <si>
    <t>CH0024638196</t>
  </si>
  <si>
    <t>SCLHG</t>
  </si>
  <si>
    <t>SCHLUMBERGER</t>
  </si>
  <si>
    <t>AN8068571086</t>
  </si>
  <si>
    <t>213800ZUA17OK3QLGM62</t>
  </si>
  <si>
    <t>34915260.290959</t>
  </si>
  <si>
    <t>34023.77</t>
  </si>
  <si>
    <t>SCHNEIDER</t>
  </si>
  <si>
    <t>FR0000121972</t>
  </si>
  <si>
    <t>969500A1YF1XUYYXS284</t>
  </si>
  <si>
    <t>57300572.353805</t>
  </si>
  <si>
    <t>5SH1K</t>
  </si>
  <si>
    <t>SCOTTISH AND SOUTHERN ENERGY PLC</t>
  </si>
  <si>
    <t>GB0007908733</t>
  </si>
  <si>
    <t>549300KI75VYLLMSK856</t>
  </si>
  <si>
    <t>8046873.15823</t>
  </si>
  <si>
    <t>25360.79</t>
  </si>
  <si>
    <t>SFEOG</t>
  </si>
  <si>
    <t>SEALED AIR GROUP</t>
  </si>
  <si>
    <t>US81211K1007</t>
  </si>
  <si>
    <t>Q0M0CZB4YN6JZ65WXI09</t>
  </si>
  <si>
    <t>3715570.639857</t>
  </si>
  <si>
    <t>4940.47</t>
  </si>
  <si>
    <t>SEAG1</t>
  </si>
  <si>
    <t>SEATRIUM LIMITED</t>
  </si>
  <si>
    <t>SGXE34184239</t>
  </si>
  <si>
    <t>254900MQNHWMN6X1NV39</t>
  </si>
  <si>
    <t>609089.444822</t>
  </si>
  <si>
    <t>6683.39</t>
  </si>
  <si>
    <t>SETAG</t>
  </si>
  <si>
    <t>SECURITAS</t>
  </si>
  <si>
    <t>SE0000163594</t>
  </si>
  <si>
    <t>635400TTYKE8EIWDS617</t>
  </si>
  <si>
    <t>3307151.826401</t>
  </si>
  <si>
    <t>7811.12</t>
  </si>
  <si>
    <t>SEGRG</t>
  </si>
  <si>
    <t>SEGRO</t>
  </si>
  <si>
    <t>GB00B5ZN1N88</t>
  </si>
  <si>
    <t>213800XC35KGM9NFC641</t>
  </si>
  <si>
    <t>20311.44</t>
  </si>
  <si>
    <t>SEMAPA</t>
  </si>
  <si>
    <t>PTSEM0AM0004</t>
  </si>
  <si>
    <t>549300HNGOW85KIOH584</t>
  </si>
  <si>
    <t>3219845.97613</t>
  </si>
  <si>
    <t>SEMBG</t>
  </si>
  <si>
    <t>SEMBCORP GROUP</t>
  </si>
  <si>
    <t>SG1R50925390</t>
  </si>
  <si>
    <t>254900J0FF14U6TPQM96</t>
  </si>
  <si>
    <t>20276299.662604</t>
  </si>
  <si>
    <t>10631.88</t>
  </si>
  <si>
    <t>5YXPG</t>
  </si>
  <si>
    <t>SEMPRA</t>
  </si>
  <si>
    <t>US8168511090</t>
  </si>
  <si>
    <t>PBBKGKLRK5S5C0Y4T545</t>
  </si>
  <si>
    <t>71670767.261829</t>
  </si>
  <si>
    <t>72282.59</t>
  </si>
  <si>
    <t>OMEGA</t>
  </si>
  <si>
    <t>SERENA ENERGIA</t>
  </si>
  <si>
    <t>BRSRNAACNOR4</t>
  </si>
  <si>
    <t>298041.942042</t>
  </si>
  <si>
    <t>2769.99</t>
  </si>
  <si>
    <t>TRENT</t>
  </si>
  <si>
    <t>SEVERN TRENT</t>
  </si>
  <si>
    <t>GB00B1FH8J72</t>
  </si>
  <si>
    <t>213800RPBXRETY4A4C59</t>
  </si>
  <si>
    <t>12183.49</t>
  </si>
  <si>
    <t>SKEYK</t>
  </si>
  <si>
    <t>SHANGHAI ELECTRIC</t>
  </si>
  <si>
    <t>CNE100000D55</t>
  </si>
  <si>
    <t>3003001FINCSKKK8V466</t>
  </si>
  <si>
    <t>60972745.229268</t>
  </si>
  <si>
    <t>16615.69</t>
  </si>
  <si>
    <t>GRSWI</t>
  </si>
  <si>
    <t>SHERWIN WILLIAMS</t>
  </si>
  <si>
    <t>US8243481061</t>
  </si>
  <si>
    <t>Z15BMIOX8DDH0X2OBP21</t>
  </si>
  <si>
    <t>19340563.794692</t>
  </si>
  <si>
    <t>16285.1</t>
  </si>
  <si>
    <t>SHIPL</t>
  </si>
  <si>
    <t>SHIFT4</t>
  </si>
  <si>
    <t>US82452J1097</t>
  </si>
  <si>
    <t>5369.01</t>
  </si>
  <si>
    <t>107937.37</t>
  </si>
  <si>
    <t>79355.021435</t>
  </si>
  <si>
    <t>3752.83</t>
  </si>
  <si>
    <t>SIEMENS</t>
  </si>
  <si>
    <t>DE0007236101</t>
  </si>
  <si>
    <t>W38RGI023J3WT1HWRP32</t>
  </si>
  <si>
    <t>225040467.952873</t>
  </si>
  <si>
    <t>SIEMENS ENERGY</t>
  </si>
  <si>
    <t>DE000ENER6Y0</t>
  </si>
  <si>
    <t>5299005CHJZ14D4FDJ62</t>
  </si>
  <si>
    <t>1333776179.14622</t>
  </si>
  <si>
    <t>SIGGO</t>
  </si>
  <si>
    <t>SIGDO KOPPERS</t>
  </si>
  <si>
    <t>CL0000001272</t>
  </si>
  <si>
    <t>5493001MXTJP8BCWA195</t>
  </si>
  <si>
    <t>4772224.520755</t>
  </si>
  <si>
    <t>3541.56</t>
  </si>
  <si>
    <t>SI0NG</t>
  </si>
  <si>
    <t>SIGNIFY</t>
  </si>
  <si>
    <t>NL0011821392</t>
  </si>
  <si>
    <t>549300072P3J1X8NZO35</t>
  </si>
  <si>
    <t>19613460.909726</t>
  </si>
  <si>
    <t>SIKA</t>
  </si>
  <si>
    <t>CH0418792922</t>
  </si>
  <si>
    <t>549300R3N69ECGYPU434</t>
  </si>
  <si>
    <t>17647920.790456</t>
  </si>
  <si>
    <t>SPGLT</t>
  </si>
  <si>
    <t>SIMON PROPERTY GROUP INC</t>
  </si>
  <si>
    <t>US8288061091</t>
  </si>
  <si>
    <t>529900GQL5X8H7AO3T64</t>
  </si>
  <si>
    <t>27320.11</t>
  </si>
  <si>
    <t>SINGK</t>
  </si>
  <si>
    <t>SINGAPORE AIRLINES LIMITED, GR</t>
  </si>
  <si>
    <t>SG1V61937297</t>
  </si>
  <si>
    <t>549300ZG62N2599PWR15</t>
  </si>
  <si>
    <t>3626606.288336</t>
  </si>
  <si>
    <t>21316.5</t>
  </si>
  <si>
    <t>SIXGG</t>
  </si>
  <si>
    <t>SIX GROUP</t>
  </si>
  <si>
    <t>529900ZMNQFCPP762W05</t>
  </si>
  <si>
    <t>68431.085516</t>
  </si>
  <si>
    <t>5661.65</t>
  </si>
  <si>
    <t>35THK</t>
  </si>
  <si>
    <t>SMITHS NEWS PLC</t>
  </si>
  <si>
    <t>GB00B17WCR61</t>
  </si>
  <si>
    <t>2138004O33ONVOOQXB02</t>
  </si>
  <si>
    <t>574880.199257</t>
  </si>
  <si>
    <t>58.48</t>
  </si>
  <si>
    <t>SMURFIT WESTROCK GROUP</t>
  </si>
  <si>
    <t>IE00028FXN24</t>
  </si>
  <si>
    <t>635400EGSEOPDW2EXS14</t>
  </si>
  <si>
    <t>3609183.222018</t>
  </si>
  <si>
    <t>SNAMG</t>
  </si>
  <si>
    <t>SNAM</t>
  </si>
  <si>
    <t>IT0003153415</t>
  </si>
  <si>
    <t>8156002278562044AF79</t>
  </si>
  <si>
    <t>1247047.368313</t>
  </si>
  <si>
    <t>SNCF SA</t>
  </si>
  <si>
    <t>969500A4MXJ3ESPHK698</t>
  </si>
  <si>
    <t>10682286.816297</t>
  </si>
  <si>
    <t>SOCIETE GENERALE SA</t>
  </si>
  <si>
    <t>FR0000130809</t>
  </si>
  <si>
    <t>O2RNE8IBXP4R0TD8PU41</t>
  </si>
  <si>
    <t>429362.287505</t>
  </si>
  <si>
    <t>SODXG</t>
  </si>
  <si>
    <t>SODEXO</t>
  </si>
  <si>
    <t>FR0000121220</t>
  </si>
  <si>
    <t>969500LCBOG12HXPYM84</t>
  </si>
  <si>
    <t>19808783.743005</t>
  </si>
  <si>
    <t>SFTBK</t>
  </si>
  <si>
    <t>SOFTBANK GROUP CORP</t>
  </si>
  <si>
    <t>JP3436100006</t>
  </si>
  <si>
    <t>5493003BZYYYCDIO0R13</t>
  </si>
  <si>
    <t>9088827.947879</t>
  </si>
  <si>
    <t>180477.43</t>
  </si>
  <si>
    <t>SONAE</t>
  </si>
  <si>
    <t>PTSON0AM0001</t>
  </si>
  <si>
    <t>549300847SOBT7HY7R50</t>
  </si>
  <si>
    <t>5SQGG</t>
  </si>
  <si>
    <t>SOQUIMICH</t>
  </si>
  <si>
    <t>5493000D23NGHICE5B03</t>
  </si>
  <si>
    <t>4265343.16</t>
  </si>
  <si>
    <t>9669.31</t>
  </si>
  <si>
    <t>SORIG</t>
  </si>
  <si>
    <t>SORIANA</t>
  </si>
  <si>
    <t>MXP8728U1671</t>
  </si>
  <si>
    <t>4469000001BRXVIC3I64</t>
  </si>
  <si>
    <t>4425212.829382</t>
  </si>
  <si>
    <t>5198.12</t>
  </si>
  <si>
    <t>SOULG</t>
  </si>
  <si>
    <t>SOUTH32 LIMITED</t>
  </si>
  <si>
    <t>AU000000S320</t>
  </si>
  <si>
    <t>213800LAZNPXSBKVHR17</t>
  </si>
  <si>
    <t>3056135.48</t>
  </si>
  <si>
    <t>2686773.47</t>
  </si>
  <si>
    <t>4013729.037162</t>
  </si>
  <si>
    <t>10141.97</t>
  </si>
  <si>
    <t>SJW1Z</t>
  </si>
  <si>
    <t>SOUTHERN COMPANY, GR</t>
  </si>
  <si>
    <t>US8425871071</t>
  </si>
  <si>
    <t>549300FC3G3YU2FBZD92</t>
  </si>
  <si>
    <t>99091.39</t>
  </si>
  <si>
    <t>SP2OG</t>
  </si>
  <si>
    <t>SPECTRIS PLC</t>
  </si>
  <si>
    <t>GB0003308607</t>
  </si>
  <si>
    <t>213800Z4CO2CZO3M3T10</t>
  </si>
  <si>
    <t>520130.254273</t>
  </si>
  <si>
    <t>2546.62</t>
  </si>
  <si>
    <t>SPDCG</t>
  </si>
  <si>
    <t>SPORTSDIRECT.COM RETAIL LIMITED, GR</t>
  </si>
  <si>
    <t>GB00B1QH8P22</t>
  </si>
  <si>
    <t>213800JEGHHEAXIJDX34</t>
  </si>
  <si>
    <t>2049884.885477</t>
  </si>
  <si>
    <t>4009.84</t>
  </si>
  <si>
    <t>STJLP</t>
  </si>
  <si>
    <t>ST. JAMES'S PLACE PLC. GR (GR)</t>
  </si>
  <si>
    <t>234977.41</t>
  </si>
  <si>
    <t>SLERG</t>
  </si>
  <si>
    <t>STADLER</t>
  </si>
  <si>
    <t>CH0002178181</t>
  </si>
  <si>
    <t>506700781XDET0A89669</t>
  </si>
  <si>
    <t>15157059.833463</t>
  </si>
  <si>
    <t>1771.76</t>
  </si>
  <si>
    <t>CHPIG</t>
  </si>
  <si>
    <t>STATE POWER INVESTMENT CORPORATION</t>
  </si>
  <si>
    <t>300300PRSKD1SREA6768</t>
  </si>
  <si>
    <t>4740321.78</t>
  </si>
  <si>
    <t>89514329.278886</t>
  </si>
  <si>
    <t>190521.6</t>
  </si>
  <si>
    <t>0P00G</t>
  </si>
  <si>
    <t>STATKRAFT</t>
  </si>
  <si>
    <t>529900TH4OAW7WYG1777</t>
  </si>
  <si>
    <t>5041911.971196</t>
  </si>
  <si>
    <t>19634.13</t>
  </si>
  <si>
    <t>STMIS</t>
  </si>
  <si>
    <t>STMICROELECTRONICS NV</t>
  </si>
  <si>
    <t>20064.49</t>
  </si>
  <si>
    <t>0WSEG</t>
  </si>
  <si>
    <t>SUEZ</t>
  </si>
  <si>
    <t>5493007LKZ37MXEN5D79</t>
  </si>
  <si>
    <t>3468606.710496</t>
  </si>
  <si>
    <t>12697.3</t>
  </si>
  <si>
    <t>SUMXG</t>
  </si>
  <si>
    <t>SUMITOMO</t>
  </si>
  <si>
    <t>JP3404600003</t>
  </si>
  <si>
    <t>V82KK8NH1P0JS71FJC05</t>
  </si>
  <si>
    <t>20775368.061076</t>
  </si>
  <si>
    <t>51390.79</t>
  </si>
  <si>
    <t>CSZPG</t>
  </si>
  <si>
    <t>SUZANO</t>
  </si>
  <si>
    <t>BRSUZBACNOR0</t>
  </si>
  <si>
    <t>391200AW174YQSDMGG41</t>
  </si>
  <si>
    <t>8576286.608912</t>
  </si>
  <si>
    <t>21909.75</t>
  </si>
  <si>
    <t>SCXMG</t>
  </si>
  <si>
    <t>SWISSCOM AG</t>
  </si>
  <si>
    <t>CH0008742519</t>
  </si>
  <si>
    <t>5493005SL9HHOXS3B739</t>
  </si>
  <si>
    <t>31557.54</t>
  </si>
  <si>
    <t>SYMRG</t>
  </si>
  <si>
    <t>SYMRISE AG</t>
  </si>
  <si>
    <t>DE000SYM9999</t>
  </si>
  <si>
    <t>529900D82I6R9601CF26</t>
  </si>
  <si>
    <t>5188298.203214</t>
  </si>
  <si>
    <t>6565.43</t>
  </si>
  <si>
    <t>SYNLG</t>
  </si>
  <si>
    <t>SYNLAB</t>
  </si>
  <si>
    <t>DE000A2TSL71</t>
  </si>
  <si>
    <t>984500883BA5AQ14C037</t>
  </si>
  <si>
    <t>46787.18</t>
  </si>
  <si>
    <t>75648.69</t>
  </si>
  <si>
    <t>372978.779693</t>
  </si>
  <si>
    <t>3899.59</t>
  </si>
  <si>
    <t>SYNTHOMER</t>
  </si>
  <si>
    <t>GB00BNTVWJ75</t>
  </si>
  <si>
    <t>213800EHT3TI1KPQQJ56</t>
  </si>
  <si>
    <t>3659491.016962</t>
  </si>
  <si>
    <t>YYVGK</t>
  </si>
  <si>
    <t>SYSCO CORPORATION..</t>
  </si>
  <si>
    <t>US8718291078</t>
  </si>
  <si>
    <t>5RGWIFLMGH3YS7KWI652</t>
  </si>
  <si>
    <t>28176168.50318</t>
  </si>
  <si>
    <t>14280.76</t>
  </si>
  <si>
    <t>TAESA</t>
  </si>
  <si>
    <t>BRTAEECDAM10</t>
  </si>
  <si>
    <t>355679.063425</t>
  </si>
  <si>
    <t>2619.15</t>
  </si>
  <si>
    <t>TALGG</t>
  </si>
  <si>
    <t>TALGO</t>
  </si>
  <si>
    <t>ES0105065009</t>
  </si>
  <si>
    <t>95980037JECHVQDJDT59</t>
  </si>
  <si>
    <t>2671860.864975</t>
  </si>
  <si>
    <t>TATGK</t>
  </si>
  <si>
    <t>TALK TALK TELECOM</t>
  </si>
  <si>
    <t>GB00B4YCDF59</t>
  </si>
  <si>
    <t>213800WF53FVDRRHRF44</t>
  </si>
  <si>
    <t>2240.35</t>
  </si>
  <si>
    <t>TPSTY</t>
  </si>
  <si>
    <t>TAPESTRY</t>
  </si>
  <si>
    <t>US8760301072</t>
  </si>
  <si>
    <t>549300LJNVY5SW3VTN33</t>
  </si>
  <si>
    <t>11225.37</t>
  </si>
  <si>
    <t>TARNG</t>
  </si>
  <si>
    <t>TAURON GROUP</t>
  </si>
  <si>
    <t>PLTAURN00011</t>
  </si>
  <si>
    <t>259400NAPDFBOTNCRL54</t>
  </si>
  <si>
    <t>24568248.263514</t>
  </si>
  <si>
    <t>7571.2</t>
  </si>
  <si>
    <t>TAYWG</t>
  </si>
  <si>
    <t>TAYLOR WIMPEY PLC, GR</t>
  </si>
  <si>
    <t>GB0008782301</t>
  </si>
  <si>
    <t>21380089BTRXTD8S3R66</t>
  </si>
  <si>
    <t>4036254.567259</t>
  </si>
  <si>
    <t>5457.62</t>
  </si>
  <si>
    <t>TCLCG</t>
  </si>
  <si>
    <t>TCL TECHNOLOGY GROUP CORPORATION</t>
  </si>
  <si>
    <t>CNE000001GL8</t>
  </si>
  <si>
    <t>300300K9RLEXIIDB1U19</t>
  </si>
  <si>
    <t>8582633.69</t>
  </si>
  <si>
    <t>91911910.445105</t>
  </si>
  <si>
    <t>40741.65</t>
  </si>
  <si>
    <t>TEKQG</t>
  </si>
  <si>
    <t>TD SYNNNEX</t>
  </si>
  <si>
    <t>US87162W1009</t>
  </si>
  <si>
    <t>5493004HI6PFLF46NS53</t>
  </si>
  <si>
    <t>11971.15</t>
  </si>
  <si>
    <t>TCOLG</t>
  </si>
  <si>
    <t>TE CONNECTIVITY LTD.</t>
  </si>
  <si>
    <t>16583.09</t>
  </si>
  <si>
    <t>TECHNIP FMC LIMITED</t>
  </si>
  <si>
    <t>GB00BDSFG982</t>
  </si>
  <si>
    <t>549300D5I93QWCJTCK36</t>
  </si>
  <si>
    <t>TCKRG</t>
  </si>
  <si>
    <t>TECK</t>
  </si>
  <si>
    <t>CA8787422044</t>
  </si>
  <si>
    <t>T8KI5SQ2JRWHL7XY0E11</t>
  </si>
  <si>
    <t>37847458.056548</t>
  </si>
  <si>
    <t>24795.18</t>
  </si>
  <si>
    <t>5TXRG</t>
  </si>
  <si>
    <t>TECNICAS REUNIDAS</t>
  </si>
  <si>
    <t>ES0178165017</t>
  </si>
  <si>
    <t>213800JEZBUPZKWJGF49</t>
  </si>
  <si>
    <t>1561410.59</t>
  </si>
  <si>
    <t>1288.27</t>
  </si>
  <si>
    <t>5TCRG</t>
  </si>
  <si>
    <t>TELECOM ARGENTINA</t>
  </si>
  <si>
    <t>1357822.59</t>
  </si>
  <si>
    <t>8053.91</t>
  </si>
  <si>
    <t>TLCMG</t>
  </si>
  <si>
    <t>TELECOM ITALIA</t>
  </si>
  <si>
    <t>IT0003497168</t>
  </si>
  <si>
    <t>TELEG</t>
  </si>
  <si>
    <t>TELEFONICA</t>
  </si>
  <si>
    <t>ES0178430E18</t>
  </si>
  <si>
    <t>549300EEJH4FEPDBBR25</t>
  </si>
  <si>
    <t>3964272.953517</t>
  </si>
  <si>
    <t>TELKG</t>
  </si>
  <si>
    <t>TELE-FONIKA KABLE</t>
  </si>
  <si>
    <t>7774.23</t>
  </si>
  <si>
    <t>63742.07</t>
  </si>
  <si>
    <t>606752.43</t>
  </si>
  <si>
    <t>TELEPERFORMANCE</t>
  </si>
  <si>
    <t>FR0000051807</t>
  </si>
  <si>
    <t>9695004GI61FHFFNRG61</t>
  </si>
  <si>
    <t>GTLVG</t>
  </si>
  <si>
    <t>TELEVISA</t>
  </si>
  <si>
    <t>MXP4987V1378</t>
  </si>
  <si>
    <t>549300O4AF0C816ILN62</t>
  </si>
  <si>
    <t>320009.021027</t>
  </si>
  <si>
    <t>10208.61</t>
  </si>
  <si>
    <t>TEHFP</t>
  </si>
  <si>
    <t>TENEO HOLDINGS LLC</t>
  </si>
  <si>
    <t>US8825081040</t>
  </si>
  <si>
    <t>WDJNR2L6D8RWOEB8T652</t>
  </si>
  <si>
    <t>49114949.651295</t>
  </si>
  <si>
    <t>30107.32</t>
  </si>
  <si>
    <t>TENNT</t>
  </si>
  <si>
    <t>TENNET</t>
  </si>
  <si>
    <t>724500LTUWK3JQG63903</t>
  </si>
  <si>
    <t>3346373.010593</t>
  </si>
  <si>
    <t>TERNA</t>
  </si>
  <si>
    <t>IT0003242622</t>
  </si>
  <si>
    <t>8156009E94ED54DE7C31</t>
  </si>
  <si>
    <t>4512625.655089</t>
  </si>
  <si>
    <t>21449.7</t>
  </si>
  <si>
    <t>TSKOG</t>
  </si>
  <si>
    <t>TESCO</t>
  </si>
  <si>
    <t>GB00BLGZ9862</t>
  </si>
  <si>
    <t>2138002P5RNKC5W2JZ46</t>
  </si>
  <si>
    <t>67636414.756965</t>
  </si>
  <si>
    <t>31960.53</t>
  </si>
  <si>
    <t>THALES</t>
  </si>
  <si>
    <t>FR0000121329</t>
  </si>
  <si>
    <t>529900FNDVTQJOVVPZ19</t>
  </si>
  <si>
    <t>10526013.118375</t>
  </si>
  <si>
    <t>TBGHG</t>
  </si>
  <si>
    <t>THE BERKELEY GROUP HOLDINGS</t>
  </si>
  <si>
    <t>GB00BP0RGD03</t>
  </si>
  <si>
    <t>2138009OQSSLVVHQAL78</t>
  </si>
  <si>
    <t>575070.888647</t>
  </si>
  <si>
    <t>5094.32</t>
  </si>
  <si>
    <t>1PYGG</t>
  </si>
  <si>
    <t>THE HUT GROUP LIMITED, GR</t>
  </si>
  <si>
    <t>GB00BMTV7393</t>
  </si>
  <si>
    <t>21380066N3SV9O8IDP37</t>
  </si>
  <si>
    <t>912038.73713</t>
  </si>
  <si>
    <t>1147.62</t>
  </si>
  <si>
    <t>HEIHG</t>
  </si>
  <si>
    <t>THE KRAFT HEINZ COMPANY</t>
  </si>
  <si>
    <t>US5007541064</t>
  </si>
  <si>
    <t>9845007488EC87F5AF14</t>
  </si>
  <si>
    <t>25469178.958973</t>
  </si>
  <si>
    <t>67159.15</t>
  </si>
  <si>
    <t>5C28K</t>
  </si>
  <si>
    <t>THE KROGER COMPANY</t>
  </si>
  <si>
    <t>US5010441013</t>
  </si>
  <si>
    <t>6CPEOKI6OYJ13Q6O7870</t>
  </si>
  <si>
    <t>70702745.413594</t>
  </si>
  <si>
    <t>32112.23</t>
  </si>
  <si>
    <t>TRFP6</t>
  </si>
  <si>
    <t>THE RESTAURANT GROUP PLC</t>
  </si>
  <si>
    <t>1115.8</t>
  </si>
  <si>
    <t>THYSSENKRUPP</t>
  </si>
  <si>
    <t>DE0007500001</t>
  </si>
  <si>
    <t>549300UDG16DOYUPR330</t>
  </si>
  <si>
    <t>43253792.932898</t>
  </si>
  <si>
    <t>TMHLP</t>
  </si>
  <si>
    <t>TOKIO MARINE HOLDINGS, INC (GR)</t>
  </si>
  <si>
    <t>JP3910660004</t>
  </si>
  <si>
    <t>5299009QN2NZ191KLS29</t>
  </si>
  <si>
    <t>187643.77</t>
  </si>
  <si>
    <t>09X0G</t>
  </si>
  <si>
    <t>TOTVS</t>
  </si>
  <si>
    <t>BRTOTSACNOR8</t>
  </si>
  <si>
    <t>37922.694938</t>
  </si>
  <si>
    <t>1034.42</t>
  </si>
  <si>
    <t>T09UG</t>
  </si>
  <si>
    <t>TRANSELEC</t>
  </si>
  <si>
    <t>549300DPF7MAL5F6CR86</t>
  </si>
  <si>
    <t>457306.087126</t>
  </si>
  <si>
    <t>3252.78</t>
  </si>
  <si>
    <t>TRVIG</t>
  </si>
  <si>
    <t>TRAVIS PERKINS</t>
  </si>
  <si>
    <t>GB00BK9RKT01</t>
  </si>
  <si>
    <t>2138001I27OUBAF22K83</t>
  </si>
  <si>
    <t>9918676.22</t>
  </si>
  <si>
    <t>3694.16</t>
  </si>
  <si>
    <t>TRCCG</t>
  </si>
  <si>
    <t>TRC COMPANIES LLC</t>
  </si>
  <si>
    <t>8671.58</t>
  </si>
  <si>
    <t>2824.67</t>
  </si>
  <si>
    <t>13108.17</t>
  </si>
  <si>
    <t>1523.48</t>
  </si>
  <si>
    <t>TISCG</t>
  </si>
  <si>
    <t>TRINA SOLAR CO LTD</t>
  </si>
  <si>
    <t>CNE100003ZR0</t>
  </si>
  <si>
    <t>30030040IFQ4UMZDUU48</t>
  </si>
  <si>
    <t>56153429.300341</t>
  </si>
  <si>
    <t>10513.97</t>
  </si>
  <si>
    <t>TRIGR</t>
  </si>
  <si>
    <t>TRIUMPH GROUP, GR</t>
  </si>
  <si>
    <t>US8968181011</t>
  </si>
  <si>
    <t>5493007L6S47Q14SL582</t>
  </si>
  <si>
    <t>5533234.656979</t>
  </si>
  <si>
    <t>1053.64</t>
  </si>
  <si>
    <t>TROFI</t>
  </si>
  <si>
    <t>TRONOX PLC</t>
  </si>
  <si>
    <t>GB00BJT16S69</t>
  </si>
  <si>
    <t>549300NRVC84SGJSXV06</t>
  </si>
  <si>
    <t>526898.46</t>
  </si>
  <si>
    <t>620120.04</t>
  </si>
  <si>
    <t>3676517.833268</t>
  </si>
  <si>
    <t>4601.76</t>
  </si>
  <si>
    <t>TKPRG</t>
  </si>
  <si>
    <t>TURKIYE PETROL RAFINERILERI, AS (TUPRAS)</t>
  </si>
  <si>
    <t>TRATUPRS91E8</t>
  </si>
  <si>
    <t>789000RCNG97UV50EE03</t>
  </si>
  <si>
    <t>8323.83</t>
  </si>
  <si>
    <t>UBTRG</t>
  </si>
  <si>
    <t>UBER</t>
  </si>
  <si>
    <t>US90353T1007</t>
  </si>
  <si>
    <t>549300B2FTG34FILDR98</t>
  </si>
  <si>
    <t>25290594.453704</t>
  </si>
  <si>
    <t>32640.65</t>
  </si>
  <si>
    <t>UCB, GR</t>
  </si>
  <si>
    <t>BE0003739530</t>
  </si>
  <si>
    <t>2138008J191VLSGY5A09</t>
  </si>
  <si>
    <t>958215.241311</t>
  </si>
  <si>
    <t>UMIEE</t>
  </si>
  <si>
    <t>UMICORE</t>
  </si>
  <si>
    <t>BE0974320526</t>
  </si>
  <si>
    <t>529900F3AIQECS8ZSV61</t>
  </si>
  <si>
    <t>5358.5</t>
  </si>
  <si>
    <t>UNIBG</t>
  </si>
  <si>
    <t>UNIBAIL RODAMCO WESTFIELD, GR</t>
  </si>
  <si>
    <t>FR0013326246</t>
  </si>
  <si>
    <t>969500SHQITWXSIS7N89</t>
  </si>
  <si>
    <t>49359.2</t>
  </si>
  <si>
    <t>UNILEVER</t>
  </si>
  <si>
    <t>GB00B10RZP78</t>
  </si>
  <si>
    <t>549300MKFYEKVRWML317</t>
  </si>
  <si>
    <t>59281563.068316</t>
  </si>
  <si>
    <t>UNIPG</t>
  </si>
  <si>
    <t>UNIPAR</t>
  </si>
  <si>
    <t>BRUNIPACNPB8</t>
  </si>
  <si>
    <t>25490038QVMHO6NX9E92</t>
  </si>
  <si>
    <t>1631531.442005</t>
  </si>
  <si>
    <t>798.44</t>
  </si>
  <si>
    <t>3UNIP</t>
  </si>
  <si>
    <t>UNIPER</t>
  </si>
  <si>
    <t>DE000UNSE026</t>
  </si>
  <si>
    <t>549300UXRTWGIBZQ4J67</t>
  </si>
  <si>
    <t>111064333.501742</t>
  </si>
  <si>
    <t>UPMKG</t>
  </si>
  <si>
    <t>UPM KYMMENE CORPORATION</t>
  </si>
  <si>
    <t>FI0009005987</t>
  </si>
  <si>
    <t>213800EC6PW5VU4J9U64</t>
  </si>
  <si>
    <t>9989842.680412</t>
  </si>
  <si>
    <t>VRDCG</t>
  </si>
  <si>
    <t>VALE</t>
  </si>
  <si>
    <t>BRVALEACNOR0</t>
  </si>
  <si>
    <t>254900SMTWBX7RU2SR20</t>
  </si>
  <si>
    <t>471317396.181257</t>
  </si>
  <si>
    <t>50324.55</t>
  </si>
  <si>
    <t>VANOR</t>
  </si>
  <si>
    <t>VAN OORD</t>
  </si>
  <si>
    <t>VATTE</t>
  </si>
  <si>
    <t>VATTENFALL</t>
  </si>
  <si>
    <t>549300T5RZ1HA5HZ3109</t>
  </si>
  <si>
    <t>16713025.221001</t>
  </si>
  <si>
    <t>25003.74</t>
  </si>
  <si>
    <t>VEOLIA ENVIRONNEMENT, GR</t>
  </si>
  <si>
    <t>FR0000124141</t>
  </si>
  <si>
    <t>969500LENY69X51OOT31</t>
  </si>
  <si>
    <t>30791532.963662</t>
  </si>
  <si>
    <t>VERBU</t>
  </si>
  <si>
    <t>VERBUND AG</t>
  </si>
  <si>
    <t>AT0000746409</t>
  </si>
  <si>
    <t>5299006UDSEJCTTEJS30</t>
  </si>
  <si>
    <t>4772271.635336</t>
  </si>
  <si>
    <t>13577.24</t>
  </si>
  <si>
    <t>5VRZG</t>
  </si>
  <si>
    <t>VERIZON COMMUNICATIONS ,GR</t>
  </si>
  <si>
    <t>US92343V1044</t>
  </si>
  <si>
    <t>2S72QS2UO2OESLG6Y829</t>
  </si>
  <si>
    <t>14429446.862218</t>
  </si>
  <si>
    <t>262062.66</t>
  </si>
  <si>
    <t>1VEST</t>
  </si>
  <si>
    <t>VESTA</t>
  </si>
  <si>
    <t>MX01VE0M0003</t>
  </si>
  <si>
    <t>4469000001BIRIFZJ959</t>
  </si>
  <si>
    <t>528290.226049</t>
  </si>
  <si>
    <t>3315.74</t>
  </si>
  <si>
    <t>0GG0G</t>
  </si>
  <si>
    <t>VESTAS, GR</t>
  </si>
  <si>
    <t>DK0061539921</t>
  </si>
  <si>
    <t>549300DYMC8BGZZC8844</t>
  </si>
  <si>
    <t>7669732.044529</t>
  </si>
  <si>
    <t>VESUV</t>
  </si>
  <si>
    <t>VESUVIUS PLC</t>
  </si>
  <si>
    <t>GB00B82YXW83</t>
  </si>
  <si>
    <t>213800ORZ521W585SY02</t>
  </si>
  <si>
    <t>6994182.96979</t>
  </si>
  <si>
    <t>2126.88</t>
  </si>
  <si>
    <t>VIAVG</t>
  </si>
  <si>
    <t>VIA VAREJO</t>
  </si>
  <si>
    <t>BRVIIAACNOR7</t>
  </si>
  <si>
    <t>984500F4BB82D0AB8237</t>
  </si>
  <si>
    <t>1697634.614567</t>
  </si>
  <si>
    <t>2756.77</t>
  </si>
  <si>
    <t>BRDIS</t>
  </si>
  <si>
    <t>VIBRA ENERGIA</t>
  </si>
  <si>
    <t>BRVBBRACNOR1</t>
  </si>
  <si>
    <t>549300U7VLJ3SYVNY689</t>
  </si>
  <si>
    <t>113210860.636605</t>
  </si>
  <si>
    <t>6408.91</t>
  </si>
  <si>
    <t>VIDRALA</t>
  </si>
  <si>
    <t>ES0183746314</t>
  </si>
  <si>
    <t>95980020140005399488</t>
  </si>
  <si>
    <t>1041784.961143</t>
  </si>
  <si>
    <t>VINCI</t>
  </si>
  <si>
    <t>FR0000125486</t>
  </si>
  <si>
    <t>VTROK</t>
  </si>
  <si>
    <t>VITRO SAB DE CV</t>
  </si>
  <si>
    <t>MXP9802B1093</t>
  </si>
  <si>
    <t>549300HYQMZQCPSS5D75</t>
  </si>
  <si>
    <t>819790.66</t>
  </si>
  <si>
    <t>1264662.418623</t>
  </si>
  <si>
    <t>712.05</t>
  </si>
  <si>
    <t>VIVENDI, GR</t>
  </si>
  <si>
    <t>FR0000127771</t>
  </si>
  <si>
    <t>969500FU4DRAEVJW7U54</t>
  </si>
  <si>
    <t>VO2LG</t>
  </si>
  <si>
    <t>VMED O2 UK LIMITED</t>
  </si>
  <si>
    <t>40837.77</t>
  </si>
  <si>
    <t>VODAFONE</t>
  </si>
  <si>
    <t>GB00BH4HKS39</t>
  </si>
  <si>
    <t>213800TB53ELEUKM7Q61</t>
  </si>
  <si>
    <t>8593853.575173</t>
  </si>
  <si>
    <t>VOETG</t>
  </si>
  <si>
    <t>VOESTALPINE</t>
  </si>
  <si>
    <t>AT0000937503</t>
  </si>
  <si>
    <t>529900ZAXBMQDIWPNB72</t>
  </si>
  <si>
    <t>12525343.855118</t>
  </si>
  <si>
    <t>11515.6</t>
  </si>
  <si>
    <t>G0QNG</t>
  </si>
  <si>
    <t>VOITH</t>
  </si>
  <si>
    <t>2425.77</t>
  </si>
  <si>
    <t>VLRIG</t>
  </si>
  <si>
    <t>VOLARIS</t>
  </si>
  <si>
    <t>MX01VO000009</t>
  </si>
  <si>
    <t>549300G8NLCMP9Z44X52</t>
  </si>
  <si>
    <t>1266827.18728</t>
  </si>
  <si>
    <t>4077.51</t>
  </si>
  <si>
    <t>VOLCA</t>
  </si>
  <si>
    <t>VOLCAN</t>
  </si>
  <si>
    <t>PEP648014202</t>
  </si>
  <si>
    <t>549300XKJ91C4SZLG750</t>
  </si>
  <si>
    <t>184423.68</t>
  </si>
  <si>
    <t>85715.14</t>
  </si>
  <si>
    <t>664502.04271</t>
  </si>
  <si>
    <t>1154.49</t>
  </si>
  <si>
    <t>VOLTALIA</t>
  </si>
  <si>
    <t>FR0011995588</t>
  </si>
  <si>
    <t>969500KE938Z79ZH1N44</t>
  </si>
  <si>
    <t>VOLVO AB</t>
  </si>
  <si>
    <t>SE0000115446</t>
  </si>
  <si>
    <t>461173.73</t>
  </si>
  <si>
    <t>43852.99</t>
  </si>
  <si>
    <t>138969092.901584</t>
  </si>
  <si>
    <t>GWMSG</t>
  </si>
  <si>
    <t>WALMART</t>
  </si>
  <si>
    <t>US9311421039</t>
  </si>
  <si>
    <t>Y87794H0US1R65VBXU25</t>
  </si>
  <si>
    <t>630897129.474941</t>
  </si>
  <si>
    <t>153813.95</t>
  </si>
  <si>
    <t>WALTD</t>
  </si>
  <si>
    <t>WALT DISNEY CORP</t>
  </si>
  <si>
    <t>US2546871060</t>
  </si>
  <si>
    <t>549300GZKULIZ0WOW665</t>
  </si>
  <si>
    <t>149226.62</t>
  </si>
  <si>
    <t>WACGG</t>
  </si>
  <si>
    <t>WANHUA CHEMICAL GROUP</t>
  </si>
  <si>
    <t>CNE0000016J9</t>
  </si>
  <si>
    <t>3003002H0G2KDG6CR124</t>
  </si>
  <si>
    <t>34437103.358833</t>
  </si>
  <si>
    <t>27714.17</t>
  </si>
  <si>
    <t>5PJTG</t>
  </si>
  <si>
    <t>WEBUILD SPA</t>
  </si>
  <si>
    <t>IT0003865570</t>
  </si>
  <si>
    <t>549300UKR289DF4UXQ47</t>
  </si>
  <si>
    <t>10395734.568484</t>
  </si>
  <si>
    <t>4893.99</t>
  </si>
  <si>
    <t>WEG</t>
  </si>
  <si>
    <t>BRWEGEACNOR0</t>
  </si>
  <si>
    <t>254900NKQV127YFRO022</t>
  </si>
  <si>
    <t>22460027.541841</t>
  </si>
  <si>
    <t>WEIRG</t>
  </si>
  <si>
    <t>WEIR</t>
  </si>
  <si>
    <t>GB0009465807</t>
  </si>
  <si>
    <t>549300KDR56WHY9I3D10</t>
  </si>
  <si>
    <t>3550.55</t>
  </si>
  <si>
    <t>SHUAK</t>
  </si>
  <si>
    <t>WH GROUP</t>
  </si>
  <si>
    <t>KYG960071028</t>
  </si>
  <si>
    <t>254900A4AYEDRWYSE928</t>
  </si>
  <si>
    <t>25296425.748743</t>
  </si>
  <si>
    <t>14519.47</t>
  </si>
  <si>
    <t>WHSMG</t>
  </si>
  <si>
    <t>WH SMITH</t>
  </si>
  <si>
    <t>GB00B2PDGW16</t>
  </si>
  <si>
    <t>2138001KJNGUJ34G7X91</t>
  </si>
  <si>
    <t>1807.47</t>
  </si>
  <si>
    <t>WHIRG</t>
  </si>
  <si>
    <t>WHIRLPOOL</t>
  </si>
  <si>
    <t>US9633201069</t>
  </si>
  <si>
    <t>WHENKOULSSK7WUM60H03</t>
  </si>
  <si>
    <t>56254429.381982</t>
  </si>
  <si>
    <t>10040.91</t>
  </si>
  <si>
    <t>W03NG</t>
  </si>
  <si>
    <t>WHITBREAD</t>
  </si>
  <si>
    <t>GB00B1KJJ408</t>
  </si>
  <si>
    <t>21380099VMZKRMN3EX36</t>
  </si>
  <si>
    <t>10385.06</t>
  </si>
  <si>
    <t>WTPPG</t>
  </si>
  <si>
    <t>WILLIS TOWERS WATSON PLC</t>
  </si>
  <si>
    <t>IE00BDB6Q211</t>
  </si>
  <si>
    <t>549300WHC56FF48KL350</t>
  </si>
  <si>
    <t>364187.867482</t>
  </si>
  <si>
    <t>13429.91</t>
  </si>
  <si>
    <t>WILMA</t>
  </si>
  <si>
    <t>WILMAR</t>
  </si>
  <si>
    <t>SG1T56930848</t>
  </si>
  <si>
    <t>549300H2EAI4YRLWBB20</t>
  </si>
  <si>
    <t>65036744.707741</t>
  </si>
  <si>
    <t>49110.24</t>
  </si>
  <si>
    <t>WINCK</t>
  </si>
  <si>
    <t>WINCANTON PLC</t>
  </si>
  <si>
    <t>213800Z5WTW8QKOHWQ82</t>
  </si>
  <si>
    <t>441728.869777</t>
  </si>
  <si>
    <t>260.33</t>
  </si>
  <si>
    <t>5WPPG</t>
  </si>
  <si>
    <t>WPP GROUP</t>
  </si>
  <si>
    <t>JE00B8KF9B49</t>
  </si>
  <si>
    <t>549300LSGBXPYHXGDT93</t>
  </si>
  <si>
    <t>5292852.465474</t>
  </si>
  <si>
    <t>12156.72</t>
  </si>
  <si>
    <t>XIAOG</t>
  </si>
  <si>
    <t>XIAOMI</t>
  </si>
  <si>
    <t>KYG9830T1067</t>
  </si>
  <si>
    <t>2549001ACVFAZRNMKL32</t>
  </si>
  <si>
    <t>10305998.754278</t>
  </si>
  <si>
    <t>29697.6</t>
  </si>
  <si>
    <t>0SD0G</t>
  </si>
  <si>
    <t>YAMANA GOLD</t>
  </si>
  <si>
    <t>CA98462Y1007</t>
  </si>
  <si>
    <t>54930002VY22NXG01418</t>
  </si>
  <si>
    <t>4275.83</t>
  </si>
  <si>
    <t>YARAK</t>
  </si>
  <si>
    <t>YARA INTERNATIONAL ASA</t>
  </si>
  <si>
    <t>NO0010208051</t>
  </si>
  <si>
    <t>213800WKOUWXWFJ5Z514</t>
  </si>
  <si>
    <t>59339895.899682</t>
  </si>
  <si>
    <t>10636.7</t>
  </si>
  <si>
    <t>YISON</t>
  </si>
  <si>
    <t>YINSON GROUP</t>
  </si>
  <si>
    <t>MYL7293OO003</t>
  </si>
  <si>
    <t>43486.6</t>
  </si>
  <si>
    <t>311.8</t>
  </si>
  <si>
    <t>349039.334706</t>
  </si>
  <si>
    <t>5064.94</t>
  </si>
  <si>
    <t>Y001J</t>
  </si>
  <si>
    <t>YOFC</t>
  </si>
  <si>
    <t>CNE100001T72</t>
  </si>
  <si>
    <t>836800VT7MZILX431W47</t>
  </si>
  <si>
    <t>59465.89</t>
  </si>
  <si>
    <t>329776.84</t>
  </si>
  <si>
    <t>5007998.345422</t>
  </si>
  <si>
    <t>3300.79</t>
  </si>
  <si>
    <t>ZALAJ</t>
  </si>
  <si>
    <t>ZALANDO SE</t>
  </si>
  <si>
    <t>DE000ZAL1111</t>
  </si>
  <si>
    <t>529900YRFFGH5AXU4S86</t>
  </si>
  <si>
    <t>4390.8</t>
  </si>
  <si>
    <t>ZAPAK</t>
  </si>
  <si>
    <t>ZE PAK GROUP</t>
  </si>
  <si>
    <t>PLZEPAK00012</t>
  </si>
  <si>
    <t>259400T6CRXYOG6H8U09</t>
  </si>
  <si>
    <t>1925049.956639</t>
  </si>
  <si>
    <t>516.76</t>
  </si>
  <si>
    <t>ZFDEG</t>
  </si>
  <si>
    <t>ZF</t>
  </si>
  <si>
    <t>DE0007851008</t>
  </si>
  <si>
    <t>529900CAYOWB8YIG7X25</t>
  </si>
  <si>
    <t>Z00CG</t>
  </si>
  <si>
    <t>ZHEJIANG HUAYOU COBALT</t>
  </si>
  <si>
    <t>CNE100001VW3</t>
  </si>
  <si>
    <t>30030099QFLNMEGP7M05</t>
  </si>
  <si>
    <t>12162771.346405</t>
  </si>
  <si>
    <t>14958.27</t>
  </si>
  <si>
    <t>UPZIG</t>
  </si>
  <si>
    <t>ZIJIN MINING GROUP</t>
  </si>
  <si>
    <t>CNE100000502</t>
  </si>
  <si>
    <t>836800JRNL2393Z2I561</t>
  </si>
  <si>
    <t>38703763.441362</t>
  </si>
  <si>
    <t>43107.17</t>
  </si>
  <si>
    <t>02F0G</t>
  </si>
  <si>
    <t>ZTE</t>
  </si>
  <si>
    <t>CNE000000TK5</t>
  </si>
  <si>
    <t>3003004FBGVVG1CW5U45</t>
  </si>
  <si>
    <t>71971147.931782</t>
  </si>
  <si>
    <t>17297.98</t>
  </si>
  <si>
    <t xml:space="preserve"> </t>
  </si>
  <si>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</si>
  <si>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</si>
  <si>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</si>
  <si>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</si>
  <si>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</si>
  <si>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</si>
  <si>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</si>
  <si>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</si>
  <si>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</si>
  <si>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</si>
  <si>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</si>
  <si>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</si>
  <si>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</si>
  <si>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</si>
  <si>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</si>
  <si>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</si>
  <si>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</si>
  <si>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</si>
  <si>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</si>
  <si>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</si>
  <si>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</si>
  <si>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</si>
  <si>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</si>
  <si>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</si>
  <si>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</si>
  <si>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</si>
  <si>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</si>
  <si>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</si>
  <si>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</si>
  <si>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</si>
  <si>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</si>
  <si>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</si>
  <si>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</si>
  <si>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</si>
  <si>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A - Agriculture, forestry and fishing</t>
  </si>
  <si>
    <t>B - Mining and quarrying</t>
  </si>
  <si>
    <t>B5</t>
  </si>
  <si>
    <t xml:space="preserve">B.05 - Mining of coal and lignite </t>
  </si>
  <si>
    <t>B6</t>
  </si>
  <si>
    <t xml:space="preserve">B.06 - Extraction of crude petroleum and natural gas  </t>
  </si>
  <si>
    <t>B7</t>
  </si>
  <si>
    <t xml:space="preserve">B.07 - Mining of metal ores  </t>
  </si>
  <si>
    <t>B8</t>
  </si>
  <si>
    <t xml:space="preserve">B.08 - Other mining and quarrying </t>
  </si>
  <si>
    <t>B9</t>
  </si>
  <si>
    <t xml:space="preserve">B.09 - Mining support service activities </t>
  </si>
  <si>
    <t>C - Manufacturing</t>
  </si>
  <si>
    <t>C10</t>
  </si>
  <si>
    <t>C.10 - Manufacture of food products</t>
  </si>
  <si>
    <t>C11</t>
  </si>
  <si>
    <t>C.11 - Manufacture of beverages</t>
  </si>
  <si>
    <t>C12</t>
  </si>
  <si>
    <t>C.12 - Manufacture of tobacco products</t>
  </si>
  <si>
    <t>C13</t>
  </si>
  <si>
    <t>C.13 - Manufacture of textiles</t>
  </si>
  <si>
    <t>C14</t>
  </si>
  <si>
    <t>C.14 - Manufacture of wearing apparel</t>
  </si>
  <si>
    <t>C15</t>
  </si>
  <si>
    <t>C.15 - Manufacture of leather and related products</t>
  </si>
  <si>
    <t>C16</t>
  </si>
  <si>
    <t>C.16 - Manufacture of wood and of products of wood and cork, except furniture; manufacture of articles of straw and plaiting materials</t>
  </si>
  <si>
    <t>C17</t>
  </si>
  <si>
    <t xml:space="preserve">C.17 - Manufacture of pulp, paper and paperboard </t>
  </si>
  <si>
    <t>C18</t>
  </si>
  <si>
    <t>C.18 -  Printing and service activities related to printing</t>
  </si>
  <si>
    <t>C19</t>
  </si>
  <si>
    <t>C.19 -  Manufacture of coke oven products</t>
  </si>
  <si>
    <t>C20</t>
  </si>
  <si>
    <t xml:space="preserve">C.20 - Production of chemicals </t>
  </si>
  <si>
    <t>C21</t>
  </si>
  <si>
    <t>C.21 - Manufacture of pharmaceutical preparations</t>
  </si>
  <si>
    <t>C22</t>
  </si>
  <si>
    <t>C.22 - Manufacture of rubber products</t>
  </si>
  <si>
    <t>C23</t>
  </si>
  <si>
    <t>C.23 - Manufacture of other non-metallic mineral products</t>
  </si>
  <si>
    <t>C24</t>
  </si>
  <si>
    <t>C.24 - Manufacture of basic metals</t>
  </si>
  <si>
    <t>C25</t>
  </si>
  <si>
    <t>C.25 - Manufacture of fabricated metal products, except machinery and equipment</t>
  </si>
  <si>
    <t>C26</t>
  </si>
  <si>
    <t>C.26 - Manufacture of computer, electronic and optical products</t>
  </si>
  <si>
    <t>C27</t>
  </si>
  <si>
    <t>C.27 - Manufacture of electrical equipment</t>
  </si>
  <si>
    <t>C28</t>
  </si>
  <si>
    <t>C.28 - Manufacture of machinery and equipment n.e.c.</t>
  </si>
  <si>
    <t>C29</t>
  </si>
  <si>
    <t>C.29 - Manufacture of motor vehicles, trailers and semi-trailers</t>
  </si>
  <si>
    <t>C30</t>
  </si>
  <si>
    <t>C.30 - Manufacture of other transport equipment</t>
  </si>
  <si>
    <t>C31</t>
  </si>
  <si>
    <t>C.31 - Manufacture of furniture</t>
  </si>
  <si>
    <t>C32</t>
  </si>
  <si>
    <t>C.32 - Other manufacturing</t>
  </si>
  <si>
    <t>C33</t>
  </si>
  <si>
    <t>C.33 - Repair and installation of machinery and equipment</t>
  </si>
  <si>
    <t>D - Electricity, gas, steam and air conditioning supply</t>
  </si>
  <si>
    <t>D35.1</t>
  </si>
  <si>
    <t>D35.1 - Electric power generation, transmission and distribution</t>
  </si>
  <si>
    <t>D35.1.1</t>
  </si>
  <si>
    <t>D35.11 - Production of electricity</t>
  </si>
  <si>
    <t>D35.2</t>
  </si>
  <si>
    <t>D35.2 - Manufacture of gas; distribution of gaseous fuels through mains</t>
  </si>
  <si>
    <t>D35.3</t>
  </si>
  <si>
    <t>D35.3 - Steam and air conditioning supply</t>
  </si>
  <si>
    <t>E - Water supply; sewerage, waste management and remediation activities</t>
  </si>
  <si>
    <t>F - Construction</t>
  </si>
  <si>
    <t>F41</t>
  </si>
  <si>
    <t>F.41 - Construction of buildings</t>
  </si>
  <si>
    <t>F42</t>
  </si>
  <si>
    <t>F.42 - Civil engineering</t>
  </si>
  <si>
    <t>F43</t>
  </si>
  <si>
    <t>F.43 - Specialised construction activities</t>
  </si>
  <si>
    <t>G - Wholesale and retail trade; repair of motor vehicles and motorcycles</t>
  </si>
  <si>
    <t>H - Transportation and storage</t>
  </si>
  <si>
    <t>H49</t>
  </si>
  <si>
    <t>H.49 - Land transport and transport via pipelines</t>
  </si>
  <si>
    <t>H50</t>
  </si>
  <si>
    <t>H.50 - Water transport</t>
  </si>
  <si>
    <t>H51</t>
  </si>
  <si>
    <t>H.51 - Air transport</t>
  </si>
  <si>
    <t>H52</t>
  </si>
  <si>
    <t>H.52 - Warehousing and support activities for transportation</t>
  </si>
  <si>
    <t>H53</t>
  </si>
  <si>
    <t>H.53 - Postal and courier activities</t>
  </si>
  <si>
    <t>I - Accommodation and food service activities</t>
  </si>
  <si>
    <t>L - Real estate activities</t>
  </si>
  <si>
    <t>Exposures towards sectors other than those that highly contribute to climate change*</t>
  </si>
  <si>
    <t>K - Financial and insurance activities</t>
  </si>
  <si>
    <t>J, M-U</t>
  </si>
  <si>
    <t>Exposures to other sectors (NACE codes J, M - U)</t>
  </si>
  <si>
    <t>TOTAL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</si>
  <si>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</si>
  <si>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valor bruto</t>
  </si>
  <si>
    <t>imparidade</t>
  </si>
  <si>
    <t>excluido</t>
  </si>
  <si>
    <t>stage 2</t>
  </si>
  <si>
    <t>stage 3</t>
  </si>
  <si>
    <t>&gt;5</t>
  </si>
  <si>
    <t>&gt;10</t>
  </si>
  <si>
    <t>&gt;20</t>
  </si>
  <si>
    <t>&lt;=10</t>
  </si>
  <si>
    <t>&lt;=20</t>
  </si>
  <si>
    <t>CLIENTES SCIB NA NFIN REPORTADA, MAS NA NA NFIN GERADA NO DIA 14/10 NÃO FORAM APANHADOS COMO SCIB</t>
  </si>
  <si>
    <t>nace</t>
  </si>
  <si>
    <t>origem_scp1_emss</t>
  </si>
  <si>
    <t>origem_scp2_emss</t>
  </si>
  <si>
    <t>origem_scp3_emss</t>
  </si>
  <si>
    <t>glcs_code</t>
  </si>
  <si>
    <t>flag_cliente</t>
  </si>
  <si>
    <t>flag_scib</t>
  </si>
  <si>
    <t>divida_tatico</t>
  </si>
  <si>
    <t>divida_estr</t>
  </si>
  <si>
    <t>RE_DQS4_2B</t>
  </si>
  <si>
    <t>Nao Aplicavel</t>
  </si>
  <si>
    <t>MVL_DQS3_2B</t>
  </si>
  <si>
    <t>MISS</t>
  </si>
  <si>
    <t>MVL_DQS4_3A</t>
  </si>
  <si>
    <t>BCL_DQS1_SCIB</t>
  </si>
  <si>
    <t>BCL_DQS4_SCIB</t>
  </si>
  <si>
    <t>RE_DQS3_2A</t>
  </si>
  <si>
    <t>BCL_DQS5_3B</t>
  </si>
  <si>
    <t>RE_DQS5_3</t>
  </si>
  <si>
    <t>BCL_DQS4_3A</t>
  </si>
  <si>
    <t>BCL_DQS2_SCIB</t>
  </si>
  <si>
    <t>MVL_DQS5_3B</t>
  </si>
  <si>
    <t>PF_DQS1_SCIB</t>
  </si>
  <si>
    <t>PF_DQS4_SCIB</t>
  </si>
  <si>
    <t>PF_DQS1_1A</t>
  </si>
  <si>
    <t>PF_DQS5_3B</t>
  </si>
  <si>
    <t>PF_DQS2_SCIB</t>
  </si>
  <si>
    <t>Row Labels</t>
  </si>
  <si>
    <t>(blank)</t>
  </si>
  <si>
    <t>Grand Total</t>
  </si>
  <si>
    <t>Sum of total</t>
  </si>
  <si>
    <t>amount</t>
  </si>
  <si>
    <t>gesi</t>
  </si>
  <si>
    <t>gesii</t>
  </si>
  <si>
    <t>gesiii</t>
  </si>
  <si>
    <t>bu_esg_work.EMI_FINAN_V3</t>
  </si>
  <si>
    <t>Sum of gesi</t>
  </si>
  <si>
    <t>Sum of gesii</t>
  </si>
  <si>
    <t>Sum of gesiii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</si>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</sst>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-* #,##0\ _€_-;\-* #,##0\ _€_-;_-* &quot;-&quot;??\ _€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i/>
      <sz val="11"/>
      <color theme="1"/>
      <name val="Calibri"/>
      <family val="2"/>
      <scheme val="minor"/>
    </font>
    <font>
      <b/>
      <u/>
      <sz val="11"/>
      <color rgb="FFFF0000"/>
      <name val="Santander Text"/>
      <family val="2"/>
    </font>
    <font>
      <sz val="11"/>
      <color rgb="FFFF0000"/>
      <name val="Santander Text"/>
      <family val="2"/>
    </font>
    <font>
      <b/>
      <u/>
      <sz val="11"/>
      <color theme="0"/>
      <name val="Santander Text"/>
      <family val="2"/>
    </font>
    <font>
      <sz val="11"/>
      <color theme="0"/>
      <name val="Santander Text"/>
      <family val="2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Fill="0" applyProtection="0"/>
  </cellStyleXfs>
  <cellXfs count="98">
    <xf numFmtId="0" fontId="0" fillId="0" borderId="0" xfId="0"/>
    <xf numFmtId="0" fontId="0" fillId="0" borderId="0" xfId="0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/>
    </xf>
    <xf numFmtId="9" fontId="2" fillId="0" borderId="0" xfId="2" applyFont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43" fontId="2" fillId="4" borderId="2" xfId="1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" fontId="0" fillId="0" borderId="0" xfId="0" applyNumberFormat="1"/>
    <xf numFmtId="49" fontId="0" fillId="0" borderId="0" xfId="0" applyNumberFormat="1"/>
    <xf numFmtId="0" fontId="12" fillId="0" borderId="0" xfId="3"/>
    <xf numFmtId="0" fontId="0" fillId="0" borderId="0" xfId="0" applyNumberFormat="1"/>
    <xf numFmtId="0" fontId="13" fillId="5" borderId="0" xfId="0" applyFont="1" applyFill="1"/>
    <xf numFmtId="0" fontId="14" fillId="5" borderId="0" xfId="0" applyFont="1" applyFill="1" applyAlignment="1">
      <alignment horizontal="left"/>
    </xf>
    <xf numFmtId="0" fontId="15" fillId="5" borderId="10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center"/>
    </xf>
    <xf numFmtId="0" fontId="15" fillId="5" borderId="16" xfId="0" applyFont="1" applyFill="1" applyBorder="1" applyAlignment="1">
      <alignment vertical="center" wrapText="1"/>
    </xf>
    <xf numFmtId="0" fontId="16" fillId="5" borderId="17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5" borderId="8" xfId="0" applyFont="1" applyFill="1" applyBorder="1" applyAlignment="1">
      <alignment vertical="center" wrapText="1"/>
    </xf>
    <xf numFmtId="0" fontId="13" fillId="5" borderId="16" xfId="0" applyFont="1" applyFill="1" applyBorder="1" applyAlignment="1">
      <alignment vertical="center" wrapText="1"/>
    </xf>
    <xf numFmtId="0" fontId="16" fillId="5" borderId="16" xfId="0" applyFont="1" applyFill="1" applyBorder="1" applyAlignment="1">
      <alignment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1" xfId="0" applyFont="1" applyFill="1" applyBorder="1"/>
    <xf numFmtId="0" fontId="15" fillId="5" borderId="1" xfId="0" applyFont="1" applyFill="1" applyBorder="1" applyAlignment="1">
      <alignment horizontal="left" vertical="center" wrapText="1"/>
    </xf>
    <xf numFmtId="4" fontId="13" fillId="5" borderId="1" xfId="0" applyNumberFormat="1" applyFont="1" applyFill="1" applyBorder="1" applyAlignment="1">
      <alignment horizontal="right" vertical="center" wrapText="1"/>
    </xf>
    <xf numFmtId="4" fontId="13" fillId="0" borderId="1" xfId="0" applyNumberFormat="1" applyFont="1" applyFill="1" applyBorder="1" applyAlignment="1">
      <alignment horizontal="right" vertical="center" wrapText="1"/>
    </xf>
    <xf numFmtId="9" fontId="13" fillId="0" borderId="1" xfId="2" applyFont="1" applyFill="1" applyBorder="1" applyAlignment="1">
      <alignment horizontal="right" vertical="center" wrapText="1"/>
    </xf>
    <xf numFmtId="4" fontId="17" fillId="0" borderId="1" xfId="0" applyNumberFormat="1" applyFont="1" applyFill="1" applyBorder="1" applyAlignment="1">
      <alignment horizontal="right" vertical="center" wrapText="1"/>
    </xf>
    <xf numFmtId="0" fontId="18" fillId="5" borderId="0" xfId="0" applyFont="1" applyFill="1"/>
    <xf numFmtId="0" fontId="13" fillId="5" borderId="1" xfId="0" applyFont="1" applyFill="1" applyBorder="1" applyAlignment="1">
      <alignment horizontal="left" vertical="center" indent="1"/>
    </xf>
    <xf numFmtId="4" fontId="13" fillId="0" borderId="1" xfId="0" applyNumberFormat="1" applyFont="1" applyBorder="1" applyAlignment="1">
      <alignment horizontal="right" vertical="center"/>
    </xf>
    <xf numFmtId="4" fontId="13" fillId="0" borderId="1" xfId="0" applyNumberFormat="1" applyFont="1" applyFill="1" applyBorder="1" applyAlignment="1">
      <alignment horizontal="right"/>
    </xf>
    <xf numFmtId="9" fontId="13" fillId="0" borderId="1" xfId="2" applyFont="1" applyFill="1" applyBorder="1" applyAlignment="1">
      <alignment horizontal="right"/>
    </xf>
    <xf numFmtId="4" fontId="13" fillId="5" borderId="1" xfId="0" applyNumberFormat="1" applyFont="1" applyFill="1" applyBorder="1" applyAlignment="1">
      <alignment horizontal="right" vertical="center"/>
    </xf>
    <xf numFmtId="4" fontId="13" fillId="5" borderId="1" xfId="0" applyNumberFormat="1" applyFont="1" applyFill="1" applyBorder="1" applyAlignment="1">
      <alignment horizontal="right"/>
    </xf>
    <xf numFmtId="0" fontId="17" fillId="5" borderId="1" xfId="0" applyFont="1" applyFill="1" applyBorder="1" applyAlignment="1">
      <alignment horizontal="left" vertical="center" indent="3"/>
    </xf>
    <xf numFmtId="0" fontId="17" fillId="5" borderId="1" xfId="0" applyFont="1" applyFill="1" applyBorder="1" applyAlignment="1">
      <alignment horizontal="left" vertical="center" wrapText="1" indent="3"/>
    </xf>
    <xf numFmtId="9" fontId="13" fillId="0" borderId="1" xfId="2" applyNumberFormat="1" applyFont="1" applyFill="1" applyBorder="1" applyAlignment="1">
      <alignment horizontal="right"/>
    </xf>
    <xf numFmtId="0" fontId="19" fillId="5" borderId="1" xfId="0" applyFont="1" applyFill="1" applyBorder="1" applyAlignment="1">
      <alignment horizontal="left" vertical="center" indent="1"/>
    </xf>
    <xf numFmtId="0" fontId="20" fillId="5" borderId="0" xfId="0" applyFont="1" applyFill="1"/>
    <xf numFmtId="0" fontId="21" fillId="5" borderId="1" xfId="0" applyFont="1" applyFill="1" applyBorder="1" applyAlignment="1">
      <alignment horizontal="left" vertical="center" wrapText="1"/>
    </xf>
    <xf numFmtId="4" fontId="13" fillId="0" borderId="1" xfId="0" applyNumberFormat="1" applyFont="1" applyBorder="1" applyAlignment="1">
      <alignment horizontal="right" vertical="center" wrapText="1"/>
    </xf>
    <xf numFmtId="9" fontId="13" fillId="0" borderId="1" xfId="2" applyFont="1" applyBorder="1" applyAlignment="1">
      <alignment horizontal="right" vertical="center" wrapText="1"/>
    </xf>
    <xf numFmtId="4" fontId="17" fillId="0" borderId="1" xfId="0" quotePrefix="1" applyNumberFormat="1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horizontal="left" vertical="center" wrapText="1" indent="1"/>
    </xf>
    <xf numFmtId="4" fontId="22" fillId="0" borderId="0" xfId="0" applyNumberFormat="1" applyFont="1" applyAlignment="1">
      <alignment horizontal="right"/>
    </xf>
    <xf numFmtId="4" fontId="22" fillId="0" borderId="1" xfId="0" applyNumberFormat="1" applyFont="1" applyBorder="1" applyAlignment="1">
      <alignment horizontal="right"/>
    </xf>
    <xf numFmtId="9" fontId="22" fillId="0" borderId="1" xfId="2" applyFont="1" applyBorder="1" applyAlignment="1">
      <alignment horizontal="right"/>
    </xf>
    <xf numFmtId="4" fontId="13" fillId="5" borderId="1" xfId="0" quotePrefix="1" applyNumberFormat="1" applyFont="1" applyFill="1" applyBorder="1" applyAlignment="1">
      <alignment horizontal="right" wrapText="1"/>
    </xf>
    <xf numFmtId="0" fontId="19" fillId="5" borderId="1" xfId="0" applyFont="1" applyFill="1" applyBorder="1" applyAlignment="1">
      <alignment horizontal="left" vertical="center"/>
    </xf>
    <xf numFmtId="9" fontId="13" fillId="0" borderId="1" xfId="2" applyFont="1" applyBorder="1" applyAlignment="1">
      <alignment horizontal="right" vertical="center"/>
    </xf>
    <xf numFmtId="0" fontId="19" fillId="5" borderId="6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vertical="center"/>
    </xf>
    <xf numFmtId="0" fontId="18" fillId="5" borderId="0" xfId="0" applyFont="1" applyFill="1" applyAlignment="1">
      <alignment vertical="center"/>
    </xf>
    <xf numFmtId="0" fontId="18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vertical="center" wrapText="1"/>
    </xf>
    <xf numFmtId="4" fontId="13" fillId="5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11" fillId="0" borderId="0" xfId="0" applyFont="1"/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23" fillId="0" borderId="0" xfId="0" applyFont="1"/>
    <xf numFmtId="0" fontId="0" fillId="8" borderId="0" xfId="0" applyFill="1"/>
    <xf numFmtId="0" fontId="0" fillId="6" borderId="0" xfId="0" applyFill="1"/>
    <xf numFmtId="4" fontId="0" fillId="6" borderId="0" xfId="0" applyNumberFormat="1" applyFill="1"/>
    <xf numFmtId="0" fontId="0" fillId="7" borderId="0" xfId="0" applyFill="1"/>
    <xf numFmtId="0" fontId="3" fillId="4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1217083</xdr:colOff>
      <xdr:row>23</xdr:row>
      <xdr:rowOff>74084</xdr:rowOff>
    </xdr:from>
    <xdr:to>
      <xdr:col>17</xdr:col>
      <xdr:colOff>760577</xdr:colOff>
      <xdr:row>46</xdr:row>
      <xdr:rowOff>134140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81666" y="5990167"/>
          <a:ext cx="4972744" cy="56586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élder Filipe Felicidade Fernandes" refreshedDate="45945.456758217595" createdVersion="6" refreshedVersion="6" minRefreshableVersion="3" recordCount="409">
  <cacheSource type="worksheet">
    <worksheetSource ref="A2:O411" sheet="AS IS "/>
  </cacheSource>
  <cacheFields count="15">
    <cacheField name="nace" numFmtId="0">
      <sharedItems containsBlank="1" count="22"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  <s v="P"/>
        <s v="Q"/>
        <s v="R"/>
        <s v="S"/>
        <s v="T"/>
        <s v="U"/>
        <m/>
      </sharedItems>
    </cacheField>
    <cacheField name="origem_scp1_emss" numFmtId="0">
      <sharedItems/>
    </cacheField>
    <cacheField name="origem_scp2_emss" numFmtId="0">
      <sharedItems/>
    </cacheField>
    <cacheField name="origem_scp3_emss" numFmtId="0">
      <sharedItems/>
    </cacheField>
    <cacheField name="glcs_code" numFmtId="0">
      <sharedItems/>
    </cacheField>
    <cacheField name="flag_cliente" numFmtId="0">
      <sharedItems containsSemiMixedTypes="0" containsString="0" containsNumber="1" containsInteger="1" minValue="0" maxValue="1"/>
    </cacheField>
    <cacheField name="flag_scib" numFmtId="0">
      <sharedItems containsSemiMixedTypes="0" containsString="0" containsNumber="1" containsInteger="1" minValue="0" maxValue="1"/>
    </cacheField>
    <cacheField name="montante" numFmtId="4">
      <sharedItems containsString="0" containsBlank="1" containsNumber="1" minValue="-1652682996.8127601" maxValue="1630549.15"/>
    </cacheField>
    <cacheField name="total" numFmtId="4">
      <sharedItems containsSemiMixedTypes="0" containsString="0" containsNumber="1" minValue="0" maxValue="1384243.454496"/>
    </cacheField>
    <cacheField name="amount" numFmtId="4">
      <sharedItems containsString="0" containsBlank="1" containsNumber="1" minValue="-1630549.15" maxValue="1652682996.8116701"/>
    </cacheField>
    <cacheField name="gesi" numFmtId="4">
      <sharedItems containsString="0" containsBlank="1" containsNumber="1" minValue="0" maxValue="274537.157397"/>
    </cacheField>
    <cacheField name="gesii" numFmtId="4">
      <sharedItems containsString="0" containsBlank="1" containsNumber="1" minValue="0" maxValue="656384.60534300003"/>
    </cacheField>
    <cacheField name="gesiii" numFmtId="4">
      <sharedItems containsString="0" containsBlank="1" containsNumber="1" minValue="0" maxValue="1047553.72866"/>
    </cacheField>
    <cacheField name="divida_tatico" numFmtId="4">
      <sharedItems containsString="0" containsBlank="1" containsNumber="1" minValue="888.52" maxValue="38555475"/>
    </cacheField>
    <cacheField name="divida_estr" numFmtId="4">
      <sharedItems containsString="0" containsBlank="1" containsNumber="1" minValue="973" maxValue="38555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élder Filipe Felicidade Fernandes" refreshedDate="45945.468103472223" createdVersion="6" refreshedVersion="6" minRefreshableVersion="3" recordCount="69">
  <cacheSource type="worksheet">
    <worksheetSource ref="B2:G71" sheet="Sheet3"/>
  </cacheSource>
  <cacheFields count="6">
    <cacheField name="nace" numFmtId="0">
      <sharedItems count="12">
        <s v="G"/>
        <s v="D"/>
        <s v="C"/>
        <s v="H"/>
        <s v="J"/>
        <s v="Q"/>
        <s v="M"/>
        <s v="F"/>
        <s v="A"/>
        <s v="N"/>
        <s v="E"/>
        <s v="I"/>
      </sharedItems>
    </cacheField>
    <cacheField name="glcs_code" numFmtId="0">
      <sharedItems/>
    </cacheField>
    <cacheField name="amount" numFmtId="4">
      <sharedItems containsSemiMixedTypes="0" containsString="0" containsNumber="1" minValue="3440.66" maxValue="603340103.61000001"/>
    </cacheField>
    <cacheField name="gesi" numFmtId="4">
      <sharedItems containsSemiMixedTypes="0" containsString="0" containsNumber="1" minValue="0" maxValue="55508.885119999999"/>
    </cacheField>
    <cacheField name="gesii" numFmtId="4">
      <sharedItems containsSemiMixedTypes="0" containsString="0" containsNumber="1" minValue="6.2430000000000003E-3" maxValue="12890.415864000001"/>
    </cacheField>
    <cacheField name="gesiii" numFmtId="4">
      <sharedItems containsSemiMixedTypes="0" containsString="0" containsNumber="1" minValue="0.27729300000000001" maxValue="356641.727231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élder Filipe Felicidade Fernandes" refreshedDate="45945.469223263892" createdVersion="6" refreshedVersion="6" minRefreshableVersion="3" recordCount="407">
  <cacheSource type="worksheet">
    <worksheetSource ref="A2:O409" sheet="AS IS "/>
  </cacheSource>
  <cacheFields count="15">
    <cacheField name="nace" numFmtId="0">
      <sharedItems count="21"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  <s v="P"/>
        <s v="Q"/>
        <s v="R"/>
        <s v="S"/>
        <s v="T"/>
        <s v="U"/>
      </sharedItems>
    </cacheField>
    <cacheField name="origem_scp1_emss" numFmtId="0">
      <sharedItems/>
    </cacheField>
    <cacheField name="origem_scp2_emss" numFmtId="0">
      <sharedItems/>
    </cacheField>
    <cacheField name="origem_scp3_emss" numFmtId="0">
      <sharedItems/>
    </cacheField>
    <cacheField name="glcs_code" numFmtId="0">
      <sharedItems/>
    </cacheField>
    <cacheField name="flag_cliente" numFmtId="0">
      <sharedItems containsSemiMixedTypes="0" containsString="0" containsNumber="1" containsInteger="1" minValue="0" maxValue="1"/>
    </cacheField>
    <cacheField name="flag_scib" numFmtId="0">
      <sharedItems containsSemiMixedTypes="0" containsString="0" containsNumber="1" containsInteger="1" minValue="0" maxValue="1" count="2">
        <n v="0"/>
        <n v="1"/>
      </sharedItems>
    </cacheField>
    <cacheField name="montante" numFmtId="4">
      <sharedItems containsString="0" containsBlank="1" containsNumber="1" minValue="-1652682996.8127601" maxValue="1630549.15"/>
    </cacheField>
    <cacheField name="total" numFmtId="4">
      <sharedItems containsSemiMixedTypes="0" containsString="0" containsNumber="1" minValue="0" maxValue="1384243.454496"/>
    </cacheField>
    <cacheField name="amount" numFmtId="4">
      <sharedItems containsString="0" containsBlank="1" containsNumber="1" minValue="-1630549.15" maxValue="1652682996.8116701"/>
    </cacheField>
    <cacheField name="gesi" numFmtId="4">
      <sharedItems containsString="0" containsBlank="1" containsNumber="1" minValue="0" maxValue="274537.157397"/>
    </cacheField>
    <cacheField name="gesii" numFmtId="4">
      <sharedItems containsString="0" containsBlank="1" containsNumber="1" minValue="0" maxValue="656384.60534300003"/>
    </cacheField>
    <cacheField name="gesiii" numFmtId="4">
      <sharedItems containsString="0" containsBlank="1" containsNumber="1" minValue="0" maxValue="1047553.72866"/>
    </cacheField>
    <cacheField name="divida_tatico" numFmtId="4">
      <sharedItems containsString="0" containsBlank="1" containsNumber="1" minValue="888.52" maxValue="38555475"/>
    </cacheField>
    <cacheField name="divida_estr" numFmtId="4">
      <sharedItems containsString="0" containsBlank="1" containsNumber="1" minValue="973" maxValue="38555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9">
  <r>
    <x v="0"/>
    <s v="RE_DQS4_2B"/>
    <s v="RE_DQS4_2B"/>
    <s v="Nao Aplicavel"/>
    <s v="NULL"/>
    <n v="0"/>
    <n v="0"/>
    <n v="-93149827.378593504"/>
    <n v="778636.77333400003"/>
    <n v="93149827.378571004"/>
    <n v="122252.16799099999"/>
    <n v="656384.60534300003"/>
    <m/>
    <m/>
    <m/>
  </r>
  <r>
    <x v="0"/>
    <s v="Nao Aplicavel"/>
    <s v="MVL_DQS3_2B"/>
    <s v="Nao Aplicavel"/>
    <s v="NULL"/>
    <n v="0"/>
    <n v="0"/>
    <n v="-3076.44"/>
    <n v="0.147255"/>
    <n v="3076.44"/>
    <m/>
    <n v="0.147255"/>
    <m/>
    <m/>
    <m/>
  </r>
  <r>
    <x v="0"/>
    <s v="MISS"/>
    <s v="MISS"/>
    <s v="MISS"/>
    <s v="NULL"/>
    <n v="0"/>
    <n v="0"/>
    <n v="-161.91"/>
    <n v="0"/>
    <n v="161.91"/>
    <m/>
    <m/>
    <m/>
    <m/>
    <m/>
  </r>
  <r>
    <x v="0"/>
    <s v="BCL_DQS1_SCIB"/>
    <s v="BCL_DQS1_SCIB"/>
    <s v="BCL_DQS4_SCIB"/>
    <s v="GAAMG"/>
    <n v="0"/>
    <n v="1"/>
    <n v="-1214809.1200000001"/>
    <n v="874.37528899999995"/>
    <n v="1214809.1200000001"/>
    <n v="6.6992859999999999"/>
    <n v="77.850486000000004"/>
    <n v="789.82551699999999"/>
    <n v="1030.8"/>
    <n v="1030.8"/>
  </r>
  <r>
    <x v="0"/>
    <s v="RE_DQS3_2A"/>
    <s v="RE_DQS3_2A"/>
    <s v="Nao Aplicavel"/>
    <s v="NULL"/>
    <n v="0"/>
    <n v="0"/>
    <n v="-4653076.8110941201"/>
    <n v="74.365353999999996"/>
    <n v="4653076.8110929998"/>
    <n v="18.832077000000002"/>
    <n v="55.533276999999998"/>
    <m/>
    <m/>
    <m/>
  </r>
  <r>
    <x v="0"/>
    <s v="MVL_DQS4_3A"/>
    <s v="MVL_DQS4_3A"/>
    <s v="Nao Aplicavel"/>
    <s v="NULL"/>
    <n v="0"/>
    <n v="0"/>
    <n v="-60827.809999999903"/>
    <n v="3.7148089999999998"/>
    <n v="60827.809997999997"/>
    <n v="2.0086200000000001"/>
    <n v="1.706189"/>
    <m/>
    <m/>
    <m/>
  </r>
  <r>
    <x v="0"/>
    <s v="MISS"/>
    <s v="MISS"/>
    <s v="Nao Aplicavel"/>
    <s v="NULL"/>
    <n v="0"/>
    <n v="0"/>
    <n v="-932603.11999999895"/>
    <n v="0"/>
    <n v="932603.11996000004"/>
    <m/>
    <m/>
    <m/>
    <m/>
    <m/>
  </r>
  <r>
    <x v="0"/>
    <s v="RE_DQS5_3"/>
    <s v="RE_DQS5_3"/>
    <s v="Nao Aplicavel"/>
    <s v="NULL"/>
    <n v="0"/>
    <n v="0"/>
    <n v="-22779304.214881301"/>
    <n v="539.52692400000001"/>
    <n v="22779304.214866001"/>
    <n v="84.697433000000004"/>
    <n v="454.82949100000002"/>
    <m/>
    <m/>
    <m/>
  </r>
  <r>
    <x v="0"/>
    <s v="MVL_DQS3_2B"/>
    <s v="Nao Aplicavel"/>
    <s v="Nao Aplicavel"/>
    <s v="NULL"/>
    <n v="0"/>
    <n v="0"/>
    <n v="-25286.05"/>
    <n v="1.4752890000000001"/>
    <n v="25286.05"/>
    <n v="1.4752890000000001"/>
    <m/>
    <m/>
    <m/>
    <m/>
  </r>
  <r>
    <x v="0"/>
    <s v="MVL_DQS3_2B"/>
    <s v="MVL_DQS3_2B"/>
    <s v="Nao Aplicavel"/>
    <s v="NULL"/>
    <n v="0"/>
    <n v="0"/>
    <n v="-65727.709999999905"/>
    <n v="2.6988599999999998"/>
    <n v="65727.709998999999"/>
    <n v="1.278572"/>
    <n v="1.420288"/>
    <m/>
    <m/>
    <m/>
  </r>
  <r>
    <x v="0"/>
    <s v="BCL_DQS5_3B"/>
    <s v="BCL_DQS5_3B"/>
    <s v="BCL_DQS5_3B"/>
    <s v="NULL"/>
    <n v="0"/>
    <n v="0"/>
    <n v="-33133672.1599999"/>
    <n v="60605.678462000003"/>
    <n v="33133672.159961"/>
    <n v="40931.534891000003"/>
    <n v="3135.4949919999999"/>
    <n v="16538.648579000001"/>
    <m/>
    <m/>
  </r>
  <r>
    <x v="0"/>
    <s v="Nao Aplicavel"/>
    <s v="Nao Aplicavel"/>
    <s v="Nao Aplicavel"/>
    <s v="NULL"/>
    <n v="0"/>
    <n v="0"/>
    <n v="-203068.94543103399"/>
    <n v="0"/>
    <n v="203068.94540299999"/>
    <m/>
    <m/>
    <m/>
    <m/>
    <m/>
  </r>
  <r>
    <x v="0"/>
    <s v="BCL_DQS4_3A"/>
    <s v="BCL_DQS4_3A"/>
    <s v="BCL_DQS4_3A"/>
    <s v="NULL"/>
    <n v="0"/>
    <n v="0"/>
    <n v="-189242063.61999899"/>
    <n v="294543.887223"/>
    <n v="189242063.619854"/>
    <n v="198927.34003600001"/>
    <n v="15238.544193"/>
    <n v="80378.002993999995"/>
    <m/>
    <m/>
  </r>
  <r>
    <x v="0"/>
    <s v="Nao Aplicavel"/>
    <s v="MVL_DQS4_3A"/>
    <s v="Nao Aplicavel"/>
    <s v="NULL"/>
    <n v="0"/>
    <n v="0"/>
    <n v="-561805.36999999895"/>
    <n v="10.606774"/>
    <n v="561805.36997899995"/>
    <m/>
    <n v="10.606774"/>
    <m/>
    <m/>
    <m/>
  </r>
  <r>
    <x v="0"/>
    <s v="MVL_DQS4_3A"/>
    <s v="Nao Aplicavel"/>
    <s v="Nao Aplicavel"/>
    <s v="NULL"/>
    <n v="0"/>
    <n v="0"/>
    <n v="-2622249.29999999"/>
    <n v="1529.5052129999999"/>
    <n v="2622249.299875"/>
    <n v="1529.5052129999999"/>
    <m/>
    <m/>
    <m/>
    <m/>
  </r>
  <r>
    <x v="1"/>
    <s v="BCL_DQS4_3A"/>
    <s v="BCL_DQS4_3A"/>
    <s v="BCL_DQS4_3A"/>
    <s v="NULL"/>
    <n v="0"/>
    <n v="0"/>
    <n v="-11141014.529999901"/>
    <n v="15627.023573"/>
    <n v="11141014.529973"/>
    <n v="8855.4206250000007"/>
    <n v="1072.375605"/>
    <n v="5699.2273429999996"/>
    <m/>
    <m/>
  </r>
  <r>
    <x v="1"/>
    <s v="MVL_DQS3_2B"/>
    <s v="Nao Aplicavel"/>
    <s v="Nao Aplicavel"/>
    <s v="NULL"/>
    <n v="0"/>
    <n v="0"/>
    <n v="-2059.49999999999"/>
    <n v="0.30334899999999998"/>
    <n v="2059.4999990000001"/>
    <n v="0.30334899999999998"/>
    <m/>
    <m/>
    <m/>
    <m/>
  </r>
  <r>
    <x v="1"/>
    <s v="MVL_DQS4_3A"/>
    <s v="Nao Aplicavel"/>
    <s v="Nao Aplicavel"/>
    <s v="NULL"/>
    <n v="0"/>
    <n v="0"/>
    <n v="-561375.10999999905"/>
    <n v="287.60989999999998"/>
    <n v="561375.10996899998"/>
    <n v="287.60989999999998"/>
    <m/>
    <m/>
    <m/>
    <m/>
  </r>
  <r>
    <x v="1"/>
    <s v="MISS"/>
    <s v="MISS"/>
    <s v="Nao Aplicavel"/>
    <s v="NULL"/>
    <n v="0"/>
    <n v="0"/>
    <n v="-171502.44999999899"/>
    <n v="0"/>
    <n v="171502.449995"/>
    <m/>
    <m/>
    <m/>
    <m/>
    <m/>
  </r>
  <r>
    <x v="1"/>
    <s v="RE_DQS4_2B"/>
    <s v="RE_DQS4_2B"/>
    <s v="Nao Aplicavel"/>
    <s v="NULL"/>
    <n v="0"/>
    <n v="0"/>
    <n v="-1082136.1999999899"/>
    <n v="20800.537668000001"/>
    <n v="1082136.199849"/>
    <n v="3265.7264879999998"/>
    <n v="17534.811180000001"/>
    <m/>
    <m/>
    <m/>
  </r>
  <r>
    <x v="1"/>
    <s v="RE_DQS5_3"/>
    <s v="RE_DQS5_3"/>
    <s v="Nao Aplicavel"/>
    <s v="NULL"/>
    <n v="0"/>
    <n v="0"/>
    <n v="-30665.63"/>
    <n v="1.894781"/>
    <n v="30665.63"/>
    <n v="0.29745100000000002"/>
    <n v="1.5973299999999999"/>
    <m/>
    <m/>
    <m/>
  </r>
  <r>
    <x v="1"/>
    <s v="Nao Aplicavel"/>
    <s v="Nao Aplicavel"/>
    <s v="Nao Aplicavel"/>
    <s v="NULL"/>
    <n v="0"/>
    <n v="0"/>
    <n v="-23647.01"/>
    <n v="0"/>
    <n v="23647.009999000002"/>
    <m/>
    <m/>
    <m/>
    <m/>
    <m/>
  </r>
  <r>
    <x v="1"/>
    <s v="BCL_DQS5_3B"/>
    <s v="BCL_DQS5_3B"/>
    <s v="BCL_DQS5_3B"/>
    <s v="NULL"/>
    <n v="0"/>
    <n v="0"/>
    <n v="-1030687.40999999"/>
    <n v="1022.108007"/>
    <n v="1030687.409997"/>
    <n v="579.20165799999995"/>
    <n v="70.140302000000005"/>
    <n v="372.76604700000001"/>
    <m/>
    <m/>
  </r>
  <r>
    <x v="1"/>
    <s v="Nao Aplicavel"/>
    <s v="MVL_DQS4_3A"/>
    <s v="Nao Aplicavel"/>
    <s v="NULL"/>
    <n v="0"/>
    <n v="0"/>
    <n v="-34713.199999999903"/>
    <n v="0.88259799999999999"/>
    <n v="34713.199996000003"/>
    <m/>
    <n v="0.88259799999999999"/>
    <m/>
    <m/>
    <m/>
  </r>
  <r>
    <x v="1"/>
    <s v="BCL_DQS4_SCIB"/>
    <s v="BCL_DQS2_SCIB"/>
    <s v="BCL_DQS4_SCIB"/>
    <s v="GRSEM"/>
    <n v="0"/>
    <n v="1"/>
    <n v="-2059.86"/>
    <n v="0"/>
    <n v="2059.86"/>
    <n v="0"/>
    <n v="0"/>
    <n v="0"/>
    <n v="3726.86"/>
    <n v="3726.86"/>
  </r>
  <r>
    <x v="1"/>
    <s v="NULL"/>
    <s v="NULL"/>
    <s v="NULL"/>
    <s v="NULL"/>
    <n v="0"/>
    <n v="0"/>
    <m/>
    <n v="0"/>
    <m/>
    <m/>
    <m/>
    <m/>
    <m/>
    <m/>
  </r>
  <r>
    <x v="1"/>
    <s v="RE_DQS3_2A"/>
    <s v="RE_DQS3_2A"/>
    <s v="Nao Aplicavel"/>
    <s v="NULL"/>
    <n v="0"/>
    <n v="0"/>
    <n v="-38897.24"/>
    <n v="0.79528900000000002"/>
    <n v="38897.24"/>
    <n v="0.19658800000000001"/>
    <n v="0.59870100000000004"/>
    <m/>
    <m/>
    <m/>
  </r>
  <r>
    <x v="2"/>
    <s v="BCL_DQS1_SCIB"/>
    <s v="BCL_DQS1_SCIB"/>
    <s v="BCL_DQS1_SCIB"/>
    <s v="GLACG"/>
    <n v="0"/>
    <n v="1"/>
    <n v="-205480.94999999899"/>
    <n v="532.66561200000001"/>
    <n v="205480.949998"/>
    <n v="18.034452000000002"/>
    <n v="7.7834640000000004"/>
    <n v="506.84769599999998"/>
    <n v="43710.6"/>
    <n v="43710.6"/>
  </r>
  <r>
    <x v="2"/>
    <s v="Nao Aplicavel"/>
    <s v="MVL_DQS4_3A"/>
    <s v="Nao Aplicavel"/>
    <s v="NULL"/>
    <n v="0"/>
    <n v="0"/>
    <n v="-7313055.6499999901"/>
    <n v="147.04917599999999"/>
    <n v="7313055.649708"/>
    <m/>
    <n v="147.04917599999999"/>
    <m/>
    <m/>
    <m/>
  </r>
  <r>
    <x v="2"/>
    <s v="BCL_DQS1_SCIB"/>
    <s v="BCL_DQS1_SCIB"/>
    <s v="BCL_DQS4_SCIB"/>
    <s v="SIHOG"/>
    <n v="0"/>
    <n v="1"/>
    <n v="-33735.81"/>
    <n v="0"/>
    <n v="33735.81"/>
    <n v="0"/>
    <n v="0"/>
    <n v="0"/>
    <n v="312450"/>
    <n v="312450"/>
  </r>
  <r>
    <x v="2"/>
    <s v="BCL_DQS1_SCIB"/>
    <s v="BCL_DQS1_SCIB"/>
    <s v="BCL_DQS4_SCIB"/>
    <s v="IXLZG"/>
    <n v="0"/>
    <n v="1"/>
    <n v="-2545673.2400000002"/>
    <n v="4523.1686669999999"/>
    <n v="2545673.2400000002"/>
    <n v="21.08"/>
    <n v="84.438295999999994"/>
    <n v="4417.6503709999997"/>
    <n v="2666372"/>
    <n v="2666372"/>
  </r>
  <r>
    <x v="2"/>
    <s v="RE_DQS5_3"/>
    <s v="RE_DQS5_3"/>
    <s v="Nao Aplicavel"/>
    <s v="NULL"/>
    <n v="0"/>
    <n v="0"/>
    <n v="-66716160.637297601"/>
    <n v="5907.953966"/>
    <n v="66716160.637244001"/>
    <n v="927.45800099999997"/>
    <n v="4980.4959650000001"/>
    <m/>
    <m/>
    <m/>
  </r>
  <r>
    <x v="2"/>
    <s v="BCL_DQS1_SCIB"/>
    <s v="BCL_DQS1_SCIB"/>
    <s v="BCL_DQS4_SCIB"/>
    <s v="SCFRG"/>
    <n v="0"/>
    <n v="1"/>
    <n v="-13009.35"/>
    <n v="0"/>
    <n v="13009.35"/>
    <n v="0"/>
    <n v="0"/>
    <n v="0"/>
    <n v="222180"/>
    <n v="222180"/>
  </r>
  <r>
    <x v="2"/>
    <s v="BCL_DQS5_3B"/>
    <s v="BCL_DQS5_3B"/>
    <s v="BCL_DQS5_3B"/>
    <s v="NULL"/>
    <n v="0"/>
    <n v="0"/>
    <n v="-266478986.36539799"/>
    <n v="125298.085979"/>
    <n v="266478986.36532199"/>
    <n v="15813.029526"/>
    <n v="6784.3711219999996"/>
    <n v="102700.685331"/>
    <m/>
    <m/>
  </r>
  <r>
    <x v="2"/>
    <s v="BCL_DQS1_SCIB"/>
    <s v="BCL_DQS1_SCIB"/>
    <s v="BCL_DQS4_SCIB"/>
    <s v="BIGRG"/>
    <n v="0"/>
    <n v="1"/>
    <n v="-2833.17"/>
    <n v="0"/>
    <n v="2833.17"/>
    <n v="0"/>
    <n v="0"/>
    <n v="0"/>
    <n v="14618.7"/>
    <n v="14618.7"/>
  </r>
  <r>
    <x v="2"/>
    <s v="BCL_DQS1_SCIB"/>
    <s v="BCL_DQS1_SCIB"/>
    <s v="BCL_DQS1_SCIB"/>
    <s v="NEHOG"/>
    <n v="0"/>
    <n v="1"/>
    <n v="-4223095.24"/>
    <n v="1305.44622"/>
    <n v="4223095.24"/>
    <n v="42.106805000000001"/>
    <n v="33.965425000000003"/>
    <n v="1229.37399"/>
    <n v="22164280.32"/>
    <n v="22164280.32"/>
  </r>
  <r>
    <x v="2"/>
    <s v="BCL_DQS1_SCIB"/>
    <s v="BCL_DQS1_SCIB"/>
    <s v="BCL_DQS4_SCIB"/>
    <s v="DSSGG"/>
    <n v="0"/>
    <n v="1"/>
    <n v="-8255893.3399999999"/>
    <n v="6584.1070870000003"/>
    <n v="8255893.3399999999"/>
    <n v="1380.31375"/>
    <n v="797.68396499999994"/>
    <n v="4406.1093719999999"/>
    <n v="2525839.6800000002"/>
    <n v="2525839.6800000002"/>
  </r>
  <r>
    <x v="2"/>
    <s v="RE_DQS4_2B"/>
    <s v="RE_DQS4_2B"/>
    <s v="Nao Aplicavel"/>
    <s v="UNHOG"/>
    <n v="0"/>
    <n v="0"/>
    <n v="-16112062.65"/>
    <n v="771.29462000000001"/>
    <n v="16112062.65"/>
    <n v="121.08139199999999"/>
    <n v="650.21322799999996"/>
    <m/>
    <n v="54608"/>
    <n v="54608"/>
  </r>
  <r>
    <x v="2"/>
    <s v="RE_DQS3_2A"/>
    <s v="RE_DQS3_2A"/>
    <s v="Nao Aplicavel"/>
    <s v="NULL"/>
    <n v="0"/>
    <n v="0"/>
    <n v="-2600440.0064063701"/>
    <n v="42.239578000000002"/>
    <n v="2600440.0064030001"/>
    <n v="12.641629999999999"/>
    <n v="29.597947999999999"/>
    <m/>
    <m/>
    <m/>
  </r>
  <r>
    <x v="2"/>
    <s v="BCL_DQS4_SCIB"/>
    <s v="BCL_DQS2_SCIB"/>
    <s v="BCL_DQS4_SCIB"/>
    <s v="GRSEM"/>
    <n v="0"/>
    <n v="1"/>
    <n v="-29895370.129999999"/>
    <n v="76811.280024000007"/>
    <n v="29895370.129999999"/>
    <n v="45407.525695999997"/>
    <n v="5828.5177990000002"/>
    <n v="25575.236529000002"/>
    <n v="637293.06000000006"/>
    <n v="637293.06000000006"/>
  </r>
  <r>
    <x v="2"/>
    <s v="BCL_DQS1_SCIB"/>
    <s v="BCL_DQS1_SCIB"/>
    <s v="BCL_DQS4_SCIB"/>
    <s v="5EBRO"/>
    <n v="0"/>
    <n v="1"/>
    <n v="-9878.31"/>
    <n v="15.650292"/>
    <n v="9878.31"/>
    <n v="0.51505500000000004"/>
    <n v="0.30740099999999998"/>
    <n v="14.827836"/>
    <n v="8639.16"/>
    <n v="8639.16"/>
  </r>
  <r>
    <x v="2"/>
    <s v="BCL_DQS1_SCIB"/>
    <s v="BCL_DQS1_SCIB"/>
    <s v="BCL_DQS1_SCIB"/>
    <s v="5YATG"/>
    <n v="0"/>
    <n v="1"/>
    <n v="-615733.75"/>
    <n v="0"/>
    <n v="615733.75"/>
    <n v="0"/>
    <n v="0"/>
    <n v="0"/>
    <n v="8699782.6500000004"/>
    <n v="8699782.6500000004"/>
  </r>
  <r>
    <x v="2"/>
    <s v="MVL_DQS5_3B"/>
    <s v="MVL_DQS5_3B"/>
    <s v="Nao Aplicavel"/>
    <s v="NULL"/>
    <n v="0"/>
    <n v="0"/>
    <n v="-42782.089999999902"/>
    <n v="4.5050629999999998"/>
    <n v="42782.089996000002"/>
    <n v="4.4130320000000003"/>
    <n v="9.2031000000000002E-2"/>
    <m/>
    <m/>
    <m/>
  </r>
  <r>
    <x v="2"/>
    <s v="MVL_DQS3_2B"/>
    <s v="Nao Aplicavel"/>
    <s v="Nao Aplicavel"/>
    <s v="NULL"/>
    <n v="0"/>
    <n v="0"/>
    <n v="-869247.51999999897"/>
    <n v="83.665757999999997"/>
    <n v="869247.51997200004"/>
    <n v="83.665757999999997"/>
    <m/>
    <m/>
    <m/>
    <m/>
  </r>
  <r>
    <x v="2"/>
    <s v="BCL_DQS1_SCIB"/>
    <s v="BCL_DQS1_SCIB"/>
    <s v="BCL_DQS4_SCIB"/>
    <s v="SMURG"/>
    <n v="0"/>
    <n v="1"/>
    <n v="-35332.199999999997"/>
    <n v="6.8953179999999996"/>
    <n v="35332.199999999997"/>
    <n v="2.5409790000000001"/>
    <n v="0.74515600000000004"/>
    <n v="3.6091829999999998"/>
    <n v="184807.74"/>
    <n v="184807.74"/>
  </r>
  <r>
    <x v="2"/>
    <s v="BCL_DQS1_SCIB"/>
    <s v="BCL_DQS1_SCIB"/>
    <s v="BCL_DQS4_SCIB"/>
    <s v="6SYNT"/>
    <n v="0"/>
    <n v="1"/>
    <n v="-109921.2"/>
    <n v="185.63395499999999"/>
    <n v="109921.2"/>
    <n v="10.893689999999999"/>
    <n v="10.06317"/>
    <n v="164.67709500000001"/>
    <n v="7185.51"/>
    <n v="7185.51"/>
  </r>
  <r>
    <x v="2"/>
    <s v="BCL_DQS1_SCIB"/>
    <s v="BCL_DQS1_SCIB"/>
    <s v="BCL_DQS4_SCIB"/>
    <s v="SIKAG"/>
    <n v="0"/>
    <n v="1"/>
    <n v="-552014.46"/>
    <n v="53.893101000000001"/>
    <n v="552014.46"/>
    <n v="0.46828799999999998"/>
    <n v="0.48105300000000001"/>
    <n v="52.943759999999997"/>
    <n v="3237844.82"/>
    <n v="3237844.82"/>
  </r>
  <r>
    <x v="2"/>
    <s v="Nao Aplicavel"/>
    <s v="Nao Aplicavel"/>
    <s v="Nao Aplicavel"/>
    <s v="UNHOG"/>
    <n v="0"/>
    <n v="0"/>
    <n v="-574.55999999999995"/>
    <n v="0"/>
    <n v="574.55999999999995"/>
    <m/>
    <m/>
    <m/>
    <n v="54608"/>
    <n v="54608"/>
  </r>
  <r>
    <x v="2"/>
    <s v="MVL_DQS4_3A"/>
    <s v="MVL_DQS4_3A"/>
    <s v="Nao Aplicavel"/>
    <s v="NULL"/>
    <n v="0"/>
    <n v="0"/>
    <n v="-3340899.9399999902"/>
    <n v="143.30720400000001"/>
    <n v="3340899.9398989999"/>
    <n v="75.954384000000005"/>
    <n v="67.352819999999994"/>
    <m/>
    <m/>
    <m/>
  </r>
  <r>
    <x v="2"/>
    <s v="MVL_DQS4_3A"/>
    <s v="Nao Aplicavel"/>
    <s v="Nao Aplicavel"/>
    <s v="NULL"/>
    <n v="0"/>
    <n v="0"/>
    <n v="-14526143.7999999"/>
    <n v="2875.6208529999999"/>
    <n v="14526143.799288001"/>
    <n v="2875.6208529999999"/>
    <m/>
    <m/>
    <m/>
    <m/>
  </r>
  <r>
    <x v="2"/>
    <s v="MVL_DQS3_2B"/>
    <s v="MVL_DQS3_2B"/>
    <s v="Nao Aplicavel"/>
    <s v="NULL"/>
    <n v="0"/>
    <n v="0"/>
    <n v="-1086047.51999999"/>
    <n v="39.480111000000001"/>
    <n v="1086047.5199790001"/>
    <n v="17.46405"/>
    <n v="22.016061000000001"/>
    <m/>
    <m/>
    <m/>
  </r>
  <r>
    <x v="2"/>
    <s v="BCL_DQS4_3A"/>
    <s v="BCL_DQS4_3A"/>
    <s v="BCL_DQS4_3A"/>
    <s v="NULL"/>
    <n v="0"/>
    <n v="0"/>
    <n v="-1652682996.8127601"/>
    <n v="1384243.454496"/>
    <n v="1652682996.8116701"/>
    <n v="243993.59961999999"/>
    <n v="92696.126216000004"/>
    <n v="1047553.72866"/>
    <m/>
    <m/>
  </r>
  <r>
    <x v="2"/>
    <s v="BCL_DQS1_SCIB"/>
    <s v="BCL_DQS1_SCIB"/>
    <s v="BCL_DQS4_SCIB"/>
    <s v="GAAMG"/>
    <n v="0"/>
    <n v="1"/>
    <n v="-19865536.521903999"/>
    <n v="13537.971608"/>
    <n v="19865536.521903999"/>
    <n v="103.725193"/>
    <n v="1205.3607930000001"/>
    <n v="12228.885622"/>
    <n v="2855316"/>
    <n v="2855316"/>
  </r>
  <r>
    <x v="2"/>
    <s v="RE_DQS4_2B"/>
    <s v="RE_DQS4_2B"/>
    <s v="Nao Aplicavel"/>
    <s v="NULL"/>
    <n v="0"/>
    <n v="0"/>
    <n v="-82759535.552441999"/>
    <n v="74675.594759"/>
    <n v="82759535.552384004"/>
    <n v="12471.556693"/>
    <n v="62204.038066000001"/>
    <m/>
    <m/>
    <m/>
  </r>
  <r>
    <x v="2"/>
    <s v="BCL_DQS1_SCIB"/>
    <s v="BCL_DQS1_SCIB"/>
    <s v="BCL_DQS4_SCIB"/>
    <s v="IDVTG"/>
    <n v="0"/>
    <n v="1"/>
    <n v="-6737.5"/>
    <n v="0"/>
    <n v="6737.5"/>
    <n v="0"/>
    <n v="0"/>
    <n v="0"/>
    <n v="11262.25"/>
    <n v="11262.25"/>
  </r>
  <r>
    <x v="2"/>
    <s v="BCL_DQS1_SCIB"/>
    <s v="BCL_DQS1_SCIB"/>
    <s v="BCL_DQS4_SCIB"/>
    <s v="HEIKG"/>
    <n v="0"/>
    <n v="1"/>
    <n v="-2200.27"/>
    <n v="0"/>
    <n v="2200.27"/>
    <n v="0"/>
    <n v="0"/>
    <n v="0"/>
    <n v="39451"/>
    <n v="39451"/>
  </r>
  <r>
    <x v="2"/>
    <s v="BCL_DQS1_SCIB"/>
    <s v="BCL_DQS1_SCIB"/>
    <s v="BCL_DQS4_SCIB"/>
    <s v="CCEUP"/>
    <n v="0"/>
    <n v="1"/>
    <n v="-408462.9"/>
    <n v="120.21218500000001"/>
    <n v="408462.9"/>
    <n v="3.8467519999999999"/>
    <n v="3.946761"/>
    <n v="112.418672"/>
    <n v="960257"/>
    <n v="960257"/>
  </r>
  <r>
    <x v="2"/>
    <s v="BCL_DQS1_SCIB"/>
    <s v="BCL_DQS1_SCIB"/>
    <s v="BCL_DQS4_SCIB"/>
    <s v="5RKTG"/>
    <n v="0"/>
    <n v="1"/>
    <n v="-41346.370000000003"/>
    <n v="25.756481999999998"/>
    <n v="41346.370000000003"/>
    <n v="0.24254999999999999"/>
    <n v="0.47494199999999998"/>
    <n v="25.038989999999998"/>
    <n v="18751.16"/>
    <n v="18751.16"/>
  </r>
  <r>
    <x v="2"/>
    <s v="MISS"/>
    <s v="MISS"/>
    <s v="Nao Aplicavel"/>
    <s v="NULL"/>
    <n v="0"/>
    <n v="0"/>
    <n v="-213727.08999999901"/>
    <n v="0"/>
    <n v="213727.08999199999"/>
    <m/>
    <m/>
    <m/>
    <m/>
    <m/>
  </r>
  <r>
    <x v="2"/>
    <s v="BCL_DQS1_SCIB"/>
    <s v="BCL_DQS1_SCIB"/>
    <s v="BCL_DQS4_SCIB"/>
    <s v="ROBEG"/>
    <n v="0"/>
    <n v="1"/>
    <n v="-4184.2"/>
    <n v="0"/>
    <n v="4184.2"/>
    <n v="0"/>
    <n v="0"/>
    <n v="0"/>
    <n v="255564"/>
    <n v="255564"/>
  </r>
  <r>
    <x v="2"/>
    <s v="Nao Aplicavel"/>
    <s v="Nao Aplicavel"/>
    <s v="Nao Aplicavel"/>
    <s v="NULL"/>
    <n v="0"/>
    <n v="0"/>
    <n v="-1518171.2036279"/>
    <n v="0"/>
    <n v="1518171.2036210001"/>
    <m/>
    <m/>
    <m/>
    <m/>
    <m/>
  </r>
  <r>
    <x v="2"/>
    <s v="Nao Aplicavel"/>
    <s v="Nao Aplicavel"/>
    <s v="Nao Aplicavel"/>
    <s v="GLACG"/>
    <n v="0"/>
    <n v="0"/>
    <n v="-25.71"/>
    <n v="0"/>
    <n v="25.71"/>
    <m/>
    <m/>
    <m/>
    <n v="14570.2"/>
    <n v="14570.2"/>
  </r>
  <r>
    <x v="2"/>
    <s v="BCL_DQS1_SCIB"/>
    <s v="BCL_DQS1_SCIB"/>
    <s v="BCL_DQS1_SCIB"/>
    <s v="SNTGG"/>
    <n v="0"/>
    <n v="1"/>
    <n v="-2243862.87"/>
    <n v="3315.6493019999998"/>
    <n v="2243862.87"/>
    <n v="319.06038799999999"/>
    <n v="98.721605999999994"/>
    <n v="2897.8673079999999"/>
    <n v="5178548"/>
    <n v="5178548"/>
  </r>
  <r>
    <x v="2"/>
    <s v="BCL_DQS1_SCIB"/>
    <s v="BCL_DQS1_SCIB"/>
    <s v="BCL_DQS4_SCIB"/>
    <s v="UNHOG"/>
    <n v="0"/>
    <n v="1"/>
    <n v="-15978469.699999901"/>
    <n v="14215.439283"/>
    <n v="15978469.699997"/>
    <n v="117.410797"/>
    <n v="285.42430100000001"/>
    <n v="13812.604185"/>
    <n v="6662176"/>
    <n v="6662176"/>
  </r>
  <r>
    <x v="2"/>
    <s v="Nao Aplicavel"/>
    <s v="MVL_DQS3_2B"/>
    <s v="Nao Aplicavel"/>
    <s v="NULL"/>
    <n v="0"/>
    <n v="0"/>
    <n v="-1061371.72999999"/>
    <n v="22.407817999999999"/>
    <n v="1061371.729966"/>
    <m/>
    <n v="22.407817999999999"/>
    <m/>
    <m/>
    <m/>
  </r>
  <r>
    <x v="2"/>
    <s v="BCL_DQS1_SCIB"/>
    <s v="BCL_DQS1_SCIB"/>
    <s v="BCL_DQS1_SCIB"/>
    <s v="IPAGG"/>
    <n v="0"/>
    <n v="1"/>
    <n v="-2058850.04"/>
    <n v="1371.527544"/>
    <n v="2058850.04"/>
    <n v="12.49827"/>
    <n v="28.354212"/>
    <n v="1330.675062"/>
    <n v="2192905"/>
    <n v="2192905"/>
  </r>
  <r>
    <x v="2"/>
    <s v="BCL_DQS1_SCIB"/>
    <s v="BCL_DQS1_SCIB"/>
    <s v="BCL_DQS4_SCIB"/>
    <s v="CMTAG"/>
    <n v="0"/>
    <n v="1"/>
    <n v="-191126.27"/>
    <n v="96.967112999999998"/>
    <n v="191126.27"/>
    <n v="3.2368960000000002"/>
    <n v="17.311264000000001"/>
    <n v="76.418953000000002"/>
    <n v="123216.36"/>
    <n v="123216.36"/>
  </r>
  <r>
    <x v="2"/>
    <s v="BCL_DQS1_SCIB"/>
    <s v="BCL_DQS1_SCIB"/>
    <s v="BCL_DQS4_SCIB"/>
    <s v="LUXOG"/>
    <n v="0"/>
    <n v="1"/>
    <n v="-89738.23"/>
    <n v="3.6923080000000001"/>
    <n v="89738.23"/>
    <n v="0.10845299999999999"/>
    <n v="0.70480399999999999"/>
    <n v="2.879051"/>
    <n v="596398"/>
    <n v="596398"/>
  </r>
  <r>
    <x v="2"/>
    <s v="BCL_DQS1_SCIB"/>
    <s v="BCL_DQS1_SCIB"/>
    <s v="BCL_DQS4_SCIB"/>
    <s v="5FRQG"/>
    <n v="0"/>
    <n v="1"/>
    <n v="-221016.19"/>
    <n v="13.026574"/>
    <n v="221016.19"/>
    <n v="1.12521"/>
    <n v="1.7970379999999999"/>
    <n v="10.104326"/>
    <n v="440271"/>
    <n v="440271"/>
  </r>
  <r>
    <x v="2"/>
    <s v="BCL_DQS1_SCIB"/>
    <s v="BCL_DQS2_SCIB"/>
    <s v="BCL_DQS4_SCIB"/>
    <s v="VDRLG"/>
    <n v="0"/>
    <n v="1"/>
    <n v="-106287.82"/>
    <n v="123.121371"/>
    <n v="106287.82"/>
    <n v="53.586278"/>
    <n v="8.0697840000000003"/>
    <n v="61.465308999999998"/>
    <n v="11921.98"/>
    <n v="11921.98"/>
  </r>
  <r>
    <x v="2"/>
    <s v="BCL_DQS1_SCIB"/>
    <s v="BCL_DQS1_SCIB"/>
    <s v="BCL_DQS4_SCIB"/>
    <s v="04D0G"/>
    <n v="0"/>
    <n v="1"/>
    <n v="-1775938.9"/>
    <n v="124.78715800000001"/>
    <n v="1775938.9"/>
    <n v="0.87610900000000003"/>
    <n v="5.1059580000000002"/>
    <n v="118.805091"/>
    <n v="7299006"/>
    <n v="7299006"/>
  </r>
  <r>
    <x v="2"/>
    <s v="NULL"/>
    <s v="NULL"/>
    <s v="NULL"/>
    <s v="NULL"/>
    <n v="0"/>
    <n v="0"/>
    <m/>
    <n v="0"/>
    <m/>
    <m/>
    <m/>
    <m/>
    <m/>
    <m/>
  </r>
  <r>
    <x v="2"/>
    <s v="BCL_DQS1_SCIB"/>
    <s v="BCL_DQS1_SCIB"/>
    <s v="BCL_DQS4_SCIB"/>
    <s v="5EBRG"/>
    <n v="0"/>
    <n v="1"/>
    <n v="-103258236.73"/>
    <n v="357713.56942700001"/>
    <n v="103258236.73"/>
    <n v="749.57238099999995"/>
    <n v="322.26981499999999"/>
    <n v="356641.72723100003"/>
    <n v="28649.35"/>
    <n v="28649.35"/>
  </r>
  <r>
    <x v="2"/>
    <s v="MISS"/>
    <s v="MISS"/>
    <s v="MISS"/>
    <s v="NULL"/>
    <n v="0"/>
    <n v="0"/>
    <n v="-1503093.01"/>
    <n v="0"/>
    <n v="1503093.01"/>
    <m/>
    <m/>
    <m/>
    <m/>
    <m/>
  </r>
  <r>
    <x v="2"/>
    <s v="BCL_DQS1_SCIB"/>
    <s v="BCL_DQS1_SCIB"/>
    <s v="BCL_DQS4_SCIB"/>
    <s v="WEGHG"/>
    <n v="0"/>
    <n v="1"/>
    <n v="-50379.05"/>
    <n v="225.999574"/>
    <n v="50379.05"/>
    <n v="0.54864000000000002"/>
    <n v="0.85065999999999997"/>
    <n v="224.60027400000001"/>
    <n v="21426.5"/>
    <n v="21426.5"/>
  </r>
  <r>
    <x v="2"/>
    <s v="BCL_DQS1_SCIB"/>
    <s v="BCL_DQS1_SCIB"/>
    <s v="BCL_DQS4_SCIB"/>
    <s v="CELLN"/>
    <n v="0"/>
    <n v="1"/>
    <n v="-30117.64"/>
    <n v="0"/>
    <n v="30117.64"/>
    <n v="0"/>
    <n v="0"/>
    <n v="0"/>
    <n v="147298.68"/>
    <n v="147298.68"/>
  </r>
  <r>
    <x v="3"/>
    <s v="BCL_DQS1_SCIB"/>
    <s v="BCL_DQS1_SCIB"/>
    <s v="BCL_DQS4_SCIB"/>
    <s v="IBR00"/>
    <n v="0"/>
    <n v="1"/>
    <n v="-1579.15"/>
    <n v="0"/>
    <n v="1579.15"/>
    <n v="0"/>
    <n v="0"/>
    <n v="0"/>
    <n v="121004"/>
    <n v="121004"/>
  </r>
  <r>
    <x v="3"/>
    <s v="BCL_DQS5_3B"/>
    <s v="BCL_DQS5_3B"/>
    <s v="BCL_DQS5_3B"/>
    <s v="NULL"/>
    <n v="0"/>
    <n v="0"/>
    <n v="-145142411.55000001"/>
    <n v="121033.444516"/>
    <n v="145142411.55000001"/>
    <n v="89814.419789000007"/>
    <n v="3334.362349"/>
    <n v="27884.662378000001"/>
    <m/>
    <m/>
  </r>
  <r>
    <x v="3"/>
    <s v="Nao Aplicavel"/>
    <s v="MVL_DQS3_2B"/>
    <s v="Nao Aplicavel"/>
    <s v="NULL"/>
    <n v="0"/>
    <n v="0"/>
    <n v="-40426.049999999901"/>
    <n v="0.82723500000000005"/>
    <n v="40426.049999000003"/>
    <m/>
    <n v="0.82723500000000005"/>
    <m/>
    <m/>
    <m/>
  </r>
  <r>
    <x v="3"/>
    <s v="Nao Aplicavel"/>
    <s v="MVL_DQS4_3A"/>
    <s v="Nao Aplicavel"/>
    <s v="NULL"/>
    <n v="0"/>
    <n v="0"/>
    <n v="-151009.549999999"/>
    <n v="2.1742759999999999"/>
    <n v="151009.54999500001"/>
    <m/>
    <n v="2.1742759999999999"/>
    <m/>
    <m/>
    <m/>
  </r>
  <r>
    <x v="3"/>
    <s v="BCL_DQS4_3A"/>
    <s v="BCL_DQS4_3A"/>
    <s v="BCL_DQS4_3A"/>
    <s v="NULL"/>
    <n v="0"/>
    <n v="0"/>
    <n v="-178668170.459999"/>
    <n v="56334.215339000002"/>
    <n v="178668170.459993"/>
    <n v="41803.528120000003"/>
    <n v="1551.9528110000001"/>
    <n v="12978.734408"/>
    <m/>
    <m/>
  </r>
  <r>
    <x v="3"/>
    <s v="BCL_DQS1_SCIB"/>
    <s v="BCL_DQS1_SCIB"/>
    <s v="BCL_DQS4_SCIB"/>
    <s v="EDP0G"/>
    <n v="0"/>
    <n v="1"/>
    <n v="-203594622.66"/>
    <n v="102001.65637899999"/>
    <n v="203594622.66"/>
    <n v="47909.248290000003"/>
    <n v="2390.731362"/>
    <n v="51701.676726999998"/>
    <n v="4936819.4400000004"/>
    <n v="4936819.4400000004"/>
  </r>
  <r>
    <x v="3"/>
    <s v="MVL_DQS4_3A"/>
    <s v="Nao Aplicavel"/>
    <s v="Nao Aplicavel"/>
    <s v="NULL"/>
    <n v="0"/>
    <n v="0"/>
    <n v="-34515.319999999898"/>
    <n v="3.9697520000000002"/>
    <n v="34515.319997999999"/>
    <n v="3.9697520000000002"/>
    <m/>
    <m/>
    <m/>
    <m/>
  </r>
  <r>
    <x v="3"/>
    <s v="PF_DQS1_1A"/>
    <s v="PF_DQS5_3B"/>
    <s v="PF_DQS5_3B"/>
    <s v="NULL"/>
    <n v="0"/>
    <n v="0"/>
    <n v="-145561691.97"/>
    <n v="31309.153283"/>
    <n v="145561691.97"/>
    <n v="0"/>
    <n v="3343.9885079999999"/>
    <n v="27965.164775000001"/>
    <m/>
    <m/>
  </r>
  <r>
    <x v="3"/>
    <s v="MVL_DQS4_3A"/>
    <s v="MVL_DQS4_3A"/>
    <s v="Nao Aplicavel"/>
    <s v="NULL"/>
    <n v="0"/>
    <n v="0"/>
    <n v="-34923.239999999903"/>
    <n v="1.4809840000000001"/>
    <n v="34923.239997999997"/>
    <n v="0.65041000000000004"/>
    <n v="0.83057400000000003"/>
    <m/>
    <m/>
    <m/>
  </r>
  <r>
    <x v="3"/>
    <s v="PF_DQS1_SCIB"/>
    <s v="PF_DQS1_SCIB"/>
    <s v="PF_DQS4_SCIB"/>
    <s v="5ESRG"/>
    <n v="0"/>
    <n v="1"/>
    <n v="-33077227.829999998"/>
    <n v="48710.516768000001"/>
    <n v="33077227.829999998"/>
    <n v="14540.198532"/>
    <n v="1102.3726919999999"/>
    <n v="33067.945544000002"/>
    <n v="120494"/>
    <n v="120494"/>
  </r>
  <r>
    <x v="3"/>
    <s v="RE_DQS4_2B"/>
    <s v="RE_DQS4_2B"/>
    <s v="Nao Aplicavel"/>
    <s v="NULL"/>
    <n v="0"/>
    <n v="0"/>
    <n v="-741121.8"/>
    <n v="3.0283999999999998E-2"/>
    <n v="741121.8"/>
    <n v="4.7540000000000004E-3"/>
    <n v="2.5530000000000001E-2"/>
    <m/>
    <m/>
    <m/>
  </r>
  <r>
    <x v="3"/>
    <s v="BCL_DQS1_SCIB"/>
    <s v="BCL_DQS1_SCIB"/>
    <s v="BCL_DQS4_SCIB"/>
    <s v="5ESRG"/>
    <n v="0"/>
    <n v="1"/>
    <n v="-3873.27"/>
    <n v="0"/>
    <n v="3873.27"/>
    <n v="0"/>
    <n v="0"/>
    <n v="0"/>
    <n v="120494"/>
    <n v="120494"/>
  </r>
  <r>
    <x v="3"/>
    <s v="MVL_DQS3_2B"/>
    <s v="MVL_DQS3_2B"/>
    <s v="Nao Aplicavel"/>
    <s v="NULL"/>
    <n v="0"/>
    <n v="0"/>
    <n v="-80742.139999999898"/>
    <n v="2.6170420000000001"/>
    <n v="80742.139997999999"/>
    <n v="1.451398"/>
    <n v="1.1656439999999999"/>
    <m/>
    <m/>
    <m/>
  </r>
  <r>
    <x v="3"/>
    <s v="BCL_DQS1_SCIB"/>
    <s v="BCL_DQS2_SCIB"/>
    <s v="BCL_DQS1_SCIB"/>
    <s v="RENLG"/>
    <n v="0"/>
    <n v="1"/>
    <n v="-6725374.0599999996"/>
    <n v="365.06055600000002"/>
    <n v="6725374.0599999996"/>
    <n v="48.257731999999997"/>
    <n v="198.45871199999999"/>
    <n v="118.344112"/>
    <n v="461202.56"/>
    <n v="461202.56"/>
  </r>
  <r>
    <x v="3"/>
    <s v="PF_DQS5_3B"/>
    <s v="PF_DQS5_3B"/>
    <s v="PF_DQS5_3B"/>
    <s v="NULL"/>
    <n v="0"/>
    <n v="0"/>
    <n v="-20384980.030000001"/>
    <n v="16998.891288999999"/>
    <n v="20384980.030000001"/>
    <n v="12614.245389"/>
    <n v="468.30412100000001"/>
    <n v="3916.3417789999999"/>
    <m/>
    <m/>
  </r>
  <r>
    <x v="3"/>
    <s v="Nao Aplicavel"/>
    <s v="Nao Aplicavel"/>
    <s v="Nao Aplicavel"/>
    <s v="NULL"/>
    <n v="0"/>
    <n v="0"/>
    <n v="-1408.7"/>
    <n v="0"/>
    <n v="1408.7"/>
    <m/>
    <m/>
    <m/>
    <m/>
    <m/>
  </r>
  <r>
    <x v="3"/>
    <s v="PF_DQS1_1A"/>
    <s v="PF_DQS1_SCIB"/>
    <s v="PF_DQS4_SCIB"/>
    <s v="5CUMG"/>
    <n v="0"/>
    <n v="1"/>
    <n v="-2591275.13"/>
    <n v="2133.1748149999999"/>
    <n v="2591275.13"/>
    <n v="0"/>
    <n v="19.003688"/>
    <n v="2114.1711270000001"/>
    <n v="18968"/>
    <n v="18968"/>
  </r>
  <r>
    <x v="3"/>
    <s v="BCL_DQS4_SCIB"/>
    <s v="BCL_DQS2_SCIB"/>
    <s v="BCL_DQS4_SCIB"/>
    <s v="GRSEM"/>
    <n v="0"/>
    <n v="1"/>
    <n v="-9539.8799999999992"/>
    <n v="19.340620000000001"/>
    <n v="9539.8799999999992"/>
    <n v="11.433344"/>
    <n v="1.4675860000000001"/>
    <n v="6.4396899999999997"/>
    <n v="14907.44"/>
    <n v="14907.44"/>
  </r>
  <r>
    <x v="3"/>
    <s v="RE_DQS5_3"/>
    <s v="RE_DQS5_3"/>
    <s v="Nao Aplicavel"/>
    <s v="NULL"/>
    <n v="0"/>
    <n v="0"/>
    <n v="-57989.599999999999"/>
    <n v="16.121020999999999"/>
    <n v="57989.599999999999"/>
    <n v="2.5307529999999998"/>
    <n v="13.590268"/>
    <m/>
    <m/>
    <m/>
  </r>
  <r>
    <x v="4"/>
    <s v="MISS"/>
    <s v="MISS"/>
    <s v="Nao Aplicavel"/>
    <s v="5VFRG"/>
    <n v="1"/>
    <n v="0"/>
    <n v="-1251.25999999999"/>
    <n v="0"/>
    <n v="1251.2599990000001"/>
    <m/>
    <m/>
    <m/>
    <n v="44588"/>
    <m/>
  </r>
  <r>
    <x v="4"/>
    <s v="RE_DQS5_3"/>
    <s v="RE_DQS5_3"/>
    <s v="Nao Aplicavel"/>
    <s v="NULL"/>
    <n v="0"/>
    <n v="0"/>
    <n v="-2135479.4700000002"/>
    <n v="162.83463599999999"/>
    <n v="2135479.4700000002"/>
    <n v="25.562536000000001"/>
    <n v="137.27209999999999"/>
    <m/>
    <m/>
    <m/>
  </r>
  <r>
    <x v="4"/>
    <s v="BCL_DQS5_3B"/>
    <s v="BCL_DQS5_3B"/>
    <s v="BCL_DQS5_3B"/>
    <s v="NULL"/>
    <n v="0"/>
    <n v="0"/>
    <n v="-2206355.2299999902"/>
    <n v="346.43950699999999"/>
    <n v="2206355.2299990002"/>
    <n v="130.48048900000001"/>
    <n v="21.224489999999999"/>
    <n v="194.73452800000001"/>
    <m/>
    <m/>
  </r>
  <r>
    <x v="4"/>
    <s v="MVL_DQS4_3A"/>
    <s v="Nao Aplicavel"/>
    <s v="Nao Aplicavel"/>
    <s v="5VFRG"/>
    <n v="1"/>
    <n v="0"/>
    <n v="-1486.3699999999899"/>
    <n v="1.104249"/>
    <n v="1486.369999"/>
    <n v="1.104249"/>
    <m/>
    <m/>
    <n v="133764"/>
    <m/>
  </r>
  <r>
    <x v="4"/>
    <s v="MVL_DQS4_3A"/>
    <s v="MVL_DQS4_3A"/>
    <s v="Nao Aplicavel"/>
    <s v="NULL"/>
    <n v="0"/>
    <n v="0"/>
    <n v="-28120.139999999901"/>
    <n v="1.28087"/>
    <n v="28120.139998999999"/>
    <n v="0.69257400000000002"/>
    <n v="0.58829600000000004"/>
    <m/>
    <m/>
    <m/>
  </r>
  <r>
    <x v="4"/>
    <s v="Nao Aplicavel"/>
    <s v="Nao Aplicavel"/>
    <s v="Nao Aplicavel"/>
    <s v="5VFRG"/>
    <n v="1"/>
    <n v="0"/>
    <n v="-10.37"/>
    <n v="0"/>
    <n v="10.37"/>
    <m/>
    <m/>
    <m/>
    <n v="133764"/>
    <m/>
  </r>
  <r>
    <x v="4"/>
    <s v="BCL_DQS1_SCIB"/>
    <s v="BCL_DQS1_SCIB"/>
    <s v="BCL_DQS4_SCIB"/>
    <s v="5VFRG"/>
    <n v="1"/>
    <n v="1"/>
    <n v="-4621.8500000000004"/>
    <n v="0"/>
    <n v="4621.8500000000004"/>
    <n v="0"/>
    <n v="0"/>
    <n v="0"/>
    <n v="445880"/>
    <m/>
  </r>
  <r>
    <x v="4"/>
    <s v="RE_DQS4_2B"/>
    <s v="RE_DQS4_2B"/>
    <s v="Nao Aplicavel"/>
    <s v="NULL"/>
    <n v="0"/>
    <n v="0"/>
    <n v="-637613.79"/>
    <n v="166.184845"/>
    <n v="637613.79"/>
    <n v="33.925891999999997"/>
    <n v="132.25895299999999"/>
    <m/>
    <m/>
    <m/>
  </r>
  <r>
    <x v="4"/>
    <s v="BCL_DQS1_SCIB"/>
    <s v="BCL_DQS1_SCIB"/>
    <s v="BCL_DQS4_SCIB"/>
    <s v="5CUMG"/>
    <n v="0"/>
    <n v="1"/>
    <n v="-30633.49"/>
    <n v="15.844760000000001"/>
    <n v="30633.49"/>
    <n v="0.15965199999999999"/>
    <n v="0.139733"/>
    <n v="15.545375"/>
    <n v="37936"/>
    <n v="37936"/>
  </r>
  <r>
    <x v="4"/>
    <s v="MVL_DQS4_3A"/>
    <s v="Nao Aplicavel"/>
    <s v="Nao Aplicavel"/>
    <s v="NULL"/>
    <n v="0"/>
    <n v="0"/>
    <n v="-339307.109999999"/>
    <n v="243.68273099999999"/>
    <n v="339307.10998000001"/>
    <n v="243.68273099999999"/>
    <m/>
    <m/>
    <m/>
    <m/>
  </r>
  <r>
    <x v="4"/>
    <s v="BCL_DQS1_SCIB"/>
    <s v="BCL_DQS1_SCIB"/>
    <s v="BCL_DQS4_SCIB"/>
    <s v="5VFRG"/>
    <n v="0"/>
    <n v="1"/>
    <n v="-9348"/>
    <n v="0"/>
    <n v="9348"/>
    <n v="0"/>
    <n v="0"/>
    <n v="0"/>
    <n v="89176"/>
    <n v="89176"/>
  </r>
  <r>
    <x v="4"/>
    <s v="Nao Aplicavel"/>
    <s v="Nao Aplicavel"/>
    <s v="Nao Aplicavel"/>
    <s v="NULL"/>
    <n v="0"/>
    <n v="0"/>
    <n v="-31702.87"/>
    <n v="0"/>
    <n v="31702.869998999999"/>
    <m/>
    <m/>
    <m/>
    <m/>
    <m/>
  </r>
  <r>
    <x v="4"/>
    <s v="Nao Aplicavel"/>
    <s v="MVL_DQS4_3A"/>
    <s v="Nao Aplicavel"/>
    <s v="NULL"/>
    <n v="0"/>
    <n v="0"/>
    <n v="-21395.249999999902"/>
    <n v="0.32488400000000001"/>
    <n v="21395.249999"/>
    <m/>
    <n v="0.32488400000000001"/>
    <m/>
    <m/>
    <m/>
  </r>
  <r>
    <x v="4"/>
    <s v="MISS"/>
    <s v="MISS"/>
    <s v="Nao Aplicavel"/>
    <s v="NULL"/>
    <n v="0"/>
    <n v="0"/>
    <n v="-89642.839999999895"/>
    <n v="0"/>
    <n v="89642.839997999996"/>
    <m/>
    <m/>
    <m/>
    <m/>
    <m/>
  </r>
  <r>
    <x v="4"/>
    <s v="BCL_DQS4_3A"/>
    <s v="BCL_DQS4_3A"/>
    <s v="BCL_DQS4_3A"/>
    <s v="NULL"/>
    <n v="0"/>
    <n v="0"/>
    <n v="-82484225.259999901"/>
    <n v="21694.990567000001"/>
    <n v="82484225.259959996"/>
    <n v="9864.6492560000006"/>
    <n v="1232.6477299999999"/>
    <n v="10597.693581"/>
    <m/>
    <m/>
  </r>
  <r>
    <x v="5"/>
    <s v="BCL_DQS1_SCIB"/>
    <s v="BCL_DQS1_SCIB"/>
    <s v="BCL_DQS4_SCIB"/>
    <s v="5VCNG"/>
    <n v="0"/>
    <n v="1"/>
    <n v="-8212901.6600000001"/>
    <n v="3205.554079"/>
    <n v="8212901.6600000001"/>
    <n v="141.270546"/>
    <n v="15.631218000000001"/>
    <n v="3048.6523149999998"/>
    <n v="38555475"/>
    <n v="38555475"/>
  </r>
  <r>
    <x v="5"/>
    <s v="MVL_DQS4_3A"/>
    <s v="Nao Aplicavel"/>
    <s v="Nao Aplicavel"/>
    <s v="5BOUG"/>
    <n v="0"/>
    <n v="0"/>
    <n v="-33740.099999999897"/>
    <n v="3.411543"/>
    <n v="33740.099996999998"/>
    <n v="3.411543"/>
    <m/>
    <m/>
    <n v="87852"/>
    <n v="87852"/>
  </r>
  <r>
    <x v="5"/>
    <s v="PF_DQS5_3B"/>
    <s v="PF_DQS5_3B"/>
    <s v="PF_DQS5_3B"/>
    <s v="NULL"/>
    <n v="0"/>
    <n v="0"/>
    <n v="-142646992.40000001"/>
    <n v="9049.4305989999993"/>
    <n v="142646992.40000001"/>
    <n v="1036.4234719999999"/>
    <n v="177.45698100000001"/>
    <n v="7835.5501459999996"/>
    <m/>
    <m/>
  </r>
  <r>
    <x v="5"/>
    <s v="BCL_DQS1_SCIB"/>
    <s v="BCL_DQS1_SCIB"/>
    <s v="BCL_DQS4_SCIB"/>
    <s v="SHNDG"/>
    <n v="0"/>
    <n v="1"/>
    <n v="-608418.03"/>
    <n v="146.139714"/>
    <n v="608418.03"/>
    <n v="2.5589339999999998"/>
    <n v="0.98476200000000003"/>
    <n v="142.59601799999999"/>
    <n v="5264062.7"/>
    <n v="5264062.7"/>
  </r>
  <r>
    <x v="5"/>
    <s v="BCL_DQS1_SCIB"/>
    <s v="BCL_DQS1_SCIB"/>
    <s v="BCL_DQS4_SCIB"/>
    <s v="CGYNG"/>
    <n v="1"/>
    <n v="1"/>
    <n v="-4905324.3099999903"/>
    <n v="4792.6908640000001"/>
    <n v="4905324.309994"/>
    <n v="172.02419"/>
    <n v="53.748083999999999"/>
    <n v="4566.9185900000002"/>
    <n v="573294.15"/>
    <m/>
  </r>
  <r>
    <x v="5"/>
    <s v="RE_DQS4_2B"/>
    <s v="RE_DQS4_2B"/>
    <s v="Nao Aplicavel"/>
    <s v="NULL"/>
    <n v="0"/>
    <n v="0"/>
    <n v="-302999311.10381502"/>
    <n v="19468.157426000002"/>
    <n v="302999311.10371399"/>
    <n v="3724.319215"/>
    <n v="15743.838211"/>
    <m/>
    <m/>
    <m/>
  </r>
  <r>
    <x v="5"/>
    <s v="BCL_DQS1_SCIB"/>
    <s v="BCL_DQS1_SCIB"/>
    <s v="BCL_DQS4_SCIB"/>
    <s v="OWCNK"/>
    <n v="0"/>
    <n v="1"/>
    <n v="-30829.599999999999"/>
    <n v="0"/>
    <n v="30829.599999999999"/>
    <n v="0"/>
    <n v="0"/>
    <n v="0"/>
    <n v="445955.78"/>
    <n v="445955.78"/>
  </r>
  <r>
    <x v="5"/>
    <s v="Nao Aplicavel"/>
    <s v="Nao Aplicavel"/>
    <s v="Nao Aplicavel"/>
    <s v="CGYNG"/>
    <n v="1"/>
    <n v="0"/>
    <n v="-479.55"/>
    <n v="0"/>
    <n v="479.55"/>
    <m/>
    <m/>
    <m/>
    <n v="41694.120000000003"/>
    <m/>
  </r>
  <r>
    <x v="5"/>
    <s v="Nao Aplicavel"/>
    <s v="MVL_DQS4_3A"/>
    <s v="Nao Aplicavel"/>
    <s v="NULL"/>
    <n v="0"/>
    <n v="0"/>
    <n v="-4905419.5499999896"/>
    <n v="106.099159"/>
    <n v="4905419.5497890003"/>
    <m/>
    <n v="106.099159"/>
    <m/>
    <m/>
    <m/>
  </r>
  <r>
    <x v="5"/>
    <s v="BCL_DQS1_SCIB"/>
    <s v="BCL_DQS1_SCIB"/>
    <s v="BCL_DQS4_SCIB"/>
    <s v="5GFVG"/>
    <n v="0"/>
    <n v="1"/>
    <n v="-6765871.2599999998"/>
    <n v="1711.343838"/>
    <n v="6765871.2599999998"/>
    <n v="106.012798"/>
    <n v="19.852257999999999"/>
    <n v="1585.4787819999999"/>
    <n v="6821044"/>
    <n v="6821044"/>
  </r>
  <r>
    <x v="5"/>
    <s v="BCL_DQS1_SCIB"/>
    <s v="BCL_DQS1_SCIB"/>
    <s v="BCL_DQS4_SCIB"/>
    <s v="5VFRG"/>
    <n v="0"/>
    <n v="1"/>
    <n v="-4352.3999999999996"/>
    <n v="0"/>
    <n v="4352.3999999999996"/>
    <n v="0"/>
    <n v="0"/>
    <n v="0"/>
    <n v="44588"/>
    <n v="44588"/>
  </r>
  <r>
    <x v="5"/>
    <s v="Nao Aplicavel"/>
    <s v="Nao Aplicavel"/>
    <s v="Nao Aplicavel"/>
    <s v="NULL"/>
    <n v="0"/>
    <n v="0"/>
    <n v="-5617558.6026130104"/>
    <n v="0"/>
    <n v="5617558.602581"/>
    <m/>
    <m/>
    <m/>
    <m/>
    <m/>
  </r>
  <r>
    <x v="5"/>
    <s v="MVL_DQS3_2B"/>
    <s v="Nao Aplicavel"/>
    <s v="Nao Aplicavel"/>
    <s v="NULL"/>
    <n v="0"/>
    <n v="0"/>
    <n v="-1155205.50999999"/>
    <n v="107.387377"/>
    <n v="1155205.509965"/>
    <n v="107.387377"/>
    <m/>
    <m/>
    <m/>
    <m/>
  </r>
  <r>
    <x v="5"/>
    <s v="BCL_DQS5_3B"/>
    <s v="BCL_DQS5_3B"/>
    <s v="BCL_DQS5_3B"/>
    <s v="NULL"/>
    <n v="0"/>
    <n v="0"/>
    <n v="-60691544.7299999"/>
    <n v="12337.509348"/>
    <n v="60691544.729966"/>
    <n v="1385.713244"/>
    <n v="197.83162300000001"/>
    <n v="10753.964481000001"/>
    <m/>
    <m/>
  </r>
  <r>
    <x v="5"/>
    <s v="BCL_DQS1_SCIB"/>
    <s v="BCL_DQS1_SCIB"/>
    <s v="BCL_DQS4_SCIB"/>
    <s v="SACGG"/>
    <n v="0"/>
    <n v="1"/>
    <n v="-1907031.39"/>
    <n v="313.42122499999999"/>
    <n v="1907031.39"/>
    <n v="18.615655"/>
    <n v="73.274389999999997"/>
    <n v="221.53118000000001"/>
    <n v="492394.32"/>
    <n v="492394.32"/>
  </r>
  <r>
    <x v="5"/>
    <s v="MVL_DQS5_3B"/>
    <s v="MVL_DQS5_3B"/>
    <s v="Nao Aplicavel"/>
    <s v="NULL"/>
    <n v="0"/>
    <n v="0"/>
    <n v="-80269.299999999901"/>
    <n v="7.8840630000000003"/>
    <n v="80269.299996999995"/>
    <n v="7.6720040000000003"/>
    <n v="0.212059"/>
    <m/>
    <m/>
    <m/>
  </r>
  <r>
    <x v="5"/>
    <s v="BCL_DQS1_SCIB"/>
    <s v="BCL_DQS1_SCIB"/>
    <s v="BCL_DQS4_SCIB"/>
    <s v="5BOUG"/>
    <n v="0"/>
    <n v="1"/>
    <n v="-67742.710000000006"/>
    <n v="0"/>
    <n v="67742.710000000006"/>
    <n v="0"/>
    <n v="0"/>
    <n v="0"/>
    <n v="937088"/>
    <n v="937088"/>
  </r>
  <r>
    <x v="5"/>
    <s v="MVL_DQS4_3A"/>
    <s v="MVL_DQS4_3A"/>
    <s v="Nao Aplicavel"/>
    <s v="NULL"/>
    <n v="0"/>
    <n v="0"/>
    <n v="-2737431.3799999901"/>
    <n v="138.89487199999999"/>
    <n v="2737431.3799020001"/>
    <n v="74.024203999999997"/>
    <n v="64.870667999999995"/>
    <m/>
    <m/>
    <m/>
  </r>
  <r>
    <x v="5"/>
    <s v="BCL_DQS4_3A"/>
    <s v="BCL_DQS4_3A"/>
    <s v="BCL_DQS4_3A"/>
    <s v="NULL"/>
    <n v="0"/>
    <n v="0"/>
    <n v="-360710473.05999899"/>
    <n v="292173.73456999997"/>
    <n v="360710473.05967599"/>
    <n v="32803.926249999997"/>
    <n v="4665.3131970000004"/>
    <n v="254704.495123"/>
    <m/>
    <m/>
  </r>
  <r>
    <x v="5"/>
    <s v="Nao Aplicavel"/>
    <s v="MVL_DQS3_2B"/>
    <s v="Nao Aplicavel"/>
    <s v="NULL"/>
    <n v="0"/>
    <n v="0"/>
    <n v="-1049788.1199999901"/>
    <n v="21.772389"/>
    <n v="1049788.1199650001"/>
    <m/>
    <n v="21.772389"/>
    <m/>
    <m/>
    <m/>
  </r>
  <r>
    <x v="5"/>
    <s v="BCL_DQS1_SCIB"/>
    <s v="BCL_DQS1_SCIB"/>
    <s v="BCL_DQS4_SCIB"/>
    <s v="EIFFG"/>
    <n v="0"/>
    <n v="1"/>
    <n v="-34608.129999999997"/>
    <n v="0"/>
    <n v="34608.129999999997"/>
    <n v="0"/>
    <n v="0"/>
    <n v="0"/>
    <n v="49704"/>
    <n v="49704"/>
  </r>
  <r>
    <x v="5"/>
    <s v="Nao Aplicavel"/>
    <s v="Nao Aplicavel"/>
    <s v="Nao Aplicavel"/>
    <s v="5BOUG"/>
    <n v="0"/>
    <n v="0"/>
    <n v="-78.81"/>
    <n v="0"/>
    <n v="78.81"/>
    <m/>
    <m/>
    <m/>
    <n v="58568"/>
    <n v="58568"/>
  </r>
  <r>
    <x v="5"/>
    <s v="BCL_DQS1_SCIB"/>
    <s v="BCL_DQS1_SCIB"/>
    <s v="BCL_DQS4_SCIB"/>
    <s v="5CUMG"/>
    <n v="0"/>
    <n v="1"/>
    <n v="-3769380.81"/>
    <n v="2107.3531659999999"/>
    <n v="3769380.81"/>
    <n v="21.233716000000001"/>
    <n v="18.584489000000001"/>
    <n v="2067.5349609999998"/>
    <n v="4116056"/>
    <n v="4116056"/>
  </r>
  <r>
    <x v="5"/>
    <s v="NULL"/>
    <s v="NULL"/>
    <s v="NULL"/>
    <s v="NULL"/>
    <n v="0"/>
    <n v="0"/>
    <m/>
    <n v="0"/>
    <m/>
    <m/>
    <m/>
    <m/>
    <m/>
    <m/>
  </r>
  <r>
    <x v="5"/>
    <s v="RE_DQS5_3"/>
    <s v="RE_DQS5_3"/>
    <s v="Nao Aplicavel"/>
    <s v="NULL"/>
    <n v="0"/>
    <n v="0"/>
    <n v="-72844890.291754693"/>
    <n v="4221.0407750000004"/>
    <n v="72844890.291724995"/>
    <n v="662.63856199999998"/>
    <n v="3558.4022129999998"/>
    <m/>
    <m/>
    <m/>
  </r>
  <r>
    <x v="5"/>
    <s v="MVL_DQS3_2B"/>
    <s v="MVL_DQS3_2B"/>
    <s v="Nao Aplicavel"/>
    <s v="NULL"/>
    <n v="0"/>
    <n v="0"/>
    <n v="-683650.68999999901"/>
    <n v="24.009218000000001"/>
    <n v="683650.68998200004"/>
    <n v="10.845629000000001"/>
    <n v="13.163589"/>
    <m/>
    <m/>
    <m/>
  </r>
  <r>
    <x v="5"/>
    <s v="RE_DQS3_2A"/>
    <s v="RE_DQS3_2A"/>
    <s v="Nao Aplicavel"/>
    <s v="NULL"/>
    <n v="0"/>
    <n v="0"/>
    <n v="-50427874.0118168"/>
    <n v="617.355233"/>
    <n v="50427874.011808001"/>
    <n v="167.47651200000001"/>
    <n v="449.87872099999998"/>
    <m/>
    <m/>
    <m/>
  </r>
  <r>
    <x v="5"/>
    <s v="MVL_DQS4_3A"/>
    <s v="Nao Aplicavel"/>
    <s v="Nao Aplicavel"/>
    <s v="NULL"/>
    <n v="0"/>
    <n v="0"/>
    <n v="-18430764.4799999"/>
    <n v="4138.4562599999999"/>
    <n v="18430764.478939999"/>
    <n v="4138.4562599999999"/>
    <m/>
    <m/>
    <m/>
    <m/>
  </r>
  <r>
    <x v="5"/>
    <s v="MISS"/>
    <s v="MISS"/>
    <s v="Nao Aplicavel"/>
    <s v="NULL"/>
    <n v="0"/>
    <n v="0"/>
    <n v="-1546856.3399999901"/>
    <n v="0"/>
    <n v="1546856.339959"/>
    <m/>
    <m/>
    <m/>
    <m/>
    <m/>
  </r>
  <r>
    <x v="5"/>
    <s v="MISS"/>
    <s v="MISS"/>
    <s v="MISS"/>
    <s v="NULL"/>
    <n v="0"/>
    <n v="0"/>
    <n v="-215.52"/>
    <n v="0"/>
    <n v="215.52"/>
    <m/>
    <m/>
    <m/>
    <m/>
    <m/>
  </r>
  <r>
    <x v="6"/>
    <s v="BCL_DQS1_SCIB"/>
    <s v="BCL_DQS1_SCIB"/>
    <s v="BCL_DQS4_SCIB"/>
    <s v="CLGHG"/>
    <n v="0"/>
    <n v="1"/>
    <n v="-537.17999999999995"/>
    <n v="0"/>
    <n v="537.17999999999995"/>
    <n v="0"/>
    <n v="0"/>
    <n v="0"/>
    <n v="17432.98"/>
    <n v="17432.98"/>
  </r>
  <r>
    <x v="6"/>
    <s v="Nao Aplicavel"/>
    <s v="Nao Aplicavel"/>
    <s v="Nao Aplicavel"/>
    <s v="NULL"/>
    <n v="0"/>
    <n v="0"/>
    <n v="-5045551.5268143704"/>
    <n v="0"/>
    <n v="5045551.5267869998"/>
    <m/>
    <m/>
    <m/>
    <m/>
    <m/>
  </r>
  <r>
    <x v="6"/>
    <s v="BCL_DQS1_SCIB"/>
    <s v="BCL_DQS1_SCIB"/>
    <s v="BCL_DQS4_SCIB"/>
    <s v="GAUCG"/>
    <n v="0"/>
    <n v="1"/>
    <n v="-4502035.12"/>
    <n v="7032.8354470000004"/>
    <n v="4502035.12"/>
    <n v="80.053897000000006"/>
    <n v="167.29279600000001"/>
    <n v="6785.488754"/>
    <n v="8048172"/>
    <n v="8048172"/>
  </r>
  <r>
    <x v="6"/>
    <s v="MVL_DQS4_3A"/>
    <s v="MVL_DQS4_3A"/>
    <s v="Nao Aplicavel"/>
    <s v="NULL"/>
    <n v="0"/>
    <n v="0"/>
    <n v="-5186398.4399999902"/>
    <n v="250.30225300000001"/>
    <n v="5186398.4398269998"/>
    <n v="132.632295"/>
    <n v="117.66995799999999"/>
    <m/>
    <m/>
    <m/>
  </r>
  <r>
    <x v="6"/>
    <s v="BCL_DQS1_SCIB"/>
    <s v="BCL_DQS1_SCIB"/>
    <s v="BCL_DQS4_SCIB"/>
    <s v="GAAMG"/>
    <n v="0"/>
    <n v="1"/>
    <n v="-397887.71360199997"/>
    <n v="285.76781499999998"/>
    <n v="397887.71360199997"/>
    <n v="2.189495"/>
    <n v="25.443494999999999"/>
    <n v="258.13482499999998"/>
    <n v="1030.8"/>
    <n v="1030.8"/>
  </r>
  <r>
    <x v="6"/>
    <s v="RE_DQS4_2B"/>
    <s v="RE_DQS4_2B"/>
    <s v="Nao Aplicavel"/>
    <s v="NULL"/>
    <n v="0"/>
    <n v="0"/>
    <n v="-93343332.445689693"/>
    <n v="31052.034705999999"/>
    <n v="93343332.445605993"/>
    <n v="6005.3691239999998"/>
    <n v="25046.665582000001"/>
    <m/>
    <m/>
    <m/>
  </r>
  <r>
    <x v="6"/>
    <s v="BCL_DQS1_SCIB"/>
    <s v="BCL_DQS1_SCIB"/>
    <s v="BCL_DQS1_SCIB"/>
    <s v="IPAGG"/>
    <n v="0"/>
    <n v="1"/>
    <n v="-97832588.579999998"/>
    <n v="84857.736432000005"/>
    <n v="97832588.579999998"/>
    <n v="773.28006000000005"/>
    <n v="1754.3025359999999"/>
    <n v="82330.153835999998"/>
    <n v="29228510"/>
    <n v="29228510"/>
  </r>
  <r>
    <x v="6"/>
    <s v="BCL_DQS1_SCIB"/>
    <s v="BCL_DQS1_SCIB"/>
    <s v="BCL_DQS1_SCIB"/>
    <s v="IVECK"/>
    <n v="0"/>
    <n v="1"/>
    <n v="-1047.53"/>
    <n v="0"/>
    <n v="1047.53"/>
    <n v="0"/>
    <n v="0"/>
    <n v="0"/>
    <n v="8905"/>
    <n v="8905"/>
  </r>
  <r>
    <x v="6"/>
    <s v="BCL_DQS1_SCIB"/>
    <s v="BCL_DQS1_SCIB"/>
    <s v="BCL_DQS4_SCIB"/>
    <s v="MTHLG"/>
    <n v="0"/>
    <n v="1"/>
    <n v="-2122753.65"/>
    <n v="7218.6264119999996"/>
    <n v="2122753.65"/>
    <n v="119.5521"/>
    <n v="168.54424"/>
    <n v="6930.5300719999996"/>
    <n v="1882728"/>
    <n v="1882728"/>
  </r>
  <r>
    <x v="6"/>
    <s v="BCL_DQS1_SCIB"/>
    <s v="BCL_DQS1_SCIB"/>
    <s v="BCL_DQS4_SCIB"/>
    <s v="DSSGG"/>
    <n v="0"/>
    <n v="1"/>
    <n v="-47904.18"/>
    <n v="22.069631999999999"/>
    <n v="47904.18"/>
    <n v="4.6267500000000004"/>
    <n v="2.6738010000000001"/>
    <n v="14.769081"/>
    <n v="97147.68"/>
    <n v="97147.68"/>
  </r>
  <r>
    <x v="6"/>
    <s v="BCL_DQS1_SCIB"/>
    <s v="BCL_DQS1_SCIB"/>
    <s v="BCL_DQS1_SCIB"/>
    <s v="SNTGG"/>
    <n v="0"/>
    <n v="1"/>
    <n v="-503.45"/>
    <n v="0"/>
    <n v="503.45"/>
    <n v="0"/>
    <n v="0"/>
    <n v="0"/>
    <n v="43886"/>
    <n v="43886"/>
  </r>
  <r>
    <x v="6"/>
    <s v="BCL_DQS1_SCIB"/>
    <s v="BCL_DQS1_SCIB"/>
    <s v="BCL_DQS4_SCIB"/>
    <s v="5FRQG"/>
    <n v="0"/>
    <n v="1"/>
    <n v="-2516.9"/>
    <n v="0"/>
    <n v="2516.9"/>
    <n v="0"/>
    <n v="0"/>
    <n v="0"/>
    <n v="67734"/>
    <n v="67734"/>
  </r>
  <r>
    <x v="6"/>
    <s v="BCL_DQS1_SCIB"/>
    <s v="BCL_DQS1_SCIB"/>
    <s v="BCL_DQS4_SCIB"/>
    <s v="SIHOG"/>
    <n v="0"/>
    <n v="1"/>
    <n v="-5516.7"/>
    <n v="0"/>
    <n v="5516.7"/>
    <n v="0"/>
    <n v="0"/>
    <n v="0"/>
    <n v="208300"/>
    <n v="208300"/>
  </r>
  <r>
    <x v="6"/>
    <s v="BCL_DQS1_SCIB"/>
    <s v="BCL_DQS1_SCIB"/>
    <s v="BCL_DQS4_SCIB"/>
    <s v="BRNTG"/>
    <n v="0"/>
    <n v="1"/>
    <n v="-768965.35"/>
    <n v="3855.1973349999998"/>
    <n v="768965.35"/>
    <n v="19.262971"/>
    <n v="4.5230639999999998"/>
    <n v="3831.4113000000002"/>
    <n v="66546.399999999994"/>
    <n v="66546.399999999994"/>
  </r>
  <r>
    <x v="6"/>
    <s v="MVL_DQS3_2B"/>
    <s v="Nao Aplicavel"/>
    <s v="Nao Aplicavel"/>
    <s v="NULL"/>
    <n v="0"/>
    <n v="0"/>
    <n v="-1617782.23999999"/>
    <n v="138.600515"/>
    <n v="1617782.2399490001"/>
    <n v="138.600515"/>
    <m/>
    <m/>
    <m/>
    <m/>
  </r>
  <r>
    <x v="6"/>
    <s v="BCL_DQS1_SCIB"/>
    <s v="BCL_DQS1_SCIB"/>
    <s v="BCL_DQS4_SCIB"/>
    <s v="MRKKG"/>
    <n v="0"/>
    <n v="1"/>
    <n v="475.6"/>
    <n v="0"/>
    <n v="-475.6"/>
    <n v="0"/>
    <n v="0"/>
    <n v="0"/>
    <n v="120864"/>
    <n v="120864"/>
  </r>
  <r>
    <x v="6"/>
    <s v="RE_DQS3_2A"/>
    <s v="RE_DQS3_2A"/>
    <s v="Nao Aplicavel"/>
    <s v="NULL"/>
    <n v="0"/>
    <n v="0"/>
    <n v="-13690754.7265402"/>
    <n v="12868.73955"/>
    <n v="13690754.726536"/>
    <n v="3182.431047"/>
    <n v="9686.3085030000002"/>
    <m/>
    <m/>
    <m/>
  </r>
  <r>
    <x v="6"/>
    <s v="MVL_DQS3_2B"/>
    <s v="MVL_DQS3_2B"/>
    <s v="Nao Aplicavel"/>
    <s v="NULL"/>
    <n v="0"/>
    <n v="0"/>
    <n v="-1239355.6999999899"/>
    <n v="38.938357000000003"/>
    <n v="1239355.699981"/>
    <n v="19.065284999999999"/>
    <n v="19.873072000000001"/>
    <m/>
    <m/>
    <m/>
  </r>
  <r>
    <x v="6"/>
    <s v="BCL_DQS1_SCIB"/>
    <s v="BCL_DQS1_SCIB"/>
    <s v="BCL_DQS4_SCIB"/>
    <s v="PFHOG"/>
    <n v="0"/>
    <n v="1"/>
    <n v="-166989.24"/>
    <n v="0"/>
    <n v="166989.24"/>
    <n v="0"/>
    <n v="0"/>
    <n v="0"/>
    <n v="1500697.8"/>
    <n v="1500697.8"/>
  </r>
  <r>
    <x v="6"/>
    <s v="BCL_DQS1_SCIB"/>
    <s v="BCL_DQS1_SCIB"/>
    <s v="BCL_DQS1_SCIB"/>
    <s v="5YATG"/>
    <n v="0"/>
    <n v="1"/>
    <n v="-88275"/>
    <n v="0"/>
    <n v="88275"/>
    <n v="0"/>
    <n v="0"/>
    <n v="0"/>
    <n v="892285.4"/>
    <n v="892285.4"/>
  </r>
  <r>
    <x v="6"/>
    <s v="BCL_DQS1_SCIB"/>
    <s v="BCL_DQS1_SCIB"/>
    <s v="BCL_DQS4_SCIB"/>
    <s v="5ECIS"/>
    <n v="0"/>
    <n v="1"/>
    <n v="-856443.12"/>
    <n v="136.58355399999999"/>
    <n v="856443.12"/>
    <n v="4.2881650000000002"/>
    <n v="6.5378249999999998"/>
    <n v="125.757564"/>
    <n v="7847793.8399999999"/>
    <n v="7847793.8399999999"/>
  </r>
  <r>
    <x v="6"/>
    <s v="MVL_DQS4_3A"/>
    <s v="Nao Aplicavel"/>
    <s v="Nao Aplicavel"/>
    <s v="NULL"/>
    <n v="0"/>
    <n v="0"/>
    <n v="-18084860.529999901"/>
    <n v="3413.9317230000001"/>
    <n v="18084860.528808001"/>
    <n v="3413.9317230000001"/>
    <m/>
    <m/>
    <m/>
    <m/>
  </r>
  <r>
    <x v="6"/>
    <s v="BCL_DQS1_SCIB"/>
    <s v="BCL_DQS1_SCIB"/>
    <s v="BCL_DQS4_SCIB"/>
    <s v="TKAAG"/>
    <n v="0"/>
    <n v="1"/>
    <n v="-841.88"/>
    <n v="0"/>
    <n v="841.88"/>
    <n v="0"/>
    <n v="0"/>
    <n v="0"/>
    <n v="11831"/>
    <n v="11831"/>
  </r>
  <r>
    <x v="6"/>
    <s v="MVL_DQS5_3B"/>
    <s v="MVL_DQS5_3B"/>
    <s v="Nao Aplicavel"/>
    <s v="NULL"/>
    <n v="0"/>
    <n v="0"/>
    <n v="-64668.179999999898"/>
    <n v="8.3584619999999994"/>
    <n v="64668.179993999998"/>
    <n v="8.0955539999999999"/>
    <n v="0.26290799999999998"/>
    <m/>
    <m/>
    <m/>
  </r>
  <r>
    <x v="6"/>
    <s v="BCL_DQS1_SCIB"/>
    <s v="BCL_DQS1_SCIB"/>
    <s v="BCL_DQS1_SCIB"/>
    <s v="GLACG"/>
    <n v="0"/>
    <n v="1"/>
    <n v="-200532.01"/>
    <n v="577.05441299999995"/>
    <n v="200532.01"/>
    <n v="19.537323000000001"/>
    <n v="8.432086"/>
    <n v="549.08500400000003"/>
    <n v="14570.2"/>
    <n v="14570.2"/>
  </r>
  <r>
    <x v="6"/>
    <s v="BCL_DQS5_3B"/>
    <s v="BCL_DQS5_3B"/>
    <s v="BCL_DQS5_3B"/>
    <s v="NULL"/>
    <n v="0"/>
    <n v="0"/>
    <n v="-411278032.38935101"/>
    <n v="78651.274651999993"/>
    <n v="411278032.389283"/>
    <n v="13055.839613"/>
    <n v="6201.2410289999998"/>
    <n v="59394.194009999999"/>
    <m/>
    <m/>
  </r>
  <r>
    <x v="6"/>
    <s v="BCL_DQS1_SCIB"/>
    <s v="BCL_DQS1_SCIB"/>
    <s v="BCL_DQS4_SCIB"/>
    <s v="LOR0G"/>
    <n v="0"/>
    <n v="1"/>
    <n v="-624.94000000000005"/>
    <n v="0"/>
    <n v="624.94000000000005"/>
    <n v="0"/>
    <n v="0"/>
    <n v="0"/>
    <n v="499593.6"/>
    <n v="499593.6"/>
  </r>
  <r>
    <x v="6"/>
    <s v="BCL_DQS1_SCIB"/>
    <s v="BCL_DQS1_SCIB"/>
    <s v="BCL_DQS4_SCIB"/>
    <s v="UNHOG"/>
    <n v="0"/>
    <n v="1"/>
    <n v="-13021421.220000001"/>
    <n v="10859.863493000001"/>
    <n v="13021421.220000001"/>
    <n v="89.695802"/>
    <n v="218.049466"/>
    <n v="10552.118225"/>
    <n v="11686112"/>
    <n v="11686112"/>
  </r>
  <r>
    <x v="6"/>
    <s v="BCL_DQS1_SCIB"/>
    <s v="BCL_DQS1_SCIB"/>
    <s v="BCL_DQS4_SCIB"/>
    <s v="APFNG"/>
    <n v="0"/>
    <n v="1"/>
    <n v="-6937.21"/>
    <n v="0.30946499999999999"/>
    <n v="6937.21"/>
    <n v="1.149E-2"/>
    <n v="2.0681999999999999E-2"/>
    <n v="0.27729300000000001"/>
    <n v="2894.36"/>
    <n v="2894.36"/>
  </r>
  <r>
    <x v="6"/>
    <s v="BCL_DQS1_SCIB"/>
    <s v="BCL_DQS1_SCIB"/>
    <s v="BCL_DQS4_SCIB"/>
    <s v="HENHG"/>
    <n v="0"/>
    <n v="1"/>
    <n v="-53.27"/>
    <n v="0"/>
    <n v="53.27"/>
    <n v="0"/>
    <n v="0"/>
    <n v="0"/>
    <n v="26111"/>
    <n v="26111"/>
  </r>
  <r>
    <x v="6"/>
    <s v="BCL_DQS1_SCIB"/>
    <s v="BCL_DQS1_SCIB"/>
    <s v="BCL_DQS4_SCIB"/>
    <s v="ASB1G"/>
    <n v="0"/>
    <n v="1"/>
    <n v="-5217.78"/>
    <n v="0"/>
    <n v="5217.78"/>
    <n v="0"/>
    <n v="0"/>
    <n v="0"/>
    <n v="36067.440000000002"/>
    <n v="36067.440000000002"/>
  </r>
  <r>
    <x v="6"/>
    <s v="NULL"/>
    <s v="NULL"/>
    <s v="NULL"/>
    <s v="NULL"/>
    <n v="0"/>
    <n v="0"/>
    <m/>
    <n v="0"/>
    <m/>
    <m/>
    <m/>
    <m/>
    <m/>
    <m/>
  </r>
  <r>
    <x v="6"/>
    <s v="BCL_DQS1_SCIB"/>
    <s v="BCL_DQS1_SCIB"/>
    <s v="BCL_DQS4_SCIB"/>
    <s v="JEROG"/>
    <n v="0"/>
    <n v="1"/>
    <n v="-32979892.449999999"/>
    <n v="97250.688672000004"/>
    <n v="32979892.449999999"/>
    <n v="716.91393600000004"/>
    <n v="2490.5186399999998"/>
    <n v="94043.256095999997"/>
    <n v="21947190"/>
    <n v="21947190"/>
  </r>
  <r>
    <x v="6"/>
    <s v="BCL_DQS4_SCIB"/>
    <s v="BCL_DQS2_SCIB"/>
    <s v="BCL_DQS4_SCIB"/>
    <s v="ROCHG"/>
    <n v="0"/>
    <n v="1"/>
    <n v="-114864.28"/>
    <n v="0"/>
    <n v="114864.28"/>
    <n v="0"/>
    <n v="0"/>
    <n v="0"/>
    <n v="154205.72"/>
    <n v="154205.72"/>
  </r>
  <r>
    <x v="6"/>
    <s v="BCL_DQS1_SCIB"/>
    <s v="BCL_DQS1_SCIB"/>
    <s v="BCL_DQS1_SCIB"/>
    <s v="ASTZG"/>
    <n v="0"/>
    <n v="1"/>
    <n v="-924342.82"/>
    <n v="74.91"/>
    <n v="924342.82"/>
    <n v="2.6962869999999999"/>
    <n v="2.1463860000000001"/>
    <n v="70.067327000000006"/>
    <n v="411940.92"/>
    <n v="411940.92"/>
  </r>
  <r>
    <x v="6"/>
    <s v="Nao Aplicavel"/>
    <s v="MVL_DQS3_2B"/>
    <s v="Nao Aplicavel"/>
    <s v="NULL"/>
    <n v="0"/>
    <n v="0"/>
    <n v="-2974142.54999999"/>
    <n v="60.037266000000002"/>
    <n v="2974142.549906"/>
    <m/>
    <n v="60.037266000000002"/>
    <m/>
    <m/>
    <m/>
  </r>
  <r>
    <x v="6"/>
    <s v="BCL_DQS4_SCIB"/>
    <s v="BCL_DQS1_SCIB"/>
    <s v="BCL_DQS4_SCIB"/>
    <s v="NOKIG"/>
    <n v="0"/>
    <n v="1"/>
    <n v="-9426.6200000000008"/>
    <n v="0"/>
    <n v="9426.6200000000008"/>
    <n v="0"/>
    <n v="0"/>
    <n v="0"/>
    <n v="25507"/>
    <n v="25507"/>
  </r>
  <r>
    <x v="6"/>
    <s v="MISS"/>
    <s v="MISS"/>
    <s v="MISS"/>
    <s v="NULL"/>
    <n v="0"/>
    <n v="0"/>
    <n v="-1742967.46"/>
    <n v="0"/>
    <n v="1742967.46"/>
    <m/>
    <m/>
    <m/>
    <m/>
    <m/>
  </r>
  <r>
    <x v="6"/>
    <s v="BCL_DQS1_SCIB"/>
    <s v="BCL_DQS1_SCIB"/>
    <s v="BCL_DQS4_SCIB"/>
    <s v="ROBEG"/>
    <n v="0"/>
    <n v="1"/>
    <n v="-2275.4499999999998"/>
    <n v="0"/>
    <n v="2275.4499999999998"/>
    <n v="0"/>
    <n v="0"/>
    <n v="0"/>
    <n v="191673"/>
    <n v="191673"/>
  </r>
  <r>
    <x v="6"/>
    <s v="BCL_DQS4_SCIB"/>
    <s v="BCL_DQS2_SCIB"/>
    <s v="BCL_DQS4_SCIB"/>
    <s v="GRSEM"/>
    <n v="0"/>
    <n v="1"/>
    <n v="-36356818.390000001"/>
    <n v="93898.719557999997"/>
    <n v="36356818.390000001"/>
    <n v="55508.885119999999"/>
    <n v="7125.1300300000003"/>
    <n v="31264.704408000001"/>
    <n v="447223.2"/>
    <n v="447223.2"/>
  </r>
  <r>
    <x v="6"/>
    <s v="RE_DQS5_3"/>
    <s v="RE_DQS5_3"/>
    <s v="Nao Aplicavel"/>
    <s v="NULL"/>
    <n v="0"/>
    <n v="0"/>
    <n v="-67395850.100955501"/>
    <n v="9411.6575350000003"/>
    <n v="67395850.100897998"/>
    <n v="1477.485629"/>
    <n v="7934.1719059999996"/>
    <m/>
    <m/>
    <m/>
  </r>
  <r>
    <x v="6"/>
    <s v="BCL_DQS1_SCIB"/>
    <s v="BCL_DQS1_SCIB"/>
    <s v="BCL_DQS1_SCIB"/>
    <s v="0M20G"/>
    <n v="0"/>
    <n v="1"/>
    <n v="-5.79"/>
    <n v="0"/>
    <n v="5.79"/>
    <n v="0"/>
    <n v="0"/>
    <n v="0"/>
    <n v="7294"/>
    <n v="7294"/>
  </r>
  <r>
    <x v="6"/>
    <s v="BCL_DQS1_SCIB"/>
    <s v="BCL_DQS1_SCIB"/>
    <s v="BCL_DQS4_SCIB"/>
    <s v="5RKTG"/>
    <n v="0"/>
    <n v="1"/>
    <n v="-2526446.5499999998"/>
    <n v="746.93798500000003"/>
    <n v="2526446.5499999998"/>
    <n v="7.0339499999999999"/>
    <n v="13.773318"/>
    <n v="726.130717"/>
    <n v="5344080.5999999996"/>
    <n v="5344080.5999999996"/>
  </r>
  <r>
    <x v="6"/>
    <s v="BCL_DQS1_SCIB"/>
    <s v="BCL_DQS1_SCIB"/>
    <s v="BCL_DQS4_SCIB"/>
    <s v="KIONG"/>
    <n v="0"/>
    <n v="1"/>
    <n v="-2747.26"/>
    <n v="0"/>
    <n v="2747.26"/>
    <n v="0"/>
    <n v="0"/>
    <n v="0"/>
    <n v="13899.2"/>
    <n v="13899.2"/>
  </r>
  <r>
    <x v="6"/>
    <s v="MISS"/>
    <s v="MISS"/>
    <s v="Nao Aplicavel"/>
    <s v="NULL"/>
    <n v="0"/>
    <n v="0"/>
    <n v="-173046.489999999"/>
    <n v="0"/>
    <n v="173046.489986"/>
    <m/>
    <m/>
    <m/>
    <m/>
    <m/>
  </r>
  <r>
    <x v="6"/>
    <s v="BCL_DQS4_3A"/>
    <s v="BCL_DQS4_3A"/>
    <s v="BCL_DQS4_3A"/>
    <s v="NULL"/>
    <n v="0"/>
    <n v="0"/>
    <n v="-1154844684.70555"/>
    <n v="989829.48945700005"/>
    <n v="1154844684.70508"/>
    <n v="164309.49293000001"/>
    <n v="78045.537400000001"/>
    <n v="747474.45912699995"/>
    <m/>
    <m/>
  </r>
  <r>
    <x v="6"/>
    <s v="Nao Aplicavel"/>
    <s v="MVL_DQS4_3A"/>
    <s v="Nao Aplicavel"/>
    <s v="NULL"/>
    <n v="0"/>
    <n v="0"/>
    <n v="-9794710.6299999896"/>
    <n v="207.61501100000001"/>
    <n v="9794710.6295989994"/>
    <m/>
    <n v="207.61501100000001"/>
    <m/>
    <m/>
    <m/>
  </r>
  <r>
    <x v="7"/>
    <s v="MVL_DQS4_3A"/>
    <s v="Nao Aplicavel"/>
    <s v="Nao Aplicavel"/>
    <s v="MTHLG"/>
    <n v="0"/>
    <n v="0"/>
    <n v="-196764.27999999901"/>
    <n v="880.77415199999996"/>
    <n v="196764.279969"/>
    <n v="880.77415199999996"/>
    <m/>
    <m/>
    <n v="176328"/>
    <n v="176328"/>
  </r>
  <r>
    <x v="7"/>
    <s v="MVL_DQS3_2B"/>
    <s v="MVL_DQS3_2B"/>
    <s v="Nao Aplicavel"/>
    <s v="NULL"/>
    <n v="0"/>
    <n v="0"/>
    <n v="-133439.859999999"/>
    <n v="3.340544"/>
    <n v="133439.859998"/>
    <n v="1.901883"/>
    <n v="1.438661"/>
    <m/>
    <m/>
    <m/>
  </r>
  <r>
    <x v="7"/>
    <s v="BCL_DQS1_SCIB"/>
    <s v="BCL_DQS1_SCIB"/>
    <s v="BCL_DQS1_SCIB"/>
    <s v="IPAGG"/>
    <n v="0"/>
    <n v="1"/>
    <n v="-120.99"/>
    <n v="0"/>
    <n v="120.99"/>
    <n v="0"/>
    <n v="0"/>
    <n v="0"/>
    <n v="7667.5"/>
    <n v="7667.5"/>
  </r>
  <r>
    <x v="7"/>
    <s v="Nao Aplicavel"/>
    <s v="MVL_DQS4_3A"/>
    <s v="Nao Aplicavel"/>
    <s v="NULL"/>
    <n v="0"/>
    <n v="0"/>
    <n v="-3768628.98999999"/>
    <n v="92.331755000000001"/>
    <n v="3768628.9898689999"/>
    <m/>
    <n v="92.331755000000001"/>
    <m/>
    <m/>
    <m/>
  </r>
  <r>
    <x v="7"/>
    <s v="Nao Aplicavel"/>
    <s v="Nao Aplicavel"/>
    <s v="Nao Aplicavel"/>
    <s v="NULL"/>
    <n v="0"/>
    <n v="0"/>
    <n v="-978039.06"/>
    <n v="0"/>
    <n v="978039.05987899995"/>
    <m/>
    <m/>
    <m/>
    <m/>
    <m/>
  </r>
  <r>
    <x v="7"/>
    <s v="BCL_DQS5_3B"/>
    <s v="BCL_DQS5_3B"/>
    <s v="BCL_DQS5_3B"/>
    <s v="NULL"/>
    <n v="0"/>
    <n v="0"/>
    <n v="-32425070.758228902"/>
    <n v="5252.448942"/>
    <n v="32425070.758219"/>
    <n v="1976.3394760000001"/>
    <n v="154.00166300000001"/>
    <n v="3122.1078029999999"/>
    <m/>
    <m/>
  </r>
  <r>
    <x v="7"/>
    <s v="Nao Aplicavel"/>
    <s v="Nao Aplicavel"/>
    <s v="Nao Aplicavel"/>
    <s v="MTHLG"/>
    <n v="0"/>
    <n v="0"/>
    <n v="-224770.82"/>
    <n v="0"/>
    <n v="224770.81993900001"/>
    <m/>
    <m/>
    <m/>
    <n v="523296"/>
    <n v="523296"/>
  </r>
  <r>
    <x v="7"/>
    <s v="BCL_DQS1_SCIB"/>
    <s v="BCL_DQS1_SCIB"/>
    <s v="BCL_DQS1_SCIB"/>
    <s v="GRBRI"/>
    <n v="0"/>
    <n v="1"/>
    <n v="-199060754.43000001"/>
    <n v="154115.76354000001"/>
    <n v="199060754.43000001"/>
    <n v="357.33287999999999"/>
    <n v="389.18862000000001"/>
    <n v="153369.24204000001"/>
    <n v="19158.48"/>
    <n v="19158.48"/>
  </r>
  <r>
    <x v="7"/>
    <s v="BCL_DQS1_SCIB"/>
    <s v="BCL_DQS2_SCIB"/>
    <s v="BCL_DQS1_SCIB"/>
    <s v="RENLG"/>
    <n v="0"/>
    <n v="1"/>
    <n v="-312619.40999999997"/>
    <n v="16.321977"/>
    <n v="312619.40999999997"/>
    <n v="2.157619"/>
    <n v="8.8731539999999995"/>
    <n v="5.2912039999999996"/>
    <n v="37060.92"/>
    <n v="37060.92"/>
  </r>
  <r>
    <x v="7"/>
    <s v="RE_DQS3_2A"/>
    <s v="RE_DQS3_2A"/>
    <s v="Nao Aplicavel"/>
    <s v="NULL"/>
    <n v="0"/>
    <n v="0"/>
    <n v="-633508.97813664901"/>
    <n v="3.9338510000000002"/>
    <n v="633508.97813599999"/>
    <n v="1.140126"/>
    <n v="2.7937249999999998"/>
    <m/>
    <m/>
    <m/>
  </r>
  <r>
    <x v="7"/>
    <s v="RE_DQS5_3"/>
    <s v="RE_DQS5_3"/>
    <s v="Nao Aplicavel"/>
    <s v="GRSEM"/>
    <n v="0"/>
    <n v="0"/>
    <n v="-30391.05"/>
    <n v="0.54507000000000005"/>
    <n v="30391.05"/>
    <n v="8.5567000000000004E-2"/>
    <n v="0.45950299999999999"/>
    <m/>
    <n v="3726.86"/>
    <n v="3726.86"/>
  </r>
  <r>
    <x v="7"/>
    <s v="RE_DQS4_2B"/>
    <s v="RE_DQS4_2B"/>
    <s v="Nao Aplicavel"/>
    <s v="NULL"/>
    <n v="0"/>
    <n v="0"/>
    <n v="-8863402.2585822009"/>
    <n v="721.82054000000005"/>
    <n v="8863402.2585770003"/>
    <n v="170.97724500000001"/>
    <n v="550.84329500000001"/>
    <m/>
    <m/>
    <m/>
  </r>
  <r>
    <x v="7"/>
    <s v="MVL_DQS5_3B"/>
    <s v="MVL_DQS5_3B"/>
    <s v="Nao Aplicavel"/>
    <s v="NULL"/>
    <n v="0"/>
    <n v="0"/>
    <n v="-115459.02999999899"/>
    <n v="13.044250999999999"/>
    <n v="115459.029991"/>
    <n v="12.664211"/>
    <n v="0.38003999999999999"/>
    <m/>
    <m/>
    <m/>
  </r>
  <r>
    <x v="7"/>
    <s v="MVL_DQS3_2B"/>
    <s v="Nao Aplicavel"/>
    <s v="Nao Aplicavel"/>
    <s v="NULL"/>
    <n v="0"/>
    <n v="0"/>
    <n v="-466384.34999999899"/>
    <n v="46.247920999999998"/>
    <n v="466384.34998599999"/>
    <n v="46.247920999999998"/>
    <m/>
    <m/>
    <m/>
    <m/>
  </r>
  <r>
    <x v="7"/>
    <s v="MVL_DQS4_3A"/>
    <s v="Nao Aplicavel"/>
    <s v="Nao Aplicavel"/>
    <s v="NULL"/>
    <n v="0"/>
    <n v="0"/>
    <n v="-75309326.1199999"/>
    <n v="36187.204213999998"/>
    <n v="75309326.118290007"/>
    <n v="36187.204213999998"/>
    <m/>
    <m/>
    <m/>
    <m/>
  </r>
  <r>
    <x v="7"/>
    <s v="BCL_DQS1_SCIB"/>
    <s v="BCL_DQS1_SCIB"/>
    <s v="BCL_DQS4_SCIB"/>
    <s v="5VCNG"/>
    <n v="0"/>
    <n v="1"/>
    <n v="-272711.62"/>
    <n v="90.297297999999998"/>
    <n v="272711.62"/>
    <n v="3.9794520000000002"/>
    <n v="0.44031599999999999"/>
    <n v="85.877529999999993"/>
    <n v="440634"/>
    <n v="440634"/>
  </r>
  <r>
    <x v="7"/>
    <s v="MISS"/>
    <s v="MISS"/>
    <s v="Nao Aplicavel"/>
    <s v="NULL"/>
    <n v="0"/>
    <n v="0"/>
    <n v="-15461034.829999899"/>
    <n v="0"/>
    <n v="15461034.8298"/>
    <m/>
    <m/>
    <m/>
    <m/>
    <m/>
  </r>
  <r>
    <x v="7"/>
    <s v="BCL_DQS4_3A"/>
    <s v="BCL_DQS4_3A"/>
    <s v="BCL_DQS4_3A"/>
    <s v="NULL"/>
    <n v="0"/>
    <n v="0"/>
    <n v="-260999978.079999"/>
    <n v="729844.44051600003"/>
    <n v="260999978.07993999"/>
    <n v="274537.157397"/>
    <n v="21441.860214"/>
    <n v="433865.42290499998"/>
    <m/>
    <m/>
  </r>
  <r>
    <x v="7"/>
    <s v="Nao Aplicavel"/>
    <s v="MVL_DQS3_2B"/>
    <s v="Nao Aplicavel"/>
    <s v="NULL"/>
    <n v="0"/>
    <n v="0"/>
    <n v="-2137782.8699999899"/>
    <n v="46.75759"/>
    <n v="2137782.8699369999"/>
    <m/>
    <n v="46.75759"/>
    <m/>
    <m/>
    <m/>
  </r>
  <r>
    <x v="7"/>
    <s v="RE_DQS5_3"/>
    <s v="RE_DQS5_3"/>
    <s v="Nao Aplicavel"/>
    <s v="NULL"/>
    <n v="0"/>
    <n v="0"/>
    <n v="-8129556.6232811399"/>
    <n v="765.23448199999996"/>
    <n v="8129556.6232740004"/>
    <n v="120.130053"/>
    <n v="645.10442899999998"/>
    <m/>
    <m/>
    <m/>
  </r>
  <r>
    <x v="7"/>
    <s v="BCL_DQS1_SCIB"/>
    <s v="BCL_DQS2_SCIB"/>
    <s v="BCL_DQS4_SCIB"/>
    <s v="VDRLG"/>
    <n v="0"/>
    <n v="1"/>
    <n v="-40.29"/>
    <n v="0"/>
    <n v="40.29"/>
    <n v="0"/>
    <n v="0"/>
    <n v="0"/>
    <n v="3406.28"/>
    <n v="3406.28"/>
  </r>
  <r>
    <x v="7"/>
    <s v="PF_DQS1_SCIB"/>
    <s v="PF_DQS2_SCIB"/>
    <s v="PF_DQS1_SCIB"/>
    <s v="1500G"/>
    <n v="1"/>
    <n v="1"/>
    <n v="-13493287.050000001"/>
    <n v="1755.5971919999999"/>
    <n v="13493287.050000001"/>
    <n v="351.129864"/>
    <n v="207.83868000000001"/>
    <n v="1196.6286480000001"/>
    <n v="18627.400000000001"/>
    <m/>
  </r>
  <r>
    <x v="7"/>
    <s v="MVL_DQS4_3A"/>
    <s v="MVL_DQS4_3A"/>
    <s v="Nao Aplicavel"/>
    <s v="NULL"/>
    <n v="0"/>
    <n v="0"/>
    <n v="-1267128.49999999"/>
    <n v="64.255808000000002"/>
    <n v="1267128.4999619999"/>
    <n v="34.081724999999999"/>
    <n v="30.174083"/>
    <m/>
    <m/>
    <m/>
  </r>
  <r>
    <x v="7"/>
    <s v="PF_DQS1_1A"/>
    <s v="PF_DQS5_3B"/>
    <s v="PF_DQS5_3B"/>
    <s v="NULL"/>
    <n v="0"/>
    <n v="0"/>
    <n v="-28852044.84"/>
    <n v="2964.3138180000001"/>
    <n v="28852044.84"/>
    <n v="0"/>
    <n v="130.65936600000001"/>
    <n v="2833.6544520000002"/>
    <m/>
    <m/>
  </r>
  <r>
    <x v="7"/>
    <s v="BCL_DQS1_SCIB"/>
    <s v="BCL_DQS1_SCIB"/>
    <s v="BCL_DQS4_SCIB"/>
    <s v="12X0G"/>
    <n v="0"/>
    <n v="1"/>
    <n v="-2021.49"/>
    <n v="0"/>
    <n v="2021.49"/>
    <n v="0"/>
    <n v="0"/>
    <n v="0"/>
    <n v="5840.98"/>
    <n v="5840.98"/>
  </r>
  <r>
    <x v="7"/>
    <s v="BCL_DQS1_SCIB"/>
    <s v="BCL_DQS1_SCIB"/>
    <s v="BCL_DQS4_SCIB"/>
    <s v="0730G"/>
    <n v="0"/>
    <n v="1"/>
    <n v="-50290.35"/>
    <n v="0"/>
    <n v="50290.35"/>
    <n v="0"/>
    <n v="0"/>
    <n v="0"/>
    <n v="99931"/>
    <n v="99931"/>
  </r>
  <r>
    <x v="7"/>
    <s v="PF_DQS5_3B"/>
    <s v="PF_DQS5_3B"/>
    <s v="PF_DQS5_3B"/>
    <s v="NULL"/>
    <n v="0"/>
    <n v="0"/>
    <n v="-127897848.01000001"/>
    <n v="21196.816961"/>
    <n v="127897848.01000001"/>
    <n v="8056.3492649999998"/>
    <n v="579.19818099999998"/>
    <n v="12561.269515"/>
    <m/>
    <m/>
  </r>
  <r>
    <x v="7"/>
    <s v="NULL"/>
    <s v="NULL"/>
    <s v="NULL"/>
    <s v="NULL"/>
    <n v="0"/>
    <n v="0"/>
    <m/>
    <n v="0"/>
    <m/>
    <m/>
    <m/>
    <m/>
    <m/>
    <m/>
  </r>
  <r>
    <x v="7"/>
    <s v="MISS"/>
    <s v="MISS"/>
    <s v="Nao Aplicavel"/>
    <s v="MTHLG"/>
    <n v="0"/>
    <n v="0"/>
    <n v="-3307.0499999999902"/>
    <n v="0"/>
    <n v="3307.0499989999998"/>
    <m/>
    <m/>
    <m/>
    <n v="5688"/>
    <n v="5688"/>
  </r>
  <r>
    <x v="8"/>
    <s v="RE_DQS3_2A"/>
    <s v="RE_DQS3_2A"/>
    <s v="Nao Aplicavel"/>
    <s v="NULL"/>
    <n v="0"/>
    <n v="0"/>
    <n v="-151286194.17544499"/>
    <n v="2206.3390509999999"/>
    <n v="151286194.17543301"/>
    <n v="555.41426000000001"/>
    <n v="1650.9247909999999"/>
    <m/>
    <m/>
    <m/>
  </r>
  <r>
    <x v="8"/>
    <s v="MVL_DQS5_3B"/>
    <s v="MVL_DQS5_3B"/>
    <s v="Nao Aplicavel"/>
    <s v="NULL"/>
    <n v="0"/>
    <n v="0"/>
    <n v="-29188.589999999898"/>
    <n v="2.9080949999999999"/>
    <n v="29188.589997999999"/>
    <n v="2.8138000000000001"/>
    <n v="9.4295000000000004E-2"/>
    <m/>
    <m/>
    <m/>
  </r>
  <r>
    <x v="8"/>
    <s v="BCL_DQS5_3B"/>
    <s v="BCL_DQS5_3B"/>
    <s v="BCL_DQS5_3B"/>
    <s v="NULL"/>
    <n v="0"/>
    <n v="0"/>
    <n v="-44154742.422186904"/>
    <n v="8444.4235960000005"/>
    <n v="44154742.422076002"/>
    <n v="1401.7576120000001"/>
    <n v="665.81933500000002"/>
    <n v="6376.8466490000001"/>
    <m/>
    <m/>
  </r>
  <r>
    <x v="8"/>
    <s v="MVL_DQS4_3A"/>
    <s v="MVL_DQS4_3A"/>
    <s v="Nao Aplicavel"/>
    <s v="NULL"/>
    <n v="0"/>
    <n v="0"/>
    <n v="-1009056.48999999"/>
    <n v="38.066614999999999"/>
    <n v="1009056.489981"/>
    <n v="20.459872000000001"/>
    <n v="17.606743000000002"/>
    <m/>
    <m/>
    <m/>
  </r>
  <r>
    <x v="8"/>
    <s v="MVL_DQS3_2B"/>
    <s v="MVL_DQS3_2B"/>
    <s v="Nao Aplicavel"/>
    <s v="NULL"/>
    <n v="0"/>
    <n v="0"/>
    <n v="-137962.24999999901"/>
    <n v="6.0694309999999998"/>
    <n v="137962.24999700001"/>
    <n v="3.088292"/>
    <n v="2.9811390000000002"/>
    <m/>
    <m/>
    <m/>
  </r>
  <r>
    <x v="8"/>
    <s v="Nao Aplicavel"/>
    <s v="MVL_DQS4_3A"/>
    <s v="Nao Aplicavel"/>
    <s v="NULL"/>
    <n v="0"/>
    <n v="0"/>
    <n v="-3060136.8999999901"/>
    <n v="115.246465"/>
    <n v="3060136.8997289999"/>
    <m/>
    <n v="115.246465"/>
    <m/>
    <m/>
    <m/>
  </r>
  <r>
    <x v="8"/>
    <s v="Nao Aplicavel"/>
    <s v="MVL_DQS3_2B"/>
    <s v="Nao Aplicavel"/>
    <s v="NULL"/>
    <n v="0"/>
    <n v="0"/>
    <n v="-713362.25999999896"/>
    <n v="18.035022000000001"/>
    <n v="713362.25997599994"/>
    <m/>
    <n v="18.035022000000001"/>
    <m/>
    <m/>
    <m/>
  </r>
  <r>
    <x v="8"/>
    <s v="Nao Aplicavel"/>
    <s v="Nao Aplicavel"/>
    <s v="Nao Aplicavel"/>
    <s v="NULL"/>
    <n v="0"/>
    <n v="0"/>
    <n v="-3541753.5004201098"/>
    <n v="0"/>
    <n v="3541753.5004159999"/>
    <m/>
    <m/>
    <m/>
    <m/>
    <m/>
  </r>
  <r>
    <x v="8"/>
    <s v="RE_DQS4_2B"/>
    <s v="RE_DQS4_2B"/>
    <s v="Nao Aplicavel"/>
    <s v="NULL"/>
    <n v="0"/>
    <n v="0"/>
    <n v="-558508134.35886705"/>
    <n v="67610.313204000005"/>
    <n v="558508134.35871196"/>
    <n v="11145.746921"/>
    <n v="56464.566283"/>
    <m/>
    <m/>
    <m/>
  </r>
  <r>
    <x v="8"/>
    <s v="BCL_DQS1_SCIB"/>
    <s v="BCL_DQS1_SCIB"/>
    <s v="BCL_DQS1_SCIB"/>
    <s v="IPAGG"/>
    <n v="0"/>
    <n v="1"/>
    <n v="-18002.490000000002"/>
    <n v="0"/>
    <n v="18002.490000000002"/>
    <n v="0"/>
    <n v="0"/>
    <n v="0"/>
    <n v="322035"/>
    <n v="322035"/>
  </r>
  <r>
    <x v="8"/>
    <s v="MVL_DQS3_2B"/>
    <s v="Nao Aplicavel"/>
    <s v="Nao Aplicavel"/>
    <s v="NULL"/>
    <n v="0"/>
    <n v="0"/>
    <n v="-386673.58999999898"/>
    <n v="25.416611"/>
    <n v="386673.58999200002"/>
    <n v="25.416611"/>
    <m/>
    <m/>
    <m/>
    <m/>
  </r>
  <r>
    <x v="8"/>
    <s v="MISS"/>
    <s v="MISS"/>
    <s v="Nao Aplicavel"/>
    <s v="NULL"/>
    <n v="0"/>
    <n v="0"/>
    <n v="-55444.469999999899"/>
    <n v="0"/>
    <n v="55444.469994999999"/>
    <m/>
    <m/>
    <m/>
    <m/>
    <m/>
  </r>
  <r>
    <x v="8"/>
    <s v="MVL_DQS4_3A"/>
    <s v="Nao Aplicavel"/>
    <s v="Nao Aplicavel"/>
    <s v="NULL"/>
    <n v="0"/>
    <n v="0"/>
    <n v="-1810214.3799999901"/>
    <n v="267.25880699999999"/>
    <n v="1810214.379864"/>
    <n v="267.25880699999999"/>
    <m/>
    <m/>
    <m/>
    <m/>
  </r>
  <r>
    <x v="8"/>
    <s v="BCL_DQS1_SCIB"/>
    <s v="BCL_DQS1_SCIB"/>
    <s v="BCL_DQS4_SCIB"/>
    <s v="12E0G"/>
    <n v="0"/>
    <n v="1"/>
    <n v="-413760.39"/>
    <n v="309.73441200000002"/>
    <n v="413760.39"/>
    <n v="2.6"/>
    <n v="1.216982"/>
    <n v="305.91743000000002"/>
    <n v="223806.78"/>
    <n v="223806.78"/>
  </r>
  <r>
    <x v="8"/>
    <s v="BCL_DQS4_3A"/>
    <s v="BCL_DQS4_3A"/>
    <s v="BCL_DQS4_3A"/>
    <s v="NULL"/>
    <n v="0"/>
    <n v="0"/>
    <n v="-245762349.109999"/>
    <n v="107460.36799899999"/>
    <n v="245762349.10984701"/>
    <n v="17838.181596999999"/>
    <n v="8472.9760580000002"/>
    <n v="81149.210344000006"/>
    <m/>
    <m/>
  </r>
  <r>
    <x v="8"/>
    <s v="PF_DQS5_3B"/>
    <s v="PF_DQS5_3B"/>
    <s v="PF_DQS5_3B"/>
    <s v="NULL"/>
    <n v="0"/>
    <n v="0"/>
    <n v="-15664125.57"/>
    <n v="2995.55411"/>
    <n v="15664125.57"/>
    <n v="497.25661500000001"/>
    <n v="236.19175999999999"/>
    <n v="2262.1057350000001"/>
    <m/>
    <m/>
  </r>
  <r>
    <x v="8"/>
    <s v="RE_DQS5_3"/>
    <s v="RE_DQS5_3"/>
    <s v="Nao Aplicavel"/>
    <s v="NULL"/>
    <n v="0"/>
    <n v="0"/>
    <n v="-36735650.135267198"/>
    <n v="3875.8244370000002"/>
    <n v="36735650.135219"/>
    <n v="608.44487800000002"/>
    <n v="3267.379559"/>
    <m/>
    <m/>
    <m/>
  </r>
  <r>
    <x v="8"/>
    <s v="NULL"/>
    <s v="NULL"/>
    <s v="NULL"/>
    <s v="NULL"/>
    <n v="0"/>
    <n v="0"/>
    <m/>
    <n v="0"/>
    <m/>
    <m/>
    <m/>
    <m/>
    <m/>
    <m/>
  </r>
  <r>
    <x v="9"/>
    <s v="Nao Aplicavel"/>
    <s v="MVL_DQS3_2B"/>
    <s v="Nao Aplicavel"/>
    <s v="NULL"/>
    <n v="0"/>
    <n v="0"/>
    <n v="-565358.929999999"/>
    <n v="12.631150999999999"/>
    <n v="565358.92998300004"/>
    <m/>
    <n v="12.631150999999999"/>
    <m/>
    <m/>
    <m/>
  </r>
  <r>
    <x v="9"/>
    <s v="BCL_DQS1_SCIB"/>
    <s v="BCL_DQS1_SCIB"/>
    <s v="BCL_DQS4_SCIB"/>
    <s v="5THGG"/>
    <n v="0"/>
    <n v="1"/>
    <n v="-10.71"/>
    <n v="0"/>
    <n v="10.71"/>
    <n v="0"/>
    <n v="0"/>
    <n v="0"/>
    <n v="15381.5"/>
    <n v="15381.5"/>
  </r>
  <r>
    <x v="9"/>
    <s v="RE_DQS4_2B"/>
    <s v="RE_DQS4_2B"/>
    <s v="Nao Aplicavel"/>
    <s v="NULL"/>
    <n v="0"/>
    <n v="0"/>
    <n v="-4298377.4171508299"/>
    <n v="206.875801"/>
    <n v="4298377.4171479996"/>
    <n v="58.815351999999997"/>
    <n v="148.06044900000001"/>
    <m/>
    <m/>
    <m/>
  </r>
  <r>
    <x v="9"/>
    <s v="Nao Aplicavel"/>
    <s v="MVL_DQS4_3A"/>
    <s v="Nao Aplicavel"/>
    <s v="NULL"/>
    <n v="0"/>
    <n v="0"/>
    <n v="-1543236.3399999901"/>
    <n v="30.714510000000001"/>
    <n v="1543236.3399390001"/>
    <m/>
    <n v="30.714510000000001"/>
    <m/>
    <m/>
    <m/>
  </r>
  <r>
    <x v="9"/>
    <s v="MVL_DQS4_3A"/>
    <s v="MVL_DQS4_3A"/>
    <s v="Nao Aplicavel"/>
    <s v="NULL"/>
    <n v="0"/>
    <n v="0"/>
    <n v="-1119862.5999999901"/>
    <n v="66.530400999999998"/>
    <n v="1119862.599961"/>
    <n v="35.066074"/>
    <n v="31.464327000000001"/>
    <m/>
    <m/>
    <m/>
  </r>
  <r>
    <x v="9"/>
    <s v="RE_DQS5_3"/>
    <s v="RE_DQS5_3"/>
    <s v="Nao Aplicavel"/>
    <s v="NULL"/>
    <n v="0"/>
    <n v="0"/>
    <n v="-7330041.5588542102"/>
    <n v="830.91645700000004"/>
    <n v="7330041.5588490004"/>
    <n v="130.44111599999999"/>
    <n v="700.47534099999996"/>
    <m/>
    <m/>
    <m/>
  </r>
  <r>
    <x v="9"/>
    <s v="BCL_DQS1_SCIB"/>
    <s v="BCL_DQS1_SCIB"/>
    <s v="BCL_DQS4_SCIB"/>
    <s v="BERTG"/>
    <n v="0"/>
    <n v="1"/>
    <n v="-23202.34"/>
    <n v="0"/>
    <n v="23202.34"/>
    <n v="0"/>
    <n v="0"/>
    <n v="0"/>
    <n v="45214"/>
    <n v="45214"/>
  </r>
  <r>
    <x v="9"/>
    <s v="BCL_DQS1_SCIB"/>
    <s v="BCL_DQS1_SCIB"/>
    <s v="BCL_DQS4_SCIB"/>
    <s v="CELLN"/>
    <n v="0"/>
    <n v="1"/>
    <n v="-189.72"/>
    <n v="0"/>
    <n v="189.72"/>
    <n v="0"/>
    <n v="0"/>
    <n v="0"/>
    <n v="36824.67"/>
    <n v="36824.67"/>
  </r>
  <r>
    <x v="9"/>
    <s v="BCL_DQS1_SCIB"/>
    <s v="BCL_DQS1_SCIB"/>
    <s v="BCL_DQS4_SCIB"/>
    <s v="MTHLG"/>
    <n v="0"/>
    <n v="1"/>
    <n v="-4.37"/>
    <n v="0"/>
    <n v="4.37"/>
    <n v="0"/>
    <n v="0"/>
    <n v="0"/>
    <n v="5688"/>
    <n v="5688"/>
  </r>
  <r>
    <x v="9"/>
    <s v="BCL_DQS1_SCIB"/>
    <s v="BCL_DQS1_SCIB"/>
    <s v="BCL_DQS1_SCIB"/>
    <s v="5IDRG"/>
    <n v="0"/>
    <n v="1"/>
    <n v="-413.3"/>
    <n v="0"/>
    <n v="413.3"/>
    <n v="0"/>
    <n v="0"/>
    <n v="0"/>
    <n v="1976.57"/>
    <n v="1976.57"/>
  </r>
  <r>
    <x v="9"/>
    <s v="MVL_DQS3_2B"/>
    <s v="MVL_DQS3_2B"/>
    <s v="Nao Aplicavel"/>
    <s v="NULL"/>
    <n v="0"/>
    <n v="0"/>
    <n v="-78808.679999999993"/>
    <n v="3.8676810000000001"/>
    <n v="78808.679999999993"/>
    <n v="1.8463430000000001"/>
    <n v="2.0213380000000001"/>
    <m/>
    <m/>
    <m/>
  </r>
  <r>
    <x v="9"/>
    <s v="BCL_DQS1_SCIB"/>
    <s v="BCL_DQS1_SCIB"/>
    <s v="BCL_DQS1_SCIB"/>
    <s v="GRBRI"/>
    <n v="0"/>
    <n v="1"/>
    <n v="-11.064593"/>
    <n v="0"/>
    <n v="11.064593"/>
    <n v="0"/>
    <n v="0"/>
    <n v="0"/>
    <n v="3193.08"/>
    <n v="3193.08"/>
  </r>
  <r>
    <x v="9"/>
    <s v="BCL_DQS5_3B"/>
    <s v="BCL_DQS5_3B"/>
    <s v="BCL_DQS5_3B"/>
    <s v="NULL"/>
    <n v="0"/>
    <n v="0"/>
    <n v="-6097626.6299999896"/>
    <n v="406.29782"/>
    <n v="6097626.6299970001"/>
    <n v="65.918073000000007"/>
    <n v="52.750667"/>
    <n v="287.62907999999999"/>
    <m/>
    <m/>
  </r>
  <r>
    <x v="9"/>
    <s v="RE_DQS3_2A"/>
    <s v="RE_DQS3_2A"/>
    <s v="Nao Aplicavel"/>
    <s v="NULL"/>
    <n v="0"/>
    <n v="0"/>
    <n v="-1363117.23"/>
    <n v="16.401935999999999"/>
    <n v="1363117.23"/>
    <n v="4.5282900000000001"/>
    <n v="11.873646000000001"/>
    <m/>
    <m/>
    <m/>
  </r>
  <r>
    <x v="9"/>
    <s v="BCL_DQS1_SCIB"/>
    <s v="BCL_DQS1_SCIB"/>
    <s v="BCL_DQS4_SCIB"/>
    <s v="5XADG"/>
    <n v="0"/>
    <n v="1"/>
    <n v="-75558.789999999994"/>
    <n v="1.2837400000000001"/>
    <n v="75558.789999999994"/>
    <n v="6.4000000000000003E-3"/>
    <n v="0.14102799999999999"/>
    <n v="1.136312"/>
    <n v="202514.4"/>
    <n v="202514.4"/>
  </r>
  <r>
    <x v="9"/>
    <s v="Nao Aplicavel"/>
    <s v="Nao Aplicavel"/>
    <s v="Nao Aplicavel"/>
    <s v="NULL"/>
    <n v="0"/>
    <n v="0"/>
    <n v="-79386.833994943096"/>
    <n v="0"/>
    <n v="79386.833989000006"/>
    <m/>
    <m/>
    <m/>
    <m/>
    <m/>
  </r>
  <r>
    <x v="9"/>
    <s v="BCL_DQS1_SCIB"/>
    <s v="BCL_DQS1_SCIB"/>
    <s v="BCL_DQS4_SCIB"/>
    <s v="ZONGG"/>
    <n v="0"/>
    <n v="1"/>
    <n v="-6070217.8819000004"/>
    <n v="933.882834"/>
    <n v="6070217.8819000004"/>
    <n v="9.9118820000000003"/>
    <n v="98.219778000000005"/>
    <n v="825.75117399999999"/>
    <n v="437474.74"/>
    <n v="437474.74"/>
  </r>
  <r>
    <x v="9"/>
    <s v="BCL_DQS1_SCIB"/>
    <s v="BCL_DQS1_SCIB"/>
    <s v="BCL_DQS4_SCIB"/>
    <s v="5BOUG"/>
    <n v="0"/>
    <n v="1"/>
    <n v="-812.76"/>
    <n v="0"/>
    <n v="812.76"/>
    <n v="0"/>
    <n v="0"/>
    <n v="0"/>
    <n v="29284"/>
    <n v="29284"/>
  </r>
  <r>
    <x v="9"/>
    <s v="BCL_DQS4_3A"/>
    <s v="BCL_DQS4_3A"/>
    <s v="BCL_DQS4_3A"/>
    <s v="NULL"/>
    <n v="0"/>
    <n v="0"/>
    <n v="-72637859.879999906"/>
    <n v="22360.780993"/>
    <n v="72637859.879987001"/>
    <n v="3698.8541919999998"/>
    <n v="1943.7846400000001"/>
    <n v="16718.142161"/>
    <m/>
    <m/>
  </r>
  <r>
    <x v="9"/>
    <s v="MVL_DQS4_3A"/>
    <s v="Nao Aplicavel"/>
    <s v="Nao Aplicavel"/>
    <s v="NULL"/>
    <n v="0"/>
    <n v="0"/>
    <n v="-4350288.9399999902"/>
    <n v="534.15396499999997"/>
    <n v="4350288.9396630004"/>
    <n v="534.15396499999997"/>
    <m/>
    <m/>
    <m/>
    <m/>
  </r>
  <r>
    <x v="9"/>
    <s v="MVL_DQS3_2B"/>
    <s v="Nao Aplicavel"/>
    <s v="Nao Aplicavel"/>
    <s v="NULL"/>
    <n v="0"/>
    <n v="0"/>
    <n v="-864402.22999999905"/>
    <n v="83.154292999999996"/>
    <n v="864402.22994800005"/>
    <n v="83.154292999999996"/>
    <m/>
    <m/>
    <m/>
    <m/>
  </r>
  <r>
    <x v="9"/>
    <s v="BCL_DQS2_SCIB"/>
    <s v="BCL_DQS2_SCIB"/>
    <s v="BCL_DQS4_SCIB"/>
    <s v="PRISA"/>
    <n v="1"/>
    <n v="1"/>
    <n v="-136"/>
    <n v="0"/>
    <n v="136"/>
    <n v="0"/>
    <n v="0"/>
    <n v="0"/>
    <n v="888.52"/>
    <m/>
  </r>
  <r>
    <x v="9"/>
    <s v="BCL_DQS1_SCIB"/>
    <s v="BCL_DQS1_SCIB"/>
    <s v="BCL_DQS4_SCIB"/>
    <s v="5VDFG"/>
    <n v="0"/>
    <n v="1"/>
    <n v="-6456000.5300000003"/>
    <n v="219.19726600000001"/>
    <n v="6456000.5300000003"/>
    <n v="5.6289199999999999"/>
    <n v="41.691279999999999"/>
    <n v="171.87706600000001"/>
    <n v="26291980"/>
    <n v="26291980"/>
  </r>
  <r>
    <x v="10"/>
    <s v="MVL_DQS3_2B"/>
    <s v="MVL_DQS3_2B"/>
    <s v="Nao Aplicavel"/>
    <s v="NULL"/>
    <n v="0"/>
    <n v="0"/>
    <n v="-75516.289999999994"/>
    <n v="5.6778170000000001"/>
    <n v="75516.289999999994"/>
    <n v="3.0846900000000002"/>
    <n v="2.593127"/>
    <m/>
    <m/>
    <m/>
  </r>
  <r>
    <x v="10"/>
    <s v="RE_DQS5_3"/>
    <s v="RE_DQS5_3"/>
    <s v="Nao Aplicavel"/>
    <s v="NULL"/>
    <n v="0"/>
    <n v="0"/>
    <n v="-375938.97999999899"/>
    <n v="64.062354999999997"/>
    <n v="375938.97999600001"/>
    <n v="10.056801999999999"/>
    <n v="54.005552999999999"/>
    <m/>
    <m/>
    <m/>
  </r>
  <r>
    <x v="10"/>
    <s v="Nao Aplicavel"/>
    <s v="MVL_DQS3_2B"/>
    <s v="Nao Aplicavel"/>
    <s v="NULL"/>
    <n v="0"/>
    <n v="0"/>
    <n v="-27950.709999999901"/>
    <n v="0.64102300000000001"/>
    <n v="27950.709998999999"/>
    <m/>
    <n v="0.64102300000000001"/>
    <m/>
    <m/>
    <m/>
  </r>
  <r>
    <x v="10"/>
    <s v="MVL_DQS4_3A"/>
    <s v="Nao Aplicavel"/>
    <s v="Nao Aplicavel"/>
    <s v="NULL"/>
    <n v="0"/>
    <n v="0"/>
    <n v="-36834.479999999901"/>
    <n v="1.036208"/>
    <n v="36834.479999000003"/>
    <n v="1.036208"/>
    <m/>
    <m/>
    <m/>
    <m/>
  </r>
  <r>
    <x v="10"/>
    <s v="Nao Aplicavel"/>
    <s v="MVL_DQS4_3A"/>
    <s v="Nao Aplicavel"/>
    <s v="NULL"/>
    <n v="0"/>
    <n v="0"/>
    <n v="-136828.34999999899"/>
    <n v="2.5845910000000001"/>
    <n v="136828.349996"/>
    <m/>
    <n v="2.5845910000000001"/>
    <m/>
    <m/>
    <m/>
  </r>
  <r>
    <x v="10"/>
    <s v="MISS"/>
    <s v="MISS"/>
    <s v="MISS"/>
    <s v="NULL"/>
    <n v="0"/>
    <n v="0"/>
    <n v="-187.77"/>
    <n v="0"/>
    <n v="187.77"/>
    <m/>
    <m/>
    <m/>
    <m/>
    <m/>
  </r>
  <r>
    <x v="10"/>
    <s v="BCL_DQS2_SCIB"/>
    <s v="BCL_DQS2_SCIB"/>
    <s v="BCL_DQS4_SCIB"/>
    <s v="1VI5K"/>
    <n v="0"/>
    <n v="1"/>
    <n v="-412.53"/>
    <n v="0"/>
    <n v="412.53"/>
    <n v="0"/>
    <n v="0"/>
    <n v="0"/>
    <n v="8995.1"/>
    <n v="8995.1"/>
  </r>
  <r>
    <x v="10"/>
    <s v="RE_DQS4_2B"/>
    <s v="RE_DQS4_2B"/>
    <s v="Nao Aplicavel"/>
    <s v="NULL"/>
    <n v="0"/>
    <n v="0"/>
    <n v="-482455.989999999"/>
    <n v="36.928052000000001"/>
    <n v="482455.98999500001"/>
    <n v="10.545384"/>
    <n v="26.382667999999999"/>
    <m/>
    <m/>
    <m/>
  </r>
  <r>
    <x v="10"/>
    <s v="Nao Aplicavel"/>
    <s v="Nao Aplicavel"/>
    <s v="Nao Aplicavel"/>
    <s v="NULL"/>
    <n v="0"/>
    <n v="0"/>
    <n v="-334509.68"/>
    <n v="0"/>
    <n v="334509.68"/>
    <m/>
    <m/>
    <m/>
    <m/>
    <m/>
  </r>
  <r>
    <x v="10"/>
    <s v="RE_DQS3_2A"/>
    <s v="RE_DQS3_2A"/>
    <s v="Nao Aplicavel"/>
    <s v="NULL"/>
    <n v="0"/>
    <n v="0"/>
    <n v="-146480.43"/>
    <n v="0.70538999999999996"/>
    <n v="146480.43"/>
    <n v="0.29391200000000001"/>
    <n v="0.41147800000000001"/>
    <m/>
    <m/>
    <m/>
  </r>
  <r>
    <x v="10"/>
    <s v="BCL_DQS5_3B"/>
    <s v="BCL_DQS5_3B"/>
    <s v="BCL_DQS5_3B"/>
    <s v="NULL"/>
    <n v="0"/>
    <n v="0"/>
    <n v="-577814.34"/>
    <n v="3.8661880000000002"/>
    <n v="577814.34"/>
    <n v="0.54830699999999999"/>
    <n v="0.24634400000000001"/>
    <n v="3.0715370000000002"/>
    <m/>
    <m/>
  </r>
  <r>
    <x v="10"/>
    <s v="MVL_DQS4_3A"/>
    <s v="MVL_DQS4_3A"/>
    <s v="Nao Aplicavel"/>
    <s v="NULL"/>
    <n v="0"/>
    <n v="0"/>
    <n v="-106471.019999999"/>
    <n v="5.6317789999999999"/>
    <n v="106471.019998"/>
    <n v="2.6554220000000002"/>
    <n v="2.9763570000000001"/>
    <m/>
    <m/>
    <m/>
  </r>
  <r>
    <x v="10"/>
    <s v="BCL_DQS4_3A"/>
    <s v="BCL_DQS4_3A"/>
    <s v="BCL_DQS4_3A"/>
    <s v="NULL"/>
    <n v="0"/>
    <n v="0"/>
    <n v="-1159219.48"/>
    <n v="613.13307599999996"/>
    <n v="1159219.48"/>
    <n v="86.962746999999993"/>
    <n v="39.068308999999999"/>
    <n v="487.10201999999998"/>
    <m/>
    <m/>
  </r>
  <r>
    <x v="11"/>
    <s v="RE_DQS5_3"/>
    <s v="RE_DQS5_3"/>
    <s v="Nao Aplicavel"/>
    <s v="NULL"/>
    <n v="0"/>
    <n v="0"/>
    <n v="-97567861.190323398"/>
    <n v="8041.0927549999997"/>
    <n v="97567861.190217003"/>
    <n v="1262.328"/>
    <n v="6778.7647550000002"/>
    <m/>
    <m/>
    <m/>
  </r>
  <r>
    <x v="11"/>
    <s v="MVL_DQS4_3A"/>
    <s v="MVL_DQS4_3A"/>
    <s v="Nao Aplicavel"/>
    <s v="NULL"/>
    <n v="0"/>
    <n v="0"/>
    <n v="-1404415.03999999"/>
    <n v="47.791057000000002"/>
    <n v="1404415.039971"/>
    <n v="24.985175000000002"/>
    <n v="22.805882"/>
    <m/>
    <m/>
    <m/>
  </r>
  <r>
    <x v="11"/>
    <s v="Nao Aplicavel"/>
    <s v="MVL_DQS4_3A"/>
    <s v="Nao Aplicavel"/>
    <s v="NULL"/>
    <n v="0"/>
    <n v="0"/>
    <n v="-2534678.98999999"/>
    <n v="49.872937"/>
    <n v="2534678.989908"/>
    <m/>
    <n v="49.872937"/>
    <m/>
    <m/>
    <m/>
  </r>
  <r>
    <x v="11"/>
    <s v="MISS"/>
    <s v="MISS"/>
    <s v="MISS"/>
    <s v="NULL"/>
    <n v="0"/>
    <n v="0"/>
    <n v="-267.45999999999998"/>
    <n v="0"/>
    <n v="267.45999999999998"/>
    <m/>
    <m/>
    <m/>
    <m/>
    <m/>
  </r>
  <r>
    <x v="11"/>
    <s v="BCL_DQS5_3B"/>
    <s v="BCL_DQS5_3B"/>
    <s v="BCL_DQS5_3B"/>
    <s v="NULL"/>
    <n v="0"/>
    <n v="0"/>
    <n v="-95577096.4799999"/>
    <n v="639.09520899999995"/>
    <n v="95577096.479996994"/>
    <n v="90.640057999999996"/>
    <n v="40.725597"/>
    <n v="507.72955400000001"/>
    <m/>
    <m/>
  </r>
  <r>
    <x v="11"/>
    <s v="PF_DQS5_3B"/>
    <s v="PF_DQS5_3B"/>
    <s v="PF_DQS5_3B"/>
    <s v="NULL"/>
    <n v="0"/>
    <n v="0"/>
    <n v="-94651877.140000001"/>
    <n v="632.73840700000005"/>
    <n v="94651877.140000001"/>
    <n v="89.739453999999995"/>
    <n v="40.321702999999999"/>
    <n v="502.67725000000002"/>
    <m/>
    <m/>
  </r>
  <r>
    <x v="11"/>
    <s v="MVL_DQS3_2B"/>
    <s v="MVL_DQS3_2B"/>
    <s v="Nao Aplicavel"/>
    <s v="NULL"/>
    <n v="0"/>
    <n v="0"/>
    <n v="-328367.12999999902"/>
    <n v="11.300782999999999"/>
    <n v="328367.12999500002"/>
    <n v="6.2020039999999996"/>
    <n v="5.0987790000000004"/>
    <m/>
    <m/>
    <m/>
  </r>
  <r>
    <x v="11"/>
    <s v="Nao Aplicavel"/>
    <s v="MVL_DQS3_2B"/>
    <s v="Nao Aplicavel"/>
    <s v="NULL"/>
    <n v="0"/>
    <n v="0"/>
    <n v="-942420.30999999901"/>
    <n v="21.738931000000001"/>
    <n v="942420.30997199996"/>
    <m/>
    <n v="21.738931000000001"/>
    <m/>
    <m/>
    <m/>
  </r>
  <r>
    <x v="11"/>
    <s v="MISS"/>
    <s v="MISS"/>
    <s v="Nao Aplicavel"/>
    <s v="NULL"/>
    <n v="0"/>
    <n v="0"/>
    <n v="-16931.769999999899"/>
    <n v="0"/>
    <n v="16931.769999"/>
    <m/>
    <m/>
    <m/>
    <m/>
    <m/>
  </r>
  <r>
    <x v="11"/>
    <s v="RE_DQS3_2A"/>
    <s v="RE_DQS3_2A"/>
    <s v="Nao Aplicavel"/>
    <s v="NULL"/>
    <n v="0"/>
    <n v="0"/>
    <n v="-139461035.051534"/>
    <n v="1154.3607239999999"/>
    <n v="139461035.05149001"/>
    <n v="317.71578799999997"/>
    <n v="836.64493600000003"/>
    <m/>
    <m/>
    <m/>
  </r>
  <r>
    <x v="11"/>
    <s v="MVL_DQS3_2B"/>
    <s v="Nao Aplicavel"/>
    <s v="Nao Aplicavel"/>
    <s v="NULL"/>
    <n v="0"/>
    <n v="0"/>
    <n v="-261769.889999999"/>
    <n v="18.692346000000001"/>
    <n v="261769.88999200001"/>
    <n v="18.692346000000001"/>
    <m/>
    <m/>
    <m/>
    <m/>
  </r>
  <r>
    <x v="11"/>
    <s v="BCL_DQS4_3A"/>
    <s v="BCL_DQS4_3A"/>
    <s v="BCL_DQS4_3A"/>
    <s v="NULL"/>
    <n v="0"/>
    <n v="0"/>
    <n v="-150976184.65559599"/>
    <n v="17080.016524999999"/>
    <n v="150976184.65559301"/>
    <n v="2422.5164060000002"/>
    <n v="1088.3234440000001"/>
    <n v="13569.176675000001"/>
    <m/>
    <m/>
  </r>
  <r>
    <x v="11"/>
    <s v="RE_DQS4_2B"/>
    <s v="RE_DQS4_2B"/>
    <s v="Nao Aplicavel"/>
    <s v="NULL"/>
    <n v="0"/>
    <n v="0"/>
    <n v="-576052276.36068702"/>
    <n v="87074.399353000001"/>
    <n v="576052276.36039495"/>
    <n v="15021.543653000001"/>
    <n v="72052.8557"/>
    <m/>
    <m/>
    <m/>
  </r>
  <r>
    <x v="11"/>
    <s v="Nao Aplicavel"/>
    <s v="Nao Aplicavel"/>
    <s v="Nao Aplicavel"/>
    <s v="NULL"/>
    <n v="0"/>
    <n v="0"/>
    <n v="-9843283.8274546899"/>
    <n v="0"/>
    <n v="9843283.8274360001"/>
    <m/>
    <m/>
    <m/>
    <m/>
    <m/>
  </r>
  <r>
    <x v="11"/>
    <s v="MVL_DQS4_3A"/>
    <s v="Nao Aplicavel"/>
    <s v="Nao Aplicavel"/>
    <s v="NULL"/>
    <n v="0"/>
    <n v="0"/>
    <n v="-1612630.1999999899"/>
    <n v="175.88861399999999"/>
    <n v="1612630.19991"/>
    <n v="175.88861399999999"/>
    <m/>
    <m/>
    <m/>
    <m/>
  </r>
  <r>
    <x v="12"/>
    <s v="BCL_DQS5_3B"/>
    <s v="BCL_DQS5_3B"/>
    <s v="BCL_DQS5_3B"/>
    <s v="NULL"/>
    <n v="0"/>
    <n v="0"/>
    <n v="-531605794.31840199"/>
    <n v="3594.7465969999998"/>
    <n v="531605794.31838202"/>
    <n v="518.30373599999996"/>
    <n v="228.72653600000001"/>
    <n v="2847.7163249999999"/>
    <m/>
    <m/>
  </r>
  <r>
    <x v="12"/>
    <s v="BCL_DQS1_SCIB"/>
    <s v="BCL_DQS1_SCIB"/>
    <s v="BCL_DQS4_SCIB"/>
    <s v="JEROG"/>
    <n v="0"/>
    <n v="1"/>
    <n v="-25001852.039999999"/>
    <n v="92472.825236000004"/>
    <n v="25001852.039999999"/>
    <n v="681.69241799999998"/>
    <n v="2368.1610700000001"/>
    <n v="89422.971747999996"/>
    <n v="8174"/>
    <n v="8174"/>
  </r>
  <r>
    <x v="12"/>
    <s v="BCL_DQS1_SCIB"/>
    <s v="BCL_DQS2_SCIB"/>
    <s v="BCL_DQS1_SCIB"/>
    <s v="NA"/>
    <n v="0"/>
    <n v="1"/>
    <n v="-246569597.77000001"/>
    <n v="13764.943899"/>
    <n v="246569597.77000001"/>
    <n v="1819.602153"/>
    <n v="7483.0681979999999"/>
    <n v="4462.2735480000001"/>
    <n v="8235.76"/>
    <n v="8235.76"/>
  </r>
  <r>
    <x v="12"/>
    <s v="BCL_DQS1_SCIB"/>
    <s v="BCL_DQS1_SCIB"/>
    <s v="BCL_DQS1_SCIB"/>
    <s v="NA"/>
    <n v="0"/>
    <n v="1"/>
    <n v="-319195100.58999997"/>
    <n v="290609.66039099998"/>
    <n v="319195100.58999997"/>
    <n v="2189.575644"/>
    <n v="4782.762753"/>
    <n v="283637.321994"/>
    <n v="41530.58"/>
    <n v="41530.58"/>
  </r>
  <r>
    <x v="12"/>
    <s v="BCL_DQS4_SCIB"/>
    <s v="BCL_DQS2_SCIB"/>
    <s v="BCL_DQS4_SCIB"/>
    <s v="GRSEM"/>
    <n v="0"/>
    <n v="1"/>
    <n v="-1218.93"/>
    <n v="0"/>
    <n v="1218.93"/>
    <n v="0"/>
    <n v="0"/>
    <n v="0"/>
    <n v="7453.72"/>
    <n v="7453.72"/>
  </r>
  <r>
    <x v="12"/>
    <s v="BCL_DQS1_SCIB"/>
    <s v="BCL_DQS1_SCIB"/>
    <s v="BCL_DQS4_SCIB"/>
    <s v="0S30G"/>
    <n v="1"/>
    <n v="1"/>
    <n v="-37185.85"/>
    <n v="0"/>
    <n v="37185.85"/>
    <n v="0"/>
    <n v="0"/>
    <n v="0"/>
    <n v="229880"/>
    <m/>
  </r>
  <r>
    <x v="12"/>
    <s v="MVL_DQS5_3B"/>
    <s v="MVL_DQS5_3B"/>
    <s v="Nao Aplicavel"/>
    <s v="NULL"/>
    <n v="0"/>
    <n v="0"/>
    <n v="-27613.289999999899"/>
    <n v="2.61612"/>
    <n v="27613.289997"/>
    <n v="2.5530680000000001"/>
    <n v="6.3051999999999997E-2"/>
    <m/>
    <m/>
    <m/>
  </r>
  <r>
    <x v="12"/>
    <s v="BCL_DQS1_SCIB"/>
    <s v="BCL_DQS1_SCIB"/>
    <s v="BCL_DQS4_SCIB"/>
    <s v="GAAMG"/>
    <n v="0"/>
    <n v="1"/>
    <n v="-120402602.45999999"/>
    <n v="86698.243864999997"/>
    <n v="120402602.45999999"/>
    <n v="664.26434800000004"/>
    <n v="7719.2259480000002"/>
    <n v="78314.753568999993"/>
    <n v="3092.4"/>
    <n v="3092.4"/>
  </r>
  <r>
    <x v="12"/>
    <s v="BCL_DQS4_3A"/>
    <s v="BCL_DQS4_3A"/>
    <s v="BCL_DQS4_3A"/>
    <s v="NULL"/>
    <n v="0"/>
    <n v="0"/>
    <n v="-553310336.52364802"/>
    <n v="50042.143994999999"/>
    <n v="553310336.52353001"/>
    <n v="7168.7410710000004"/>
    <n v="3185.6986619999998"/>
    <n v="39687.704261999999"/>
    <m/>
    <m/>
  </r>
  <r>
    <x v="12"/>
    <s v="MVL_DQS4_3A"/>
    <s v="MVL_DQS4_3A"/>
    <s v="Nao Aplicavel"/>
    <s v="NULL"/>
    <n v="0"/>
    <n v="0"/>
    <n v="-2713032.6599999899"/>
    <n v="120.00777600000001"/>
    <n v="2713032.659914"/>
    <n v="64.187762000000006"/>
    <n v="55.820014"/>
    <m/>
    <m/>
    <m/>
  </r>
  <r>
    <x v="12"/>
    <s v="MISS"/>
    <s v="MISS"/>
    <s v="MISS"/>
    <s v="NULL"/>
    <n v="0"/>
    <n v="0"/>
    <n v="-10616.42"/>
    <n v="0"/>
    <n v="10616.42"/>
    <m/>
    <m/>
    <m/>
    <m/>
    <m/>
  </r>
  <r>
    <x v="12"/>
    <s v="BCL_DQS1_SCIB"/>
    <s v="BCL_DQS1_SCIB"/>
    <s v="BCL_DQS4_SCIB"/>
    <s v="CELLN"/>
    <n v="0"/>
    <n v="1"/>
    <n v="-890.23"/>
    <n v="0"/>
    <n v="890.23"/>
    <n v="0"/>
    <n v="0"/>
    <n v="0"/>
    <n v="36824.67"/>
    <n v="36824.67"/>
  </r>
  <r>
    <x v="12"/>
    <s v="BCL_DQS1_SCIB"/>
    <s v="BCL_DQS1_SCIB"/>
    <s v="BCL_DQS4_SCIB"/>
    <s v="ELMPG"/>
    <n v="0"/>
    <n v="1"/>
    <n v="-3440.66"/>
    <n v="3.2057359999999999"/>
    <n v="3440.66"/>
    <n v="0.14299799999999999"/>
    <n v="0.12886800000000001"/>
    <n v="2.9338700000000002"/>
    <n v="973"/>
    <n v="973"/>
  </r>
  <r>
    <x v="12"/>
    <s v="BCL_DQS1_SCIB"/>
    <s v="BCL_DQS1_SCIB"/>
    <s v="BCL_DQS4_SCIB"/>
    <s v="DENTG"/>
    <n v="0"/>
    <n v="1"/>
    <n v="-5397.37"/>
    <n v="0"/>
    <n v="5397.37"/>
    <n v="0"/>
    <n v="0"/>
    <n v="0"/>
    <n v="9345.77"/>
    <n v="9345.77"/>
  </r>
  <r>
    <x v="12"/>
    <s v="MVL_DQS3_2B"/>
    <s v="Nao Aplicavel"/>
    <s v="Nao Aplicavel"/>
    <s v="NULL"/>
    <n v="0"/>
    <n v="0"/>
    <n v="-676288.72690268501"/>
    <n v="42.191169000000002"/>
    <n v="676288.726883"/>
    <n v="42.191169000000002"/>
    <m/>
    <m/>
    <m/>
    <m/>
  </r>
  <r>
    <x v="12"/>
    <s v="BCL_DQS1_SCIB"/>
    <s v="BCL_DQS1_SCIB"/>
    <s v="BCL_DQS4_SCIB"/>
    <s v="NA"/>
    <n v="0"/>
    <n v="1"/>
    <n v="-37575405.25"/>
    <n v="5938.6120000000001"/>
    <n v="37575405.25"/>
    <n v="63.030197000000001"/>
    <n v="624.58491300000003"/>
    <n v="5250.9968900000003"/>
    <n v="45083.839999999997"/>
    <n v="45083.839999999997"/>
  </r>
  <r>
    <x v="12"/>
    <s v="BCL_DQS1_SCIB"/>
    <s v="BCL_DQS1_SCIB"/>
    <s v="BCL_DQS1_SCIB"/>
    <s v="0M20G"/>
    <n v="0"/>
    <n v="1"/>
    <n v="-84734.89"/>
    <n v="3.2390720000000002"/>
    <n v="84734.89"/>
    <n v="2.6190000000000001E-2"/>
    <n v="5.0770000000000003E-2"/>
    <n v="3.162112"/>
    <n v="204232"/>
    <n v="204232"/>
  </r>
  <r>
    <x v="12"/>
    <s v="PF_DQS1_1A"/>
    <s v="PF_DQS5_3B"/>
    <s v="PF_DQS5_3B"/>
    <s v="NULL"/>
    <n v="0"/>
    <n v="0"/>
    <n v="-4289321.9400000004"/>
    <n v="24.606974999999998"/>
    <n v="4289321.9400000004"/>
    <n v="0"/>
    <n v="1.82725"/>
    <n v="22.779724999999999"/>
    <m/>
    <m/>
  </r>
  <r>
    <x v="12"/>
    <s v="MVL_DQS3_2B"/>
    <s v="MVL_DQS3_2B"/>
    <s v="Nao Aplicavel"/>
    <s v="NULL"/>
    <n v="0"/>
    <n v="0"/>
    <n v="-1230913.3899999899"/>
    <n v="38.962349000000003"/>
    <n v="1230913.38998"/>
    <n v="18.671340000000001"/>
    <n v="20.291008999999999"/>
    <m/>
    <m/>
    <m/>
  </r>
  <r>
    <x v="12"/>
    <s v="MISS"/>
    <s v="MISS"/>
    <s v="Nao Aplicavel"/>
    <s v="NULL"/>
    <n v="0"/>
    <n v="0"/>
    <n v="-175454.929999999"/>
    <n v="0"/>
    <n v="175454.92999500001"/>
    <m/>
    <m/>
    <m/>
    <m/>
    <m/>
  </r>
  <r>
    <x v="12"/>
    <s v="BCL_DQS1_SCIB"/>
    <s v="BCL_DQS1_SCIB"/>
    <s v="BCL_DQS4_SCIB"/>
    <s v="HITKK"/>
    <n v="0"/>
    <n v="1"/>
    <n v="-684817.56"/>
    <n v="2611.5254070000001"/>
    <n v="684817.56"/>
    <n v="5.8327080000000002"/>
    <n v="13.292484"/>
    <n v="2592.4002150000001"/>
    <n v="388577.43"/>
    <n v="388577.43"/>
  </r>
  <r>
    <x v="12"/>
    <s v="Nao Aplicavel"/>
    <s v="Nao Aplicavel"/>
    <s v="Nao Aplicavel"/>
    <s v="NULL"/>
    <n v="0"/>
    <n v="0"/>
    <n v="-6504443.1453056196"/>
    <n v="0"/>
    <n v="6504443.1452890001"/>
    <m/>
    <m/>
    <m/>
    <m/>
    <m/>
  </r>
  <r>
    <x v="12"/>
    <s v="RE_DQS4_2B"/>
    <s v="RE_DQS4_2B"/>
    <s v="Nao Aplicavel"/>
    <s v="NULL"/>
    <n v="0"/>
    <n v="0"/>
    <n v="-40149184.362588003"/>
    <n v="33896.266535000002"/>
    <n v="40149184.362558998"/>
    <n v="5418.4071279999998"/>
    <n v="28477.859407"/>
    <m/>
    <m/>
    <m/>
  </r>
  <r>
    <x v="12"/>
    <s v="Nao Aplicavel"/>
    <s v="MVL_DQS3_2B"/>
    <s v="Nao Aplicavel"/>
    <s v="NULL"/>
    <n v="0"/>
    <n v="0"/>
    <n v="-1713343.48999999"/>
    <n v="35.116317000000002"/>
    <n v="1713343.489946"/>
    <m/>
    <n v="35.116317000000002"/>
    <m/>
    <m/>
    <m/>
  </r>
  <r>
    <x v="12"/>
    <s v="NULL"/>
    <s v="NULL"/>
    <s v="NULL"/>
    <s v="NULL"/>
    <n v="0"/>
    <n v="0"/>
    <m/>
    <n v="0"/>
    <m/>
    <m/>
    <m/>
    <m/>
    <m/>
    <m/>
  </r>
  <r>
    <x v="12"/>
    <s v="RE_DQS5_3"/>
    <s v="RE_DQS5_3"/>
    <s v="Nao Aplicavel"/>
    <s v="NULL"/>
    <n v="0"/>
    <n v="0"/>
    <n v="-44176539.394990101"/>
    <n v="3911.9216700000002"/>
    <n v="44176539.394964002"/>
    <n v="614.11159099999998"/>
    <n v="3297.8100789999999"/>
    <m/>
    <m/>
    <m/>
  </r>
  <r>
    <x v="12"/>
    <s v="Nao Aplicavel"/>
    <s v="MVL_DQS4_3A"/>
    <s v="Nao Aplicavel"/>
    <s v="NULL"/>
    <n v="0"/>
    <n v="0"/>
    <n v="-6043602.1299999896"/>
    <n v="126.55376800000001"/>
    <n v="6043602.1297840001"/>
    <m/>
    <n v="126.55376800000001"/>
    <m/>
    <m/>
    <m/>
  </r>
  <r>
    <x v="12"/>
    <s v="RE_DQS3_2A"/>
    <s v="RE_DQS3_2A"/>
    <s v="Nao Aplicavel"/>
    <s v="NULL"/>
    <n v="0"/>
    <n v="0"/>
    <n v="-21472642.607116099"/>
    <n v="115.583949"/>
    <n v="21472642.607108999"/>
    <n v="34.109900000000003"/>
    <n v="81.474048999999994"/>
    <m/>
    <m/>
    <m/>
  </r>
  <r>
    <x v="12"/>
    <s v="MVL_DQS4_3A"/>
    <s v="Nao Aplicavel"/>
    <s v="Nao Aplicavel"/>
    <s v="NULL"/>
    <n v="0"/>
    <n v="0"/>
    <n v="-4543212.4730973104"/>
    <n v="669.57914600000004"/>
    <n v="4543212.4728469998"/>
    <n v="669.57914600000004"/>
    <m/>
    <m/>
    <m/>
    <m/>
  </r>
  <r>
    <x v="12"/>
    <s v="BCL_DQS2_SCIB"/>
    <s v="BCL_DQS2_SCIB"/>
    <s v="BCL_DQS4_SCIB"/>
    <s v="1VI5K"/>
    <n v="0"/>
    <n v="1"/>
    <n v="-69.099999999999994"/>
    <n v="0"/>
    <n v="69.099999999999994"/>
    <n v="0"/>
    <n v="0"/>
    <n v="0"/>
    <n v="8995.1"/>
    <n v="8995.1"/>
  </r>
  <r>
    <x v="12"/>
    <s v="BCL_DQS1_SCIB"/>
    <s v="BCL_DQS1_SCIB"/>
    <s v="BCL_DQS1_SCIB"/>
    <s v="GRBRI"/>
    <n v="0"/>
    <n v="1"/>
    <n v="-8770.01"/>
    <n v="2.472181"/>
    <n v="8770.01"/>
    <n v="5.7320000000000001E-3"/>
    <n v="6.2430000000000003E-3"/>
    <n v="2.4602059999999999"/>
    <n v="25544.639999999999"/>
    <n v="25544.639999999999"/>
  </r>
  <r>
    <x v="12"/>
    <s v="PF_DQS5_3B"/>
    <s v="PF_DQS5_3B"/>
    <s v="PF_DQS5_3B"/>
    <s v="NULL"/>
    <n v="0"/>
    <n v="0"/>
    <n v="-1836565.53"/>
    <n v="12.277245000000001"/>
    <n v="1836565.53"/>
    <n v="1.7412460000000001"/>
    <n v="0.78237500000000004"/>
    <n v="9.7536240000000003"/>
    <m/>
    <m/>
  </r>
  <r>
    <x v="13"/>
    <s v="Nao Aplicavel"/>
    <s v="MVL_DQS4_3A"/>
    <s v="Nao Aplicavel"/>
    <s v="NULL"/>
    <n v="0"/>
    <n v="0"/>
    <n v="-2256778.8699999899"/>
    <n v="52.239069999999998"/>
    <n v="2256778.8699059999"/>
    <m/>
    <n v="52.239069999999998"/>
    <m/>
    <m/>
    <m/>
  </r>
  <r>
    <x v="13"/>
    <s v="NULL"/>
    <s v="NULL"/>
    <s v="NULL"/>
    <s v="NULL"/>
    <n v="0"/>
    <n v="0"/>
    <m/>
    <n v="0"/>
    <m/>
    <m/>
    <m/>
    <m/>
    <m/>
    <m/>
  </r>
  <r>
    <x v="13"/>
    <s v="Nao Aplicavel"/>
    <s v="Nao Aplicavel"/>
    <s v="Nao Aplicavel"/>
    <s v="0VD0G"/>
    <n v="0"/>
    <n v="0"/>
    <n v="-965.9"/>
    <n v="0"/>
    <n v="965.9"/>
    <m/>
    <m/>
    <m/>
    <n v="38004"/>
    <n v="38004"/>
  </r>
  <r>
    <x v="13"/>
    <s v="MVL_DQS3_2B"/>
    <s v="MVL_DQS3_2B"/>
    <s v="Nao Aplicavel"/>
    <s v="NULL"/>
    <n v="0"/>
    <n v="0"/>
    <n v="-175942.109999999"/>
    <n v="3.7263519999999999"/>
    <n v="175942.10999699999"/>
    <n v="1.499234"/>
    <n v="2.2271179999999999"/>
    <m/>
    <m/>
    <m/>
  </r>
  <r>
    <x v="13"/>
    <s v="BCL_DQS1_SCIB"/>
    <s v="BCL_DQS1_SCIB"/>
    <s v="BCL_DQS4_SCIB"/>
    <s v="ZONGG"/>
    <n v="0"/>
    <n v="1"/>
    <n v="-121425.35"/>
    <n v="18.327760999999999"/>
    <n v="121425.35"/>
    <n v="0.194524"/>
    <n v="1.9275960000000001"/>
    <n v="16.205641"/>
    <n v="15812.34"/>
    <n v="15812.34"/>
  </r>
  <r>
    <x v="13"/>
    <s v="Nao Aplicavel"/>
    <s v="MVL_DQS3_2B"/>
    <s v="Nao Aplicavel"/>
    <s v="NULL"/>
    <n v="0"/>
    <n v="0"/>
    <n v="-544147.78999999899"/>
    <n v="11.364067"/>
    <n v="544147.78998400003"/>
    <m/>
    <n v="11.364067"/>
    <m/>
    <m/>
    <m/>
  </r>
  <r>
    <x v="13"/>
    <s v="BCL_DQS5_3B"/>
    <s v="BCL_DQS5_3B"/>
    <s v="BCL_DQS5_3B"/>
    <s v="NULL"/>
    <n v="0"/>
    <n v="0"/>
    <n v="-63982843.109999903"/>
    <n v="728.48352299999999"/>
    <n v="63982843.109991997"/>
    <n v="178.02427499999999"/>
    <n v="35.021828999999997"/>
    <n v="515.43741899999998"/>
    <m/>
    <m/>
  </r>
  <r>
    <x v="13"/>
    <s v="MVL_DQS3_2B"/>
    <s v="Nao Aplicavel"/>
    <s v="Nao Aplicavel"/>
    <s v="NULL"/>
    <n v="0"/>
    <n v="0"/>
    <n v="-1757957.3999999899"/>
    <n v="204.65361200000001"/>
    <n v="1757957.399889"/>
    <n v="204.65361200000001"/>
    <m/>
    <m/>
    <m/>
    <m/>
  </r>
  <r>
    <x v="13"/>
    <s v="BCL_DQS2_SCIB"/>
    <s v="BCL_DQS2_SCIB"/>
    <s v="BCL_DQS4_SCIB"/>
    <s v="SOGEG"/>
    <n v="0"/>
    <n v="1"/>
    <n v="-860.11"/>
    <n v="0"/>
    <n v="860.11"/>
    <n v="0"/>
    <n v="0"/>
    <n v="0"/>
    <n v="4035200"/>
    <n v="4035200"/>
  </r>
  <r>
    <x v="13"/>
    <s v="Nao Aplicavel"/>
    <s v="Nao Aplicavel"/>
    <s v="Nao Aplicavel"/>
    <s v="NULL"/>
    <n v="0"/>
    <n v="0"/>
    <n v="-333862.507295597"/>
    <n v="0"/>
    <n v="333862.50729099999"/>
    <m/>
    <m/>
    <m/>
    <m/>
    <m/>
  </r>
  <r>
    <x v="13"/>
    <s v="BCL_DQS1_SCIB"/>
    <s v="BCL_DQS1_SCIB"/>
    <s v="BCL_DQS4_SCIB"/>
    <s v="5PROS"/>
    <n v="0"/>
    <n v="1"/>
    <n v="-548990.66"/>
    <n v="113.265259"/>
    <n v="548990.66"/>
    <n v="17.647811999999998"/>
    <n v="1.206631"/>
    <n v="94.410815999999997"/>
    <n v="877913.4"/>
    <n v="877913.4"/>
  </r>
  <r>
    <x v="13"/>
    <s v="MVL_DQS4_3A"/>
    <s v="MVL_DQS4_3A"/>
    <s v="Nao Aplicavel"/>
    <s v="NULL"/>
    <n v="0"/>
    <n v="0"/>
    <n v="-10046759.759999899"/>
    <n v="717.84674099999995"/>
    <n v="10046759.759493001"/>
    <n v="380.749144"/>
    <n v="337.09759700000001"/>
    <m/>
    <m/>
    <m/>
  </r>
  <r>
    <x v="13"/>
    <s v="MVL_DQS5_3B"/>
    <s v="MVL_DQS5_3B"/>
    <s v="Nao Aplicavel"/>
    <s v="NULL"/>
    <n v="0"/>
    <n v="0"/>
    <n v="-2001578.9299999899"/>
    <n v="174.56436099999999"/>
    <n v="2001578.929886"/>
    <n v="173.01778999999999"/>
    <n v="1.5465709999999999"/>
    <m/>
    <m/>
    <m/>
  </r>
  <r>
    <x v="13"/>
    <s v="BCL_DQS1_SCIB"/>
    <s v="BCL_DQS1_SCIB"/>
    <s v="BCL_DQS4_SCIB"/>
    <s v="5AD5G"/>
    <n v="0"/>
    <n v="1"/>
    <n v="-1636.9"/>
    <n v="0"/>
    <n v="1636.9"/>
    <n v="0"/>
    <n v="0"/>
    <n v="0"/>
    <n v="7145"/>
    <n v="7145"/>
  </r>
  <r>
    <x v="13"/>
    <s v="MVL_DQS4_3A"/>
    <s v="Nao Aplicavel"/>
    <s v="Nao Aplicavel"/>
    <s v="0VD0G"/>
    <n v="0"/>
    <n v="0"/>
    <n v="-482945.19999999902"/>
    <n v="58.073065"/>
    <n v="482945.199975"/>
    <n v="58.073065"/>
    <m/>
    <m/>
    <n v="38004"/>
    <n v="38004"/>
  </r>
  <r>
    <x v="13"/>
    <s v="BCL_DQS4_3A"/>
    <s v="BCL_DQS4_3A"/>
    <s v="BCL_DQS4_3A"/>
    <s v="NULL"/>
    <n v="0"/>
    <n v="0"/>
    <n v="-127137047.378803"/>
    <n v="69876.999251000001"/>
    <n v="127137047.37837"/>
    <n v="18744.552092999998"/>
    <n v="3103.0445800000002"/>
    <n v="48029.402578000001"/>
    <m/>
    <m/>
  </r>
  <r>
    <x v="13"/>
    <s v="MVL_DQS4_3A"/>
    <s v="Nao Aplicavel"/>
    <s v="Nao Aplicavel"/>
    <s v="NULL"/>
    <n v="0"/>
    <n v="0"/>
    <n v="-89623403.129999906"/>
    <n v="14202.064659"/>
    <n v="89623403.124406993"/>
    <n v="14202.064659"/>
    <m/>
    <m/>
    <m/>
    <m/>
  </r>
  <r>
    <x v="13"/>
    <s v="RE_DQS5_3"/>
    <s v="RE_DQS5_3"/>
    <s v="Nao Aplicavel"/>
    <s v="NULL"/>
    <n v="0"/>
    <n v="0"/>
    <n v="-11195157.4227044"/>
    <n v="1313.880287"/>
    <n v="11195157.422696"/>
    <n v="206.25902099999999"/>
    <n v="1107.6212660000001"/>
    <m/>
    <m/>
    <m/>
  </r>
  <r>
    <x v="13"/>
    <s v="BCL_DQS1_SCIB"/>
    <s v="BCL_DQS1_SCIB"/>
    <s v="BCL_DQS4_SCIB"/>
    <s v="TPFMN"/>
    <n v="0"/>
    <n v="1"/>
    <n v="-42414.52"/>
    <n v="1.409016"/>
    <n v="42414.52"/>
    <n v="5.2535999999999999E-2"/>
    <n v="0.373062"/>
    <n v="0.98341800000000001"/>
    <n v="28527"/>
    <n v="28527"/>
  </r>
  <r>
    <x v="13"/>
    <s v="MISS"/>
    <s v="MISS"/>
    <s v="Nao Aplicavel"/>
    <s v="NULL"/>
    <n v="0"/>
    <n v="0"/>
    <n v="-1104487.3999999899"/>
    <n v="0"/>
    <n v="1104487.3999580001"/>
    <m/>
    <m/>
    <m/>
    <m/>
    <m/>
  </r>
  <r>
    <x v="13"/>
    <s v="RE_DQS3_2A"/>
    <s v="RE_DQS3_2A"/>
    <s v="Nao Aplicavel"/>
    <s v="NULL"/>
    <n v="0"/>
    <n v="0"/>
    <n v="-3261779.67"/>
    <n v="52.274551000000002"/>
    <n v="3261779.67"/>
    <n v="13.458898"/>
    <n v="38.815652999999998"/>
    <m/>
    <m/>
    <m/>
  </r>
  <r>
    <x v="13"/>
    <s v="BCL_DQS1_SCIB"/>
    <s v="BCL_DQS1_SCIB"/>
    <s v="BCL_DQS1_SCIB"/>
    <s v="IPAGG"/>
    <n v="0"/>
    <n v="1"/>
    <n v="-7234.99"/>
    <n v="0"/>
    <n v="7234.99"/>
    <n v="0"/>
    <n v="0"/>
    <n v="0"/>
    <n v="7667.5"/>
    <n v="7667.5"/>
  </r>
  <r>
    <x v="13"/>
    <s v="BCL_DQS1_SCIB"/>
    <s v="BCL_DQS1_SCIB"/>
    <s v="BCL_DQS1_SCIB"/>
    <s v="SNTGG"/>
    <n v="0"/>
    <n v="1"/>
    <n v="-187421.86"/>
    <n v="0"/>
    <n v="187421.86"/>
    <n v="0"/>
    <n v="0"/>
    <n v="0"/>
    <n v="1184922"/>
    <n v="1184922"/>
  </r>
  <r>
    <x v="13"/>
    <s v="RE_DQS4_2B"/>
    <s v="RE_DQS4_2B"/>
    <s v="Nao Aplicavel"/>
    <s v="NULL"/>
    <n v="0"/>
    <n v="0"/>
    <n v="-32968722.099999901"/>
    <n v="3305.4460039999999"/>
    <n v="32968722.099987999"/>
    <n v="589.31377799999996"/>
    <n v="2716.1322260000002"/>
    <m/>
    <m/>
    <m/>
  </r>
  <r>
    <x v="13"/>
    <s v="BCL_DQS1_SCIB"/>
    <s v="BCL_DQS2_SCIB"/>
    <s v="BCL_DQS4_SCIB"/>
    <s v="0VD0G"/>
    <n v="0"/>
    <n v="1"/>
    <n v="-6023382.6100000003"/>
    <n v="2731.6402389999998"/>
    <n v="6023382.6100000003"/>
    <n v="965.77711999999997"/>
    <n v="5.590382"/>
    <n v="1760.272737"/>
    <n v="3040.32"/>
    <n v="3040.32"/>
  </r>
  <r>
    <x v="14"/>
    <s v="MVL_DQS3_2B"/>
    <s v="Nao Aplicavel"/>
    <s v="Nao Aplicavel"/>
    <s v="NULL"/>
    <n v="0"/>
    <n v="0"/>
    <n v="-72101.229999999894"/>
    <n v="2.7938339999999999"/>
    <n v="72101.229999000003"/>
    <n v="2.7938339999999999"/>
    <m/>
    <m/>
    <m/>
    <m/>
  </r>
  <r>
    <x v="14"/>
    <s v="MVL_DQS4_3A"/>
    <s v="Nao Aplicavel"/>
    <s v="Nao Aplicavel"/>
    <s v="NULL"/>
    <n v="0"/>
    <n v="0"/>
    <n v="-52745.969999999899"/>
    <n v="6.2476830000000003"/>
    <n v="52745.969996"/>
    <n v="6.2476830000000003"/>
    <m/>
    <m/>
    <m/>
    <m/>
  </r>
  <r>
    <x v="14"/>
    <s v="BCL_DQS4_3A"/>
    <s v="BCL_DQS4_3A"/>
    <s v="BCL_DQS4_3A"/>
    <s v="NULL"/>
    <n v="0"/>
    <n v="0"/>
    <n v="-175888.35"/>
    <n v="9.9798930000000006"/>
    <n v="175888.35"/>
    <n v="3.3300649999999998"/>
    <n v="0.55666400000000005"/>
    <n v="6.0931639999999998"/>
    <m/>
    <m/>
  </r>
  <r>
    <x v="14"/>
    <s v="BCL_DQS5_3B"/>
    <s v="BCL_DQS5_3B"/>
    <s v="BCL_DQS5_3B"/>
    <s v="NULL"/>
    <n v="0"/>
    <n v="0"/>
    <n v="-25507738.359999999"/>
    <n v="2348.6305050000001"/>
    <n v="25507738.359999999"/>
    <n v="783.68546500000002"/>
    <n v="131.00325100000001"/>
    <n v="1433.941789"/>
    <m/>
    <m/>
  </r>
  <r>
    <x v="14"/>
    <s v="Nao Aplicavel"/>
    <s v="Nao Aplicavel"/>
    <s v="Nao Aplicavel"/>
    <s v="NULL"/>
    <n v="0"/>
    <n v="0"/>
    <n v="-335.28"/>
    <n v="0"/>
    <n v="335.28"/>
    <m/>
    <m/>
    <m/>
    <m/>
    <m/>
  </r>
  <r>
    <x v="15"/>
    <s v="MVL_DQS4_3A"/>
    <s v="Nao Aplicavel"/>
    <s v="Nao Aplicavel"/>
    <s v="NULL"/>
    <n v="0"/>
    <n v="0"/>
    <n v="-568064.62999999896"/>
    <n v="202.992073"/>
    <n v="568064.62994899997"/>
    <n v="202.992073"/>
    <m/>
    <m/>
    <m/>
    <m/>
  </r>
  <r>
    <x v="15"/>
    <s v="Nao Aplicavel"/>
    <s v="Nao Aplicavel"/>
    <s v="Nao Aplicavel"/>
    <s v="NULL"/>
    <n v="0"/>
    <n v="0"/>
    <n v="-21791.1594704407"/>
    <n v="0"/>
    <n v="21791.159468000002"/>
    <m/>
    <m/>
    <m/>
    <m/>
    <m/>
  </r>
  <r>
    <x v="15"/>
    <s v="BCL_DQS5_3B"/>
    <s v="BCL_DQS5_3B"/>
    <s v="BCL_DQS5_3B"/>
    <s v="NULL"/>
    <n v="0"/>
    <n v="0"/>
    <n v="-4718330.3299999898"/>
    <n v="434.742209"/>
    <n v="4718330.3299939996"/>
    <n v="145.06374400000001"/>
    <n v="24.249102000000001"/>
    <n v="265.42936300000002"/>
    <m/>
    <m/>
  </r>
  <r>
    <x v="15"/>
    <s v="RE_DQS4_2B"/>
    <s v="RE_DQS4_2B"/>
    <s v="Nao Aplicavel"/>
    <s v="NULL"/>
    <n v="0"/>
    <n v="0"/>
    <n v="-22386155.320029199"/>
    <n v="1280.4169750000001"/>
    <n v="22386155.320028"/>
    <n v="245.828002"/>
    <n v="1034.5889729999999"/>
    <m/>
    <m/>
    <m/>
  </r>
  <r>
    <x v="15"/>
    <s v="RE_DQS5_3"/>
    <s v="RE_DQS5_3"/>
    <s v="Nao Aplicavel"/>
    <s v="NULL"/>
    <n v="0"/>
    <n v="0"/>
    <n v="-8824954.8405003306"/>
    <n v="786.651476"/>
    <n v="8824954.8404959999"/>
    <n v="123.4922"/>
    <n v="663.15927599999998"/>
    <m/>
    <m/>
    <m/>
  </r>
  <r>
    <x v="15"/>
    <s v="Nao Aplicavel"/>
    <s v="MVL_DQS3_2B"/>
    <s v="Nao Aplicavel"/>
    <s v="NULL"/>
    <n v="0"/>
    <n v="0"/>
    <n v="-84829.879999999903"/>
    <n v="2.2962889999999998"/>
    <n v="84829.879996999996"/>
    <m/>
    <n v="2.2962889999999998"/>
    <m/>
    <m/>
    <m/>
  </r>
  <r>
    <x v="15"/>
    <s v="MISS"/>
    <s v="MISS"/>
    <s v="Nao Aplicavel"/>
    <s v="NULL"/>
    <n v="0"/>
    <n v="0"/>
    <n v="-127858.879999999"/>
    <n v="0"/>
    <n v="127858.879998"/>
    <m/>
    <m/>
    <m/>
    <m/>
    <m/>
  </r>
  <r>
    <x v="15"/>
    <s v="MVL_DQS4_3A"/>
    <s v="MVL_DQS4_3A"/>
    <s v="Nao Aplicavel"/>
    <s v="NULL"/>
    <n v="0"/>
    <n v="0"/>
    <n v="-126861.909999999"/>
    <n v="8.1720299999999995"/>
    <n v="126861.909996"/>
    <n v="4.2320250000000001"/>
    <n v="3.9400050000000002"/>
    <m/>
    <m/>
    <m/>
  </r>
  <r>
    <x v="15"/>
    <s v="Nao Aplicavel"/>
    <s v="MVL_DQS4_3A"/>
    <s v="Nao Aplicavel"/>
    <s v="NULL"/>
    <n v="0"/>
    <n v="0"/>
    <n v="-519053.88999999902"/>
    <n v="11.857957000000001"/>
    <n v="519053.88998199999"/>
    <m/>
    <n v="11.857957000000001"/>
    <m/>
    <m/>
    <m/>
  </r>
  <r>
    <x v="15"/>
    <s v="MVL_DQS3_2B"/>
    <s v="MVL_DQS3_2B"/>
    <s v="Nao Aplicavel"/>
    <s v="NULL"/>
    <n v="0"/>
    <n v="0"/>
    <n v="-33854.080000000002"/>
    <n v="1.21885"/>
    <n v="33854.080000000002"/>
    <n v="0.57742400000000005"/>
    <n v="0.64142600000000005"/>
    <m/>
    <m/>
    <m/>
  </r>
  <r>
    <x v="15"/>
    <s v="BCL_DQS4_3A"/>
    <s v="BCL_DQS4_3A"/>
    <s v="BCL_DQS4_3A"/>
    <s v="NULL"/>
    <n v="0"/>
    <n v="0"/>
    <n v="-23659240.689999901"/>
    <n v="5398.978333"/>
    <n v="23659240.689989999"/>
    <n v="1801.5174460000001"/>
    <n v="301.14756"/>
    <n v="3296.3133269999998"/>
    <m/>
    <m/>
  </r>
  <r>
    <x v="15"/>
    <s v="RE_DQS3_2A"/>
    <s v="RE_DQS3_2A"/>
    <s v="Nao Aplicavel"/>
    <s v="NULL"/>
    <n v="0"/>
    <n v="0"/>
    <n v="-141837.88"/>
    <n v="2.647351"/>
    <n v="141837.88"/>
    <n v="0.65686100000000003"/>
    <n v="1.9904900000000001"/>
    <m/>
    <m/>
    <m/>
  </r>
  <r>
    <x v="16"/>
    <s v="BCL_DQS1_SCIB"/>
    <s v="BCL_DQS1_SCIB"/>
    <s v="BCL_DQS4_SCIB"/>
    <s v="EDP0G"/>
    <n v="0"/>
    <n v="1"/>
    <n v="-385241.76"/>
    <n v="180.21494000000001"/>
    <n v="385241.76"/>
    <n v="84.645314999999997"/>
    <n v="4.2239069999999996"/>
    <n v="91.345718000000005"/>
    <n v="39813.06"/>
    <n v="39813.06"/>
  </r>
  <r>
    <x v="16"/>
    <s v="BCL_DQS1_SCIB"/>
    <s v="BCL_DQS1_SCIB"/>
    <s v="BCL_DQS4_SCIB"/>
    <s v="5FRQG"/>
    <n v="0"/>
    <n v="1"/>
    <n v="-1380.39"/>
    <n v="0"/>
    <n v="1380.39"/>
    <n v="0"/>
    <n v="0"/>
    <n v="0"/>
    <n v="67734"/>
    <n v="67734"/>
  </r>
  <r>
    <x v="16"/>
    <s v="MVL_DQS4_3A"/>
    <s v="Nao Aplicavel"/>
    <s v="Nao Aplicavel"/>
    <s v="NULL"/>
    <n v="0"/>
    <n v="0"/>
    <n v="-2350957.9399999902"/>
    <n v="182.93868699999999"/>
    <n v="2350957.9398699999"/>
    <n v="182.93868699999999"/>
    <m/>
    <m/>
    <m/>
    <m/>
  </r>
  <r>
    <x v="16"/>
    <s v="RE_DQS3_2A"/>
    <s v="RE_DQS3_2A"/>
    <s v="Nao Aplicavel"/>
    <s v="NULL"/>
    <n v="0"/>
    <n v="0"/>
    <n v="-9850752.3365578502"/>
    <n v="87.491845999999995"/>
    <n v="9850752.3365550004"/>
    <n v="23.437452"/>
    <n v="64.054394000000002"/>
    <m/>
    <m/>
    <m/>
  </r>
  <r>
    <x v="16"/>
    <s v="BCL_DQS4_3A"/>
    <s v="BCL_DQS4_3A"/>
    <s v="BCL_DQS4_3A"/>
    <s v="NULL"/>
    <n v="0"/>
    <n v="0"/>
    <n v="-90625432.679999903"/>
    <n v="34347.040327000002"/>
    <n v="90625432.679187998"/>
    <n v="11460.833576000001"/>
    <n v="1915.83053"/>
    <n v="20970.376220999999"/>
    <m/>
    <m/>
  </r>
  <r>
    <x v="16"/>
    <s v="MVL_DQS4_3A"/>
    <s v="MVL_DQS4_3A"/>
    <s v="Nao Aplicavel"/>
    <s v="NULL"/>
    <n v="0"/>
    <n v="0"/>
    <n v="-865363.87999999896"/>
    <n v="36.599773999999996"/>
    <n v="865363.87997699995"/>
    <n v="19.440131000000001"/>
    <n v="17.159642999999999"/>
    <m/>
    <m/>
    <m/>
  </r>
  <r>
    <x v="16"/>
    <s v="RE_DQS4_2B"/>
    <s v="RE_DQS4_2B"/>
    <s v="Nao Aplicavel"/>
    <s v="NULL"/>
    <n v="0"/>
    <n v="0"/>
    <n v="-33051206.723312698"/>
    <n v="1171.652065"/>
    <n v="33051206.723304"/>
    <n v="239.31023500000001"/>
    <n v="932.34182999999996"/>
    <m/>
    <m/>
    <m/>
  </r>
  <r>
    <x v="16"/>
    <s v="MVL_DQS3_2B"/>
    <s v="Nao Aplicavel"/>
    <s v="Nao Aplicavel"/>
    <s v="NULL"/>
    <n v="0"/>
    <n v="0"/>
    <n v="-447229.84999999899"/>
    <n v="31.700859000000001"/>
    <n v="447229.84998699999"/>
    <n v="31.700859000000001"/>
    <m/>
    <m/>
    <m/>
    <m/>
  </r>
  <r>
    <x v="16"/>
    <s v="Nao Aplicavel"/>
    <s v="MVL_DQS4_3A"/>
    <s v="Nao Aplicavel"/>
    <s v="NULL"/>
    <n v="0"/>
    <n v="0"/>
    <n v="-3164874.77999999"/>
    <n v="56.185617999999998"/>
    <n v="3164874.7798819998"/>
    <m/>
    <n v="56.185617999999998"/>
    <m/>
    <m/>
    <m/>
  </r>
  <r>
    <x v="16"/>
    <s v="Nao Aplicavel"/>
    <s v="Nao Aplicavel"/>
    <s v="Nao Aplicavel"/>
    <s v="NULL"/>
    <n v="0"/>
    <n v="0"/>
    <n v="-1244993.1586255101"/>
    <n v="0"/>
    <n v="1244993.1586150001"/>
    <m/>
    <m/>
    <m/>
    <m/>
    <m/>
  </r>
  <r>
    <x v="16"/>
    <s v="MVL_DQS5_3B"/>
    <s v="MVL_DQS5_3B"/>
    <s v="Nao Aplicavel"/>
    <s v="NULL"/>
    <n v="0"/>
    <n v="0"/>
    <n v="-22277.629999999899"/>
    <n v="1.285971"/>
    <n v="22277.629999000001"/>
    <n v="1.244273"/>
    <n v="4.1697999999999999E-2"/>
    <m/>
    <m/>
    <m/>
  </r>
  <r>
    <x v="16"/>
    <s v="BCL_DQS5_3B"/>
    <s v="BCL_DQS5_3B"/>
    <s v="BCL_DQS5_3B"/>
    <s v="NULL"/>
    <n v="0"/>
    <n v="0"/>
    <n v="-20111460.2999999"/>
    <n v="1853.414614"/>
    <n v="20111460.299874"/>
    <n v="618.44294200000002"/>
    <n v="103.38000700000001"/>
    <n v="1131.5916649999999"/>
    <m/>
    <m/>
  </r>
  <r>
    <x v="16"/>
    <s v="Nao Aplicavel"/>
    <s v="MVL_DQS3_2B"/>
    <s v="Nao Aplicavel"/>
    <s v="NULL"/>
    <n v="0"/>
    <n v="0"/>
    <n v="-986798.34999999905"/>
    <n v="19.312951000000002"/>
    <n v="986798.34996799997"/>
    <m/>
    <n v="19.312951000000002"/>
    <m/>
    <m/>
    <m/>
  </r>
  <r>
    <x v="16"/>
    <s v="RE_DQS5_3"/>
    <s v="RE_DQS5_3"/>
    <s v="Nao Aplicavel"/>
    <s v="NULL"/>
    <n v="0"/>
    <n v="0"/>
    <n v="-69468823.491503805"/>
    <n v="4539.0507459999999"/>
    <n v="69468823.491470993"/>
    <n v="712.56122300000004"/>
    <n v="3826.4895230000002"/>
    <m/>
    <m/>
    <m/>
  </r>
  <r>
    <x v="16"/>
    <s v="MVL_DQS3_2B"/>
    <s v="MVL_DQS3_2B"/>
    <s v="Nao Aplicavel"/>
    <s v="NULL"/>
    <n v="0"/>
    <n v="0"/>
    <n v="-324857.07999999903"/>
    <n v="10.434585999999999"/>
    <n v="324857.07999200001"/>
    <n v="5.1537559999999996"/>
    <n v="5.2808299999999999"/>
    <m/>
    <m/>
    <m/>
  </r>
  <r>
    <x v="17"/>
    <s v="MVL_DQS4_3A"/>
    <s v="Nao Aplicavel"/>
    <s v="Nao Aplicavel"/>
    <s v="NULL"/>
    <n v="0"/>
    <n v="0"/>
    <n v="-1393028.70999999"/>
    <n v="477.41302300000001"/>
    <n v="1393028.709919"/>
    <n v="477.41302300000001"/>
    <m/>
    <m/>
    <m/>
    <m/>
  </r>
  <r>
    <x v="17"/>
    <s v="MVL_DQS3_2B"/>
    <s v="Nao Aplicavel"/>
    <s v="Nao Aplicavel"/>
    <s v="NULL"/>
    <n v="0"/>
    <n v="0"/>
    <n v="-47912.5099999999"/>
    <n v="5.9669059999999998"/>
    <n v="47912.509999000002"/>
    <n v="5.9669059999999998"/>
    <m/>
    <m/>
    <m/>
    <m/>
  </r>
  <r>
    <x v="17"/>
    <s v="RE_DQS5_3"/>
    <s v="RE_DQS5_3"/>
    <s v="Nao Aplicavel"/>
    <s v="NULL"/>
    <n v="0"/>
    <n v="0"/>
    <n v="-6119333.9799999902"/>
    <n v="680.87107800000001"/>
    <n v="6119333.979998"/>
    <n v="106.88629899999999"/>
    <n v="573.984779"/>
    <m/>
    <m/>
    <m/>
  </r>
  <r>
    <x v="17"/>
    <s v="MISS"/>
    <s v="MISS"/>
    <s v="Nao Aplicavel"/>
    <s v="NULL"/>
    <n v="0"/>
    <n v="0"/>
    <n v="-357161.74999999901"/>
    <n v="0"/>
    <n v="357161.749992"/>
    <m/>
    <m/>
    <m/>
    <m/>
    <m/>
  </r>
  <r>
    <x v="17"/>
    <s v="BCL_DQS5_3B"/>
    <s v="BCL_DQS5_3B"/>
    <s v="BCL_DQS5_3B"/>
    <s v="NULL"/>
    <n v="0"/>
    <n v="0"/>
    <n v="-13131853.7999999"/>
    <n v="1209.6326819999999"/>
    <n v="13131853.799981"/>
    <n v="403.627342"/>
    <n v="67.471247000000005"/>
    <n v="738.53409299999998"/>
    <m/>
    <m/>
  </r>
  <r>
    <x v="17"/>
    <s v="RE_DQS3_2A"/>
    <s v="RE_DQS3_2A"/>
    <s v="Nao Aplicavel"/>
    <s v="NULL"/>
    <n v="0"/>
    <n v="0"/>
    <n v="-302872.78556491202"/>
    <n v="2.1129099999999998"/>
    <n v="302872.78556300001"/>
    <n v="0.74759699999999996"/>
    <n v="1.365313"/>
    <m/>
    <m/>
    <m/>
  </r>
  <r>
    <x v="17"/>
    <s v="MVL_DQS4_3A"/>
    <s v="MVL_DQS4_3A"/>
    <s v="Nao Aplicavel"/>
    <s v="NULL"/>
    <n v="0"/>
    <n v="0"/>
    <n v="-79797.599999999904"/>
    <n v="6.9852220000000003"/>
    <n v="79797.599996999998"/>
    <n v="3.5911200000000001"/>
    <n v="3.3941020000000002"/>
    <m/>
    <m/>
    <m/>
  </r>
  <r>
    <x v="17"/>
    <s v="RE_DQS4_2B"/>
    <s v="RE_DQS4_2B"/>
    <s v="Nao Aplicavel"/>
    <s v="NULL"/>
    <n v="0"/>
    <n v="0"/>
    <n v="-24253360.349999901"/>
    <n v="25042.378835"/>
    <n v="24253360.349994"/>
    <n v="4053.5507600000001"/>
    <n v="20988.828075000001"/>
    <m/>
    <m/>
    <m/>
  </r>
  <r>
    <x v="17"/>
    <s v="Nao Aplicavel"/>
    <s v="MVL_DQS3_2B"/>
    <s v="Nao Aplicavel"/>
    <s v="NULL"/>
    <n v="0"/>
    <n v="0"/>
    <n v="-420931.34999999899"/>
    <n v="10.145674"/>
    <n v="420931.34998499998"/>
    <m/>
    <n v="10.145674"/>
    <m/>
    <m/>
    <m/>
  </r>
  <r>
    <x v="17"/>
    <s v="Nao Aplicavel"/>
    <s v="MVL_DQS4_3A"/>
    <s v="Nao Aplicavel"/>
    <s v="NULL"/>
    <n v="0"/>
    <n v="0"/>
    <n v="-624256.44999999902"/>
    <n v="11.158010000000001"/>
    <n v="624256.44997700001"/>
    <m/>
    <n v="11.158010000000001"/>
    <m/>
    <m/>
    <m/>
  </r>
  <r>
    <x v="17"/>
    <s v="MVL_DQS3_2B"/>
    <s v="MVL_DQS3_2B"/>
    <s v="Nao Aplicavel"/>
    <s v="NULL"/>
    <n v="0"/>
    <n v="0"/>
    <n v="-103783.97999999901"/>
    <n v="6.326397"/>
    <n v="103783.979999"/>
    <n v="2.779776"/>
    <n v="3.546621"/>
    <m/>
    <m/>
    <m/>
  </r>
  <r>
    <x v="17"/>
    <s v="Nao Aplicavel"/>
    <s v="Nao Aplicavel"/>
    <s v="Nao Aplicavel"/>
    <s v="NULL"/>
    <n v="0"/>
    <n v="0"/>
    <n v="-2786716.5144350799"/>
    <n v="0"/>
    <n v="2786716.514434"/>
    <m/>
    <m/>
    <m/>
    <m/>
    <m/>
  </r>
  <r>
    <x v="17"/>
    <s v="BCL_DQS4_3A"/>
    <s v="BCL_DQS4_3A"/>
    <s v="BCL_DQS4_3A"/>
    <s v="NULL"/>
    <n v="0"/>
    <n v="0"/>
    <n v="-37944935.019999899"/>
    <n v="13344.214564"/>
    <n v="37944935.019928999"/>
    <n v="4452.6637650000002"/>
    <n v="744.32200399999999"/>
    <n v="8147.228795"/>
    <m/>
    <m/>
  </r>
  <r>
    <x v="18"/>
    <s v="NULL"/>
    <s v="NULL"/>
    <s v="NULL"/>
    <s v="NULL"/>
    <n v="0"/>
    <n v="0"/>
    <m/>
    <n v="0"/>
    <m/>
    <m/>
    <m/>
    <m/>
    <m/>
    <m/>
  </r>
  <r>
    <x v="18"/>
    <s v="Nao Aplicavel"/>
    <s v="MVL_DQS3_2B"/>
    <s v="Nao Aplicavel"/>
    <s v="NULL"/>
    <n v="0"/>
    <n v="0"/>
    <n v="-91951.729999999894"/>
    <n v="2.8357579999999998"/>
    <n v="91951.729997000002"/>
    <m/>
    <n v="2.8357579999999998"/>
    <m/>
    <m/>
    <m/>
  </r>
  <r>
    <x v="18"/>
    <s v="BCL_DQS5_3B"/>
    <s v="BCL_DQS5_3B"/>
    <s v="BCL_DQS5_3B"/>
    <s v="NULL"/>
    <n v="0"/>
    <n v="0"/>
    <n v="-10221771.949999901"/>
    <n v="969.43594099999996"/>
    <n v="10221771.949949"/>
    <n v="312.11271299999999"/>
    <n v="54.697448999999999"/>
    <n v="602.62577899999997"/>
    <m/>
    <m/>
  </r>
  <r>
    <x v="18"/>
    <s v="MVL_DQS4_3A"/>
    <s v="Nao Aplicavel"/>
    <s v="Nao Aplicavel"/>
    <s v="NULL"/>
    <n v="0"/>
    <n v="0"/>
    <n v="-550652.71999999904"/>
    <n v="52.571691999999999"/>
    <n v="550652.71996000002"/>
    <n v="52.571691999999999"/>
    <m/>
    <m/>
    <m/>
    <m/>
  </r>
  <r>
    <x v="18"/>
    <s v="RE_DQS4_2B"/>
    <s v="RE_DQS4_2B"/>
    <s v="Nao Aplicavel"/>
    <s v="NULL"/>
    <n v="0"/>
    <n v="0"/>
    <n v="-2537349.5399999898"/>
    <n v="52.46904"/>
    <n v="2537349.539998"/>
    <n v="14.580314"/>
    <n v="37.888725999999998"/>
    <m/>
    <m/>
    <m/>
  </r>
  <r>
    <x v="18"/>
    <s v="RE_DQS3_2A"/>
    <s v="RE_DQS3_2A"/>
    <s v="Nao Aplicavel"/>
    <s v="NULL"/>
    <n v="0"/>
    <n v="0"/>
    <n v="-255399.87"/>
    <n v="0.36042999999999997"/>
    <n v="255399.87"/>
    <n v="0.15009800000000001"/>
    <n v="0.21033199999999999"/>
    <m/>
    <m/>
    <m/>
  </r>
  <r>
    <x v="18"/>
    <s v="MISS"/>
    <s v="MISS"/>
    <s v="MISS"/>
    <s v="NULL"/>
    <n v="0"/>
    <n v="0"/>
    <n v="1630549.15"/>
    <n v="0"/>
    <n v="-1630549.15"/>
    <m/>
    <m/>
    <m/>
    <m/>
    <m/>
  </r>
  <r>
    <x v="18"/>
    <s v="MVL_DQS4_3A"/>
    <s v="MVL_DQS4_3A"/>
    <s v="Nao Aplicavel"/>
    <s v="NULL"/>
    <n v="0"/>
    <n v="0"/>
    <n v="-163138.84999999899"/>
    <n v="7.9138260000000002"/>
    <n v="163138.84999300001"/>
    <n v="4.2790549999999996"/>
    <n v="3.6347710000000002"/>
    <m/>
    <m/>
    <m/>
  </r>
  <r>
    <x v="18"/>
    <s v="Nao Aplicavel"/>
    <s v="MVL_DQS4_3A"/>
    <s v="Nao Aplicavel"/>
    <s v="NULL"/>
    <n v="0"/>
    <n v="0"/>
    <n v="-647861.24999999895"/>
    <n v="13.882593"/>
    <n v="647861.24997400003"/>
    <m/>
    <n v="13.882593"/>
    <m/>
    <m/>
    <m/>
  </r>
  <r>
    <x v="18"/>
    <s v="MVL_DQS3_2B"/>
    <s v="MVL_DQS3_2B"/>
    <s v="Nao Aplicavel"/>
    <s v="NULL"/>
    <n v="0"/>
    <n v="0"/>
    <n v="-57204.559999999903"/>
    <n v="2.5887389999999999"/>
    <n v="57204.559998999997"/>
    <n v="1.4754389999999999"/>
    <n v="1.1133"/>
    <m/>
    <m/>
    <m/>
  </r>
  <r>
    <x v="18"/>
    <s v="MVL_DQS3_2B"/>
    <s v="Nao Aplicavel"/>
    <s v="Nao Aplicavel"/>
    <s v="NULL"/>
    <n v="0"/>
    <n v="0"/>
    <n v="-183044.639999999"/>
    <n v="12.528650000000001"/>
    <n v="183044.63999500001"/>
    <n v="12.528650000000001"/>
    <m/>
    <m/>
    <m/>
    <m/>
  </r>
  <r>
    <x v="18"/>
    <s v="RE_DQS5_3"/>
    <s v="RE_DQS5_3"/>
    <s v="Nao Aplicavel"/>
    <s v="NULL"/>
    <n v="0"/>
    <n v="0"/>
    <n v="-3887730.6167148598"/>
    <n v="892.87276799999995"/>
    <n v="3887730.6167100002"/>
    <n v="140.167306"/>
    <n v="752.70546200000001"/>
    <m/>
    <m/>
    <m/>
  </r>
  <r>
    <x v="18"/>
    <s v="Nao Aplicavel"/>
    <s v="Nao Aplicavel"/>
    <s v="Nao Aplicavel"/>
    <s v="NULL"/>
    <n v="0"/>
    <n v="0"/>
    <n v="-75117.153285133099"/>
    <n v="0"/>
    <n v="75117.153281000006"/>
    <m/>
    <m/>
    <m/>
    <m/>
    <m/>
  </r>
  <r>
    <x v="18"/>
    <s v="BCL_DQS4_3A"/>
    <s v="BCL_DQS4_3A"/>
    <s v="BCL_DQS4_3A"/>
    <s v="NULL"/>
    <n v="0"/>
    <n v="0"/>
    <n v="-20264177.989999902"/>
    <n v="7316.8090730000004"/>
    <n v="20264177.989937998"/>
    <n v="2053.0499439999999"/>
    <n v="413.86741699999999"/>
    <n v="4849.8917119999996"/>
    <m/>
    <m/>
  </r>
  <r>
    <x v="19"/>
    <s v="BCL_DQS5_3B"/>
    <s v="BCL_DQS5_3B"/>
    <s v="BCL_DQS5_3B"/>
    <s v="NULL"/>
    <n v="0"/>
    <n v="0"/>
    <n v="-393.02"/>
    <n v="3.5892E-2"/>
    <n v="393.02"/>
    <n v="1.1976000000000001E-2"/>
    <n v="1.9980000000000002E-3"/>
    <n v="2.1918E-2"/>
    <m/>
    <m/>
  </r>
  <r>
    <x v="19"/>
    <s v="BCL_DQS4_3A"/>
    <s v="BCL_DQS4_3A"/>
    <s v="BCL_DQS4_3A"/>
    <s v="NULL"/>
    <n v="0"/>
    <n v="0"/>
    <n v="-52086.45"/>
    <n v="17.358926"/>
    <n v="52086.45"/>
    <n v="5.7922830000000003"/>
    <n v="0.96825499999999998"/>
    <n v="10.598388"/>
    <m/>
    <m/>
  </r>
  <r>
    <x v="19"/>
    <s v="RE_DQS3_2A"/>
    <s v="RE_DQS3_2A"/>
    <s v="Nao Aplicavel"/>
    <s v="NULL"/>
    <n v="0"/>
    <n v="0"/>
    <n v="-85231.11"/>
    <n v="0.11197600000000001"/>
    <n v="85231.11"/>
    <n v="4.6190000000000002E-2"/>
    <n v="6.5785999999999997E-2"/>
    <m/>
    <m/>
    <m/>
  </r>
  <r>
    <x v="20"/>
    <s v="MISS"/>
    <s v="MISS"/>
    <s v="MISS"/>
    <s v="NULL"/>
    <n v="0"/>
    <n v="0"/>
    <n v="-19992939.690000001"/>
    <n v="0"/>
    <n v="19992939.690000001"/>
    <m/>
    <m/>
    <m/>
    <m/>
    <m/>
  </r>
  <r>
    <x v="20"/>
    <s v="BCL_DQS4_3A"/>
    <s v="BCL_DQS4_3A"/>
    <s v="BCL_DQS4_3A"/>
    <s v="NULL"/>
    <n v="0"/>
    <n v="0"/>
    <n v="-153986.26"/>
    <n v="82.869743"/>
    <n v="153986.26"/>
    <n v="27.651768000000001"/>
    <n v="4.6222649999999996"/>
    <n v="50.595709999999997"/>
    <m/>
    <m/>
  </r>
  <r>
    <x v="20"/>
    <s v="BCL_DQS5_3B"/>
    <s v="BCL_DQS5_3B"/>
    <s v="BCL_DQS5_3B"/>
    <s v="NULL"/>
    <n v="0"/>
    <n v="0"/>
    <n v="-86718793.409999996"/>
    <n v="7633.5875729999998"/>
    <n v="86718793.409999996"/>
    <n v="2524.4562420000002"/>
    <n v="411.06406900000002"/>
    <n v="4698.0672619999996"/>
    <m/>
    <m/>
  </r>
  <r>
    <x v="21"/>
    <s v="MISS"/>
    <s v="MISS"/>
    <s v="MISS"/>
    <s v="NULL"/>
    <n v="0"/>
    <n v="0"/>
    <n v="-113017.05"/>
    <n v="0"/>
    <n v="113017.05"/>
    <m/>
    <m/>
    <m/>
    <m/>
    <m/>
  </r>
  <r>
    <x v="21"/>
    <s v="NULL"/>
    <s v="NULL"/>
    <s v="NULL"/>
    <s v="NULL"/>
    <n v="0"/>
    <n v="0"/>
    <m/>
    <n v="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PFNG"/>
    <n v="6937.21"/>
    <n v="1.149E-2"/>
    <n v="2.0681999999999999E-2"/>
    <n v="0.27729300000000001"/>
  </r>
  <r>
    <x v="1"/>
    <s v="GRSEM"/>
    <n v="9539.8799999999992"/>
    <n v="11.433344"/>
    <n v="1.4675860000000001"/>
    <n v="6.4396899999999997"/>
  </r>
  <r>
    <x v="2"/>
    <s v="5FRQG"/>
    <n v="221016.19"/>
    <n v="1.12521"/>
    <n v="1.7970379999999999"/>
    <n v="10.104326"/>
  </r>
  <r>
    <x v="0"/>
    <s v="ASTZG"/>
    <n v="924342.82"/>
    <n v="2.6962869999999999"/>
    <n v="2.1463860000000001"/>
    <n v="70.067327000000006"/>
  </r>
  <r>
    <x v="0"/>
    <s v="GRSEM"/>
    <n v="36356818.390000001"/>
    <n v="55508.885119999999"/>
    <n v="7125.1300300000003"/>
    <n v="31264.704408000001"/>
  </r>
  <r>
    <x v="1"/>
    <s v="5CUMG"/>
    <n v="2591275.13"/>
    <n v="0"/>
    <n v="19.003688"/>
    <n v="2114.1711270000001"/>
  </r>
  <r>
    <x v="2"/>
    <s v="04D0G"/>
    <n v="1775938.9"/>
    <n v="0.87610900000000003"/>
    <n v="5.1059580000000002"/>
    <n v="118.805091"/>
  </r>
  <r>
    <x v="3"/>
    <s v="GRBRI"/>
    <n v="199060754.43000001"/>
    <n v="357.33287999999999"/>
    <n v="389.18862000000001"/>
    <n v="153369.24204000001"/>
  </r>
  <r>
    <x v="2"/>
    <s v="VDRLG"/>
    <n v="106287.82"/>
    <n v="53.586278"/>
    <n v="8.0697840000000003"/>
    <n v="61.465308999999998"/>
  </r>
  <r>
    <x v="0"/>
    <s v="BRNTG"/>
    <n v="768965.35"/>
    <n v="19.262971"/>
    <n v="4.5230639999999998"/>
    <n v="3831.4113000000002"/>
  </r>
  <r>
    <x v="2"/>
    <s v="5RKTG"/>
    <n v="41346.370000000003"/>
    <n v="0.24254999999999999"/>
    <n v="0.47494199999999998"/>
    <n v="25.038989999999998"/>
  </r>
  <r>
    <x v="2"/>
    <s v="SMURG"/>
    <n v="35332.199999999997"/>
    <n v="2.5409790000000001"/>
    <n v="0.74515600000000004"/>
    <n v="3.6091829999999998"/>
  </r>
  <r>
    <x v="2"/>
    <s v="CCEUP"/>
    <n v="408462.9"/>
    <n v="3.8467519999999999"/>
    <n v="3.946761"/>
    <n v="112.418672"/>
  </r>
  <r>
    <x v="4"/>
    <s v="5XADG"/>
    <n v="75558.789999999994"/>
    <n v="6.4000000000000003E-3"/>
    <n v="0.14102799999999999"/>
    <n v="1.136312"/>
  </r>
  <r>
    <x v="0"/>
    <s v="GAAMG"/>
    <n v="397887.71360199997"/>
    <n v="2.189495"/>
    <n v="25.443494999999999"/>
    <n v="258.13482499999998"/>
  </r>
  <r>
    <x v="0"/>
    <s v="JEROG"/>
    <n v="32979892.449999999"/>
    <n v="716.91393600000004"/>
    <n v="2490.5186399999998"/>
    <n v="94043.256095999997"/>
  </r>
  <r>
    <x v="5"/>
    <s v="EDP0G"/>
    <n v="385241.76"/>
    <n v="84.645314999999997"/>
    <n v="4.2239069999999996"/>
    <n v="91.345718000000005"/>
  </r>
  <r>
    <x v="6"/>
    <s v="JEROG"/>
    <n v="25001852.039999999"/>
    <n v="681.69241799999998"/>
    <n v="2368.1610700000001"/>
    <n v="89422.971747999996"/>
  </r>
  <r>
    <x v="2"/>
    <s v="5EBRG"/>
    <n v="103258236.73"/>
    <n v="749.57238099999995"/>
    <n v="322.26981499999999"/>
    <n v="356641.72723100003"/>
  </r>
  <r>
    <x v="7"/>
    <s v="SACGG"/>
    <n v="1907031.39"/>
    <n v="18.615655"/>
    <n v="73.274389999999997"/>
    <n v="221.53118000000001"/>
  </r>
  <r>
    <x v="8"/>
    <s v="GAAMG"/>
    <n v="1214809.1200000001"/>
    <n v="6.6992859999999999"/>
    <n v="77.850486000000004"/>
    <n v="789.82551699999999"/>
  </r>
  <r>
    <x v="9"/>
    <s v="5PROS"/>
    <n v="548990.66"/>
    <n v="17.647811999999998"/>
    <n v="1.206631"/>
    <n v="94.410815999999997"/>
  </r>
  <r>
    <x v="1"/>
    <s v="EDP0G"/>
    <n v="203594622.66"/>
    <n v="47909.248290000003"/>
    <n v="2390.731362"/>
    <n v="51701.676726999998"/>
  </r>
  <r>
    <x v="10"/>
    <s v="5CUMG"/>
    <n v="30633.49"/>
    <n v="0.15965199999999999"/>
    <n v="0.139733"/>
    <n v="15.545375"/>
  </r>
  <r>
    <x v="2"/>
    <s v="CMTAG"/>
    <n v="191126.27"/>
    <n v="3.2368960000000002"/>
    <n v="17.311264000000001"/>
    <n v="76.418953000000002"/>
  </r>
  <r>
    <x v="11"/>
    <s v="12E0G"/>
    <n v="413760.39"/>
    <n v="2.6"/>
    <n v="1.216982"/>
    <n v="305.91743000000002"/>
  </r>
  <r>
    <x v="2"/>
    <s v="GLACG"/>
    <n v="205480.949998"/>
    <n v="18.034452000000002"/>
    <n v="7.7834640000000004"/>
    <n v="506.84769599999998"/>
  </r>
  <r>
    <x v="7"/>
    <s v="5CUMG"/>
    <n v="3769380.81"/>
    <n v="21.233716000000001"/>
    <n v="18.584489000000001"/>
    <n v="2067.5349609999998"/>
  </r>
  <r>
    <x v="2"/>
    <s v="WEGHG"/>
    <n v="50379.05"/>
    <n v="0.54864000000000002"/>
    <n v="0.85065999999999997"/>
    <n v="224.60027400000001"/>
  </r>
  <r>
    <x v="0"/>
    <s v="5ECIS"/>
    <n v="856443.12"/>
    <n v="4.2881650000000002"/>
    <n v="6.5378249999999998"/>
    <n v="125.757564"/>
  </r>
  <r>
    <x v="2"/>
    <s v="GAAMG"/>
    <n v="19865536.521903999"/>
    <n v="103.725193"/>
    <n v="1205.3607930000001"/>
    <n v="12228.885622"/>
  </r>
  <r>
    <x v="7"/>
    <s v="CGYNG"/>
    <n v="4905324.309994"/>
    <n v="172.02419"/>
    <n v="53.748083999999999"/>
    <n v="4566.9185900000002"/>
  </r>
  <r>
    <x v="9"/>
    <s v="ZONGG"/>
    <n v="121425.35"/>
    <n v="0.194524"/>
    <n v="1.9275960000000001"/>
    <n v="16.205641"/>
  </r>
  <r>
    <x v="1"/>
    <s v="5ESRG"/>
    <n v="33081101.100000001"/>
    <n v="14540.198532"/>
    <n v="1102.3726919999999"/>
    <n v="33067.945544000002"/>
  </r>
  <r>
    <x v="6"/>
    <s v="GAAMG"/>
    <n v="120402602.45999999"/>
    <n v="664.26434800000004"/>
    <n v="7719.2259480000002"/>
    <n v="78314.753568999993"/>
  </r>
  <r>
    <x v="3"/>
    <s v="RENLG"/>
    <n v="312619.40999999997"/>
    <n v="2.157619"/>
    <n v="8.8731539999999995"/>
    <n v="5.2912039999999996"/>
  </r>
  <r>
    <x v="6"/>
    <s v="0M20G"/>
    <n v="84734.89"/>
    <n v="2.6190000000000001E-2"/>
    <n v="5.0770000000000003E-2"/>
    <n v="3.162112"/>
  </r>
  <r>
    <x v="7"/>
    <s v="5VCNG"/>
    <n v="8212901.6600000001"/>
    <n v="141.270546"/>
    <n v="15.631218000000001"/>
    <n v="3048.6523149999998"/>
  </r>
  <r>
    <x v="2"/>
    <s v="SIKAG"/>
    <n v="552014.46"/>
    <n v="0.46828799999999998"/>
    <n v="0.48105300000000001"/>
    <n v="52.943759999999997"/>
  </r>
  <r>
    <x v="0"/>
    <s v="MTHLG"/>
    <n v="2122753.65"/>
    <n v="119.5521"/>
    <n v="168.54424"/>
    <n v="6930.5300719999996"/>
  </r>
  <r>
    <x v="0"/>
    <s v="GLACG"/>
    <n v="200532.01"/>
    <n v="19.537323000000001"/>
    <n v="8.432086"/>
    <n v="549.08500400000003"/>
  </r>
  <r>
    <x v="2"/>
    <s v="IXLZG"/>
    <n v="2545673.2400000002"/>
    <n v="21.08"/>
    <n v="84.438295999999994"/>
    <n v="4417.6503709999997"/>
  </r>
  <r>
    <x v="3"/>
    <s v="5VCNG"/>
    <n v="272711.62"/>
    <n v="3.9794520000000002"/>
    <n v="0.44031599999999999"/>
    <n v="85.877529999999993"/>
  </r>
  <r>
    <x v="2"/>
    <s v="LUXOG"/>
    <n v="89738.23"/>
    <n v="0.10845299999999999"/>
    <n v="0.70480399999999999"/>
    <n v="2.879051"/>
  </r>
  <r>
    <x v="0"/>
    <s v="DSSGG"/>
    <n v="47904.18"/>
    <n v="4.6267500000000004"/>
    <n v="2.6738010000000001"/>
    <n v="14.769081"/>
  </r>
  <r>
    <x v="0"/>
    <s v="UNHOG"/>
    <n v="13021421.220000001"/>
    <n v="89.695802"/>
    <n v="218.049466"/>
    <n v="10552.118225"/>
  </r>
  <r>
    <x v="9"/>
    <s v="TPFMN"/>
    <n v="42414.52"/>
    <n v="5.2535999999999999E-2"/>
    <n v="0.373062"/>
    <n v="0.98341800000000001"/>
  </r>
  <r>
    <x v="9"/>
    <s v="0VD0G"/>
    <n v="6023382.6100000003"/>
    <n v="965.77711999999997"/>
    <n v="5.590382"/>
    <n v="1760.272737"/>
  </r>
  <r>
    <x v="2"/>
    <s v="NEHOG"/>
    <n v="4223095.24"/>
    <n v="42.106805000000001"/>
    <n v="33.965425000000003"/>
    <n v="1229.37399"/>
  </r>
  <r>
    <x v="7"/>
    <s v="5GFVG"/>
    <n v="6765871.2599999998"/>
    <n v="106.012798"/>
    <n v="19.852257999999999"/>
    <n v="1585.4787819999999"/>
  </r>
  <r>
    <x v="3"/>
    <s v="1500G"/>
    <n v="13493287.050000001"/>
    <n v="351.129864"/>
    <n v="207.83868000000001"/>
    <n v="1196.6286480000001"/>
  </r>
  <r>
    <x v="0"/>
    <s v="5RKTG"/>
    <n v="2526446.5499999998"/>
    <n v="7.0339499999999999"/>
    <n v="13.773318"/>
    <n v="726.130717"/>
  </r>
  <r>
    <x v="6"/>
    <s v="ELMPG"/>
    <n v="3440.66"/>
    <n v="0.14299799999999999"/>
    <n v="0.12886800000000001"/>
    <n v="2.9338700000000002"/>
  </r>
  <r>
    <x v="2"/>
    <s v="SNTGG"/>
    <n v="2243862.87"/>
    <n v="319.06038799999999"/>
    <n v="98.721605999999994"/>
    <n v="2897.8673079999999"/>
  </r>
  <r>
    <x v="2"/>
    <s v="DSSGG"/>
    <n v="8255893.3399999999"/>
    <n v="1380.31375"/>
    <n v="797.68396499999994"/>
    <n v="4406.1093719999999"/>
  </r>
  <r>
    <x v="6"/>
    <s v="NA"/>
    <n v="603340103.61000001"/>
    <n v="4072.2079939999999"/>
    <n v="12890.415864000001"/>
    <n v="293350.59243199998"/>
  </r>
  <r>
    <x v="2"/>
    <s v="IPAGG"/>
    <n v="2058850.04"/>
    <n v="12.49827"/>
    <n v="28.354212"/>
    <n v="1330.675062"/>
  </r>
  <r>
    <x v="6"/>
    <s v="GRBRI"/>
    <n v="8770.01"/>
    <n v="5.7320000000000001E-3"/>
    <n v="6.2430000000000003E-3"/>
    <n v="2.4602059999999999"/>
  </r>
  <r>
    <x v="2"/>
    <s v="GRSEM"/>
    <n v="29895370.129999999"/>
    <n v="45407.525695999997"/>
    <n v="5828.5177990000002"/>
    <n v="25575.236529000002"/>
  </r>
  <r>
    <x v="2"/>
    <s v="5EBRO"/>
    <n v="9878.31"/>
    <n v="0.51505500000000004"/>
    <n v="0.30740099999999998"/>
    <n v="14.827836"/>
  </r>
  <r>
    <x v="0"/>
    <s v="IPAGG"/>
    <n v="97832588.579999998"/>
    <n v="773.28006000000005"/>
    <n v="1754.3025359999999"/>
    <n v="82330.153835999998"/>
  </r>
  <r>
    <x v="7"/>
    <s v="SHNDG"/>
    <n v="608418.03"/>
    <n v="2.5589339999999998"/>
    <n v="0.98476200000000003"/>
    <n v="142.59601799999999"/>
  </r>
  <r>
    <x v="6"/>
    <s v="HITKK"/>
    <n v="684817.56"/>
    <n v="5.8327080000000002"/>
    <n v="13.292484"/>
    <n v="2592.4002150000001"/>
  </r>
  <r>
    <x v="2"/>
    <s v="6SYNT"/>
    <n v="109921.2"/>
    <n v="10.893689999999999"/>
    <n v="10.06317"/>
    <n v="164.67709500000001"/>
  </r>
  <r>
    <x v="1"/>
    <s v="RENLG"/>
    <n v="6725374.0599999996"/>
    <n v="48.257731999999997"/>
    <n v="198.45871199999999"/>
    <n v="118.344112"/>
  </r>
  <r>
    <x v="4"/>
    <s v="5VDFG"/>
    <n v="6456000.5300000003"/>
    <n v="5.6289199999999999"/>
    <n v="41.691279999999999"/>
    <n v="171.87706600000001"/>
  </r>
  <r>
    <x v="2"/>
    <s v="UNHOG"/>
    <n v="15978469.699997"/>
    <n v="117.410797"/>
    <n v="285.42430100000001"/>
    <n v="13812.604185"/>
  </r>
  <r>
    <x v="0"/>
    <s v="GAUCG"/>
    <n v="4502035.12"/>
    <n v="80.053897000000006"/>
    <n v="167.29279600000001"/>
    <n v="6785.488754"/>
  </r>
  <r>
    <x v="4"/>
    <s v="ZONGG"/>
    <n v="6070217.8819000004"/>
    <n v="9.9118820000000003"/>
    <n v="98.219778000000005"/>
    <n v="825.751173999999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07">
  <r>
    <x v="0"/>
    <s v="RE_DQS4_2B"/>
    <s v="RE_DQS4_2B"/>
    <s v="Nao Aplicavel"/>
    <s v="NULL"/>
    <n v="0"/>
    <x v="0"/>
    <n v="-93149827.378593504"/>
    <n v="778636.77333400003"/>
    <n v="93149827.378571004"/>
    <n v="122252.16799099999"/>
    <n v="656384.60534300003"/>
    <m/>
    <m/>
    <m/>
  </r>
  <r>
    <x v="0"/>
    <s v="Nao Aplicavel"/>
    <s v="MVL_DQS3_2B"/>
    <s v="Nao Aplicavel"/>
    <s v="NULL"/>
    <n v="0"/>
    <x v="0"/>
    <n v="-3076.44"/>
    <n v="0.147255"/>
    <n v="3076.44"/>
    <m/>
    <n v="0.147255"/>
    <m/>
    <m/>
    <m/>
  </r>
  <r>
    <x v="0"/>
    <s v="MISS"/>
    <s v="MISS"/>
    <s v="MISS"/>
    <s v="NULL"/>
    <n v="0"/>
    <x v="0"/>
    <n v="-161.91"/>
    <n v="0"/>
    <n v="161.91"/>
    <m/>
    <m/>
    <m/>
    <m/>
    <m/>
  </r>
  <r>
    <x v="0"/>
    <s v="BCL_DQS1_SCIB"/>
    <s v="BCL_DQS1_SCIB"/>
    <s v="BCL_DQS4_SCIB"/>
    <s v="GAAMG"/>
    <n v="0"/>
    <x v="1"/>
    <n v="-1214809.1200000001"/>
    <n v="874.37528899999995"/>
    <n v="1214809.1200000001"/>
    <n v="6.6992859999999999"/>
    <n v="77.850486000000004"/>
    <n v="789.82551699999999"/>
    <n v="1030.8"/>
    <n v="1030.8"/>
  </r>
  <r>
    <x v="0"/>
    <s v="RE_DQS3_2A"/>
    <s v="RE_DQS3_2A"/>
    <s v="Nao Aplicavel"/>
    <s v="NULL"/>
    <n v="0"/>
    <x v="0"/>
    <n v="-4653076.8110941201"/>
    <n v="74.365353999999996"/>
    <n v="4653076.8110929998"/>
    <n v="18.832077000000002"/>
    <n v="55.533276999999998"/>
    <m/>
    <m/>
    <m/>
  </r>
  <r>
    <x v="0"/>
    <s v="MVL_DQS4_3A"/>
    <s v="MVL_DQS4_3A"/>
    <s v="Nao Aplicavel"/>
    <s v="NULL"/>
    <n v="0"/>
    <x v="0"/>
    <n v="-60827.809999999903"/>
    <n v="3.7148089999999998"/>
    <n v="60827.809997999997"/>
    <n v="2.0086200000000001"/>
    <n v="1.706189"/>
    <m/>
    <m/>
    <m/>
  </r>
  <r>
    <x v="0"/>
    <s v="MISS"/>
    <s v="MISS"/>
    <s v="Nao Aplicavel"/>
    <s v="NULL"/>
    <n v="0"/>
    <x v="0"/>
    <n v="-932603.11999999895"/>
    <n v="0"/>
    <n v="932603.11996000004"/>
    <m/>
    <m/>
    <m/>
    <m/>
    <m/>
  </r>
  <r>
    <x v="0"/>
    <s v="RE_DQS5_3"/>
    <s v="RE_DQS5_3"/>
    <s v="Nao Aplicavel"/>
    <s v="NULL"/>
    <n v="0"/>
    <x v="0"/>
    <n v="-22779304.214881301"/>
    <n v="539.52692400000001"/>
    <n v="22779304.214866001"/>
    <n v="84.697433000000004"/>
    <n v="454.82949100000002"/>
    <m/>
    <m/>
    <m/>
  </r>
  <r>
    <x v="0"/>
    <s v="MVL_DQS3_2B"/>
    <s v="Nao Aplicavel"/>
    <s v="Nao Aplicavel"/>
    <s v="NULL"/>
    <n v="0"/>
    <x v="0"/>
    <n v="-25286.05"/>
    <n v="1.4752890000000001"/>
    <n v="25286.05"/>
    <n v="1.4752890000000001"/>
    <m/>
    <m/>
    <m/>
    <m/>
  </r>
  <r>
    <x v="0"/>
    <s v="MVL_DQS3_2B"/>
    <s v="MVL_DQS3_2B"/>
    <s v="Nao Aplicavel"/>
    <s v="NULL"/>
    <n v="0"/>
    <x v="0"/>
    <n v="-65727.709999999905"/>
    <n v="2.6988599999999998"/>
    <n v="65727.709998999999"/>
    <n v="1.278572"/>
    <n v="1.420288"/>
    <m/>
    <m/>
    <m/>
  </r>
  <r>
    <x v="0"/>
    <s v="BCL_DQS5_3B"/>
    <s v="BCL_DQS5_3B"/>
    <s v="BCL_DQS5_3B"/>
    <s v="NULL"/>
    <n v="0"/>
    <x v="0"/>
    <n v="-33133672.1599999"/>
    <n v="60605.678462000003"/>
    <n v="33133672.159961"/>
    <n v="40931.534891000003"/>
    <n v="3135.4949919999999"/>
    <n v="16538.648579000001"/>
    <m/>
    <m/>
  </r>
  <r>
    <x v="0"/>
    <s v="Nao Aplicavel"/>
    <s v="Nao Aplicavel"/>
    <s v="Nao Aplicavel"/>
    <s v="NULL"/>
    <n v="0"/>
    <x v="0"/>
    <n v="-203068.94543103399"/>
    <n v="0"/>
    <n v="203068.94540299999"/>
    <m/>
    <m/>
    <m/>
    <m/>
    <m/>
  </r>
  <r>
    <x v="0"/>
    <s v="BCL_DQS4_3A"/>
    <s v="BCL_DQS4_3A"/>
    <s v="BCL_DQS4_3A"/>
    <s v="NULL"/>
    <n v="0"/>
    <x v="0"/>
    <n v="-189242063.61999899"/>
    <n v="294543.887223"/>
    <n v="189242063.619854"/>
    <n v="198927.34003600001"/>
    <n v="15238.544193"/>
    <n v="80378.002993999995"/>
    <m/>
    <m/>
  </r>
  <r>
    <x v="0"/>
    <s v="Nao Aplicavel"/>
    <s v="MVL_DQS4_3A"/>
    <s v="Nao Aplicavel"/>
    <s v="NULL"/>
    <n v="0"/>
    <x v="0"/>
    <n v="-561805.36999999895"/>
    <n v="10.606774"/>
    <n v="561805.36997899995"/>
    <m/>
    <n v="10.606774"/>
    <m/>
    <m/>
    <m/>
  </r>
  <r>
    <x v="0"/>
    <s v="MVL_DQS4_3A"/>
    <s v="Nao Aplicavel"/>
    <s v="Nao Aplicavel"/>
    <s v="NULL"/>
    <n v="0"/>
    <x v="0"/>
    <n v="-2622249.29999999"/>
    <n v="1529.5052129999999"/>
    <n v="2622249.299875"/>
    <n v="1529.5052129999999"/>
    <m/>
    <m/>
    <m/>
    <m/>
  </r>
  <r>
    <x v="1"/>
    <s v="BCL_DQS4_3A"/>
    <s v="BCL_DQS4_3A"/>
    <s v="BCL_DQS4_3A"/>
    <s v="NULL"/>
    <n v="0"/>
    <x v="0"/>
    <n v="-11141014.529999901"/>
    <n v="15627.023573"/>
    <n v="11141014.529973"/>
    <n v="8855.4206250000007"/>
    <n v="1072.375605"/>
    <n v="5699.2273429999996"/>
    <m/>
    <m/>
  </r>
  <r>
    <x v="1"/>
    <s v="MVL_DQS3_2B"/>
    <s v="Nao Aplicavel"/>
    <s v="Nao Aplicavel"/>
    <s v="NULL"/>
    <n v="0"/>
    <x v="0"/>
    <n v="-2059.49999999999"/>
    <n v="0.30334899999999998"/>
    <n v="2059.4999990000001"/>
    <n v="0.30334899999999998"/>
    <m/>
    <m/>
    <m/>
    <m/>
  </r>
  <r>
    <x v="1"/>
    <s v="MVL_DQS4_3A"/>
    <s v="Nao Aplicavel"/>
    <s v="Nao Aplicavel"/>
    <s v="NULL"/>
    <n v="0"/>
    <x v="0"/>
    <n v="-561375.10999999905"/>
    <n v="287.60989999999998"/>
    <n v="561375.10996899998"/>
    <n v="287.60989999999998"/>
    <m/>
    <m/>
    <m/>
    <m/>
  </r>
  <r>
    <x v="1"/>
    <s v="MISS"/>
    <s v="MISS"/>
    <s v="Nao Aplicavel"/>
    <s v="NULL"/>
    <n v="0"/>
    <x v="0"/>
    <n v="-171502.44999999899"/>
    <n v="0"/>
    <n v="171502.449995"/>
    <m/>
    <m/>
    <m/>
    <m/>
    <m/>
  </r>
  <r>
    <x v="1"/>
    <s v="RE_DQS4_2B"/>
    <s v="RE_DQS4_2B"/>
    <s v="Nao Aplicavel"/>
    <s v="NULL"/>
    <n v="0"/>
    <x v="0"/>
    <n v="-1082136.1999999899"/>
    <n v="20800.537668000001"/>
    <n v="1082136.199849"/>
    <n v="3265.7264879999998"/>
    <n v="17534.811180000001"/>
    <m/>
    <m/>
    <m/>
  </r>
  <r>
    <x v="1"/>
    <s v="RE_DQS5_3"/>
    <s v="RE_DQS5_3"/>
    <s v="Nao Aplicavel"/>
    <s v="NULL"/>
    <n v="0"/>
    <x v="0"/>
    <n v="-30665.63"/>
    <n v="1.894781"/>
    <n v="30665.63"/>
    <n v="0.29745100000000002"/>
    <n v="1.5973299999999999"/>
    <m/>
    <m/>
    <m/>
  </r>
  <r>
    <x v="1"/>
    <s v="Nao Aplicavel"/>
    <s v="Nao Aplicavel"/>
    <s v="Nao Aplicavel"/>
    <s v="NULL"/>
    <n v="0"/>
    <x v="0"/>
    <n v="-23647.01"/>
    <n v="0"/>
    <n v="23647.009999000002"/>
    <m/>
    <m/>
    <m/>
    <m/>
    <m/>
  </r>
  <r>
    <x v="1"/>
    <s v="BCL_DQS5_3B"/>
    <s v="BCL_DQS5_3B"/>
    <s v="BCL_DQS5_3B"/>
    <s v="NULL"/>
    <n v="0"/>
    <x v="0"/>
    <n v="-1030687.40999999"/>
    <n v="1022.108007"/>
    <n v="1030687.409997"/>
    <n v="579.20165799999995"/>
    <n v="70.140302000000005"/>
    <n v="372.76604700000001"/>
    <m/>
    <m/>
  </r>
  <r>
    <x v="1"/>
    <s v="Nao Aplicavel"/>
    <s v="MVL_DQS4_3A"/>
    <s v="Nao Aplicavel"/>
    <s v="NULL"/>
    <n v="0"/>
    <x v="0"/>
    <n v="-34713.199999999903"/>
    <n v="0.88259799999999999"/>
    <n v="34713.199996000003"/>
    <m/>
    <n v="0.88259799999999999"/>
    <m/>
    <m/>
    <m/>
  </r>
  <r>
    <x v="1"/>
    <s v="BCL_DQS4_SCIB"/>
    <s v="BCL_DQS2_SCIB"/>
    <s v="BCL_DQS4_SCIB"/>
    <s v="GRSEM"/>
    <n v="0"/>
    <x v="1"/>
    <n v="-2059.86"/>
    <n v="0"/>
    <n v="2059.86"/>
    <n v="0"/>
    <n v="0"/>
    <n v="0"/>
    <n v="3726.86"/>
    <n v="3726.86"/>
  </r>
  <r>
    <x v="1"/>
    <s v="NULL"/>
    <s v="NULL"/>
    <s v="NULL"/>
    <s v="NULL"/>
    <n v="0"/>
    <x v="0"/>
    <m/>
    <n v="0"/>
    <m/>
    <m/>
    <m/>
    <m/>
    <m/>
    <m/>
  </r>
  <r>
    <x v="1"/>
    <s v="RE_DQS3_2A"/>
    <s v="RE_DQS3_2A"/>
    <s v="Nao Aplicavel"/>
    <s v="NULL"/>
    <n v="0"/>
    <x v="0"/>
    <n v="-38897.24"/>
    <n v="0.79528900000000002"/>
    <n v="38897.24"/>
    <n v="0.19658800000000001"/>
    <n v="0.59870100000000004"/>
    <m/>
    <m/>
    <m/>
  </r>
  <r>
    <x v="2"/>
    <s v="BCL_DQS1_SCIB"/>
    <s v="BCL_DQS1_SCIB"/>
    <s v="BCL_DQS1_SCIB"/>
    <s v="GLACG"/>
    <n v="0"/>
    <x v="1"/>
    <n v="-205480.94999999899"/>
    <n v="532.66561200000001"/>
    <n v="205480.949998"/>
    <n v="18.034452000000002"/>
    <n v="7.7834640000000004"/>
    <n v="506.84769599999998"/>
    <n v="43710.6"/>
    <n v="43710.6"/>
  </r>
  <r>
    <x v="2"/>
    <s v="Nao Aplicavel"/>
    <s v="MVL_DQS4_3A"/>
    <s v="Nao Aplicavel"/>
    <s v="NULL"/>
    <n v="0"/>
    <x v="0"/>
    <n v="-7313055.6499999901"/>
    <n v="147.04917599999999"/>
    <n v="7313055.649708"/>
    <m/>
    <n v="147.04917599999999"/>
    <m/>
    <m/>
    <m/>
  </r>
  <r>
    <x v="2"/>
    <s v="BCL_DQS1_SCIB"/>
    <s v="BCL_DQS1_SCIB"/>
    <s v="BCL_DQS4_SCIB"/>
    <s v="SIHOG"/>
    <n v="0"/>
    <x v="1"/>
    <n v="-33735.81"/>
    <n v="0"/>
    <n v="33735.81"/>
    <n v="0"/>
    <n v="0"/>
    <n v="0"/>
    <n v="312450"/>
    <n v="312450"/>
  </r>
  <r>
    <x v="2"/>
    <s v="BCL_DQS1_SCIB"/>
    <s v="BCL_DQS1_SCIB"/>
    <s v="BCL_DQS4_SCIB"/>
    <s v="IXLZG"/>
    <n v="0"/>
    <x v="1"/>
    <n v="-2545673.2400000002"/>
    <n v="4523.1686669999999"/>
    <n v="2545673.2400000002"/>
    <n v="21.08"/>
    <n v="84.438295999999994"/>
    <n v="4417.6503709999997"/>
    <n v="2666372"/>
    <n v="2666372"/>
  </r>
  <r>
    <x v="2"/>
    <s v="RE_DQS5_3"/>
    <s v="RE_DQS5_3"/>
    <s v="Nao Aplicavel"/>
    <s v="NULL"/>
    <n v="0"/>
    <x v="0"/>
    <n v="-66716160.637297601"/>
    <n v="5907.953966"/>
    <n v="66716160.637244001"/>
    <n v="927.45800099999997"/>
    <n v="4980.4959650000001"/>
    <m/>
    <m/>
    <m/>
  </r>
  <r>
    <x v="2"/>
    <s v="BCL_DQS1_SCIB"/>
    <s v="BCL_DQS1_SCIB"/>
    <s v="BCL_DQS4_SCIB"/>
    <s v="SCFRG"/>
    <n v="0"/>
    <x v="1"/>
    <n v="-13009.35"/>
    <n v="0"/>
    <n v="13009.35"/>
    <n v="0"/>
    <n v="0"/>
    <n v="0"/>
    <n v="222180"/>
    <n v="222180"/>
  </r>
  <r>
    <x v="2"/>
    <s v="BCL_DQS5_3B"/>
    <s v="BCL_DQS5_3B"/>
    <s v="BCL_DQS5_3B"/>
    <s v="NULL"/>
    <n v="0"/>
    <x v="0"/>
    <n v="-266478986.36539799"/>
    <n v="125298.085979"/>
    <n v="266478986.36532199"/>
    <n v="15813.029526"/>
    <n v="6784.3711219999996"/>
    <n v="102700.685331"/>
    <m/>
    <m/>
  </r>
  <r>
    <x v="2"/>
    <s v="BCL_DQS1_SCIB"/>
    <s v="BCL_DQS1_SCIB"/>
    <s v="BCL_DQS4_SCIB"/>
    <s v="BIGRG"/>
    <n v="0"/>
    <x v="1"/>
    <n v="-2833.17"/>
    <n v="0"/>
    <n v="2833.17"/>
    <n v="0"/>
    <n v="0"/>
    <n v="0"/>
    <n v="14618.7"/>
    <n v="14618.7"/>
  </r>
  <r>
    <x v="2"/>
    <s v="BCL_DQS1_SCIB"/>
    <s v="BCL_DQS1_SCIB"/>
    <s v="BCL_DQS1_SCIB"/>
    <s v="NEHOG"/>
    <n v="0"/>
    <x v="1"/>
    <n v="-4223095.24"/>
    <n v="1305.44622"/>
    <n v="4223095.24"/>
    <n v="42.106805000000001"/>
    <n v="33.965425000000003"/>
    <n v="1229.37399"/>
    <n v="22164280.32"/>
    <n v="22164280.32"/>
  </r>
  <r>
    <x v="2"/>
    <s v="BCL_DQS1_SCIB"/>
    <s v="BCL_DQS1_SCIB"/>
    <s v="BCL_DQS4_SCIB"/>
    <s v="DSSGG"/>
    <n v="0"/>
    <x v="1"/>
    <n v="-8255893.3399999999"/>
    <n v="6584.1070870000003"/>
    <n v="8255893.3399999999"/>
    <n v="1380.31375"/>
    <n v="797.68396499999994"/>
    <n v="4406.1093719999999"/>
    <n v="2525839.6800000002"/>
    <n v="2525839.6800000002"/>
  </r>
  <r>
    <x v="2"/>
    <s v="RE_DQS4_2B"/>
    <s v="RE_DQS4_2B"/>
    <s v="Nao Aplicavel"/>
    <s v="UNHOG"/>
    <n v="0"/>
    <x v="0"/>
    <n v="-16112062.65"/>
    <n v="771.29462000000001"/>
    <n v="16112062.65"/>
    <n v="121.08139199999999"/>
    <n v="650.21322799999996"/>
    <m/>
    <n v="54608"/>
    <n v="54608"/>
  </r>
  <r>
    <x v="2"/>
    <s v="RE_DQS3_2A"/>
    <s v="RE_DQS3_2A"/>
    <s v="Nao Aplicavel"/>
    <s v="NULL"/>
    <n v="0"/>
    <x v="0"/>
    <n v="-2600440.0064063701"/>
    <n v="42.239578000000002"/>
    <n v="2600440.0064030001"/>
    <n v="12.641629999999999"/>
    <n v="29.597947999999999"/>
    <m/>
    <m/>
    <m/>
  </r>
  <r>
    <x v="2"/>
    <s v="BCL_DQS4_SCIB"/>
    <s v="BCL_DQS2_SCIB"/>
    <s v="BCL_DQS4_SCIB"/>
    <s v="GRSEM"/>
    <n v="0"/>
    <x v="1"/>
    <n v="-29895370.129999999"/>
    <n v="76811.280024000007"/>
    <n v="29895370.129999999"/>
    <n v="45407.525695999997"/>
    <n v="5828.5177990000002"/>
    <n v="25575.236529000002"/>
    <n v="637293.06000000006"/>
    <n v="637293.06000000006"/>
  </r>
  <r>
    <x v="2"/>
    <s v="BCL_DQS1_SCIB"/>
    <s v="BCL_DQS1_SCIB"/>
    <s v="BCL_DQS4_SCIB"/>
    <s v="5EBRO"/>
    <n v="0"/>
    <x v="1"/>
    <n v="-9878.31"/>
    <n v="15.650292"/>
    <n v="9878.31"/>
    <n v="0.51505500000000004"/>
    <n v="0.30740099999999998"/>
    <n v="14.827836"/>
    <n v="8639.16"/>
    <n v="8639.16"/>
  </r>
  <r>
    <x v="2"/>
    <s v="BCL_DQS1_SCIB"/>
    <s v="BCL_DQS1_SCIB"/>
    <s v="BCL_DQS1_SCIB"/>
    <s v="5YATG"/>
    <n v="0"/>
    <x v="1"/>
    <n v="-615733.75"/>
    <n v="0"/>
    <n v="615733.75"/>
    <n v="0"/>
    <n v="0"/>
    <n v="0"/>
    <n v="8699782.6500000004"/>
    <n v="8699782.6500000004"/>
  </r>
  <r>
    <x v="2"/>
    <s v="MVL_DQS5_3B"/>
    <s v="MVL_DQS5_3B"/>
    <s v="Nao Aplicavel"/>
    <s v="NULL"/>
    <n v="0"/>
    <x v="0"/>
    <n v="-42782.089999999902"/>
    <n v="4.5050629999999998"/>
    <n v="42782.089996000002"/>
    <n v="4.4130320000000003"/>
    <n v="9.2031000000000002E-2"/>
    <m/>
    <m/>
    <m/>
  </r>
  <r>
    <x v="2"/>
    <s v="MVL_DQS3_2B"/>
    <s v="Nao Aplicavel"/>
    <s v="Nao Aplicavel"/>
    <s v="NULL"/>
    <n v="0"/>
    <x v="0"/>
    <n v="-869247.51999999897"/>
    <n v="83.665757999999997"/>
    <n v="869247.51997200004"/>
    <n v="83.665757999999997"/>
    <m/>
    <m/>
    <m/>
    <m/>
  </r>
  <r>
    <x v="2"/>
    <s v="BCL_DQS1_SCIB"/>
    <s v="BCL_DQS1_SCIB"/>
    <s v="BCL_DQS4_SCIB"/>
    <s v="SMURG"/>
    <n v="0"/>
    <x v="1"/>
    <n v="-35332.199999999997"/>
    <n v="6.8953179999999996"/>
    <n v="35332.199999999997"/>
    <n v="2.5409790000000001"/>
    <n v="0.74515600000000004"/>
    <n v="3.6091829999999998"/>
    <n v="184807.74"/>
    <n v="184807.74"/>
  </r>
  <r>
    <x v="2"/>
    <s v="BCL_DQS1_SCIB"/>
    <s v="BCL_DQS1_SCIB"/>
    <s v="BCL_DQS4_SCIB"/>
    <s v="6SYNT"/>
    <n v="0"/>
    <x v="1"/>
    <n v="-109921.2"/>
    <n v="185.63395499999999"/>
    <n v="109921.2"/>
    <n v="10.893689999999999"/>
    <n v="10.06317"/>
    <n v="164.67709500000001"/>
    <n v="7185.51"/>
    <n v="7185.51"/>
  </r>
  <r>
    <x v="2"/>
    <s v="BCL_DQS1_SCIB"/>
    <s v="BCL_DQS1_SCIB"/>
    <s v="BCL_DQS4_SCIB"/>
    <s v="SIKAG"/>
    <n v="0"/>
    <x v="1"/>
    <n v="-552014.46"/>
    <n v="53.893101000000001"/>
    <n v="552014.46"/>
    <n v="0.46828799999999998"/>
    <n v="0.48105300000000001"/>
    <n v="52.943759999999997"/>
    <n v="3237844.82"/>
    <n v="3237844.82"/>
  </r>
  <r>
    <x v="2"/>
    <s v="Nao Aplicavel"/>
    <s v="Nao Aplicavel"/>
    <s v="Nao Aplicavel"/>
    <s v="UNHOG"/>
    <n v="0"/>
    <x v="0"/>
    <n v="-574.55999999999995"/>
    <n v="0"/>
    <n v="574.55999999999995"/>
    <m/>
    <m/>
    <m/>
    <n v="54608"/>
    <n v="54608"/>
  </r>
  <r>
    <x v="2"/>
    <s v="MVL_DQS4_3A"/>
    <s v="MVL_DQS4_3A"/>
    <s v="Nao Aplicavel"/>
    <s v="NULL"/>
    <n v="0"/>
    <x v="0"/>
    <n v="-3340899.9399999902"/>
    <n v="143.30720400000001"/>
    <n v="3340899.9398989999"/>
    <n v="75.954384000000005"/>
    <n v="67.352819999999994"/>
    <m/>
    <m/>
    <m/>
  </r>
  <r>
    <x v="2"/>
    <s v="MVL_DQS4_3A"/>
    <s v="Nao Aplicavel"/>
    <s v="Nao Aplicavel"/>
    <s v="NULL"/>
    <n v="0"/>
    <x v="0"/>
    <n v="-14526143.7999999"/>
    <n v="2875.6208529999999"/>
    <n v="14526143.799288001"/>
    <n v="2875.6208529999999"/>
    <m/>
    <m/>
    <m/>
    <m/>
  </r>
  <r>
    <x v="2"/>
    <s v="MVL_DQS3_2B"/>
    <s v="MVL_DQS3_2B"/>
    <s v="Nao Aplicavel"/>
    <s v="NULL"/>
    <n v="0"/>
    <x v="0"/>
    <n v="-1086047.51999999"/>
    <n v="39.480111000000001"/>
    <n v="1086047.5199790001"/>
    <n v="17.46405"/>
    <n v="22.016061000000001"/>
    <m/>
    <m/>
    <m/>
  </r>
  <r>
    <x v="2"/>
    <s v="BCL_DQS4_3A"/>
    <s v="BCL_DQS4_3A"/>
    <s v="BCL_DQS4_3A"/>
    <s v="NULL"/>
    <n v="0"/>
    <x v="0"/>
    <n v="-1652682996.8127601"/>
    <n v="1384243.454496"/>
    <n v="1652682996.8116701"/>
    <n v="243993.59961999999"/>
    <n v="92696.126216000004"/>
    <n v="1047553.72866"/>
    <m/>
    <m/>
  </r>
  <r>
    <x v="2"/>
    <s v="BCL_DQS1_SCIB"/>
    <s v="BCL_DQS1_SCIB"/>
    <s v="BCL_DQS4_SCIB"/>
    <s v="GAAMG"/>
    <n v="0"/>
    <x v="1"/>
    <n v="-19865536.521903999"/>
    <n v="13537.971608"/>
    <n v="19865536.521903999"/>
    <n v="103.725193"/>
    <n v="1205.3607930000001"/>
    <n v="12228.885622"/>
    <n v="2855316"/>
    <n v="2855316"/>
  </r>
  <r>
    <x v="2"/>
    <s v="RE_DQS4_2B"/>
    <s v="RE_DQS4_2B"/>
    <s v="Nao Aplicavel"/>
    <s v="NULL"/>
    <n v="0"/>
    <x v="0"/>
    <n v="-82759535.552441999"/>
    <n v="74675.594759"/>
    <n v="82759535.552384004"/>
    <n v="12471.556693"/>
    <n v="62204.038066000001"/>
    <m/>
    <m/>
    <m/>
  </r>
  <r>
    <x v="2"/>
    <s v="BCL_DQS1_SCIB"/>
    <s v="BCL_DQS1_SCIB"/>
    <s v="BCL_DQS4_SCIB"/>
    <s v="IDVTG"/>
    <n v="0"/>
    <x v="1"/>
    <n v="-6737.5"/>
    <n v="0"/>
    <n v="6737.5"/>
    <n v="0"/>
    <n v="0"/>
    <n v="0"/>
    <n v="11262.25"/>
    <n v="11262.25"/>
  </r>
  <r>
    <x v="2"/>
    <s v="BCL_DQS1_SCIB"/>
    <s v="BCL_DQS1_SCIB"/>
    <s v="BCL_DQS4_SCIB"/>
    <s v="HEIKG"/>
    <n v="0"/>
    <x v="1"/>
    <n v="-2200.27"/>
    <n v="0"/>
    <n v="2200.27"/>
    <n v="0"/>
    <n v="0"/>
    <n v="0"/>
    <n v="39451"/>
    <n v="39451"/>
  </r>
  <r>
    <x v="2"/>
    <s v="BCL_DQS1_SCIB"/>
    <s v="BCL_DQS1_SCIB"/>
    <s v="BCL_DQS4_SCIB"/>
    <s v="CCEUP"/>
    <n v="0"/>
    <x v="1"/>
    <n v="-408462.9"/>
    <n v="120.21218500000001"/>
    <n v="408462.9"/>
    <n v="3.8467519999999999"/>
    <n v="3.946761"/>
    <n v="112.418672"/>
    <n v="960257"/>
    <n v="960257"/>
  </r>
  <r>
    <x v="2"/>
    <s v="BCL_DQS1_SCIB"/>
    <s v="BCL_DQS1_SCIB"/>
    <s v="BCL_DQS4_SCIB"/>
    <s v="5RKTG"/>
    <n v="0"/>
    <x v="1"/>
    <n v="-41346.370000000003"/>
    <n v="25.756481999999998"/>
    <n v="41346.370000000003"/>
    <n v="0.24254999999999999"/>
    <n v="0.47494199999999998"/>
    <n v="25.038989999999998"/>
    <n v="18751.16"/>
    <n v="18751.16"/>
  </r>
  <r>
    <x v="2"/>
    <s v="MISS"/>
    <s v="MISS"/>
    <s v="Nao Aplicavel"/>
    <s v="NULL"/>
    <n v="0"/>
    <x v="0"/>
    <n v="-213727.08999999901"/>
    <n v="0"/>
    <n v="213727.08999199999"/>
    <m/>
    <m/>
    <m/>
    <m/>
    <m/>
  </r>
  <r>
    <x v="2"/>
    <s v="BCL_DQS1_SCIB"/>
    <s v="BCL_DQS1_SCIB"/>
    <s v="BCL_DQS4_SCIB"/>
    <s v="ROBEG"/>
    <n v="0"/>
    <x v="1"/>
    <n v="-4184.2"/>
    <n v="0"/>
    <n v="4184.2"/>
    <n v="0"/>
    <n v="0"/>
    <n v="0"/>
    <n v="255564"/>
    <n v="255564"/>
  </r>
  <r>
    <x v="2"/>
    <s v="Nao Aplicavel"/>
    <s v="Nao Aplicavel"/>
    <s v="Nao Aplicavel"/>
    <s v="NULL"/>
    <n v="0"/>
    <x v="0"/>
    <n v="-1518171.2036279"/>
    <n v="0"/>
    <n v="1518171.2036210001"/>
    <m/>
    <m/>
    <m/>
    <m/>
    <m/>
  </r>
  <r>
    <x v="2"/>
    <s v="Nao Aplicavel"/>
    <s v="Nao Aplicavel"/>
    <s v="Nao Aplicavel"/>
    <s v="GLACG"/>
    <n v="0"/>
    <x v="0"/>
    <n v="-25.71"/>
    <n v="0"/>
    <n v="25.71"/>
    <m/>
    <m/>
    <m/>
    <n v="14570.2"/>
    <n v="14570.2"/>
  </r>
  <r>
    <x v="2"/>
    <s v="BCL_DQS1_SCIB"/>
    <s v="BCL_DQS1_SCIB"/>
    <s v="BCL_DQS1_SCIB"/>
    <s v="SNTGG"/>
    <n v="0"/>
    <x v="1"/>
    <n v="-2243862.87"/>
    <n v="3315.6493019999998"/>
    <n v="2243862.87"/>
    <n v="319.06038799999999"/>
    <n v="98.721605999999994"/>
    <n v="2897.8673079999999"/>
    <n v="5178548"/>
    <n v="5178548"/>
  </r>
  <r>
    <x v="2"/>
    <s v="BCL_DQS1_SCIB"/>
    <s v="BCL_DQS1_SCIB"/>
    <s v="BCL_DQS4_SCIB"/>
    <s v="UNHOG"/>
    <n v="0"/>
    <x v="1"/>
    <n v="-15978469.699999901"/>
    <n v="14215.439283"/>
    <n v="15978469.699997"/>
    <n v="117.410797"/>
    <n v="285.42430100000001"/>
    <n v="13812.604185"/>
    <n v="6662176"/>
    <n v="6662176"/>
  </r>
  <r>
    <x v="2"/>
    <s v="Nao Aplicavel"/>
    <s v="MVL_DQS3_2B"/>
    <s v="Nao Aplicavel"/>
    <s v="NULL"/>
    <n v="0"/>
    <x v="0"/>
    <n v="-1061371.72999999"/>
    <n v="22.407817999999999"/>
    <n v="1061371.729966"/>
    <m/>
    <n v="22.407817999999999"/>
    <m/>
    <m/>
    <m/>
  </r>
  <r>
    <x v="2"/>
    <s v="BCL_DQS1_SCIB"/>
    <s v="BCL_DQS1_SCIB"/>
    <s v="BCL_DQS1_SCIB"/>
    <s v="IPAGG"/>
    <n v="0"/>
    <x v="1"/>
    <n v="-2058850.04"/>
    <n v="1371.527544"/>
    <n v="2058850.04"/>
    <n v="12.49827"/>
    <n v="28.354212"/>
    <n v="1330.675062"/>
    <n v="2192905"/>
    <n v="2192905"/>
  </r>
  <r>
    <x v="2"/>
    <s v="BCL_DQS1_SCIB"/>
    <s v="BCL_DQS1_SCIB"/>
    <s v="BCL_DQS4_SCIB"/>
    <s v="CMTAG"/>
    <n v="0"/>
    <x v="1"/>
    <n v="-191126.27"/>
    <n v="96.967112999999998"/>
    <n v="191126.27"/>
    <n v="3.2368960000000002"/>
    <n v="17.311264000000001"/>
    <n v="76.418953000000002"/>
    <n v="123216.36"/>
    <n v="123216.36"/>
  </r>
  <r>
    <x v="2"/>
    <s v="BCL_DQS1_SCIB"/>
    <s v="BCL_DQS1_SCIB"/>
    <s v="BCL_DQS4_SCIB"/>
    <s v="LUXOG"/>
    <n v="0"/>
    <x v="1"/>
    <n v="-89738.23"/>
    <n v="3.6923080000000001"/>
    <n v="89738.23"/>
    <n v="0.10845299999999999"/>
    <n v="0.70480399999999999"/>
    <n v="2.879051"/>
    <n v="596398"/>
    <n v="596398"/>
  </r>
  <r>
    <x v="2"/>
    <s v="BCL_DQS1_SCIB"/>
    <s v="BCL_DQS1_SCIB"/>
    <s v="BCL_DQS4_SCIB"/>
    <s v="5FRQG"/>
    <n v="0"/>
    <x v="1"/>
    <n v="-221016.19"/>
    <n v="13.026574"/>
    <n v="221016.19"/>
    <n v="1.12521"/>
    <n v="1.7970379999999999"/>
    <n v="10.104326"/>
    <n v="440271"/>
    <n v="440271"/>
  </r>
  <r>
    <x v="2"/>
    <s v="BCL_DQS1_SCIB"/>
    <s v="BCL_DQS2_SCIB"/>
    <s v="BCL_DQS4_SCIB"/>
    <s v="VDRLG"/>
    <n v="0"/>
    <x v="1"/>
    <n v="-106287.82"/>
    <n v="123.121371"/>
    <n v="106287.82"/>
    <n v="53.586278"/>
    <n v="8.0697840000000003"/>
    <n v="61.465308999999998"/>
    <n v="11921.98"/>
    <n v="11921.98"/>
  </r>
  <r>
    <x v="2"/>
    <s v="BCL_DQS1_SCIB"/>
    <s v="BCL_DQS1_SCIB"/>
    <s v="BCL_DQS4_SCIB"/>
    <s v="04D0G"/>
    <n v="0"/>
    <x v="1"/>
    <n v="-1775938.9"/>
    <n v="124.78715800000001"/>
    <n v="1775938.9"/>
    <n v="0.87610900000000003"/>
    <n v="5.1059580000000002"/>
    <n v="118.805091"/>
    <n v="7299006"/>
    <n v="7299006"/>
  </r>
  <r>
    <x v="2"/>
    <s v="NULL"/>
    <s v="NULL"/>
    <s v="NULL"/>
    <s v="NULL"/>
    <n v="0"/>
    <x v="0"/>
    <m/>
    <n v="0"/>
    <m/>
    <m/>
    <m/>
    <m/>
    <m/>
    <m/>
  </r>
  <r>
    <x v="2"/>
    <s v="BCL_DQS1_SCIB"/>
    <s v="BCL_DQS1_SCIB"/>
    <s v="BCL_DQS4_SCIB"/>
    <s v="5EBRG"/>
    <n v="0"/>
    <x v="1"/>
    <n v="-103258236.73"/>
    <n v="357713.56942700001"/>
    <n v="103258236.73"/>
    <n v="749.57238099999995"/>
    <n v="322.26981499999999"/>
    <n v="356641.72723100003"/>
    <n v="28649.35"/>
    <n v="28649.35"/>
  </r>
  <r>
    <x v="2"/>
    <s v="MISS"/>
    <s v="MISS"/>
    <s v="MISS"/>
    <s v="NULL"/>
    <n v="0"/>
    <x v="0"/>
    <n v="-1503093.01"/>
    <n v="0"/>
    <n v="1503093.01"/>
    <m/>
    <m/>
    <m/>
    <m/>
    <m/>
  </r>
  <r>
    <x v="2"/>
    <s v="BCL_DQS1_SCIB"/>
    <s v="BCL_DQS1_SCIB"/>
    <s v="BCL_DQS4_SCIB"/>
    <s v="WEGHG"/>
    <n v="0"/>
    <x v="1"/>
    <n v="-50379.05"/>
    <n v="225.999574"/>
    <n v="50379.05"/>
    <n v="0.54864000000000002"/>
    <n v="0.85065999999999997"/>
    <n v="224.60027400000001"/>
    <n v="21426.5"/>
    <n v="21426.5"/>
  </r>
  <r>
    <x v="2"/>
    <s v="BCL_DQS1_SCIB"/>
    <s v="BCL_DQS1_SCIB"/>
    <s v="BCL_DQS4_SCIB"/>
    <s v="CELLN"/>
    <n v="0"/>
    <x v="1"/>
    <n v="-30117.64"/>
    <n v="0"/>
    <n v="30117.64"/>
    <n v="0"/>
    <n v="0"/>
    <n v="0"/>
    <n v="147298.68"/>
    <n v="147298.68"/>
  </r>
  <r>
    <x v="3"/>
    <s v="BCL_DQS1_SCIB"/>
    <s v="BCL_DQS1_SCIB"/>
    <s v="BCL_DQS4_SCIB"/>
    <s v="IBR00"/>
    <n v="0"/>
    <x v="1"/>
    <n v="-1579.15"/>
    <n v="0"/>
    <n v="1579.15"/>
    <n v="0"/>
    <n v="0"/>
    <n v="0"/>
    <n v="121004"/>
    <n v="121004"/>
  </r>
  <r>
    <x v="3"/>
    <s v="BCL_DQS5_3B"/>
    <s v="BCL_DQS5_3B"/>
    <s v="BCL_DQS5_3B"/>
    <s v="NULL"/>
    <n v="0"/>
    <x v="0"/>
    <n v="-145142411.55000001"/>
    <n v="121033.444516"/>
    <n v="145142411.55000001"/>
    <n v="89814.419789000007"/>
    <n v="3334.362349"/>
    <n v="27884.662378000001"/>
    <m/>
    <m/>
  </r>
  <r>
    <x v="3"/>
    <s v="Nao Aplicavel"/>
    <s v="MVL_DQS3_2B"/>
    <s v="Nao Aplicavel"/>
    <s v="NULL"/>
    <n v="0"/>
    <x v="0"/>
    <n v="-40426.049999999901"/>
    <n v="0.82723500000000005"/>
    <n v="40426.049999000003"/>
    <m/>
    <n v="0.82723500000000005"/>
    <m/>
    <m/>
    <m/>
  </r>
  <r>
    <x v="3"/>
    <s v="Nao Aplicavel"/>
    <s v="MVL_DQS4_3A"/>
    <s v="Nao Aplicavel"/>
    <s v="NULL"/>
    <n v="0"/>
    <x v="0"/>
    <n v="-151009.549999999"/>
    <n v="2.1742759999999999"/>
    <n v="151009.54999500001"/>
    <m/>
    <n v="2.1742759999999999"/>
    <m/>
    <m/>
    <m/>
  </r>
  <r>
    <x v="3"/>
    <s v="BCL_DQS4_3A"/>
    <s v="BCL_DQS4_3A"/>
    <s v="BCL_DQS4_3A"/>
    <s v="NULL"/>
    <n v="0"/>
    <x v="0"/>
    <n v="-178668170.459999"/>
    <n v="56334.215339000002"/>
    <n v="178668170.459993"/>
    <n v="41803.528120000003"/>
    <n v="1551.9528110000001"/>
    <n v="12978.734408"/>
    <m/>
    <m/>
  </r>
  <r>
    <x v="3"/>
    <s v="BCL_DQS1_SCIB"/>
    <s v="BCL_DQS1_SCIB"/>
    <s v="BCL_DQS4_SCIB"/>
    <s v="EDP0G"/>
    <n v="0"/>
    <x v="1"/>
    <n v="-203594622.66"/>
    <n v="102001.65637899999"/>
    <n v="203594622.66"/>
    <n v="47909.248290000003"/>
    <n v="2390.731362"/>
    <n v="51701.676726999998"/>
    <n v="4936819.4400000004"/>
    <n v="4936819.4400000004"/>
  </r>
  <r>
    <x v="3"/>
    <s v="MVL_DQS4_3A"/>
    <s v="Nao Aplicavel"/>
    <s v="Nao Aplicavel"/>
    <s v="NULL"/>
    <n v="0"/>
    <x v="0"/>
    <n v="-34515.319999999898"/>
    <n v="3.9697520000000002"/>
    <n v="34515.319997999999"/>
    <n v="3.9697520000000002"/>
    <m/>
    <m/>
    <m/>
    <m/>
  </r>
  <r>
    <x v="3"/>
    <s v="PF_DQS1_1A"/>
    <s v="PF_DQS5_3B"/>
    <s v="PF_DQS5_3B"/>
    <s v="NULL"/>
    <n v="0"/>
    <x v="0"/>
    <n v="-145561691.97"/>
    <n v="31309.153283"/>
    <n v="145561691.97"/>
    <n v="0"/>
    <n v="3343.9885079999999"/>
    <n v="27965.164775000001"/>
    <m/>
    <m/>
  </r>
  <r>
    <x v="3"/>
    <s v="MVL_DQS4_3A"/>
    <s v="MVL_DQS4_3A"/>
    <s v="Nao Aplicavel"/>
    <s v="NULL"/>
    <n v="0"/>
    <x v="0"/>
    <n v="-34923.239999999903"/>
    <n v="1.4809840000000001"/>
    <n v="34923.239997999997"/>
    <n v="0.65041000000000004"/>
    <n v="0.83057400000000003"/>
    <m/>
    <m/>
    <m/>
  </r>
  <r>
    <x v="3"/>
    <s v="PF_DQS1_SCIB"/>
    <s v="PF_DQS1_SCIB"/>
    <s v="PF_DQS4_SCIB"/>
    <s v="5ESRG"/>
    <n v="0"/>
    <x v="1"/>
    <n v="-33077227.829999998"/>
    <n v="48710.516768000001"/>
    <n v="33077227.829999998"/>
    <n v="14540.198532"/>
    <n v="1102.3726919999999"/>
    <n v="33067.945544000002"/>
    <n v="120494"/>
    <n v="120494"/>
  </r>
  <r>
    <x v="3"/>
    <s v="RE_DQS4_2B"/>
    <s v="RE_DQS4_2B"/>
    <s v="Nao Aplicavel"/>
    <s v="NULL"/>
    <n v="0"/>
    <x v="0"/>
    <n v="-741121.8"/>
    <n v="3.0283999999999998E-2"/>
    <n v="741121.8"/>
    <n v="4.7540000000000004E-3"/>
    <n v="2.5530000000000001E-2"/>
    <m/>
    <m/>
    <m/>
  </r>
  <r>
    <x v="3"/>
    <s v="BCL_DQS1_SCIB"/>
    <s v="BCL_DQS1_SCIB"/>
    <s v="BCL_DQS4_SCIB"/>
    <s v="5ESRG"/>
    <n v="0"/>
    <x v="1"/>
    <n v="-3873.27"/>
    <n v="0"/>
    <n v="3873.27"/>
    <n v="0"/>
    <n v="0"/>
    <n v="0"/>
    <n v="120494"/>
    <n v="120494"/>
  </r>
  <r>
    <x v="3"/>
    <s v="MVL_DQS3_2B"/>
    <s v="MVL_DQS3_2B"/>
    <s v="Nao Aplicavel"/>
    <s v="NULL"/>
    <n v="0"/>
    <x v="0"/>
    <n v="-80742.139999999898"/>
    <n v="2.6170420000000001"/>
    <n v="80742.139997999999"/>
    <n v="1.451398"/>
    <n v="1.1656439999999999"/>
    <m/>
    <m/>
    <m/>
  </r>
  <r>
    <x v="3"/>
    <s v="BCL_DQS1_SCIB"/>
    <s v="BCL_DQS2_SCIB"/>
    <s v="BCL_DQS1_SCIB"/>
    <s v="RENLG"/>
    <n v="0"/>
    <x v="1"/>
    <n v="-6725374.0599999996"/>
    <n v="365.06055600000002"/>
    <n v="6725374.0599999996"/>
    <n v="48.257731999999997"/>
    <n v="198.45871199999999"/>
    <n v="118.344112"/>
    <n v="461202.56"/>
    <n v="461202.56"/>
  </r>
  <r>
    <x v="3"/>
    <s v="PF_DQS5_3B"/>
    <s v="PF_DQS5_3B"/>
    <s v="PF_DQS5_3B"/>
    <s v="NULL"/>
    <n v="0"/>
    <x v="0"/>
    <n v="-20384980.030000001"/>
    <n v="16998.891288999999"/>
    <n v="20384980.030000001"/>
    <n v="12614.245389"/>
    <n v="468.30412100000001"/>
    <n v="3916.3417789999999"/>
    <m/>
    <m/>
  </r>
  <r>
    <x v="3"/>
    <s v="Nao Aplicavel"/>
    <s v="Nao Aplicavel"/>
    <s v="Nao Aplicavel"/>
    <s v="NULL"/>
    <n v="0"/>
    <x v="0"/>
    <n v="-1408.7"/>
    <n v="0"/>
    <n v="1408.7"/>
    <m/>
    <m/>
    <m/>
    <m/>
    <m/>
  </r>
  <r>
    <x v="3"/>
    <s v="PF_DQS1_1A"/>
    <s v="PF_DQS1_SCIB"/>
    <s v="PF_DQS4_SCIB"/>
    <s v="5CUMG"/>
    <n v="0"/>
    <x v="1"/>
    <n v="-2591275.13"/>
    <n v="2133.1748149999999"/>
    <n v="2591275.13"/>
    <n v="0"/>
    <n v="19.003688"/>
    <n v="2114.1711270000001"/>
    <n v="18968"/>
    <n v="18968"/>
  </r>
  <r>
    <x v="3"/>
    <s v="BCL_DQS4_SCIB"/>
    <s v="BCL_DQS2_SCIB"/>
    <s v="BCL_DQS4_SCIB"/>
    <s v="GRSEM"/>
    <n v="0"/>
    <x v="1"/>
    <n v="-9539.8799999999992"/>
    <n v="19.340620000000001"/>
    <n v="9539.8799999999992"/>
    <n v="11.433344"/>
    <n v="1.4675860000000001"/>
    <n v="6.4396899999999997"/>
    <n v="14907.44"/>
    <n v="14907.44"/>
  </r>
  <r>
    <x v="3"/>
    <s v="RE_DQS5_3"/>
    <s v="RE_DQS5_3"/>
    <s v="Nao Aplicavel"/>
    <s v="NULL"/>
    <n v="0"/>
    <x v="0"/>
    <n v="-57989.599999999999"/>
    <n v="16.121020999999999"/>
    <n v="57989.599999999999"/>
    <n v="2.5307529999999998"/>
    <n v="13.590268"/>
    <m/>
    <m/>
    <m/>
  </r>
  <r>
    <x v="4"/>
    <s v="MISS"/>
    <s v="MISS"/>
    <s v="Nao Aplicavel"/>
    <s v="5VFRG"/>
    <n v="1"/>
    <x v="0"/>
    <n v="-1251.25999999999"/>
    <n v="0"/>
    <n v="1251.2599990000001"/>
    <m/>
    <m/>
    <m/>
    <n v="44588"/>
    <m/>
  </r>
  <r>
    <x v="4"/>
    <s v="RE_DQS5_3"/>
    <s v="RE_DQS5_3"/>
    <s v="Nao Aplicavel"/>
    <s v="NULL"/>
    <n v="0"/>
    <x v="0"/>
    <n v="-2135479.4700000002"/>
    <n v="162.83463599999999"/>
    <n v="2135479.4700000002"/>
    <n v="25.562536000000001"/>
    <n v="137.27209999999999"/>
    <m/>
    <m/>
    <m/>
  </r>
  <r>
    <x v="4"/>
    <s v="BCL_DQS5_3B"/>
    <s v="BCL_DQS5_3B"/>
    <s v="BCL_DQS5_3B"/>
    <s v="NULL"/>
    <n v="0"/>
    <x v="0"/>
    <n v="-2206355.2299999902"/>
    <n v="346.43950699999999"/>
    <n v="2206355.2299990002"/>
    <n v="130.48048900000001"/>
    <n v="21.224489999999999"/>
    <n v="194.73452800000001"/>
    <m/>
    <m/>
  </r>
  <r>
    <x v="4"/>
    <s v="MVL_DQS4_3A"/>
    <s v="Nao Aplicavel"/>
    <s v="Nao Aplicavel"/>
    <s v="5VFRG"/>
    <n v="1"/>
    <x v="0"/>
    <n v="-1486.3699999999899"/>
    <n v="1.104249"/>
    <n v="1486.369999"/>
    <n v="1.104249"/>
    <m/>
    <m/>
    <n v="133764"/>
    <m/>
  </r>
  <r>
    <x v="4"/>
    <s v="MVL_DQS4_3A"/>
    <s v="MVL_DQS4_3A"/>
    <s v="Nao Aplicavel"/>
    <s v="NULL"/>
    <n v="0"/>
    <x v="0"/>
    <n v="-28120.139999999901"/>
    <n v="1.28087"/>
    <n v="28120.139998999999"/>
    <n v="0.69257400000000002"/>
    <n v="0.58829600000000004"/>
    <m/>
    <m/>
    <m/>
  </r>
  <r>
    <x v="4"/>
    <s v="Nao Aplicavel"/>
    <s v="Nao Aplicavel"/>
    <s v="Nao Aplicavel"/>
    <s v="5VFRG"/>
    <n v="1"/>
    <x v="0"/>
    <n v="-10.37"/>
    <n v="0"/>
    <n v="10.37"/>
    <m/>
    <m/>
    <m/>
    <n v="133764"/>
    <m/>
  </r>
  <r>
    <x v="4"/>
    <s v="BCL_DQS1_SCIB"/>
    <s v="BCL_DQS1_SCIB"/>
    <s v="BCL_DQS4_SCIB"/>
    <s v="5VFRG"/>
    <n v="1"/>
    <x v="1"/>
    <n v="-4621.8500000000004"/>
    <n v="0"/>
    <n v="4621.8500000000004"/>
    <n v="0"/>
    <n v="0"/>
    <n v="0"/>
    <n v="445880"/>
    <m/>
  </r>
  <r>
    <x v="4"/>
    <s v="RE_DQS4_2B"/>
    <s v="RE_DQS4_2B"/>
    <s v="Nao Aplicavel"/>
    <s v="NULL"/>
    <n v="0"/>
    <x v="0"/>
    <n v="-637613.79"/>
    <n v="166.184845"/>
    <n v="637613.79"/>
    <n v="33.925891999999997"/>
    <n v="132.25895299999999"/>
    <m/>
    <m/>
    <m/>
  </r>
  <r>
    <x v="4"/>
    <s v="BCL_DQS1_SCIB"/>
    <s v="BCL_DQS1_SCIB"/>
    <s v="BCL_DQS4_SCIB"/>
    <s v="5CUMG"/>
    <n v="0"/>
    <x v="1"/>
    <n v="-30633.49"/>
    <n v="15.844760000000001"/>
    <n v="30633.49"/>
    <n v="0.15965199999999999"/>
    <n v="0.139733"/>
    <n v="15.545375"/>
    <n v="37936"/>
    <n v="37936"/>
  </r>
  <r>
    <x v="4"/>
    <s v="MVL_DQS4_3A"/>
    <s v="Nao Aplicavel"/>
    <s v="Nao Aplicavel"/>
    <s v="NULL"/>
    <n v="0"/>
    <x v="0"/>
    <n v="-339307.109999999"/>
    <n v="243.68273099999999"/>
    <n v="339307.10998000001"/>
    <n v="243.68273099999999"/>
    <m/>
    <m/>
    <m/>
    <m/>
  </r>
  <r>
    <x v="4"/>
    <s v="BCL_DQS1_SCIB"/>
    <s v="BCL_DQS1_SCIB"/>
    <s v="BCL_DQS4_SCIB"/>
    <s v="5VFRG"/>
    <n v="0"/>
    <x v="1"/>
    <n v="-9348"/>
    <n v="0"/>
    <n v="9348"/>
    <n v="0"/>
    <n v="0"/>
    <n v="0"/>
    <n v="89176"/>
    <n v="89176"/>
  </r>
  <r>
    <x v="4"/>
    <s v="Nao Aplicavel"/>
    <s v="Nao Aplicavel"/>
    <s v="Nao Aplicavel"/>
    <s v="NULL"/>
    <n v="0"/>
    <x v="0"/>
    <n v="-31702.87"/>
    <n v="0"/>
    <n v="31702.869998999999"/>
    <m/>
    <m/>
    <m/>
    <m/>
    <m/>
  </r>
  <r>
    <x v="4"/>
    <s v="Nao Aplicavel"/>
    <s v="MVL_DQS4_3A"/>
    <s v="Nao Aplicavel"/>
    <s v="NULL"/>
    <n v="0"/>
    <x v="0"/>
    <n v="-21395.249999999902"/>
    <n v="0.32488400000000001"/>
    <n v="21395.249999"/>
    <m/>
    <n v="0.32488400000000001"/>
    <m/>
    <m/>
    <m/>
  </r>
  <r>
    <x v="4"/>
    <s v="MISS"/>
    <s v="MISS"/>
    <s v="Nao Aplicavel"/>
    <s v="NULL"/>
    <n v="0"/>
    <x v="0"/>
    <n v="-89642.839999999895"/>
    <n v="0"/>
    <n v="89642.839997999996"/>
    <m/>
    <m/>
    <m/>
    <m/>
    <m/>
  </r>
  <r>
    <x v="4"/>
    <s v="BCL_DQS4_3A"/>
    <s v="BCL_DQS4_3A"/>
    <s v="BCL_DQS4_3A"/>
    <s v="NULL"/>
    <n v="0"/>
    <x v="0"/>
    <n v="-82484225.259999901"/>
    <n v="21694.990567000001"/>
    <n v="82484225.259959996"/>
    <n v="9864.6492560000006"/>
    <n v="1232.6477299999999"/>
    <n v="10597.693581"/>
    <m/>
    <m/>
  </r>
  <r>
    <x v="5"/>
    <s v="BCL_DQS1_SCIB"/>
    <s v="BCL_DQS1_SCIB"/>
    <s v="BCL_DQS4_SCIB"/>
    <s v="5VCNG"/>
    <n v="0"/>
    <x v="1"/>
    <n v="-8212901.6600000001"/>
    <n v="3205.554079"/>
    <n v="8212901.6600000001"/>
    <n v="141.270546"/>
    <n v="15.631218000000001"/>
    <n v="3048.6523149999998"/>
    <n v="38555475"/>
    <n v="38555475"/>
  </r>
  <r>
    <x v="5"/>
    <s v="MVL_DQS4_3A"/>
    <s v="Nao Aplicavel"/>
    <s v="Nao Aplicavel"/>
    <s v="5BOUG"/>
    <n v="0"/>
    <x v="0"/>
    <n v="-33740.099999999897"/>
    <n v="3.411543"/>
    <n v="33740.099996999998"/>
    <n v="3.411543"/>
    <m/>
    <m/>
    <n v="87852"/>
    <n v="87852"/>
  </r>
  <r>
    <x v="5"/>
    <s v="PF_DQS5_3B"/>
    <s v="PF_DQS5_3B"/>
    <s v="PF_DQS5_3B"/>
    <s v="NULL"/>
    <n v="0"/>
    <x v="0"/>
    <n v="-142646992.40000001"/>
    <n v="9049.4305989999993"/>
    <n v="142646992.40000001"/>
    <n v="1036.4234719999999"/>
    <n v="177.45698100000001"/>
    <n v="7835.5501459999996"/>
    <m/>
    <m/>
  </r>
  <r>
    <x v="5"/>
    <s v="BCL_DQS1_SCIB"/>
    <s v="BCL_DQS1_SCIB"/>
    <s v="BCL_DQS4_SCIB"/>
    <s v="SHNDG"/>
    <n v="0"/>
    <x v="1"/>
    <n v="-608418.03"/>
    <n v="146.139714"/>
    <n v="608418.03"/>
    <n v="2.5589339999999998"/>
    <n v="0.98476200000000003"/>
    <n v="142.59601799999999"/>
    <n v="5264062.7"/>
    <n v="5264062.7"/>
  </r>
  <r>
    <x v="5"/>
    <s v="BCL_DQS1_SCIB"/>
    <s v="BCL_DQS1_SCIB"/>
    <s v="BCL_DQS4_SCIB"/>
    <s v="CGYNG"/>
    <n v="1"/>
    <x v="1"/>
    <n v="-4905324.3099999903"/>
    <n v="4792.6908640000001"/>
    <n v="4905324.309994"/>
    <n v="172.02419"/>
    <n v="53.748083999999999"/>
    <n v="4566.9185900000002"/>
    <n v="573294.15"/>
    <m/>
  </r>
  <r>
    <x v="5"/>
    <s v="RE_DQS4_2B"/>
    <s v="RE_DQS4_2B"/>
    <s v="Nao Aplicavel"/>
    <s v="NULL"/>
    <n v="0"/>
    <x v="0"/>
    <n v="-302999311.10381502"/>
    <n v="19468.157426000002"/>
    <n v="302999311.10371399"/>
    <n v="3724.319215"/>
    <n v="15743.838211"/>
    <m/>
    <m/>
    <m/>
  </r>
  <r>
    <x v="5"/>
    <s v="BCL_DQS1_SCIB"/>
    <s v="BCL_DQS1_SCIB"/>
    <s v="BCL_DQS4_SCIB"/>
    <s v="OWCNK"/>
    <n v="0"/>
    <x v="1"/>
    <n v="-30829.599999999999"/>
    <n v="0"/>
    <n v="30829.599999999999"/>
    <n v="0"/>
    <n v="0"/>
    <n v="0"/>
    <n v="445955.78"/>
    <n v="445955.78"/>
  </r>
  <r>
    <x v="5"/>
    <s v="Nao Aplicavel"/>
    <s v="Nao Aplicavel"/>
    <s v="Nao Aplicavel"/>
    <s v="CGYNG"/>
    <n v="1"/>
    <x v="0"/>
    <n v="-479.55"/>
    <n v="0"/>
    <n v="479.55"/>
    <m/>
    <m/>
    <m/>
    <n v="41694.120000000003"/>
    <m/>
  </r>
  <r>
    <x v="5"/>
    <s v="Nao Aplicavel"/>
    <s v="MVL_DQS4_3A"/>
    <s v="Nao Aplicavel"/>
    <s v="NULL"/>
    <n v="0"/>
    <x v="0"/>
    <n v="-4905419.5499999896"/>
    <n v="106.099159"/>
    <n v="4905419.5497890003"/>
    <m/>
    <n v="106.099159"/>
    <m/>
    <m/>
    <m/>
  </r>
  <r>
    <x v="5"/>
    <s v="BCL_DQS1_SCIB"/>
    <s v="BCL_DQS1_SCIB"/>
    <s v="BCL_DQS4_SCIB"/>
    <s v="5GFVG"/>
    <n v="0"/>
    <x v="1"/>
    <n v="-6765871.2599999998"/>
    <n v="1711.343838"/>
    <n v="6765871.2599999998"/>
    <n v="106.012798"/>
    <n v="19.852257999999999"/>
    <n v="1585.4787819999999"/>
    <n v="6821044"/>
    <n v="6821044"/>
  </r>
  <r>
    <x v="5"/>
    <s v="BCL_DQS1_SCIB"/>
    <s v="BCL_DQS1_SCIB"/>
    <s v="BCL_DQS4_SCIB"/>
    <s v="5VFRG"/>
    <n v="0"/>
    <x v="1"/>
    <n v="-4352.3999999999996"/>
    <n v="0"/>
    <n v="4352.3999999999996"/>
    <n v="0"/>
    <n v="0"/>
    <n v="0"/>
    <n v="44588"/>
    <n v="44588"/>
  </r>
  <r>
    <x v="5"/>
    <s v="Nao Aplicavel"/>
    <s v="Nao Aplicavel"/>
    <s v="Nao Aplicavel"/>
    <s v="NULL"/>
    <n v="0"/>
    <x v="0"/>
    <n v="-5617558.6026130104"/>
    <n v="0"/>
    <n v="5617558.602581"/>
    <m/>
    <m/>
    <m/>
    <m/>
    <m/>
  </r>
  <r>
    <x v="5"/>
    <s v="MVL_DQS3_2B"/>
    <s v="Nao Aplicavel"/>
    <s v="Nao Aplicavel"/>
    <s v="NULL"/>
    <n v="0"/>
    <x v="0"/>
    <n v="-1155205.50999999"/>
    <n v="107.387377"/>
    <n v="1155205.509965"/>
    <n v="107.387377"/>
    <m/>
    <m/>
    <m/>
    <m/>
  </r>
  <r>
    <x v="5"/>
    <s v="BCL_DQS5_3B"/>
    <s v="BCL_DQS5_3B"/>
    <s v="BCL_DQS5_3B"/>
    <s v="NULL"/>
    <n v="0"/>
    <x v="0"/>
    <n v="-60691544.7299999"/>
    <n v="12337.509348"/>
    <n v="60691544.729966"/>
    <n v="1385.713244"/>
    <n v="197.83162300000001"/>
    <n v="10753.964481000001"/>
    <m/>
    <m/>
  </r>
  <r>
    <x v="5"/>
    <s v="BCL_DQS1_SCIB"/>
    <s v="BCL_DQS1_SCIB"/>
    <s v="BCL_DQS4_SCIB"/>
    <s v="SACGG"/>
    <n v="0"/>
    <x v="1"/>
    <n v="-1907031.39"/>
    <n v="313.42122499999999"/>
    <n v="1907031.39"/>
    <n v="18.615655"/>
    <n v="73.274389999999997"/>
    <n v="221.53118000000001"/>
    <n v="492394.32"/>
    <n v="492394.32"/>
  </r>
  <r>
    <x v="5"/>
    <s v="MVL_DQS5_3B"/>
    <s v="MVL_DQS5_3B"/>
    <s v="Nao Aplicavel"/>
    <s v="NULL"/>
    <n v="0"/>
    <x v="0"/>
    <n v="-80269.299999999901"/>
    <n v="7.8840630000000003"/>
    <n v="80269.299996999995"/>
    <n v="7.6720040000000003"/>
    <n v="0.212059"/>
    <m/>
    <m/>
    <m/>
  </r>
  <r>
    <x v="5"/>
    <s v="BCL_DQS1_SCIB"/>
    <s v="BCL_DQS1_SCIB"/>
    <s v="BCL_DQS4_SCIB"/>
    <s v="5BOUG"/>
    <n v="0"/>
    <x v="1"/>
    <n v="-67742.710000000006"/>
    <n v="0"/>
    <n v="67742.710000000006"/>
    <n v="0"/>
    <n v="0"/>
    <n v="0"/>
    <n v="937088"/>
    <n v="937088"/>
  </r>
  <r>
    <x v="5"/>
    <s v="MVL_DQS4_3A"/>
    <s v="MVL_DQS4_3A"/>
    <s v="Nao Aplicavel"/>
    <s v="NULL"/>
    <n v="0"/>
    <x v="0"/>
    <n v="-2737431.3799999901"/>
    <n v="138.89487199999999"/>
    <n v="2737431.3799020001"/>
    <n v="74.024203999999997"/>
    <n v="64.870667999999995"/>
    <m/>
    <m/>
    <m/>
  </r>
  <r>
    <x v="5"/>
    <s v="BCL_DQS4_3A"/>
    <s v="BCL_DQS4_3A"/>
    <s v="BCL_DQS4_3A"/>
    <s v="NULL"/>
    <n v="0"/>
    <x v="0"/>
    <n v="-360710473.05999899"/>
    <n v="292173.73456999997"/>
    <n v="360710473.05967599"/>
    <n v="32803.926249999997"/>
    <n v="4665.3131970000004"/>
    <n v="254704.495123"/>
    <m/>
    <m/>
  </r>
  <r>
    <x v="5"/>
    <s v="Nao Aplicavel"/>
    <s v="MVL_DQS3_2B"/>
    <s v="Nao Aplicavel"/>
    <s v="NULL"/>
    <n v="0"/>
    <x v="0"/>
    <n v="-1049788.1199999901"/>
    <n v="21.772389"/>
    <n v="1049788.1199650001"/>
    <m/>
    <n v="21.772389"/>
    <m/>
    <m/>
    <m/>
  </r>
  <r>
    <x v="5"/>
    <s v="BCL_DQS1_SCIB"/>
    <s v="BCL_DQS1_SCIB"/>
    <s v="BCL_DQS4_SCIB"/>
    <s v="EIFFG"/>
    <n v="0"/>
    <x v="1"/>
    <n v="-34608.129999999997"/>
    <n v="0"/>
    <n v="34608.129999999997"/>
    <n v="0"/>
    <n v="0"/>
    <n v="0"/>
    <n v="49704"/>
    <n v="49704"/>
  </r>
  <r>
    <x v="5"/>
    <s v="Nao Aplicavel"/>
    <s v="Nao Aplicavel"/>
    <s v="Nao Aplicavel"/>
    <s v="5BOUG"/>
    <n v="0"/>
    <x v="0"/>
    <n v="-78.81"/>
    <n v="0"/>
    <n v="78.81"/>
    <m/>
    <m/>
    <m/>
    <n v="58568"/>
    <n v="58568"/>
  </r>
  <r>
    <x v="5"/>
    <s v="BCL_DQS1_SCIB"/>
    <s v="BCL_DQS1_SCIB"/>
    <s v="BCL_DQS4_SCIB"/>
    <s v="5CUMG"/>
    <n v="0"/>
    <x v="1"/>
    <n v="-3769380.81"/>
    <n v="2107.3531659999999"/>
    <n v="3769380.81"/>
    <n v="21.233716000000001"/>
    <n v="18.584489000000001"/>
    <n v="2067.5349609999998"/>
    <n v="4116056"/>
    <n v="4116056"/>
  </r>
  <r>
    <x v="5"/>
    <s v="NULL"/>
    <s v="NULL"/>
    <s v="NULL"/>
    <s v="NULL"/>
    <n v="0"/>
    <x v="0"/>
    <m/>
    <n v="0"/>
    <m/>
    <m/>
    <m/>
    <m/>
    <m/>
    <m/>
  </r>
  <r>
    <x v="5"/>
    <s v="RE_DQS5_3"/>
    <s v="RE_DQS5_3"/>
    <s v="Nao Aplicavel"/>
    <s v="NULL"/>
    <n v="0"/>
    <x v="0"/>
    <n v="-72844890.291754693"/>
    <n v="4221.0407750000004"/>
    <n v="72844890.291724995"/>
    <n v="662.63856199999998"/>
    <n v="3558.4022129999998"/>
    <m/>
    <m/>
    <m/>
  </r>
  <r>
    <x v="5"/>
    <s v="MVL_DQS3_2B"/>
    <s v="MVL_DQS3_2B"/>
    <s v="Nao Aplicavel"/>
    <s v="NULL"/>
    <n v="0"/>
    <x v="0"/>
    <n v="-683650.68999999901"/>
    <n v="24.009218000000001"/>
    <n v="683650.68998200004"/>
    <n v="10.845629000000001"/>
    <n v="13.163589"/>
    <m/>
    <m/>
    <m/>
  </r>
  <r>
    <x v="5"/>
    <s v="RE_DQS3_2A"/>
    <s v="RE_DQS3_2A"/>
    <s v="Nao Aplicavel"/>
    <s v="NULL"/>
    <n v="0"/>
    <x v="0"/>
    <n v="-50427874.0118168"/>
    <n v="617.355233"/>
    <n v="50427874.011808001"/>
    <n v="167.47651200000001"/>
    <n v="449.87872099999998"/>
    <m/>
    <m/>
    <m/>
  </r>
  <r>
    <x v="5"/>
    <s v="MVL_DQS4_3A"/>
    <s v="Nao Aplicavel"/>
    <s v="Nao Aplicavel"/>
    <s v="NULL"/>
    <n v="0"/>
    <x v="0"/>
    <n v="-18430764.4799999"/>
    <n v="4138.4562599999999"/>
    <n v="18430764.478939999"/>
    <n v="4138.4562599999999"/>
    <m/>
    <m/>
    <m/>
    <m/>
  </r>
  <r>
    <x v="5"/>
    <s v="MISS"/>
    <s v="MISS"/>
    <s v="Nao Aplicavel"/>
    <s v="NULL"/>
    <n v="0"/>
    <x v="0"/>
    <n v="-1546856.3399999901"/>
    <n v="0"/>
    <n v="1546856.339959"/>
    <m/>
    <m/>
    <m/>
    <m/>
    <m/>
  </r>
  <r>
    <x v="5"/>
    <s v="MISS"/>
    <s v="MISS"/>
    <s v="MISS"/>
    <s v="NULL"/>
    <n v="0"/>
    <x v="0"/>
    <n v="-215.52"/>
    <n v="0"/>
    <n v="215.52"/>
    <m/>
    <m/>
    <m/>
    <m/>
    <m/>
  </r>
  <r>
    <x v="6"/>
    <s v="BCL_DQS1_SCIB"/>
    <s v="BCL_DQS1_SCIB"/>
    <s v="BCL_DQS4_SCIB"/>
    <s v="CLGHG"/>
    <n v="0"/>
    <x v="1"/>
    <n v="-537.17999999999995"/>
    <n v="0"/>
    <n v="537.17999999999995"/>
    <n v="0"/>
    <n v="0"/>
    <n v="0"/>
    <n v="17432.98"/>
    <n v="17432.98"/>
  </r>
  <r>
    <x v="6"/>
    <s v="Nao Aplicavel"/>
    <s v="Nao Aplicavel"/>
    <s v="Nao Aplicavel"/>
    <s v="NULL"/>
    <n v="0"/>
    <x v="0"/>
    <n v="-5045551.5268143704"/>
    <n v="0"/>
    <n v="5045551.5267869998"/>
    <m/>
    <m/>
    <m/>
    <m/>
    <m/>
  </r>
  <r>
    <x v="6"/>
    <s v="BCL_DQS1_SCIB"/>
    <s v="BCL_DQS1_SCIB"/>
    <s v="BCL_DQS4_SCIB"/>
    <s v="GAUCG"/>
    <n v="0"/>
    <x v="1"/>
    <n v="-4502035.12"/>
    <n v="7032.8354470000004"/>
    <n v="4502035.12"/>
    <n v="80.053897000000006"/>
    <n v="167.29279600000001"/>
    <n v="6785.488754"/>
    <n v="8048172"/>
    <n v="8048172"/>
  </r>
  <r>
    <x v="6"/>
    <s v="MVL_DQS4_3A"/>
    <s v="MVL_DQS4_3A"/>
    <s v="Nao Aplicavel"/>
    <s v="NULL"/>
    <n v="0"/>
    <x v="0"/>
    <n v="-5186398.4399999902"/>
    <n v="250.30225300000001"/>
    <n v="5186398.4398269998"/>
    <n v="132.632295"/>
    <n v="117.66995799999999"/>
    <m/>
    <m/>
    <m/>
  </r>
  <r>
    <x v="6"/>
    <s v="BCL_DQS1_SCIB"/>
    <s v="BCL_DQS1_SCIB"/>
    <s v="BCL_DQS4_SCIB"/>
    <s v="GAAMG"/>
    <n v="0"/>
    <x v="1"/>
    <n v="-397887.71360199997"/>
    <n v="285.76781499999998"/>
    <n v="397887.71360199997"/>
    <n v="2.189495"/>
    <n v="25.443494999999999"/>
    <n v="258.13482499999998"/>
    <n v="1030.8"/>
    <n v="1030.8"/>
  </r>
  <r>
    <x v="6"/>
    <s v="RE_DQS4_2B"/>
    <s v="RE_DQS4_2B"/>
    <s v="Nao Aplicavel"/>
    <s v="NULL"/>
    <n v="0"/>
    <x v="0"/>
    <n v="-93343332.445689693"/>
    <n v="31052.034705999999"/>
    <n v="93343332.445605993"/>
    <n v="6005.3691239999998"/>
    <n v="25046.665582000001"/>
    <m/>
    <m/>
    <m/>
  </r>
  <r>
    <x v="6"/>
    <s v="BCL_DQS1_SCIB"/>
    <s v="BCL_DQS1_SCIB"/>
    <s v="BCL_DQS1_SCIB"/>
    <s v="IPAGG"/>
    <n v="0"/>
    <x v="1"/>
    <n v="-97832588.579999998"/>
    <n v="84857.736432000005"/>
    <n v="97832588.579999998"/>
    <n v="773.28006000000005"/>
    <n v="1754.3025359999999"/>
    <n v="82330.153835999998"/>
    <n v="29228510"/>
    <n v="29228510"/>
  </r>
  <r>
    <x v="6"/>
    <s v="BCL_DQS1_SCIB"/>
    <s v="BCL_DQS1_SCIB"/>
    <s v="BCL_DQS1_SCIB"/>
    <s v="IVECK"/>
    <n v="0"/>
    <x v="1"/>
    <n v="-1047.53"/>
    <n v="0"/>
    <n v="1047.53"/>
    <n v="0"/>
    <n v="0"/>
    <n v="0"/>
    <n v="8905"/>
    <n v="8905"/>
  </r>
  <r>
    <x v="6"/>
    <s v="BCL_DQS1_SCIB"/>
    <s v="BCL_DQS1_SCIB"/>
    <s v="BCL_DQS4_SCIB"/>
    <s v="MTHLG"/>
    <n v="0"/>
    <x v="1"/>
    <n v="-2122753.65"/>
    <n v="7218.6264119999996"/>
    <n v="2122753.65"/>
    <n v="119.5521"/>
    <n v="168.54424"/>
    <n v="6930.5300719999996"/>
    <n v="1882728"/>
    <n v="1882728"/>
  </r>
  <r>
    <x v="6"/>
    <s v="BCL_DQS1_SCIB"/>
    <s v="BCL_DQS1_SCIB"/>
    <s v="BCL_DQS4_SCIB"/>
    <s v="DSSGG"/>
    <n v="0"/>
    <x v="1"/>
    <n v="-47904.18"/>
    <n v="22.069631999999999"/>
    <n v="47904.18"/>
    <n v="4.6267500000000004"/>
    <n v="2.6738010000000001"/>
    <n v="14.769081"/>
    <n v="97147.68"/>
    <n v="97147.68"/>
  </r>
  <r>
    <x v="6"/>
    <s v="BCL_DQS1_SCIB"/>
    <s v="BCL_DQS1_SCIB"/>
    <s v="BCL_DQS1_SCIB"/>
    <s v="SNTGG"/>
    <n v="0"/>
    <x v="1"/>
    <n v="-503.45"/>
    <n v="0"/>
    <n v="503.45"/>
    <n v="0"/>
    <n v="0"/>
    <n v="0"/>
    <n v="43886"/>
    <n v="43886"/>
  </r>
  <r>
    <x v="6"/>
    <s v="BCL_DQS1_SCIB"/>
    <s v="BCL_DQS1_SCIB"/>
    <s v="BCL_DQS4_SCIB"/>
    <s v="5FRQG"/>
    <n v="0"/>
    <x v="1"/>
    <n v="-2516.9"/>
    <n v="0"/>
    <n v="2516.9"/>
    <n v="0"/>
    <n v="0"/>
    <n v="0"/>
    <n v="67734"/>
    <n v="67734"/>
  </r>
  <r>
    <x v="6"/>
    <s v="BCL_DQS1_SCIB"/>
    <s v="BCL_DQS1_SCIB"/>
    <s v="BCL_DQS4_SCIB"/>
    <s v="SIHOG"/>
    <n v="0"/>
    <x v="1"/>
    <n v="-5516.7"/>
    <n v="0"/>
    <n v="5516.7"/>
    <n v="0"/>
    <n v="0"/>
    <n v="0"/>
    <n v="208300"/>
    <n v="208300"/>
  </r>
  <r>
    <x v="6"/>
    <s v="BCL_DQS1_SCIB"/>
    <s v="BCL_DQS1_SCIB"/>
    <s v="BCL_DQS4_SCIB"/>
    <s v="BRNTG"/>
    <n v="0"/>
    <x v="1"/>
    <n v="-768965.35"/>
    <n v="3855.1973349999998"/>
    <n v="768965.35"/>
    <n v="19.262971"/>
    <n v="4.5230639999999998"/>
    <n v="3831.4113000000002"/>
    <n v="66546.399999999994"/>
    <n v="66546.399999999994"/>
  </r>
  <r>
    <x v="6"/>
    <s v="MVL_DQS3_2B"/>
    <s v="Nao Aplicavel"/>
    <s v="Nao Aplicavel"/>
    <s v="NULL"/>
    <n v="0"/>
    <x v="0"/>
    <n v="-1617782.23999999"/>
    <n v="138.600515"/>
    <n v="1617782.2399490001"/>
    <n v="138.600515"/>
    <m/>
    <m/>
    <m/>
    <m/>
  </r>
  <r>
    <x v="6"/>
    <s v="BCL_DQS1_SCIB"/>
    <s v="BCL_DQS1_SCIB"/>
    <s v="BCL_DQS4_SCIB"/>
    <s v="MRKKG"/>
    <n v="0"/>
    <x v="1"/>
    <n v="475.6"/>
    <n v="0"/>
    <n v="-475.6"/>
    <n v="0"/>
    <n v="0"/>
    <n v="0"/>
    <n v="120864"/>
    <n v="120864"/>
  </r>
  <r>
    <x v="6"/>
    <s v="RE_DQS3_2A"/>
    <s v="RE_DQS3_2A"/>
    <s v="Nao Aplicavel"/>
    <s v="NULL"/>
    <n v="0"/>
    <x v="0"/>
    <n v="-13690754.7265402"/>
    <n v="12868.73955"/>
    <n v="13690754.726536"/>
    <n v="3182.431047"/>
    <n v="9686.3085030000002"/>
    <m/>
    <m/>
    <m/>
  </r>
  <r>
    <x v="6"/>
    <s v="MVL_DQS3_2B"/>
    <s v="MVL_DQS3_2B"/>
    <s v="Nao Aplicavel"/>
    <s v="NULL"/>
    <n v="0"/>
    <x v="0"/>
    <n v="-1239355.6999999899"/>
    <n v="38.938357000000003"/>
    <n v="1239355.699981"/>
    <n v="19.065284999999999"/>
    <n v="19.873072000000001"/>
    <m/>
    <m/>
    <m/>
  </r>
  <r>
    <x v="6"/>
    <s v="BCL_DQS1_SCIB"/>
    <s v="BCL_DQS1_SCIB"/>
    <s v="BCL_DQS4_SCIB"/>
    <s v="PFHOG"/>
    <n v="0"/>
    <x v="1"/>
    <n v="-166989.24"/>
    <n v="0"/>
    <n v="166989.24"/>
    <n v="0"/>
    <n v="0"/>
    <n v="0"/>
    <n v="1500697.8"/>
    <n v="1500697.8"/>
  </r>
  <r>
    <x v="6"/>
    <s v="BCL_DQS1_SCIB"/>
    <s v="BCL_DQS1_SCIB"/>
    <s v="BCL_DQS1_SCIB"/>
    <s v="5YATG"/>
    <n v="0"/>
    <x v="1"/>
    <n v="-88275"/>
    <n v="0"/>
    <n v="88275"/>
    <n v="0"/>
    <n v="0"/>
    <n v="0"/>
    <n v="892285.4"/>
    <n v="892285.4"/>
  </r>
  <r>
    <x v="6"/>
    <s v="BCL_DQS1_SCIB"/>
    <s v="BCL_DQS1_SCIB"/>
    <s v="BCL_DQS4_SCIB"/>
    <s v="5ECIS"/>
    <n v="0"/>
    <x v="1"/>
    <n v="-856443.12"/>
    <n v="136.58355399999999"/>
    <n v="856443.12"/>
    <n v="4.2881650000000002"/>
    <n v="6.5378249999999998"/>
    <n v="125.757564"/>
    <n v="7847793.8399999999"/>
    <n v="7847793.8399999999"/>
  </r>
  <r>
    <x v="6"/>
    <s v="MVL_DQS4_3A"/>
    <s v="Nao Aplicavel"/>
    <s v="Nao Aplicavel"/>
    <s v="NULL"/>
    <n v="0"/>
    <x v="0"/>
    <n v="-18084860.529999901"/>
    <n v="3413.9317230000001"/>
    <n v="18084860.528808001"/>
    <n v="3413.9317230000001"/>
    <m/>
    <m/>
    <m/>
    <m/>
  </r>
  <r>
    <x v="6"/>
    <s v="BCL_DQS1_SCIB"/>
    <s v="BCL_DQS1_SCIB"/>
    <s v="BCL_DQS4_SCIB"/>
    <s v="TKAAG"/>
    <n v="0"/>
    <x v="1"/>
    <n v="-841.88"/>
    <n v="0"/>
    <n v="841.88"/>
    <n v="0"/>
    <n v="0"/>
    <n v="0"/>
    <n v="11831"/>
    <n v="11831"/>
  </r>
  <r>
    <x v="6"/>
    <s v="MVL_DQS5_3B"/>
    <s v="MVL_DQS5_3B"/>
    <s v="Nao Aplicavel"/>
    <s v="NULL"/>
    <n v="0"/>
    <x v="0"/>
    <n v="-64668.179999999898"/>
    <n v="8.3584619999999994"/>
    <n v="64668.179993999998"/>
    <n v="8.0955539999999999"/>
    <n v="0.26290799999999998"/>
    <m/>
    <m/>
    <m/>
  </r>
  <r>
    <x v="6"/>
    <s v="BCL_DQS1_SCIB"/>
    <s v="BCL_DQS1_SCIB"/>
    <s v="BCL_DQS1_SCIB"/>
    <s v="GLACG"/>
    <n v="0"/>
    <x v="1"/>
    <n v="-200532.01"/>
    <n v="577.05441299999995"/>
    <n v="200532.01"/>
    <n v="19.537323000000001"/>
    <n v="8.432086"/>
    <n v="549.08500400000003"/>
    <n v="14570.2"/>
    <n v="14570.2"/>
  </r>
  <r>
    <x v="6"/>
    <s v="BCL_DQS5_3B"/>
    <s v="BCL_DQS5_3B"/>
    <s v="BCL_DQS5_3B"/>
    <s v="NULL"/>
    <n v="0"/>
    <x v="0"/>
    <n v="-411278032.38935101"/>
    <n v="78651.274651999993"/>
    <n v="411278032.389283"/>
    <n v="13055.839613"/>
    <n v="6201.2410289999998"/>
    <n v="59394.194009999999"/>
    <m/>
    <m/>
  </r>
  <r>
    <x v="6"/>
    <s v="BCL_DQS1_SCIB"/>
    <s v="BCL_DQS1_SCIB"/>
    <s v="BCL_DQS4_SCIB"/>
    <s v="LOR0G"/>
    <n v="0"/>
    <x v="1"/>
    <n v="-624.94000000000005"/>
    <n v="0"/>
    <n v="624.94000000000005"/>
    <n v="0"/>
    <n v="0"/>
    <n v="0"/>
    <n v="499593.6"/>
    <n v="499593.6"/>
  </r>
  <r>
    <x v="6"/>
    <s v="BCL_DQS1_SCIB"/>
    <s v="BCL_DQS1_SCIB"/>
    <s v="BCL_DQS4_SCIB"/>
    <s v="UNHOG"/>
    <n v="0"/>
    <x v="1"/>
    <n v="-13021421.220000001"/>
    <n v="10859.863493000001"/>
    <n v="13021421.220000001"/>
    <n v="89.695802"/>
    <n v="218.049466"/>
    <n v="10552.118225"/>
    <n v="11686112"/>
    <n v="11686112"/>
  </r>
  <r>
    <x v="6"/>
    <s v="BCL_DQS1_SCIB"/>
    <s v="BCL_DQS1_SCIB"/>
    <s v="BCL_DQS4_SCIB"/>
    <s v="APFNG"/>
    <n v="0"/>
    <x v="1"/>
    <n v="-6937.21"/>
    <n v="0.30946499999999999"/>
    <n v="6937.21"/>
    <n v="1.149E-2"/>
    <n v="2.0681999999999999E-2"/>
    <n v="0.27729300000000001"/>
    <n v="2894.36"/>
    <n v="2894.36"/>
  </r>
  <r>
    <x v="6"/>
    <s v="BCL_DQS1_SCIB"/>
    <s v="BCL_DQS1_SCIB"/>
    <s v="BCL_DQS4_SCIB"/>
    <s v="HENHG"/>
    <n v="0"/>
    <x v="1"/>
    <n v="-53.27"/>
    <n v="0"/>
    <n v="53.27"/>
    <n v="0"/>
    <n v="0"/>
    <n v="0"/>
    <n v="26111"/>
    <n v="26111"/>
  </r>
  <r>
    <x v="6"/>
    <s v="BCL_DQS1_SCIB"/>
    <s v="BCL_DQS1_SCIB"/>
    <s v="BCL_DQS4_SCIB"/>
    <s v="ASB1G"/>
    <n v="0"/>
    <x v="1"/>
    <n v="-5217.78"/>
    <n v="0"/>
    <n v="5217.78"/>
    <n v="0"/>
    <n v="0"/>
    <n v="0"/>
    <n v="36067.440000000002"/>
    <n v="36067.440000000002"/>
  </r>
  <r>
    <x v="6"/>
    <s v="NULL"/>
    <s v="NULL"/>
    <s v="NULL"/>
    <s v="NULL"/>
    <n v="0"/>
    <x v="0"/>
    <m/>
    <n v="0"/>
    <m/>
    <m/>
    <m/>
    <m/>
    <m/>
    <m/>
  </r>
  <r>
    <x v="6"/>
    <s v="BCL_DQS1_SCIB"/>
    <s v="BCL_DQS1_SCIB"/>
    <s v="BCL_DQS4_SCIB"/>
    <s v="JEROG"/>
    <n v="0"/>
    <x v="1"/>
    <n v="-32979892.449999999"/>
    <n v="97250.688672000004"/>
    <n v="32979892.449999999"/>
    <n v="716.91393600000004"/>
    <n v="2490.5186399999998"/>
    <n v="94043.256095999997"/>
    <n v="21947190"/>
    <n v="21947190"/>
  </r>
  <r>
    <x v="6"/>
    <s v="BCL_DQS4_SCIB"/>
    <s v="BCL_DQS2_SCIB"/>
    <s v="BCL_DQS4_SCIB"/>
    <s v="ROCHG"/>
    <n v="0"/>
    <x v="1"/>
    <n v="-114864.28"/>
    <n v="0"/>
    <n v="114864.28"/>
    <n v="0"/>
    <n v="0"/>
    <n v="0"/>
    <n v="154205.72"/>
    <n v="154205.72"/>
  </r>
  <r>
    <x v="6"/>
    <s v="BCL_DQS1_SCIB"/>
    <s v="BCL_DQS1_SCIB"/>
    <s v="BCL_DQS1_SCIB"/>
    <s v="ASTZG"/>
    <n v="0"/>
    <x v="1"/>
    <n v="-924342.82"/>
    <n v="74.91"/>
    <n v="924342.82"/>
    <n v="2.6962869999999999"/>
    <n v="2.1463860000000001"/>
    <n v="70.067327000000006"/>
    <n v="411940.92"/>
    <n v="411940.92"/>
  </r>
  <r>
    <x v="6"/>
    <s v="Nao Aplicavel"/>
    <s v="MVL_DQS3_2B"/>
    <s v="Nao Aplicavel"/>
    <s v="NULL"/>
    <n v="0"/>
    <x v="0"/>
    <n v="-2974142.54999999"/>
    <n v="60.037266000000002"/>
    <n v="2974142.549906"/>
    <m/>
    <n v="60.037266000000002"/>
    <m/>
    <m/>
    <m/>
  </r>
  <r>
    <x v="6"/>
    <s v="BCL_DQS4_SCIB"/>
    <s v="BCL_DQS1_SCIB"/>
    <s v="BCL_DQS4_SCIB"/>
    <s v="NOKIG"/>
    <n v="0"/>
    <x v="1"/>
    <n v="-9426.6200000000008"/>
    <n v="0"/>
    <n v="9426.6200000000008"/>
    <n v="0"/>
    <n v="0"/>
    <n v="0"/>
    <n v="25507"/>
    <n v="25507"/>
  </r>
  <r>
    <x v="6"/>
    <s v="MISS"/>
    <s v="MISS"/>
    <s v="MISS"/>
    <s v="NULL"/>
    <n v="0"/>
    <x v="0"/>
    <n v="-1742967.46"/>
    <n v="0"/>
    <n v="1742967.46"/>
    <m/>
    <m/>
    <m/>
    <m/>
    <m/>
  </r>
  <r>
    <x v="6"/>
    <s v="BCL_DQS1_SCIB"/>
    <s v="BCL_DQS1_SCIB"/>
    <s v="BCL_DQS4_SCIB"/>
    <s v="ROBEG"/>
    <n v="0"/>
    <x v="1"/>
    <n v="-2275.4499999999998"/>
    <n v="0"/>
    <n v="2275.4499999999998"/>
    <n v="0"/>
    <n v="0"/>
    <n v="0"/>
    <n v="191673"/>
    <n v="191673"/>
  </r>
  <r>
    <x v="6"/>
    <s v="BCL_DQS4_SCIB"/>
    <s v="BCL_DQS2_SCIB"/>
    <s v="BCL_DQS4_SCIB"/>
    <s v="GRSEM"/>
    <n v="0"/>
    <x v="1"/>
    <n v="-36356818.390000001"/>
    <n v="93898.719557999997"/>
    <n v="36356818.390000001"/>
    <n v="55508.885119999999"/>
    <n v="7125.1300300000003"/>
    <n v="31264.704408000001"/>
    <n v="447223.2"/>
    <n v="447223.2"/>
  </r>
  <r>
    <x v="6"/>
    <s v="RE_DQS5_3"/>
    <s v="RE_DQS5_3"/>
    <s v="Nao Aplicavel"/>
    <s v="NULL"/>
    <n v="0"/>
    <x v="0"/>
    <n v="-67395850.100955501"/>
    <n v="9411.6575350000003"/>
    <n v="67395850.100897998"/>
    <n v="1477.485629"/>
    <n v="7934.1719059999996"/>
    <m/>
    <m/>
    <m/>
  </r>
  <r>
    <x v="6"/>
    <s v="BCL_DQS1_SCIB"/>
    <s v="BCL_DQS1_SCIB"/>
    <s v="BCL_DQS1_SCIB"/>
    <s v="0M20G"/>
    <n v="0"/>
    <x v="1"/>
    <n v="-5.79"/>
    <n v="0"/>
    <n v="5.79"/>
    <n v="0"/>
    <n v="0"/>
    <n v="0"/>
    <n v="7294"/>
    <n v="7294"/>
  </r>
  <r>
    <x v="6"/>
    <s v="BCL_DQS1_SCIB"/>
    <s v="BCL_DQS1_SCIB"/>
    <s v="BCL_DQS4_SCIB"/>
    <s v="5RKTG"/>
    <n v="0"/>
    <x v="1"/>
    <n v="-2526446.5499999998"/>
    <n v="746.93798500000003"/>
    <n v="2526446.5499999998"/>
    <n v="7.0339499999999999"/>
    <n v="13.773318"/>
    <n v="726.130717"/>
    <n v="5344080.5999999996"/>
    <n v="5344080.5999999996"/>
  </r>
  <r>
    <x v="6"/>
    <s v="BCL_DQS1_SCIB"/>
    <s v="BCL_DQS1_SCIB"/>
    <s v="BCL_DQS4_SCIB"/>
    <s v="KIONG"/>
    <n v="0"/>
    <x v="1"/>
    <n v="-2747.26"/>
    <n v="0"/>
    <n v="2747.26"/>
    <n v="0"/>
    <n v="0"/>
    <n v="0"/>
    <n v="13899.2"/>
    <n v="13899.2"/>
  </r>
  <r>
    <x v="6"/>
    <s v="MISS"/>
    <s v="MISS"/>
    <s v="Nao Aplicavel"/>
    <s v="NULL"/>
    <n v="0"/>
    <x v="0"/>
    <n v="-173046.489999999"/>
    <n v="0"/>
    <n v="173046.489986"/>
    <m/>
    <m/>
    <m/>
    <m/>
    <m/>
  </r>
  <r>
    <x v="6"/>
    <s v="BCL_DQS4_3A"/>
    <s v="BCL_DQS4_3A"/>
    <s v="BCL_DQS4_3A"/>
    <s v="NULL"/>
    <n v="0"/>
    <x v="0"/>
    <n v="-1154844684.70555"/>
    <n v="989829.48945700005"/>
    <n v="1154844684.70508"/>
    <n v="164309.49293000001"/>
    <n v="78045.537400000001"/>
    <n v="747474.45912699995"/>
    <m/>
    <m/>
  </r>
  <r>
    <x v="6"/>
    <s v="Nao Aplicavel"/>
    <s v="MVL_DQS4_3A"/>
    <s v="Nao Aplicavel"/>
    <s v="NULL"/>
    <n v="0"/>
    <x v="0"/>
    <n v="-9794710.6299999896"/>
    <n v="207.61501100000001"/>
    <n v="9794710.6295989994"/>
    <m/>
    <n v="207.61501100000001"/>
    <m/>
    <m/>
    <m/>
  </r>
  <r>
    <x v="7"/>
    <s v="MVL_DQS4_3A"/>
    <s v="Nao Aplicavel"/>
    <s v="Nao Aplicavel"/>
    <s v="MTHLG"/>
    <n v="0"/>
    <x v="0"/>
    <n v="-196764.27999999901"/>
    <n v="880.77415199999996"/>
    <n v="196764.279969"/>
    <n v="880.77415199999996"/>
    <m/>
    <m/>
    <n v="176328"/>
    <n v="176328"/>
  </r>
  <r>
    <x v="7"/>
    <s v="MVL_DQS3_2B"/>
    <s v="MVL_DQS3_2B"/>
    <s v="Nao Aplicavel"/>
    <s v="NULL"/>
    <n v="0"/>
    <x v="0"/>
    <n v="-133439.859999999"/>
    <n v="3.340544"/>
    <n v="133439.859998"/>
    <n v="1.901883"/>
    <n v="1.438661"/>
    <m/>
    <m/>
    <m/>
  </r>
  <r>
    <x v="7"/>
    <s v="BCL_DQS1_SCIB"/>
    <s v="BCL_DQS1_SCIB"/>
    <s v="BCL_DQS1_SCIB"/>
    <s v="IPAGG"/>
    <n v="0"/>
    <x v="1"/>
    <n v="-120.99"/>
    <n v="0"/>
    <n v="120.99"/>
    <n v="0"/>
    <n v="0"/>
    <n v="0"/>
    <n v="7667.5"/>
    <n v="7667.5"/>
  </r>
  <r>
    <x v="7"/>
    <s v="Nao Aplicavel"/>
    <s v="MVL_DQS4_3A"/>
    <s v="Nao Aplicavel"/>
    <s v="NULL"/>
    <n v="0"/>
    <x v="0"/>
    <n v="-3768628.98999999"/>
    <n v="92.331755000000001"/>
    <n v="3768628.9898689999"/>
    <m/>
    <n v="92.331755000000001"/>
    <m/>
    <m/>
    <m/>
  </r>
  <r>
    <x v="7"/>
    <s v="Nao Aplicavel"/>
    <s v="Nao Aplicavel"/>
    <s v="Nao Aplicavel"/>
    <s v="NULL"/>
    <n v="0"/>
    <x v="0"/>
    <n v="-978039.06"/>
    <n v="0"/>
    <n v="978039.05987899995"/>
    <m/>
    <m/>
    <m/>
    <m/>
    <m/>
  </r>
  <r>
    <x v="7"/>
    <s v="BCL_DQS5_3B"/>
    <s v="BCL_DQS5_3B"/>
    <s v="BCL_DQS5_3B"/>
    <s v="NULL"/>
    <n v="0"/>
    <x v="0"/>
    <n v="-32425070.758228902"/>
    <n v="5252.448942"/>
    <n v="32425070.758219"/>
    <n v="1976.3394760000001"/>
    <n v="154.00166300000001"/>
    <n v="3122.1078029999999"/>
    <m/>
    <m/>
  </r>
  <r>
    <x v="7"/>
    <s v="Nao Aplicavel"/>
    <s v="Nao Aplicavel"/>
    <s v="Nao Aplicavel"/>
    <s v="MTHLG"/>
    <n v="0"/>
    <x v="0"/>
    <n v="-224770.82"/>
    <n v="0"/>
    <n v="224770.81993900001"/>
    <m/>
    <m/>
    <m/>
    <n v="523296"/>
    <n v="523296"/>
  </r>
  <r>
    <x v="7"/>
    <s v="BCL_DQS1_SCIB"/>
    <s v="BCL_DQS1_SCIB"/>
    <s v="BCL_DQS1_SCIB"/>
    <s v="GRBRI"/>
    <n v="0"/>
    <x v="1"/>
    <n v="-199060754.43000001"/>
    <n v="154115.76354000001"/>
    <n v="199060754.43000001"/>
    <n v="357.33287999999999"/>
    <n v="389.18862000000001"/>
    <n v="153369.24204000001"/>
    <n v="19158.48"/>
    <n v="19158.48"/>
  </r>
  <r>
    <x v="7"/>
    <s v="BCL_DQS1_SCIB"/>
    <s v="BCL_DQS2_SCIB"/>
    <s v="BCL_DQS1_SCIB"/>
    <s v="RENLG"/>
    <n v="0"/>
    <x v="1"/>
    <n v="-312619.40999999997"/>
    <n v="16.321977"/>
    <n v="312619.40999999997"/>
    <n v="2.157619"/>
    <n v="8.8731539999999995"/>
    <n v="5.2912039999999996"/>
    <n v="37060.92"/>
    <n v="37060.92"/>
  </r>
  <r>
    <x v="7"/>
    <s v="RE_DQS3_2A"/>
    <s v="RE_DQS3_2A"/>
    <s v="Nao Aplicavel"/>
    <s v="NULL"/>
    <n v="0"/>
    <x v="0"/>
    <n v="-633508.97813664901"/>
    <n v="3.9338510000000002"/>
    <n v="633508.97813599999"/>
    <n v="1.140126"/>
    <n v="2.7937249999999998"/>
    <m/>
    <m/>
    <m/>
  </r>
  <r>
    <x v="7"/>
    <s v="RE_DQS5_3"/>
    <s v="RE_DQS5_3"/>
    <s v="Nao Aplicavel"/>
    <s v="GRSEM"/>
    <n v="0"/>
    <x v="0"/>
    <n v="-30391.05"/>
    <n v="0.54507000000000005"/>
    <n v="30391.05"/>
    <n v="8.5567000000000004E-2"/>
    <n v="0.45950299999999999"/>
    <m/>
    <n v="3726.86"/>
    <n v="3726.86"/>
  </r>
  <r>
    <x v="7"/>
    <s v="RE_DQS4_2B"/>
    <s v="RE_DQS4_2B"/>
    <s v="Nao Aplicavel"/>
    <s v="NULL"/>
    <n v="0"/>
    <x v="0"/>
    <n v="-8863402.2585822009"/>
    <n v="721.82054000000005"/>
    <n v="8863402.2585770003"/>
    <n v="170.97724500000001"/>
    <n v="550.84329500000001"/>
    <m/>
    <m/>
    <m/>
  </r>
  <r>
    <x v="7"/>
    <s v="MVL_DQS5_3B"/>
    <s v="MVL_DQS5_3B"/>
    <s v="Nao Aplicavel"/>
    <s v="NULL"/>
    <n v="0"/>
    <x v="0"/>
    <n v="-115459.02999999899"/>
    <n v="13.044250999999999"/>
    <n v="115459.029991"/>
    <n v="12.664211"/>
    <n v="0.38003999999999999"/>
    <m/>
    <m/>
    <m/>
  </r>
  <r>
    <x v="7"/>
    <s v="MVL_DQS3_2B"/>
    <s v="Nao Aplicavel"/>
    <s v="Nao Aplicavel"/>
    <s v="NULL"/>
    <n v="0"/>
    <x v="0"/>
    <n v="-466384.34999999899"/>
    <n v="46.247920999999998"/>
    <n v="466384.34998599999"/>
    <n v="46.247920999999998"/>
    <m/>
    <m/>
    <m/>
    <m/>
  </r>
  <r>
    <x v="7"/>
    <s v="MVL_DQS4_3A"/>
    <s v="Nao Aplicavel"/>
    <s v="Nao Aplicavel"/>
    <s v="NULL"/>
    <n v="0"/>
    <x v="0"/>
    <n v="-75309326.1199999"/>
    <n v="36187.204213999998"/>
    <n v="75309326.118290007"/>
    <n v="36187.204213999998"/>
    <m/>
    <m/>
    <m/>
    <m/>
  </r>
  <r>
    <x v="7"/>
    <s v="BCL_DQS1_SCIB"/>
    <s v="BCL_DQS1_SCIB"/>
    <s v="BCL_DQS4_SCIB"/>
    <s v="5VCNG"/>
    <n v="0"/>
    <x v="1"/>
    <n v="-272711.62"/>
    <n v="90.297297999999998"/>
    <n v="272711.62"/>
    <n v="3.9794520000000002"/>
    <n v="0.44031599999999999"/>
    <n v="85.877529999999993"/>
    <n v="440634"/>
    <n v="440634"/>
  </r>
  <r>
    <x v="7"/>
    <s v="MISS"/>
    <s v="MISS"/>
    <s v="Nao Aplicavel"/>
    <s v="NULL"/>
    <n v="0"/>
    <x v="0"/>
    <n v="-15461034.829999899"/>
    <n v="0"/>
    <n v="15461034.8298"/>
    <m/>
    <m/>
    <m/>
    <m/>
    <m/>
  </r>
  <r>
    <x v="7"/>
    <s v="BCL_DQS4_3A"/>
    <s v="BCL_DQS4_3A"/>
    <s v="BCL_DQS4_3A"/>
    <s v="NULL"/>
    <n v="0"/>
    <x v="0"/>
    <n v="-260999978.079999"/>
    <n v="729844.44051600003"/>
    <n v="260999978.07993999"/>
    <n v="274537.157397"/>
    <n v="21441.860214"/>
    <n v="433865.42290499998"/>
    <m/>
    <m/>
  </r>
  <r>
    <x v="7"/>
    <s v="Nao Aplicavel"/>
    <s v="MVL_DQS3_2B"/>
    <s v="Nao Aplicavel"/>
    <s v="NULL"/>
    <n v="0"/>
    <x v="0"/>
    <n v="-2137782.8699999899"/>
    <n v="46.75759"/>
    <n v="2137782.8699369999"/>
    <m/>
    <n v="46.75759"/>
    <m/>
    <m/>
    <m/>
  </r>
  <r>
    <x v="7"/>
    <s v="RE_DQS5_3"/>
    <s v="RE_DQS5_3"/>
    <s v="Nao Aplicavel"/>
    <s v="NULL"/>
    <n v="0"/>
    <x v="0"/>
    <n v="-8129556.6232811399"/>
    <n v="765.23448199999996"/>
    <n v="8129556.6232740004"/>
    <n v="120.130053"/>
    <n v="645.10442899999998"/>
    <m/>
    <m/>
    <m/>
  </r>
  <r>
    <x v="7"/>
    <s v="BCL_DQS1_SCIB"/>
    <s v="BCL_DQS2_SCIB"/>
    <s v="BCL_DQS4_SCIB"/>
    <s v="VDRLG"/>
    <n v="0"/>
    <x v="1"/>
    <n v="-40.29"/>
    <n v="0"/>
    <n v="40.29"/>
    <n v="0"/>
    <n v="0"/>
    <n v="0"/>
    <n v="3406.28"/>
    <n v="3406.28"/>
  </r>
  <r>
    <x v="7"/>
    <s v="PF_DQS1_SCIB"/>
    <s v="PF_DQS2_SCIB"/>
    <s v="PF_DQS1_SCIB"/>
    <s v="1500G"/>
    <n v="1"/>
    <x v="1"/>
    <n v="-13493287.050000001"/>
    <n v="1755.5971919999999"/>
    <n v="13493287.050000001"/>
    <n v="351.129864"/>
    <n v="207.83868000000001"/>
    <n v="1196.6286480000001"/>
    <n v="18627.400000000001"/>
    <m/>
  </r>
  <r>
    <x v="7"/>
    <s v="MVL_DQS4_3A"/>
    <s v="MVL_DQS4_3A"/>
    <s v="Nao Aplicavel"/>
    <s v="NULL"/>
    <n v="0"/>
    <x v="0"/>
    <n v="-1267128.49999999"/>
    <n v="64.255808000000002"/>
    <n v="1267128.4999619999"/>
    <n v="34.081724999999999"/>
    <n v="30.174083"/>
    <m/>
    <m/>
    <m/>
  </r>
  <r>
    <x v="7"/>
    <s v="PF_DQS1_1A"/>
    <s v="PF_DQS5_3B"/>
    <s v="PF_DQS5_3B"/>
    <s v="NULL"/>
    <n v="0"/>
    <x v="0"/>
    <n v="-28852044.84"/>
    <n v="2964.3138180000001"/>
    <n v="28852044.84"/>
    <n v="0"/>
    <n v="130.65936600000001"/>
    <n v="2833.6544520000002"/>
    <m/>
    <m/>
  </r>
  <r>
    <x v="7"/>
    <s v="BCL_DQS1_SCIB"/>
    <s v="BCL_DQS1_SCIB"/>
    <s v="BCL_DQS4_SCIB"/>
    <s v="12X0G"/>
    <n v="0"/>
    <x v="1"/>
    <n v="-2021.49"/>
    <n v="0"/>
    <n v="2021.49"/>
    <n v="0"/>
    <n v="0"/>
    <n v="0"/>
    <n v="5840.98"/>
    <n v="5840.98"/>
  </r>
  <r>
    <x v="7"/>
    <s v="BCL_DQS1_SCIB"/>
    <s v="BCL_DQS1_SCIB"/>
    <s v="BCL_DQS4_SCIB"/>
    <s v="0730G"/>
    <n v="0"/>
    <x v="1"/>
    <n v="-50290.35"/>
    <n v="0"/>
    <n v="50290.35"/>
    <n v="0"/>
    <n v="0"/>
    <n v="0"/>
    <n v="99931"/>
    <n v="99931"/>
  </r>
  <r>
    <x v="7"/>
    <s v="PF_DQS5_3B"/>
    <s v="PF_DQS5_3B"/>
    <s v="PF_DQS5_3B"/>
    <s v="NULL"/>
    <n v="0"/>
    <x v="0"/>
    <n v="-127897848.01000001"/>
    <n v="21196.816961"/>
    <n v="127897848.01000001"/>
    <n v="8056.3492649999998"/>
    <n v="579.19818099999998"/>
    <n v="12561.269515"/>
    <m/>
    <m/>
  </r>
  <r>
    <x v="7"/>
    <s v="NULL"/>
    <s v="NULL"/>
    <s v="NULL"/>
    <s v="NULL"/>
    <n v="0"/>
    <x v="0"/>
    <m/>
    <n v="0"/>
    <m/>
    <m/>
    <m/>
    <m/>
    <m/>
    <m/>
  </r>
  <r>
    <x v="7"/>
    <s v="MISS"/>
    <s v="MISS"/>
    <s v="Nao Aplicavel"/>
    <s v="MTHLG"/>
    <n v="0"/>
    <x v="0"/>
    <n v="-3307.0499999999902"/>
    <n v="0"/>
    <n v="3307.0499989999998"/>
    <m/>
    <m/>
    <m/>
    <n v="5688"/>
    <n v="5688"/>
  </r>
  <r>
    <x v="8"/>
    <s v="RE_DQS3_2A"/>
    <s v="RE_DQS3_2A"/>
    <s v="Nao Aplicavel"/>
    <s v="NULL"/>
    <n v="0"/>
    <x v="0"/>
    <n v="-151286194.17544499"/>
    <n v="2206.3390509999999"/>
    <n v="151286194.17543301"/>
    <n v="555.41426000000001"/>
    <n v="1650.9247909999999"/>
    <m/>
    <m/>
    <m/>
  </r>
  <r>
    <x v="8"/>
    <s v="MVL_DQS5_3B"/>
    <s v="MVL_DQS5_3B"/>
    <s v="Nao Aplicavel"/>
    <s v="NULL"/>
    <n v="0"/>
    <x v="0"/>
    <n v="-29188.589999999898"/>
    <n v="2.9080949999999999"/>
    <n v="29188.589997999999"/>
    <n v="2.8138000000000001"/>
    <n v="9.4295000000000004E-2"/>
    <m/>
    <m/>
    <m/>
  </r>
  <r>
    <x v="8"/>
    <s v="BCL_DQS5_3B"/>
    <s v="BCL_DQS5_3B"/>
    <s v="BCL_DQS5_3B"/>
    <s v="NULL"/>
    <n v="0"/>
    <x v="0"/>
    <n v="-44154742.422186904"/>
    <n v="8444.4235960000005"/>
    <n v="44154742.422076002"/>
    <n v="1401.7576120000001"/>
    <n v="665.81933500000002"/>
    <n v="6376.8466490000001"/>
    <m/>
    <m/>
  </r>
  <r>
    <x v="8"/>
    <s v="MVL_DQS4_3A"/>
    <s v="MVL_DQS4_3A"/>
    <s v="Nao Aplicavel"/>
    <s v="NULL"/>
    <n v="0"/>
    <x v="0"/>
    <n v="-1009056.48999999"/>
    <n v="38.066614999999999"/>
    <n v="1009056.489981"/>
    <n v="20.459872000000001"/>
    <n v="17.606743000000002"/>
    <m/>
    <m/>
    <m/>
  </r>
  <r>
    <x v="8"/>
    <s v="MVL_DQS3_2B"/>
    <s v="MVL_DQS3_2B"/>
    <s v="Nao Aplicavel"/>
    <s v="NULL"/>
    <n v="0"/>
    <x v="0"/>
    <n v="-137962.24999999901"/>
    <n v="6.0694309999999998"/>
    <n v="137962.24999700001"/>
    <n v="3.088292"/>
    <n v="2.9811390000000002"/>
    <m/>
    <m/>
    <m/>
  </r>
  <r>
    <x v="8"/>
    <s v="Nao Aplicavel"/>
    <s v="MVL_DQS4_3A"/>
    <s v="Nao Aplicavel"/>
    <s v="NULL"/>
    <n v="0"/>
    <x v="0"/>
    <n v="-3060136.8999999901"/>
    <n v="115.246465"/>
    <n v="3060136.8997289999"/>
    <m/>
    <n v="115.246465"/>
    <m/>
    <m/>
    <m/>
  </r>
  <r>
    <x v="8"/>
    <s v="Nao Aplicavel"/>
    <s v="MVL_DQS3_2B"/>
    <s v="Nao Aplicavel"/>
    <s v="NULL"/>
    <n v="0"/>
    <x v="0"/>
    <n v="-713362.25999999896"/>
    <n v="18.035022000000001"/>
    <n v="713362.25997599994"/>
    <m/>
    <n v="18.035022000000001"/>
    <m/>
    <m/>
    <m/>
  </r>
  <r>
    <x v="8"/>
    <s v="Nao Aplicavel"/>
    <s v="Nao Aplicavel"/>
    <s v="Nao Aplicavel"/>
    <s v="NULL"/>
    <n v="0"/>
    <x v="0"/>
    <n v="-3541753.5004201098"/>
    <n v="0"/>
    <n v="3541753.5004159999"/>
    <m/>
    <m/>
    <m/>
    <m/>
    <m/>
  </r>
  <r>
    <x v="8"/>
    <s v="RE_DQS4_2B"/>
    <s v="RE_DQS4_2B"/>
    <s v="Nao Aplicavel"/>
    <s v="NULL"/>
    <n v="0"/>
    <x v="0"/>
    <n v="-558508134.35886705"/>
    <n v="67610.313204000005"/>
    <n v="558508134.35871196"/>
    <n v="11145.746921"/>
    <n v="56464.566283"/>
    <m/>
    <m/>
    <m/>
  </r>
  <r>
    <x v="8"/>
    <s v="BCL_DQS1_SCIB"/>
    <s v="BCL_DQS1_SCIB"/>
    <s v="BCL_DQS1_SCIB"/>
    <s v="IPAGG"/>
    <n v="0"/>
    <x v="1"/>
    <n v="-18002.490000000002"/>
    <n v="0"/>
    <n v="18002.490000000002"/>
    <n v="0"/>
    <n v="0"/>
    <n v="0"/>
    <n v="322035"/>
    <n v="322035"/>
  </r>
  <r>
    <x v="8"/>
    <s v="MVL_DQS3_2B"/>
    <s v="Nao Aplicavel"/>
    <s v="Nao Aplicavel"/>
    <s v="NULL"/>
    <n v="0"/>
    <x v="0"/>
    <n v="-386673.58999999898"/>
    <n v="25.416611"/>
    <n v="386673.58999200002"/>
    <n v="25.416611"/>
    <m/>
    <m/>
    <m/>
    <m/>
  </r>
  <r>
    <x v="8"/>
    <s v="MISS"/>
    <s v="MISS"/>
    <s v="Nao Aplicavel"/>
    <s v="NULL"/>
    <n v="0"/>
    <x v="0"/>
    <n v="-55444.469999999899"/>
    <n v="0"/>
    <n v="55444.469994999999"/>
    <m/>
    <m/>
    <m/>
    <m/>
    <m/>
  </r>
  <r>
    <x v="8"/>
    <s v="MVL_DQS4_3A"/>
    <s v="Nao Aplicavel"/>
    <s v="Nao Aplicavel"/>
    <s v="NULL"/>
    <n v="0"/>
    <x v="0"/>
    <n v="-1810214.3799999901"/>
    <n v="267.25880699999999"/>
    <n v="1810214.379864"/>
    <n v="267.25880699999999"/>
    <m/>
    <m/>
    <m/>
    <m/>
  </r>
  <r>
    <x v="8"/>
    <s v="BCL_DQS1_SCIB"/>
    <s v="BCL_DQS1_SCIB"/>
    <s v="BCL_DQS4_SCIB"/>
    <s v="12E0G"/>
    <n v="0"/>
    <x v="1"/>
    <n v="-413760.39"/>
    <n v="309.73441200000002"/>
    <n v="413760.39"/>
    <n v="2.6"/>
    <n v="1.216982"/>
    <n v="305.91743000000002"/>
    <n v="223806.78"/>
    <n v="223806.78"/>
  </r>
  <r>
    <x v="8"/>
    <s v="BCL_DQS4_3A"/>
    <s v="BCL_DQS4_3A"/>
    <s v="BCL_DQS4_3A"/>
    <s v="NULL"/>
    <n v="0"/>
    <x v="0"/>
    <n v="-245762349.109999"/>
    <n v="107460.36799899999"/>
    <n v="245762349.10984701"/>
    <n v="17838.181596999999"/>
    <n v="8472.9760580000002"/>
    <n v="81149.210344000006"/>
    <m/>
    <m/>
  </r>
  <r>
    <x v="8"/>
    <s v="PF_DQS5_3B"/>
    <s v="PF_DQS5_3B"/>
    <s v="PF_DQS5_3B"/>
    <s v="NULL"/>
    <n v="0"/>
    <x v="0"/>
    <n v="-15664125.57"/>
    <n v="2995.55411"/>
    <n v="15664125.57"/>
    <n v="497.25661500000001"/>
    <n v="236.19175999999999"/>
    <n v="2262.1057350000001"/>
    <m/>
    <m/>
  </r>
  <r>
    <x v="8"/>
    <s v="RE_DQS5_3"/>
    <s v="RE_DQS5_3"/>
    <s v="Nao Aplicavel"/>
    <s v="NULL"/>
    <n v="0"/>
    <x v="0"/>
    <n v="-36735650.135267198"/>
    <n v="3875.8244370000002"/>
    <n v="36735650.135219"/>
    <n v="608.44487800000002"/>
    <n v="3267.379559"/>
    <m/>
    <m/>
    <m/>
  </r>
  <r>
    <x v="8"/>
    <s v="NULL"/>
    <s v="NULL"/>
    <s v="NULL"/>
    <s v="NULL"/>
    <n v="0"/>
    <x v="0"/>
    <m/>
    <n v="0"/>
    <m/>
    <m/>
    <m/>
    <m/>
    <m/>
    <m/>
  </r>
  <r>
    <x v="9"/>
    <s v="Nao Aplicavel"/>
    <s v="MVL_DQS3_2B"/>
    <s v="Nao Aplicavel"/>
    <s v="NULL"/>
    <n v="0"/>
    <x v="0"/>
    <n v="-565358.929999999"/>
    <n v="12.631150999999999"/>
    <n v="565358.92998300004"/>
    <m/>
    <n v="12.631150999999999"/>
    <m/>
    <m/>
    <m/>
  </r>
  <r>
    <x v="9"/>
    <s v="BCL_DQS1_SCIB"/>
    <s v="BCL_DQS1_SCIB"/>
    <s v="BCL_DQS4_SCIB"/>
    <s v="5THGG"/>
    <n v="0"/>
    <x v="1"/>
    <n v="-10.71"/>
    <n v="0"/>
    <n v="10.71"/>
    <n v="0"/>
    <n v="0"/>
    <n v="0"/>
    <n v="15381.5"/>
    <n v="15381.5"/>
  </r>
  <r>
    <x v="9"/>
    <s v="RE_DQS4_2B"/>
    <s v="RE_DQS4_2B"/>
    <s v="Nao Aplicavel"/>
    <s v="NULL"/>
    <n v="0"/>
    <x v="0"/>
    <n v="-4298377.4171508299"/>
    <n v="206.875801"/>
    <n v="4298377.4171479996"/>
    <n v="58.815351999999997"/>
    <n v="148.06044900000001"/>
    <m/>
    <m/>
    <m/>
  </r>
  <r>
    <x v="9"/>
    <s v="Nao Aplicavel"/>
    <s v="MVL_DQS4_3A"/>
    <s v="Nao Aplicavel"/>
    <s v="NULL"/>
    <n v="0"/>
    <x v="0"/>
    <n v="-1543236.3399999901"/>
    <n v="30.714510000000001"/>
    <n v="1543236.3399390001"/>
    <m/>
    <n v="30.714510000000001"/>
    <m/>
    <m/>
    <m/>
  </r>
  <r>
    <x v="9"/>
    <s v="MVL_DQS4_3A"/>
    <s v="MVL_DQS4_3A"/>
    <s v="Nao Aplicavel"/>
    <s v="NULL"/>
    <n v="0"/>
    <x v="0"/>
    <n v="-1119862.5999999901"/>
    <n v="66.530400999999998"/>
    <n v="1119862.599961"/>
    <n v="35.066074"/>
    <n v="31.464327000000001"/>
    <m/>
    <m/>
    <m/>
  </r>
  <r>
    <x v="9"/>
    <s v="RE_DQS5_3"/>
    <s v="RE_DQS5_3"/>
    <s v="Nao Aplicavel"/>
    <s v="NULL"/>
    <n v="0"/>
    <x v="0"/>
    <n v="-7330041.5588542102"/>
    <n v="830.91645700000004"/>
    <n v="7330041.5588490004"/>
    <n v="130.44111599999999"/>
    <n v="700.47534099999996"/>
    <m/>
    <m/>
    <m/>
  </r>
  <r>
    <x v="9"/>
    <s v="BCL_DQS1_SCIB"/>
    <s v="BCL_DQS1_SCIB"/>
    <s v="BCL_DQS4_SCIB"/>
    <s v="BERTG"/>
    <n v="0"/>
    <x v="1"/>
    <n v="-23202.34"/>
    <n v="0"/>
    <n v="23202.34"/>
    <n v="0"/>
    <n v="0"/>
    <n v="0"/>
    <n v="45214"/>
    <n v="45214"/>
  </r>
  <r>
    <x v="9"/>
    <s v="BCL_DQS1_SCIB"/>
    <s v="BCL_DQS1_SCIB"/>
    <s v="BCL_DQS4_SCIB"/>
    <s v="CELLN"/>
    <n v="0"/>
    <x v="1"/>
    <n v="-189.72"/>
    <n v="0"/>
    <n v="189.72"/>
    <n v="0"/>
    <n v="0"/>
    <n v="0"/>
    <n v="36824.67"/>
    <n v="36824.67"/>
  </r>
  <r>
    <x v="9"/>
    <s v="BCL_DQS1_SCIB"/>
    <s v="BCL_DQS1_SCIB"/>
    <s v="BCL_DQS4_SCIB"/>
    <s v="MTHLG"/>
    <n v="0"/>
    <x v="1"/>
    <n v="-4.37"/>
    <n v="0"/>
    <n v="4.37"/>
    <n v="0"/>
    <n v="0"/>
    <n v="0"/>
    <n v="5688"/>
    <n v="5688"/>
  </r>
  <r>
    <x v="9"/>
    <s v="BCL_DQS1_SCIB"/>
    <s v="BCL_DQS1_SCIB"/>
    <s v="BCL_DQS1_SCIB"/>
    <s v="5IDRG"/>
    <n v="0"/>
    <x v="1"/>
    <n v="-413.3"/>
    <n v="0"/>
    <n v="413.3"/>
    <n v="0"/>
    <n v="0"/>
    <n v="0"/>
    <n v="1976.57"/>
    <n v="1976.57"/>
  </r>
  <r>
    <x v="9"/>
    <s v="MVL_DQS3_2B"/>
    <s v="MVL_DQS3_2B"/>
    <s v="Nao Aplicavel"/>
    <s v="NULL"/>
    <n v="0"/>
    <x v="0"/>
    <n v="-78808.679999999993"/>
    <n v="3.8676810000000001"/>
    <n v="78808.679999999993"/>
    <n v="1.8463430000000001"/>
    <n v="2.0213380000000001"/>
    <m/>
    <m/>
    <m/>
  </r>
  <r>
    <x v="9"/>
    <s v="BCL_DQS1_SCIB"/>
    <s v="BCL_DQS1_SCIB"/>
    <s v="BCL_DQS1_SCIB"/>
    <s v="GRBRI"/>
    <n v="0"/>
    <x v="1"/>
    <n v="-11.064593"/>
    <n v="0"/>
    <n v="11.064593"/>
    <n v="0"/>
    <n v="0"/>
    <n v="0"/>
    <n v="3193.08"/>
    <n v="3193.08"/>
  </r>
  <r>
    <x v="9"/>
    <s v="BCL_DQS5_3B"/>
    <s v="BCL_DQS5_3B"/>
    <s v="BCL_DQS5_3B"/>
    <s v="NULL"/>
    <n v="0"/>
    <x v="0"/>
    <n v="-6097626.6299999896"/>
    <n v="406.29782"/>
    <n v="6097626.6299970001"/>
    <n v="65.918073000000007"/>
    <n v="52.750667"/>
    <n v="287.62907999999999"/>
    <m/>
    <m/>
  </r>
  <r>
    <x v="9"/>
    <s v="RE_DQS3_2A"/>
    <s v="RE_DQS3_2A"/>
    <s v="Nao Aplicavel"/>
    <s v="NULL"/>
    <n v="0"/>
    <x v="0"/>
    <n v="-1363117.23"/>
    <n v="16.401935999999999"/>
    <n v="1363117.23"/>
    <n v="4.5282900000000001"/>
    <n v="11.873646000000001"/>
    <m/>
    <m/>
    <m/>
  </r>
  <r>
    <x v="9"/>
    <s v="BCL_DQS1_SCIB"/>
    <s v="BCL_DQS1_SCIB"/>
    <s v="BCL_DQS4_SCIB"/>
    <s v="5XADG"/>
    <n v="0"/>
    <x v="1"/>
    <n v="-75558.789999999994"/>
    <n v="1.2837400000000001"/>
    <n v="75558.789999999994"/>
    <n v="6.4000000000000003E-3"/>
    <n v="0.14102799999999999"/>
    <n v="1.136312"/>
    <n v="202514.4"/>
    <n v="202514.4"/>
  </r>
  <r>
    <x v="9"/>
    <s v="Nao Aplicavel"/>
    <s v="Nao Aplicavel"/>
    <s v="Nao Aplicavel"/>
    <s v="NULL"/>
    <n v="0"/>
    <x v="0"/>
    <n v="-79386.833994943096"/>
    <n v="0"/>
    <n v="79386.833989000006"/>
    <m/>
    <m/>
    <m/>
    <m/>
    <m/>
  </r>
  <r>
    <x v="9"/>
    <s v="BCL_DQS1_SCIB"/>
    <s v="BCL_DQS1_SCIB"/>
    <s v="BCL_DQS4_SCIB"/>
    <s v="ZONGG"/>
    <n v="0"/>
    <x v="1"/>
    <n v="-6070217.8819000004"/>
    <n v="933.882834"/>
    <n v="6070217.8819000004"/>
    <n v="9.9118820000000003"/>
    <n v="98.219778000000005"/>
    <n v="825.75117399999999"/>
    <n v="437474.74"/>
    <n v="437474.74"/>
  </r>
  <r>
    <x v="9"/>
    <s v="BCL_DQS1_SCIB"/>
    <s v="BCL_DQS1_SCIB"/>
    <s v="BCL_DQS4_SCIB"/>
    <s v="5BOUG"/>
    <n v="0"/>
    <x v="1"/>
    <n v="-812.76"/>
    <n v="0"/>
    <n v="812.76"/>
    <n v="0"/>
    <n v="0"/>
    <n v="0"/>
    <n v="29284"/>
    <n v="29284"/>
  </r>
  <r>
    <x v="9"/>
    <s v="BCL_DQS4_3A"/>
    <s v="BCL_DQS4_3A"/>
    <s v="BCL_DQS4_3A"/>
    <s v="NULL"/>
    <n v="0"/>
    <x v="0"/>
    <n v="-72637859.879999906"/>
    <n v="22360.780993"/>
    <n v="72637859.879987001"/>
    <n v="3698.8541919999998"/>
    <n v="1943.7846400000001"/>
    <n v="16718.142161"/>
    <m/>
    <m/>
  </r>
  <r>
    <x v="9"/>
    <s v="MVL_DQS4_3A"/>
    <s v="Nao Aplicavel"/>
    <s v="Nao Aplicavel"/>
    <s v="NULL"/>
    <n v="0"/>
    <x v="0"/>
    <n v="-4350288.9399999902"/>
    <n v="534.15396499999997"/>
    <n v="4350288.9396630004"/>
    <n v="534.15396499999997"/>
    <m/>
    <m/>
    <m/>
    <m/>
  </r>
  <r>
    <x v="9"/>
    <s v="MVL_DQS3_2B"/>
    <s v="Nao Aplicavel"/>
    <s v="Nao Aplicavel"/>
    <s v="NULL"/>
    <n v="0"/>
    <x v="0"/>
    <n v="-864402.22999999905"/>
    <n v="83.154292999999996"/>
    <n v="864402.22994800005"/>
    <n v="83.154292999999996"/>
    <m/>
    <m/>
    <m/>
    <m/>
  </r>
  <r>
    <x v="9"/>
    <s v="BCL_DQS2_SCIB"/>
    <s v="BCL_DQS2_SCIB"/>
    <s v="BCL_DQS4_SCIB"/>
    <s v="PRISA"/>
    <n v="1"/>
    <x v="1"/>
    <n v="-136"/>
    <n v="0"/>
    <n v="136"/>
    <n v="0"/>
    <n v="0"/>
    <n v="0"/>
    <n v="888.52"/>
    <m/>
  </r>
  <r>
    <x v="9"/>
    <s v="BCL_DQS1_SCIB"/>
    <s v="BCL_DQS1_SCIB"/>
    <s v="BCL_DQS4_SCIB"/>
    <s v="5VDFG"/>
    <n v="0"/>
    <x v="1"/>
    <n v="-6456000.5300000003"/>
    <n v="219.19726600000001"/>
    <n v="6456000.5300000003"/>
    <n v="5.6289199999999999"/>
    <n v="41.691279999999999"/>
    <n v="171.87706600000001"/>
    <n v="26291980"/>
    <n v="26291980"/>
  </r>
  <r>
    <x v="10"/>
    <s v="MVL_DQS3_2B"/>
    <s v="MVL_DQS3_2B"/>
    <s v="Nao Aplicavel"/>
    <s v="NULL"/>
    <n v="0"/>
    <x v="0"/>
    <n v="-75516.289999999994"/>
    <n v="5.6778170000000001"/>
    <n v="75516.289999999994"/>
    <n v="3.0846900000000002"/>
    <n v="2.593127"/>
    <m/>
    <m/>
    <m/>
  </r>
  <r>
    <x v="10"/>
    <s v="RE_DQS5_3"/>
    <s v="RE_DQS5_3"/>
    <s v="Nao Aplicavel"/>
    <s v="NULL"/>
    <n v="0"/>
    <x v="0"/>
    <n v="-375938.97999999899"/>
    <n v="64.062354999999997"/>
    <n v="375938.97999600001"/>
    <n v="10.056801999999999"/>
    <n v="54.005552999999999"/>
    <m/>
    <m/>
    <m/>
  </r>
  <r>
    <x v="10"/>
    <s v="Nao Aplicavel"/>
    <s v="MVL_DQS3_2B"/>
    <s v="Nao Aplicavel"/>
    <s v="NULL"/>
    <n v="0"/>
    <x v="0"/>
    <n v="-27950.709999999901"/>
    <n v="0.64102300000000001"/>
    <n v="27950.709998999999"/>
    <m/>
    <n v="0.64102300000000001"/>
    <m/>
    <m/>
    <m/>
  </r>
  <r>
    <x v="10"/>
    <s v="MVL_DQS4_3A"/>
    <s v="Nao Aplicavel"/>
    <s v="Nao Aplicavel"/>
    <s v="NULL"/>
    <n v="0"/>
    <x v="0"/>
    <n v="-36834.479999999901"/>
    <n v="1.036208"/>
    <n v="36834.479999000003"/>
    <n v="1.036208"/>
    <m/>
    <m/>
    <m/>
    <m/>
  </r>
  <r>
    <x v="10"/>
    <s v="Nao Aplicavel"/>
    <s v="MVL_DQS4_3A"/>
    <s v="Nao Aplicavel"/>
    <s v="NULL"/>
    <n v="0"/>
    <x v="0"/>
    <n v="-136828.34999999899"/>
    <n v="2.5845910000000001"/>
    <n v="136828.349996"/>
    <m/>
    <n v="2.5845910000000001"/>
    <m/>
    <m/>
    <m/>
  </r>
  <r>
    <x v="10"/>
    <s v="MISS"/>
    <s v="MISS"/>
    <s v="MISS"/>
    <s v="NULL"/>
    <n v="0"/>
    <x v="0"/>
    <n v="-187.77"/>
    <n v="0"/>
    <n v="187.77"/>
    <m/>
    <m/>
    <m/>
    <m/>
    <m/>
  </r>
  <r>
    <x v="10"/>
    <s v="BCL_DQS2_SCIB"/>
    <s v="BCL_DQS2_SCIB"/>
    <s v="BCL_DQS4_SCIB"/>
    <s v="1VI5K"/>
    <n v="0"/>
    <x v="1"/>
    <n v="-412.53"/>
    <n v="0"/>
    <n v="412.53"/>
    <n v="0"/>
    <n v="0"/>
    <n v="0"/>
    <n v="8995.1"/>
    <n v="8995.1"/>
  </r>
  <r>
    <x v="10"/>
    <s v="RE_DQS4_2B"/>
    <s v="RE_DQS4_2B"/>
    <s v="Nao Aplicavel"/>
    <s v="NULL"/>
    <n v="0"/>
    <x v="0"/>
    <n v="-482455.989999999"/>
    <n v="36.928052000000001"/>
    <n v="482455.98999500001"/>
    <n v="10.545384"/>
    <n v="26.382667999999999"/>
    <m/>
    <m/>
    <m/>
  </r>
  <r>
    <x v="10"/>
    <s v="Nao Aplicavel"/>
    <s v="Nao Aplicavel"/>
    <s v="Nao Aplicavel"/>
    <s v="NULL"/>
    <n v="0"/>
    <x v="0"/>
    <n v="-334509.68"/>
    <n v="0"/>
    <n v="334509.68"/>
    <m/>
    <m/>
    <m/>
    <m/>
    <m/>
  </r>
  <r>
    <x v="10"/>
    <s v="RE_DQS3_2A"/>
    <s v="RE_DQS3_2A"/>
    <s v="Nao Aplicavel"/>
    <s v="NULL"/>
    <n v="0"/>
    <x v="0"/>
    <n v="-146480.43"/>
    <n v="0.70538999999999996"/>
    <n v="146480.43"/>
    <n v="0.29391200000000001"/>
    <n v="0.41147800000000001"/>
    <m/>
    <m/>
    <m/>
  </r>
  <r>
    <x v="10"/>
    <s v="BCL_DQS5_3B"/>
    <s v="BCL_DQS5_3B"/>
    <s v="BCL_DQS5_3B"/>
    <s v="NULL"/>
    <n v="0"/>
    <x v="0"/>
    <n v="-577814.34"/>
    <n v="3.8661880000000002"/>
    <n v="577814.34"/>
    <n v="0.54830699999999999"/>
    <n v="0.24634400000000001"/>
    <n v="3.0715370000000002"/>
    <m/>
    <m/>
  </r>
  <r>
    <x v="10"/>
    <s v="MVL_DQS4_3A"/>
    <s v="MVL_DQS4_3A"/>
    <s v="Nao Aplicavel"/>
    <s v="NULL"/>
    <n v="0"/>
    <x v="0"/>
    <n v="-106471.019999999"/>
    <n v="5.6317789999999999"/>
    <n v="106471.019998"/>
    <n v="2.6554220000000002"/>
    <n v="2.9763570000000001"/>
    <m/>
    <m/>
    <m/>
  </r>
  <r>
    <x v="10"/>
    <s v="BCL_DQS4_3A"/>
    <s v="BCL_DQS4_3A"/>
    <s v="BCL_DQS4_3A"/>
    <s v="NULL"/>
    <n v="0"/>
    <x v="0"/>
    <n v="-1159219.48"/>
    <n v="613.13307599999996"/>
    <n v="1159219.48"/>
    <n v="86.962746999999993"/>
    <n v="39.068308999999999"/>
    <n v="487.10201999999998"/>
    <m/>
    <m/>
  </r>
  <r>
    <x v="11"/>
    <s v="RE_DQS5_3"/>
    <s v="RE_DQS5_3"/>
    <s v="Nao Aplicavel"/>
    <s v="NULL"/>
    <n v="0"/>
    <x v="0"/>
    <n v="-97567861.190323398"/>
    <n v="8041.0927549999997"/>
    <n v="97567861.190217003"/>
    <n v="1262.328"/>
    <n v="6778.7647550000002"/>
    <m/>
    <m/>
    <m/>
  </r>
  <r>
    <x v="11"/>
    <s v="MVL_DQS4_3A"/>
    <s v="MVL_DQS4_3A"/>
    <s v="Nao Aplicavel"/>
    <s v="NULL"/>
    <n v="0"/>
    <x v="0"/>
    <n v="-1404415.03999999"/>
    <n v="47.791057000000002"/>
    <n v="1404415.039971"/>
    <n v="24.985175000000002"/>
    <n v="22.805882"/>
    <m/>
    <m/>
    <m/>
  </r>
  <r>
    <x v="11"/>
    <s v="Nao Aplicavel"/>
    <s v="MVL_DQS4_3A"/>
    <s v="Nao Aplicavel"/>
    <s v="NULL"/>
    <n v="0"/>
    <x v="0"/>
    <n v="-2534678.98999999"/>
    <n v="49.872937"/>
    <n v="2534678.989908"/>
    <m/>
    <n v="49.872937"/>
    <m/>
    <m/>
    <m/>
  </r>
  <r>
    <x v="11"/>
    <s v="MISS"/>
    <s v="MISS"/>
    <s v="MISS"/>
    <s v="NULL"/>
    <n v="0"/>
    <x v="0"/>
    <n v="-267.45999999999998"/>
    <n v="0"/>
    <n v="267.45999999999998"/>
    <m/>
    <m/>
    <m/>
    <m/>
    <m/>
  </r>
  <r>
    <x v="11"/>
    <s v="BCL_DQS5_3B"/>
    <s v="BCL_DQS5_3B"/>
    <s v="BCL_DQS5_3B"/>
    <s v="NULL"/>
    <n v="0"/>
    <x v="0"/>
    <n v="-95577096.4799999"/>
    <n v="639.09520899999995"/>
    <n v="95577096.479996994"/>
    <n v="90.640057999999996"/>
    <n v="40.725597"/>
    <n v="507.72955400000001"/>
    <m/>
    <m/>
  </r>
  <r>
    <x v="11"/>
    <s v="PF_DQS5_3B"/>
    <s v="PF_DQS5_3B"/>
    <s v="PF_DQS5_3B"/>
    <s v="NULL"/>
    <n v="0"/>
    <x v="0"/>
    <n v="-94651877.140000001"/>
    <n v="632.73840700000005"/>
    <n v="94651877.140000001"/>
    <n v="89.739453999999995"/>
    <n v="40.321702999999999"/>
    <n v="502.67725000000002"/>
    <m/>
    <m/>
  </r>
  <r>
    <x v="11"/>
    <s v="MVL_DQS3_2B"/>
    <s v="MVL_DQS3_2B"/>
    <s v="Nao Aplicavel"/>
    <s v="NULL"/>
    <n v="0"/>
    <x v="0"/>
    <n v="-328367.12999999902"/>
    <n v="11.300782999999999"/>
    <n v="328367.12999500002"/>
    <n v="6.2020039999999996"/>
    <n v="5.0987790000000004"/>
    <m/>
    <m/>
    <m/>
  </r>
  <r>
    <x v="11"/>
    <s v="Nao Aplicavel"/>
    <s v="MVL_DQS3_2B"/>
    <s v="Nao Aplicavel"/>
    <s v="NULL"/>
    <n v="0"/>
    <x v="0"/>
    <n v="-942420.30999999901"/>
    <n v="21.738931000000001"/>
    <n v="942420.30997199996"/>
    <m/>
    <n v="21.738931000000001"/>
    <m/>
    <m/>
    <m/>
  </r>
  <r>
    <x v="11"/>
    <s v="MISS"/>
    <s v="MISS"/>
    <s v="Nao Aplicavel"/>
    <s v="NULL"/>
    <n v="0"/>
    <x v="0"/>
    <n v="-16931.769999999899"/>
    <n v="0"/>
    <n v="16931.769999"/>
    <m/>
    <m/>
    <m/>
    <m/>
    <m/>
  </r>
  <r>
    <x v="11"/>
    <s v="RE_DQS3_2A"/>
    <s v="RE_DQS3_2A"/>
    <s v="Nao Aplicavel"/>
    <s v="NULL"/>
    <n v="0"/>
    <x v="0"/>
    <n v="-139461035.051534"/>
    <n v="1154.3607239999999"/>
    <n v="139461035.05149001"/>
    <n v="317.71578799999997"/>
    <n v="836.64493600000003"/>
    <m/>
    <m/>
    <m/>
  </r>
  <r>
    <x v="11"/>
    <s v="MVL_DQS3_2B"/>
    <s v="Nao Aplicavel"/>
    <s v="Nao Aplicavel"/>
    <s v="NULL"/>
    <n v="0"/>
    <x v="0"/>
    <n v="-261769.889999999"/>
    <n v="18.692346000000001"/>
    <n v="261769.88999200001"/>
    <n v="18.692346000000001"/>
    <m/>
    <m/>
    <m/>
    <m/>
  </r>
  <r>
    <x v="11"/>
    <s v="BCL_DQS4_3A"/>
    <s v="BCL_DQS4_3A"/>
    <s v="BCL_DQS4_3A"/>
    <s v="NULL"/>
    <n v="0"/>
    <x v="0"/>
    <n v="-150976184.65559599"/>
    <n v="17080.016524999999"/>
    <n v="150976184.65559301"/>
    <n v="2422.5164060000002"/>
    <n v="1088.3234440000001"/>
    <n v="13569.176675000001"/>
    <m/>
    <m/>
  </r>
  <r>
    <x v="11"/>
    <s v="RE_DQS4_2B"/>
    <s v="RE_DQS4_2B"/>
    <s v="Nao Aplicavel"/>
    <s v="NULL"/>
    <n v="0"/>
    <x v="0"/>
    <n v="-576052276.36068702"/>
    <n v="87074.399353000001"/>
    <n v="576052276.36039495"/>
    <n v="15021.543653000001"/>
    <n v="72052.8557"/>
    <m/>
    <m/>
    <m/>
  </r>
  <r>
    <x v="11"/>
    <s v="Nao Aplicavel"/>
    <s v="Nao Aplicavel"/>
    <s v="Nao Aplicavel"/>
    <s v="NULL"/>
    <n v="0"/>
    <x v="0"/>
    <n v="-9843283.8274546899"/>
    <n v="0"/>
    <n v="9843283.8274360001"/>
    <m/>
    <m/>
    <m/>
    <m/>
    <m/>
  </r>
  <r>
    <x v="11"/>
    <s v="MVL_DQS4_3A"/>
    <s v="Nao Aplicavel"/>
    <s v="Nao Aplicavel"/>
    <s v="NULL"/>
    <n v="0"/>
    <x v="0"/>
    <n v="-1612630.1999999899"/>
    <n v="175.88861399999999"/>
    <n v="1612630.19991"/>
    <n v="175.88861399999999"/>
    <m/>
    <m/>
    <m/>
    <m/>
  </r>
  <r>
    <x v="12"/>
    <s v="BCL_DQS5_3B"/>
    <s v="BCL_DQS5_3B"/>
    <s v="BCL_DQS5_3B"/>
    <s v="NULL"/>
    <n v="0"/>
    <x v="0"/>
    <n v="-531605794.31840199"/>
    <n v="3594.7465969999998"/>
    <n v="531605794.31838202"/>
    <n v="518.30373599999996"/>
    <n v="228.72653600000001"/>
    <n v="2847.7163249999999"/>
    <m/>
    <m/>
  </r>
  <r>
    <x v="12"/>
    <s v="BCL_DQS1_SCIB"/>
    <s v="BCL_DQS1_SCIB"/>
    <s v="BCL_DQS4_SCIB"/>
    <s v="JEROG"/>
    <n v="0"/>
    <x v="1"/>
    <n v="-25001852.039999999"/>
    <n v="92472.825236000004"/>
    <n v="25001852.039999999"/>
    <n v="681.69241799999998"/>
    <n v="2368.1610700000001"/>
    <n v="89422.971747999996"/>
    <n v="8174"/>
    <n v="8174"/>
  </r>
  <r>
    <x v="12"/>
    <s v="BCL_DQS1_SCIB"/>
    <s v="BCL_DQS2_SCIB"/>
    <s v="BCL_DQS1_SCIB"/>
    <s v="NA"/>
    <n v="0"/>
    <x v="1"/>
    <n v="-246569597.77000001"/>
    <n v="13764.943899"/>
    <n v="246569597.77000001"/>
    <n v="1819.602153"/>
    <n v="7483.0681979999999"/>
    <n v="4462.2735480000001"/>
    <n v="8235.76"/>
    <n v="8235.76"/>
  </r>
  <r>
    <x v="12"/>
    <s v="BCL_DQS1_SCIB"/>
    <s v="BCL_DQS1_SCIB"/>
    <s v="BCL_DQS1_SCIB"/>
    <s v="NA"/>
    <n v="0"/>
    <x v="1"/>
    <n v="-319195100.58999997"/>
    <n v="290609.66039099998"/>
    <n v="319195100.58999997"/>
    <n v="2189.575644"/>
    <n v="4782.762753"/>
    <n v="283637.321994"/>
    <n v="41530.58"/>
    <n v="41530.58"/>
  </r>
  <r>
    <x v="12"/>
    <s v="BCL_DQS4_SCIB"/>
    <s v="BCL_DQS2_SCIB"/>
    <s v="BCL_DQS4_SCIB"/>
    <s v="GRSEM"/>
    <n v="0"/>
    <x v="1"/>
    <n v="-1218.93"/>
    <n v="0"/>
    <n v="1218.93"/>
    <n v="0"/>
    <n v="0"/>
    <n v="0"/>
    <n v="7453.72"/>
    <n v="7453.72"/>
  </r>
  <r>
    <x v="12"/>
    <s v="BCL_DQS1_SCIB"/>
    <s v="BCL_DQS1_SCIB"/>
    <s v="BCL_DQS4_SCIB"/>
    <s v="0S30G"/>
    <n v="1"/>
    <x v="1"/>
    <n v="-37185.85"/>
    <n v="0"/>
    <n v="37185.85"/>
    <n v="0"/>
    <n v="0"/>
    <n v="0"/>
    <n v="229880"/>
    <m/>
  </r>
  <r>
    <x v="12"/>
    <s v="MVL_DQS5_3B"/>
    <s v="MVL_DQS5_3B"/>
    <s v="Nao Aplicavel"/>
    <s v="NULL"/>
    <n v="0"/>
    <x v="0"/>
    <n v="-27613.289999999899"/>
    <n v="2.61612"/>
    <n v="27613.289997"/>
    <n v="2.5530680000000001"/>
    <n v="6.3051999999999997E-2"/>
    <m/>
    <m/>
    <m/>
  </r>
  <r>
    <x v="12"/>
    <s v="BCL_DQS1_SCIB"/>
    <s v="BCL_DQS1_SCIB"/>
    <s v="BCL_DQS4_SCIB"/>
    <s v="GAAMG"/>
    <n v="0"/>
    <x v="1"/>
    <n v="-120402602.45999999"/>
    <n v="86698.243864999997"/>
    <n v="120402602.45999999"/>
    <n v="664.26434800000004"/>
    <n v="7719.2259480000002"/>
    <n v="78314.753568999993"/>
    <n v="3092.4"/>
    <n v="3092.4"/>
  </r>
  <r>
    <x v="12"/>
    <s v="BCL_DQS4_3A"/>
    <s v="BCL_DQS4_3A"/>
    <s v="BCL_DQS4_3A"/>
    <s v="NULL"/>
    <n v="0"/>
    <x v="0"/>
    <n v="-553310336.52364802"/>
    <n v="50042.143994999999"/>
    <n v="553310336.52353001"/>
    <n v="7168.7410710000004"/>
    <n v="3185.6986619999998"/>
    <n v="39687.704261999999"/>
    <m/>
    <m/>
  </r>
  <r>
    <x v="12"/>
    <s v="MVL_DQS4_3A"/>
    <s v="MVL_DQS4_3A"/>
    <s v="Nao Aplicavel"/>
    <s v="NULL"/>
    <n v="0"/>
    <x v="0"/>
    <n v="-2713032.6599999899"/>
    <n v="120.00777600000001"/>
    <n v="2713032.659914"/>
    <n v="64.187762000000006"/>
    <n v="55.820014"/>
    <m/>
    <m/>
    <m/>
  </r>
  <r>
    <x v="12"/>
    <s v="MISS"/>
    <s v="MISS"/>
    <s v="MISS"/>
    <s v="NULL"/>
    <n v="0"/>
    <x v="0"/>
    <n v="-10616.42"/>
    <n v="0"/>
    <n v="10616.42"/>
    <m/>
    <m/>
    <m/>
    <m/>
    <m/>
  </r>
  <r>
    <x v="12"/>
    <s v="BCL_DQS1_SCIB"/>
    <s v="BCL_DQS1_SCIB"/>
    <s v="BCL_DQS4_SCIB"/>
    <s v="CELLN"/>
    <n v="0"/>
    <x v="1"/>
    <n v="-890.23"/>
    <n v="0"/>
    <n v="890.23"/>
    <n v="0"/>
    <n v="0"/>
    <n v="0"/>
    <n v="36824.67"/>
    <n v="36824.67"/>
  </r>
  <r>
    <x v="12"/>
    <s v="BCL_DQS1_SCIB"/>
    <s v="BCL_DQS1_SCIB"/>
    <s v="BCL_DQS4_SCIB"/>
    <s v="ELMPG"/>
    <n v="0"/>
    <x v="1"/>
    <n v="-3440.66"/>
    <n v="3.2057359999999999"/>
    <n v="3440.66"/>
    <n v="0.14299799999999999"/>
    <n v="0.12886800000000001"/>
    <n v="2.9338700000000002"/>
    <n v="973"/>
    <n v="973"/>
  </r>
  <r>
    <x v="12"/>
    <s v="BCL_DQS1_SCIB"/>
    <s v="BCL_DQS1_SCIB"/>
    <s v="BCL_DQS4_SCIB"/>
    <s v="DENTG"/>
    <n v="0"/>
    <x v="1"/>
    <n v="-5397.37"/>
    <n v="0"/>
    <n v="5397.37"/>
    <n v="0"/>
    <n v="0"/>
    <n v="0"/>
    <n v="9345.77"/>
    <n v="9345.77"/>
  </r>
  <r>
    <x v="12"/>
    <s v="MVL_DQS3_2B"/>
    <s v="Nao Aplicavel"/>
    <s v="Nao Aplicavel"/>
    <s v="NULL"/>
    <n v="0"/>
    <x v="0"/>
    <n v="-676288.72690268501"/>
    <n v="42.191169000000002"/>
    <n v="676288.726883"/>
    <n v="42.191169000000002"/>
    <m/>
    <m/>
    <m/>
    <m/>
  </r>
  <r>
    <x v="12"/>
    <s v="BCL_DQS1_SCIB"/>
    <s v="BCL_DQS1_SCIB"/>
    <s v="BCL_DQS4_SCIB"/>
    <s v="NA"/>
    <n v="0"/>
    <x v="1"/>
    <n v="-37575405.25"/>
    <n v="5938.6120000000001"/>
    <n v="37575405.25"/>
    <n v="63.030197000000001"/>
    <n v="624.58491300000003"/>
    <n v="5250.9968900000003"/>
    <n v="45083.839999999997"/>
    <n v="45083.839999999997"/>
  </r>
  <r>
    <x v="12"/>
    <s v="BCL_DQS1_SCIB"/>
    <s v="BCL_DQS1_SCIB"/>
    <s v="BCL_DQS1_SCIB"/>
    <s v="0M20G"/>
    <n v="0"/>
    <x v="1"/>
    <n v="-84734.89"/>
    <n v="3.2390720000000002"/>
    <n v="84734.89"/>
    <n v="2.6190000000000001E-2"/>
    <n v="5.0770000000000003E-2"/>
    <n v="3.162112"/>
    <n v="204232"/>
    <n v="204232"/>
  </r>
  <r>
    <x v="12"/>
    <s v="PF_DQS1_1A"/>
    <s v="PF_DQS5_3B"/>
    <s v="PF_DQS5_3B"/>
    <s v="NULL"/>
    <n v="0"/>
    <x v="0"/>
    <n v="-4289321.9400000004"/>
    <n v="24.606974999999998"/>
    <n v="4289321.9400000004"/>
    <n v="0"/>
    <n v="1.82725"/>
    <n v="22.779724999999999"/>
    <m/>
    <m/>
  </r>
  <r>
    <x v="12"/>
    <s v="MVL_DQS3_2B"/>
    <s v="MVL_DQS3_2B"/>
    <s v="Nao Aplicavel"/>
    <s v="NULL"/>
    <n v="0"/>
    <x v="0"/>
    <n v="-1230913.3899999899"/>
    <n v="38.962349000000003"/>
    <n v="1230913.38998"/>
    <n v="18.671340000000001"/>
    <n v="20.291008999999999"/>
    <m/>
    <m/>
    <m/>
  </r>
  <r>
    <x v="12"/>
    <s v="MISS"/>
    <s v="MISS"/>
    <s v="Nao Aplicavel"/>
    <s v="NULL"/>
    <n v="0"/>
    <x v="0"/>
    <n v="-175454.929999999"/>
    <n v="0"/>
    <n v="175454.92999500001"/>
    <m/>
    <m/>
    <m/>
    <m/>
    <m/>
  </r>
  <r>
    <x v="12"/>
    <s v="BCL_DQS1_SCIB"/>
    <s v="BCL_DQS1_SCIB"/>
    <s v="BCL_DQS4_SCIB"/>
    <s v="HITKK"/>
    <n v="0"/>
    <x v="1"/>
    <n v="-684817.56"/>
    <n v="2611.5254070000001"/>
    <n v="684817.56"/>
    <n v="5.8327080000000002"/>
    <n v="13.292484"/>
    <n v="2592.4002150000001"/>
    <n v="388577.43"/>
    <n v="388577.43"/>
  </r>
  <r>
    <x v="12"/>
    <s v="Nao Aplicavel"/>
    <s v="Nao Aplicavel"/>
    <s v="Nao Aplicavel"/>
    <s v="NULL"/>
    <n v="0"/>
    <x v="0"/>
    <n v="-6504443.1453056196"/>
    <n v="0"/>
    <n v="6504443.1452890001"/>
    <m/>
    <m/>
    <m/>
    <m/>
    <m/>
  </r>
  <r>
    <x v="12"/>
    <s v="RE_DQS4_2B"/>
    <s v="RE_DQS4_2B"/>
    <s v="Nao Aplicavel"/>
    <s v="NULL"/>
    <n v="0"/>
    <x v="0"/>
    <n v="-40149184.362588003"/>
    <n v="33896.266535000002"/>
    <n v="40149184.362558998"/>
    <n v="5418.4071279999998"/>
    <n v="28477.859407"/>
    <m/>
    <m/>
    <m/>
  </r>
  <r>
    <x v="12"/>
    <s v="Nao Aplicavel"/>
    <s v="MVL_DQS3_2B"/>
    <s v="Nao Aplicavel"/>
    <s v="NULL"/>
    <n v="0"/>
    <x v="0"/>
    <n v="-1713343.48999999"/>
    <n v="35.116317000000002"/>
    <n v="1713343.489946"/>
    <m/>
    <n v="35.116317000000002"/>
    <m/>
    <m/>
    <m/>
  </r>
  <r>
    <x v="12"/>
    <s v="NULL"/>
    <s v="NULL"/>
    <s v="NULL"/>
    <s v="NULL"/>
    <n v="0"/>
    <x v="0"/>
    <m/>
    <n v="0"/>
    <m/>
    <m/>
    <m/>
    <m/>
    <m/>
    <m/>
  </r>
  <r>
    <x v="12"/>
    <s v="RE_DQS5_3"/>
    <s v="RE_DQS5_3"/>
    <s v="Nao Aplicavel"/>
    <s v="NULL"/>
    <n v="0"/>
    <x v="0"/>
    <n v="-44176539.394990101"/>
    <n v="3911.9216700000002"/>
    <n v="44176539.394964002"/>
    <n v="614.11159099999998"/>
    <n v="3297.8100789999999"/>
    <m/>
    <m/>
    <m/>
  </r>
  <r>
    <x v="12"/>
    <s v="Nao Aplicavel"/>
    <s v="MVL_DQS4_3A"/>
    <s v="Nao Aplicavel"/>
    <s v="NULL"/>
    <n v="0"/>
    <x v="0"/>
    <n v="-6043602.1299999896"/>
    <n v="126.55376800000001"/>
    <n v="6043602.1297840001"/>
    <m/>
    <n v="126.55376800000001"/>
    <m/>
    <m/>
    <m/>
  </r>
  <r>
    <x v="12"/>
    <s v="RE_DQS3_2A"/>
    <s v="RE_DQS3_2A"/>
    <s v="Nao Aplicavel"/>
    <s v="NULL"/>
    <n v="0"/>
    <x v="0"/>
    <n v="-21472642.607116099"/>
    <n v="115.583949"/>
    <n v="21472642.607108999"/>
    <n v="34.109900000000003"/>
    <n v="81.474048999999994"/>
    <m/>
    <m/>
    <m/>
  </r>
  <r>
    <x v="12"/>
    <s v="MVL_DQS4_3A"/>
    <s v="Nao Aplicavel"/>
    <s v="Nao Aplicavel"/>
    <s v="NULL"/>
    <n v="0"/>
    <x v="0"/>
    <n v="-4543212.4730973104"/>
    <n v="669.57914600000004"/>
    <n v="4543212.4728469998"/>
    <n v="669.57914600000004"/>
    <m/>
    <m/>
    <m/>
    <m/>
  </r>
  <r>
    <x v="12"/>
    <s v="BCL_DQS2_SCIB"/>
    <s v="BCL_DQS2_SCIB"/>
    <s v="BCL_DQS4_SCIB"/>
    <s v="1VI5K"/>
    <n v="0"/>
    <x v="1"/>
    <n v="-69.099999999999994"/>
    <n v="0"/>
    <n v="69.099999999999994"/>
    <n v="0"/>
    <n v="0"/>
    <n v="0"/>
    <n v="8995.1"/>
    <n v="8995.1"/>
  </r>
  <r>
    <x v="12"/>
    <s v="BCL_DQS1_SCIB"/>
    <s v="BCL_DQS1_SCIB"/>
    <s v="BCL_DQS1_SCIB"/>
    <s v="GRBRI"/>
    <n v="0"/>
    <x v="1"/>
    <n v="-8770.01"/>
    <n v="2.472181"/>
    <n v="8770.01"/>
    <n v="5.7320000000000001E-3"/>
    <n v="6.2430000000000003E-3"/>
    <n v="2.4602059999999999"/>
    <n v="25544.639999999999"/>
    <n v="25544.639999999999"/>
  </r>
  <r>
    <x v="12"/>
    <s v="PF_DQS5_3B"/>
    <s v="PF_DQS5_3B"/>
    <s v="PF_DQS5_3B"/>
    <s v="NULL"/>
    <n v="0"/>
    <x v="0"/>
    <n v="-1836565.53"/>
    <n v="12.277245000000001"/>
    <n v="1836565.53"/>
    <n v="1.7412460000000001"/>
    <n v="0.78237500000000004"/>
    <n v="9.7536240000000003"/>
    <m/>
    <m/>
  </r>
  <r>
    <x v="13"/>
    <s v="Nao Aplicavel"/>
    <s v="MVL_DQS4_3A"/>
    <s v="Nao Aplicavel"/>
    <s v="NULL"/>
    <n v="0"/>
    <x v="0"/>
    <n v="-2256778.8699999899"/>
    <n v="52.239069999999998"/>
    <n v="2256778.8699059999"/>
    <m/>
    <n v="52.239069999999998"/>
    <m/>
    <m/>
    <m/>
  </r>
  <r>
    <x v="13"/>
    <s v="NULL"/>
    <s v="NULL"/>
    <s v="NULL"/>
    <s v="NULL"/>
    <n v="0"/>
    <x v="0"/>
    <m/>
    <n v="0"/>
    <m/>
    <m/>
    <m/>
    <m/>
    <m/>
    <m/>
  </r>
  <r>
    <x v="13"/>
    <s v="Nao Aplicavel"/>
    <s v="Nao Aplicavel"/>
    <s v="Nao Aplicavel"/>
    <s v="0VD0G"/>
    <n v="0"/>
    <x v="0"/>
    <n v="-965.9"/>
    <n v="0"/>
    <n v="965.9"/>
    <m/>
    <m/>
    <m/>
    <n v="38004"/>
    <n v="38004"/>
  </r>
  <r>
    <x v="13"/>
    <s v="MVL_DQS3_2B"/>
    <s v="MVL_DQS3_2B"/>
    <s v="Nao Aplicavel"/>
    <s v="NULL"/>
    <n v="0"/>
    <x v="0"/>
    <n v="-175942.109999999"/>
    <n v="3.7263519999999999"/>
    <n v="175942.10999699999"/>
    <n v="1.499234"/>
    <n v="2.2271179999999999"/>
    <m/>
    <m/>
    <m/>
  </r>
  <r>
    <x v="13"/>
    <s v="BCL_DQS1_SCIB"/>
    <s v="BCL_DQS1_SCIB"/>
    <s v="BCL_DQS4_SCIB"/>
    <s v="ZONGG"/>
    <n v="0"/>
    <x v="1"/>
    <n v="-121425.35"/>
    <n v="18.327760999999999"/>
    <n v="121425.35"/>
    <n v="0.194524"/>
    <n v="1.9275960000000001"/>
    <n v="16.205641"/>
    <n v="15812.34"/>
    <n v="15812.34"/>
  </r>
  <r>
    <x v="13"/>
    <s v="Nao Aplicavel"/>
    <s v="MVL_DQS3_2B"/>
    <s v="Nao Aplicavel"/>
    <s v="NULL"/>
    <n v="0"/>
    <x v="0"/>
    <n v="-544147.78999999899"/>
    <n v="11.364067"/>
    <n v="544147.78998400003"/>
    <m/>
    <n v="11.364067"/>
    <m/>
    <m/>
    <m/>
  </r>
  <r>
    <x v="13"/>
    <s v="BCL_DQS5_3B"/>
    <s v="BCL_DQS5_3B"/>
    <s v="BCL_DQS5_3B"/>
    <s v="NULL"/>
    <n v="0"/>
    <x v="0"/>
    <n v="-63982843.109999903"/>
    <n v="728.48352299999999"/>
    <n v="63982843.109991997"/>
    <n v="178.02427499999999"/>
    <n v="35.021828999999997"/>
    <n v="515.43741899999998"/>
    <m/>
    <m/>
  </r>
  <r>
    <x v="13"/>
    <s v="MVL_DQS3_2B"/>
    <s v="Nao Aplicavel"/>
    <s v="Nao Aplicavel"/>
    <s v="NULL"/>
    <n v="0"/>
    <x v="0"/>
    <n v="-1757957.3999999899"/>
    <n v="204.65361200000001"/>
    <n v="1757957.399889"/>
    <n v="204.65361200000001"/>
    <m/>
    <m/>
    <m/>
    <m/>
  </r>
  <r>
    <x v="13"/>
    <s v="BCL_DQS2_SCIB"/>
    <s v="BCL_DQS2_SCIB"/>
    <s v="BCL_DQS4_SCIB"/>
    <s v="SOGEG"/>
    <n v="0"/>
    <x v="1"/>
    <n v="-860.11"/>
    <n v="0"/>
    <n v="860.11"/>
    <n v="0"/>
    <n v="0"/>
    <n v="0"/>
    <n v="4035200"/>
    <n v="4035200"/>
  </r>
  <r>
    <x v="13"/>
    <s v="Nao Aplicavel"/>
    <s v="Nao Aplicavel"/>
    <s v="Nao Aplicavel"/>
    <s v="NULL"/>
    <n v="0"/>
    <x v="0"/>
    <n v="-333862.507295597"/>
    <n v="0"/>
    <n v="333862.50729099999"/>
    <m/>
    <m/>
    <m/>
    <m/>
    <m/>
  </r>
  <r>
    <x v="13"/>
    <s v="BCL_DQS1_SCIB"/>
    <s v="BCL_DQS1_SCIB"/>
    <s v="BCL_DQS4_SCIB"/>
    <s v="5PROS"/>
    <n v="0"/>
    <x v="1"/>
    <n v="-548990.66"/>
    <n v="113.265259"/>
    <n v="548990.66"/>
    <n v="17.647811999999998"/>
    <n v="1.206631"/>
    <n v="94.410815999999997"/>
    <n v="877913.4"/>
    <n v="877913.4"/>
  </r>
  <r>
    <x v="13"/>
    <s v="MVL_DQS4_3A"/>
    <s v="MVL_DQS4_3A"/>
    <s v="Nao Aplicavel"/>
    <s v="NULL"/>
    <n v="0"/>
    <x v="0"/>
    <n v="-10046759.759999899"/>
    <n v="717.84674099999995"/>
    <n v="10046759.759493001"/>
    <n v="380.749144"/>
    <n v="337.09759700000001"/>
    <m/>
    <m/>
    <m/>
  </r>
  <r>
    <x v="13"/>
    <s v="MVL_DQS5_3B"/>
    <s v="MVL_DQS5_3B"/>
    <s v="Nao Aplicavel"/>
    <s v="NULL"/>
    <n v="0"/>
    <x v="0"/>
    <n v="-2001578.9299999899"/>
    <n v="174.56436099999999"/>
    <n v="2001578.929886"/>
    <n v="173.01778999999999"/>
    <n v="1.5465709999999999"/>
    <m/>
    <m/>
    <m/>
  </r>
  <r>
    <x v="13"/>
    <s v="BCL_DQS1_SCIB"/>
    <s v="BCL_DQS1_SCIB"/>
    <s v="BCL_DQS4_SCIB"/>
    <s v="5AD5G"/>
    <n v="0"/>
    <x v="1"/>
    <n v="-1636.9"/>
    <n v="0"/>
    <n v="1636.9"/>
    <n v="0"/>
    <n v="0"/>
    <n v="0"/>
    <n v="7145"/>
    <n v="7145"/>
  </r>
  <r>
    <x v="13"/>
    <s v="MVL_DQS4_3A"/>
    <s v="Nao Aplicavel"/>
    <s v="Nao Aplicavel"/>
    <s v="0VD0G"/>
    <n v="0"/>
    <x v="0"/>
    <n v="-482945.19999999902"/>
    <n v="58.073065"/>
    <n v="482945.199975"/>
    <n v="58.073065"/>
    <m/>
    <m/>
    <n v="38004"/>
    <n v="38004"/>
  </r>
  <r>
    <x v="13"/>
    <s v="BCL_DQS4_3A"/>
    <s v="BCL_DQS4_3A"/>
    <s v="BCL_DQS4_3A"/>
    <s v="NULL"/>
    <n v="0"/>
    <x v="0"/>
    <n v="-127137047.378803"/>
    <n v="69876.999251000001"/>
    <n v="127137047.37837"/>
    <n v="18744.552092999998"/>
    <n v="3103.0445800000002"/>
    <n v="48029.402578000001"/>
    <m/>
    <m/>
  </r>
  <r>
    <x v="13"/>
    <s v="MVL_DQS4_3A"/>
    <s v="Nao Aplicavel"/>
    <s v="Nao Aplicavel"/>
    <s v="NULL"/>
    <n v="0"/>
    <x v="0"/>
    <n v="-89623403.129999906"/>
    <n v="14202.064659"/>
    <n v="89623403.124406993"/>
    <n v="14202.064659"/>
    <m/>
    <m/>
    <m/>
    <m/>
  </r>
  <r>
    <x v="13"/>
    <s v="RE_DQS5_3"/>
    <s v="RE_DQS5_3"/>
    <s v="Nao Aplicavel"/>
    <s v="NULL"/>
    <n v="0"/>
    <x v="0"/>
    <n v="-11195157.4227044"/>
    <n v="1313.880287"/>
    <n v="11195157.422696"/>
    <n v="206.25902099999999"/>
    <n v="1107.6212660000001"/>
    <m/>
    <m/>
    <m/>
  </r>
  <r>
    <x v="13"/>
    <s v="BCL_DQS1_SCIB"/>
    <s v="BCL_DQS1_SCIB"/>
    <s v="BCL_DQS4_SCIB"/>
    <s v="TPFMN"/>
    <n v="0"/>
    <x v="1"/>
    <n v="-42414.52"/>
    <n v="1.409016"/>
    <n v="42414.52"/>
    <n v="5.2535999999999999E-2"/>
    <n v="0.373062"/>
    <n v="0.98341800000000001"/>
    <n v="28527"/>
    <n v="28527"/>
  </r>
  <r>
    <x v="13"/>
    <s v="MISS"/>
    <s v="MISS"/>
    <s v="Nao Aplicavel"/>
    <s v="NULL"/>
    <n v="0"/>
    <x v="0"/>
    <n v="-1104487.3999999899"/>
    <n v="0"/>
    <n v="1104487.3999580001"/>
    <m/>
    <m/>
    <m/>
    <m/>
    <m/>
  </r>
  <r>
    <x v="13"/>
    <s v="RE_DQS3_2A"/>
    <s v="RE_DQS3_2A"/>
    <s v="Nao Aplicavel"/>
    <s v="NULL"/>
    <n v="0"/>
    <x v="0"/>
    <n v="-3261779.67"/>
    <n v="52.274551000000002"/>
    <n v="3261779.67"/>
    <n v="13.458898"/>
    <n v="38.815652999999998"/>
    <m/>
    <m/>
    <m/>
  </r>
  <r>
    <x v="13"/>
    <s v="BCL_DQS1_SCIB"/>
    <s v="BCL_DQS1_SCIB"/>
    <s v="BCL_DQS1_SCIB"/>
    <s v="IPAGG"/>
    <n v="0"/>
    <x v="1"/>
    <n v="-7234.99"/>
    <n v="0"/>
    <n v="7234.99"/>
    <n v="0"/>
    <n v="0"/>
    <n v="0"/>
    <n v="7667.5"/>
    <n v="7667.5"/>
  </r>
  <r>
    <x v="13"/>
    <s v="BCL_DQS1_SCIB"/>
    <s v="BCL_DQS1_SCIB"/>
    <s v="BCL_DQS1_SCIB"/>
    <s v="SNTGG"/>
    <n v="0"/>
    <x v="1"/>
    <n v="-187421.86"/>
    <n v="0"/>
    <n v="187421.86"/>
    <n v="0"/>
    <n v="0"/>
    <n v="0"/>
    <n v="1184922"/>
    <n v="1184922"/>
  </r>
  <r>
    <x v="13"/>
    <s v="RE_DQS4_2B"/>
    <s v="RE_DQS4_2B"/>
    <s v="Nao Aplicavel"/>
    <s v="NULL"/>
    <n v="0"/>
    <x v="0"/>
    <n v="-32968722.099999901"/>
    <n v="3305.4460039999999"/>
    <n v="32968722.099987999"/>
    <n v="589.31377799999996"/>
    <n v="2716.1322260000002"/>
    <m/>
    <m/>
    <m/>
  </r>
  <r>
    <x v="13"/>
    <s v="BCL_DQS1_SCIB"/>
    <s v="BCL_DQS2_SCIB"/>
    <s v="BCL_DQS4_SCIB"/>
    <s v="0VD0G"/>
    <n v="0"/>
    <x v="1"/>
    <n v="-6023382.6100000003"/>
    <n v="2731.6402389999998"/>
    <n v="6023382.6100000003"/>
    <n v="965.77711999999997"/>
    <n v="5.590382"/>
    <n v="1760.272737"/>
    <n v="3040.32"/>
    <n v="3040.32"/>
  </r>
  <r>
    <x v="14"/>
    <s v="MVL_DQS3_2B"/>
    <s v="Nao Aplicavel"/>
    <s v="Nao Aplicavel"/>
    <s v="NULL"/>
    <n v="0"/>
    <x v="0"/>
    <n v="-72101.229999999894"/>
    <n v="2.7938339999999999"/>
    <n v="72101.229999000003"/>
    <n v="2.7938339999999999"/>
    <m/>
    <m/>
    <m/>
    <m/>
  </r>
  <r>
    <x v="14"/>
    <s v="MVL_DQS4_3A"/>
    <s v="Nao Aplicavel"/>
    <s v="Nao Aplicavel"/>
    <s v="NULL"/>
    <n v="0"/>
    <x v="0"/>
    <n v="-52745.969999999899"/>
    <n v="6.2476830000000003"/>
    <n v="52745.969996"/>
    <n v="6.2476830000000003"/>
    <m/>
    <m/>
    <m/>
    <m/>
  </r>
  <r>
    <x v="14"/>
    <s v="BCL_DQS4_3A"/>
    <s v="BCL_DQS4_3A"/>
    <s v="BCL_DQS4_3A"/>
    <s v="NULL"/>
    <n v="0"/>
    <x v="0"/>
    <n v="-175888.35"/>
    <n v="9.9798930000000006"/>
    <n v="175888.35"/>
    <n v="3.3300649999999998"/>
    <n v="0.55666400000000005"/>
    <n v="6.0931639999999998"/>
    <m/>
    <m/>
  </r>
  <r>
    <x v="14"/>
    <s v="BCL_DQS5_3B"/>
    <s v="BCL_DQS5_3B"/>
    <s v="BCL_DQS5_3B"/>
    <s v="NULL"/>
    <n v="0"/>
    <x v="0"/>
    <n v="-25507738.359999999"/>
    <n v="2348.6305050000001"/>
    <n v="25507738.359999999"/>
    <n v="783.68546500000002"/>
    <n v="131.00325100000001"/>
    <n v="1433.941789"/>
    <m/>
    <m/>
  </r>
  <r>
    <x v="14"/>
    <s v="Nao Aplicavel"/>
    <s v="Nao Aplicavel"/>
    <s v="Nao Aplicavel"/>
    <s v="NULL"/>
    <n v="0"/>
    <x v="0"/>
    <n v="-335.28"/>
    <n v="0"/>
    <n v="335.28"/>
    <m/>
    <m/>
    <m/>
    <m/>
    <m/>
  </r>
  <r>
    <x v="15"/>
    <s v="MVL_DQS4_3A"/>
    <s v="Nao Aplicavel"/>
    <s v="Nao Aplicavel"/>
    <s v="NULL"/>
    <n v="0"/>
    <x v="0"/>
    <n v="-568064.62999999896"/>
    <n v="202.992073"/>
    <n v="568064.62994899997"/>
    <n v="202.992073"/>
    <m/>
    <m/>
    <m/>
    <m/>
  </r>
  <r>
    <x v="15"/>
    <s v="Nao Aplicavel"/>
    <s v="Nao Aplicavel"/>
    <s v="Nao Aplicavel"/>
    <s v="NULL"/>
    <n v="0"/>
    <x v="0"/>
    <n v="-21791.1594704407"/>
    <n v="0"/>
    <n v="21791.159468000002"/>
    <m/>
    <m/>
    <m/>
    <m/>
    <m/>
  </r>
  <r>
    <x v="15"/>
    <s v="BCL_DQS5_3B"/>
    <s v="BCL_DQS5_3B"/>
    <s v="BCL_DQS5_3B"/>
    <s v="NULL"/>
    <n v="0"/>
    <x v="0"/>
    <n v="-4718330.3299999898"/>
    <n v="434.742209"/>
    <n v="4718330.3299939996"/>
    <n v="145.06374400000001"/>
    <n v="24.249102000000001"/>
    <n v="265.42936300000002"/>
    <m/>
    <m/>
  </r>
  <r>
    <x v="15"/>
    <s v="RE_DQS4_2B"/>
    <s v="RE_DQS4_2B"/>
    <s v="Nao Aplicavel"/>
    <s v="NULL"/>
    <n v="0"/>
    <x v="0"/>
    <n v="-22386155.320029199"/>
    <n v="1280.4169750000001"/>
    <n v="22386155.320028"/>
    <n v="245.828002"/>
    <n v="1034.5889729999999"/>
    <m/>
    <m/>
    <m/>
  </r>
  <r>
    <x v="15"/>
    <s v="RE_DQS5_3"/>
    <s v="RE_DQS5_3"/>
    <s v="Nao Aplicavel"/>
    <s v="NULL"/>
    <n v="0"/>
    <x v="0"/>
    <n v="-8824954.8405003306"/>
    <n v="786.651476"/>
    <n v="8824954.8404959999"/>
    <n v="123.4922"/>
    <n v="663.15927599999998"/>
    <m/>
    <m/>
    <m/>
  </r>
  <r>
    <x v="15"/>
    <s v="Nao Aplicavel"/>
    <s v="MVL_DQS3_2B"/>
    <s v="Nao Aplicavel"/>
    <s v="NULL"/>
    <n v="0"/>
    <x v="0"/>
    <n v="-84829.879999999903"/>
    <n v="2.2962889999999998"/>
    <n v="84829.879996999996"/>
    <m/>
    <n v="2.2962889999999998"/>
    <m/>
    <m/>
    <m/>
  </r>
  <r>
    <x v="15"/>
    <s v="MISS"/>
    <s v="MISS"/>
    <s v="Nao Aplicavel"/>
    <s v="NULL"/>
    <n v="0"/>
    <x v="0"/>
    <n v="-127858.879999999"/>
    <n v="0"/>
    <n v="127858.879998"/>
    <m/>
    <m/>
    <m/>
    <m/>
    <m/>
  </r>
  <r>
    <x v="15"/>
    <s v="MVL_DQS4_3A"/>
    <s v="MVL_DQS4_3A"/>
    <s v="Nao Aplicavel"/>
    <s v="NULL"/>
    <n v="0"/>
    <x v="0"/>
    <n v="-126861.909999999"/>
    <n v="8.1720299999999995"/>
    <n v="126861.909996"/>
    <n v="4.2320250000000001"/>
    <n v="3.9400050000000002"/>
    <m/>
    <m/>
    <m/>
  </r>
  <r>
    <x v="15"/>
    <s v="Nao Aplicavel"/>
    <s v="MVL_DQS4_3A"/>
    <s v="Nao Aplicavel"/>
    <s v="NULL"/>
    <n v="0"/>
    <x v="0"/>
    <n v="-519053.88999999902"/>
    <n v="11.857957000000001"/>
    <n v="519053.88998199999"/>
    <m/>
    <n v="11.857957000000001"/>
    <m/>
    <m/>
    <m/>
  </r>
  <r>
    <x v="15"/>
    <s v="MVL_DQS3_2B"/>
    <s v="MVL_DQS3_2B"/>
    <s v="Nao Aplicavel"/>
    <s v="NULL"/>
    <n v="0"/>
    <x v="0"/>
    <n v="-33854.080000000002"/>
    <n v="1.21885"/>
    <n v="33854.080000000002"/>
    <n v="0.57742400000000005"/>
    <n v="0.64142600000000005"/>
    <m/>
    <m/>
    <m/>
  </r>
  <r>
    <x v="15"/>
    <s v="BCL_DQS4_3A"/>
    <s v="BCL_DQS4_3A"/>
    <s v="BCL_DQS4_3A"/>
    <s v="NULL"/>
    <n v="0"/>
    <x v="0"/>
    <n v="-23659240.689999901"/>
    <n v="5398.978333"/>
    <n v="23659240.689989999"/>
    <n v="1801.5174460000001"/>
    <n v="301.14756"/>
    <n v="3296.3133269999998"/>
    <m/>
    <m/>
  </r>
  <r>
    <x v="15"/>
    <s v="RE_DQS3_2A"/>
    <s v="RE_DQS3_2A"/>
    <s v="Nao Aplicavel"/>
    <s v="NULL"/>
    <n v="0"/>
    <x v="0"/>
    <n v="-141837.88"/>
    <n v="2.647351"/>
    <n v="141837.88"/>
    <n v="0.65686100000000003"/>
    <n v="1.9904900000000001"/>
    <m/>
    <m/>
    <m/>
  </r>
  <r>
    <x v="16"/>
    <s v="BCL_DQS1_SCIB"/>
    <s v="BCL_DQS1_SCIB"/>
    <s v="BCL_DQS4_SCIB"/>
    <s v="EDP0G"/>
    <n v="0"/>
    <x v="1"/>
    <n v="-385241.76"/>
    <n v="180.21494000000001"/>
    <n v="385241.76"/>
    <n v="84.645314999999997"/>
    <n v="4.2239069999999996"/>
    <n v="91.345718000000005"/>
    <n v="39813.06"/>
    <n v="39813.06"/>
  </r>
  <r>
    <x v="16"/>
    <s v="BCL_DQS1_SCIB"/>
    <s v="BCL_DQS1_SCIB"/>
    <s v="BCL_DQS4_SCIB"/>
    <s v="5FRQG"/>
    <n v="0"/>
    <x v="1"/>
    <n v="-1380.39"/>
    <n v="0"/>
    <n v="1380.39"/>
    <n v="0"/>
    <n v="0"/>
    <n v="0"/>
    <n v="67734"/>
    <n v="67734"/>
  </r>
  <r>
    <x v="16"/>
    <s v="MVL_DQS4_3A"/>
    <s v="Nao Aplicavel"/>
    <s v="Nao Aplicavel"/>
    <s v="NULL"/>
    <n v="0"/>
    <x v="0"/>
    <n v="-2350957.9399999902"/>
    <n v="182.93868699999999"/>
    <n v="2350957.9398699999"/>
    <n v="182.93868699999999"/>
    <m/>
    <m/>
    <m/>
    <m/>
  </r>
  <r>
    <x v="16"/>
    <s v="RE_DQS3_2A"/>
    <s v="RE_DQS3_2A"/>
    <s v="Nao Aplicavel"/>
    <s v="NULL"/>
    <n v="0"/>
    <x v="0"/>
    <n v="-9850752.3365578502"/>
    <n v="87.491845999999995"/>
    <n v="9850752.3365550004"/>
    <n v="23.437452"/>
    <n v="64.054394000000002"/>
    <m/>
    <m/>
    <m/>
  </r>
  <r>
    <x v="16"/>
    <s v="BCL_DQS4_3A"/>
    <s v="BCL_DQS4_3A"/>
    <s v="BCL_DQS4_3A"/>
    <s v="NULL"/>
    <n v="0"/>
    <x v="0"/>
    <n v="-90625432.679999903"/>
    <n v="34347.040327000002"/>
    <n v="90625432.679187998"/>
    <n v="11460.833576000001"/>
    <n v="1915.83053"/>
    <n v="20970.376220999999"/>
    <m/>
    <m/>
  </r>
  <r>
    <x v="16"/>
    <s v="MVL_DQS4_3A"/>
    <s v="MVL_DQS4_3A"/>
    <s v="Nao Aplicavel"/>
    <s v="NULL"/>
    <n v="0"/>
    <x v="0"/>
    <n v="-865363.87999999896"/>
    <n v="36.599773999999996"/>
    <n v="865363.87997699995"/>
    <n v="19.440131000000001"/>
    <n v="17.159642999999999"/>
    <m/>
    <m/>
    <m/>
  </r>
  <r>
    <x v="16"/>
    <s v="RE_DQS4_2B"/>
    <s v="RE_DQS4_2B"/>
    <s v="Nao Aplicavel"/>
    <s v="NULL"/>
    <n v="0"/>
    <x v="0"/>
    <n v="-33051206.723312698"/>
    <n v="1171.652065"/>
    <n v="33051206.723304"/>
    <n v="239.31023500000001"/>
    <n v="932.34182999999996"/>
    <m/>
    <m/>
    <m/>
  </r>
  <r>
    <x v="16"/>
    <s v="MVL_DQS3_2B"/>
    <s v="Nao Aplicavel"/>
    <s v="Nao Aplicavel"/>
    <s v="NULL"/>
    <n v="0"/>
    <x v="0"/>
    <n v="-447229.84999999899"/>
    <n v="31.700859000000001"/>
    <n v="447229.84998699999"/>
    <n v="31.700859000000001"/>
    <m/>
    <m/>
    <m/>
    <m/>
  </r>
  <r>
    <x v="16"/>
    <s v="Nao Aplicavel"/>
    <s v="MVL_DQS4_3A"/>
    <s v="Nao Aplicavel"/>
    <s v="NULL"/>
    <n v="0"/>
    <x v="0"/>
    <n v="-3164874.77999999"/>
    <n v="56.185617999999998"/>
    <n v="3164874.7798819998"/>
    <m/>
    <n v="56.185617999999998"/>
    <m/>
    <m/>
    <m/>
  </r>
  <r>
    <x v="16"/>
    <s v="Nao Aplicavel"/>
    <s v="Nao Aplicavel"/>
    <s v="Nao Aplicavel"/>
    <s v="NULL"/>
    <n v="0"/>
    <x v="0"/>
    <n v="-1244993.1586255101"/>
    <n v="0"/>
    <n v="1244993.1586150001"/>
    <m/>
    <m/>
    <m/>
    <m/>
    <m/>
  </r>
  <r>
    <x v="16"/>
    <s v="MVL_DQS5_3B"/>
    <s v="MVL_DQS5_3B"/>
    <s v="Nao Aplicavel"/>
    <s v="NULL"/>
    <n v="0"/>
    <x v="0"/>
    <n v="-22277.629999999899"/>
    <n v="1.285971"/>
    <n v="22277.629999000001"/>
    <n v="1.244273"/>
    <n v="4.1697999999999999E-2"/>
    <m/>
    <m/>
    <m/>
  </r>
  <r>
    <x v="16"/>
    <s v="BCL_DQS5_3B"/>
    <s v="BCL_DQS5_3B"/>
    <s v="BCL_DQS5_3B"/>
    <s v="NULL"/>
    <n v="0"/>
    <x v="0"/>
    <n v="-20111460.2999999"/>
    <n v="1853.414614"/>
    <n v="20111460.299874"/>
    <n v="618.44294200000002"/>
    <n v="103.38000700000001"/>
    <n v="1131.5916649999999"/>
    <m/>
    <m/>
  </r>
  <r>
    <x v="16"/>
    <s v="Nao Aplicavel"/>
    <s v="MVL_DQS3_2B"/>
    <s v="Nao Aplicavel"/>
    <s v="NULL"/>
    <n v="0"/>
    <x v="0"/>
    <n v="-986798.34999999905"/>
    <n v="19.312951000000002"/>
    <n v="986798.34996799997"/>
    <m/>
    <n v="19.312951000000002"/>
    <m/>
    <m/>
    <m/>
  </r>
  <r>
    <x v="16"/>
    <s v="RE_DQS5_3"/>
    <s v="RE_DQS5_3"/>
    <s v="Nao Aplicavel"/>
    <s v="NULL"/>
    <n v="0"/>
    <x v="0"/>
    <n v="-69468823.491503805"/>
    <n v="4539.0507459999999"/>
    <n v="69468823.491470993"/>
    <n v="712.56122300000004"/>
    <n v="3826.4895230000002"/>
    <m/>
    <m/>
    <m/>
  </r>
  <r>
    <x v="16"/>
    <s v="MVL_DQS3_2B"/>
    <s v="MVL_DQS3_2B"/>
    <s v="Nao Aplicavel"/>
    <s v="NULL"/>
    <n v="0"/>
    <x v="0"/>
    <n v="-324857.07999999903"/>
    <n v="10.434585999999999"/>
    <n v="324857.07999200001"/>
    <n v="5.1537559999999996"/>
    <n v="5.2808299999999999"/>
    <m/>
    <m/>
    <m/>
  </r>
  <r>
    <x v="17"/>
    <s v="MVL_DQS4_3A"/>
    <s v="Nao Aplicavel"/>
    <s v="Nao Aplicavel"/>
    <s v="NULL"/>
    <n v="0"/>
    <x v="0"/>
    <n v="-1393028.70999999"/>
    <n v="477.41302300000001"/>
    <n v="1393028.709919"/>
    <n v="477.41302300000001"/>
    <m/>
    <m/>
    <m/>
    <m/>
  </r>
  <r>
    <x v="17"/>
    <s v="MVL_DQS3_2B"/>
    <s v="Nao Aplicavel"/>
    <s v="Nao Aplicavel"/>
    <s v="NULL"/>
    <n v="0"/>
    <x v="0"/>
    <n v="-47912.5099999999"/>
    <n v="5.9669059999999998"/>
    <n v="47912.509999000002"/>
    <n v="5.9669059999999998"/>
    <m/>
    <m/>
    <m/>
    <m/>
  </r>
  <r>
    <x v="17"/>
    <s v="RE_DQS5_3"/>
    <s v="RE_DQS5_3"/>
    <s v="Nao Aplicavel"/>
    <s v="NULL"/>
    <n v="0"/>
    <x v="0"/>
    <n v="-6119333.9799999902"/>
    <n v="680.87107800000001"/>
    <n v="6119333.979998"/>
    <n v="106.88629899999999"/>
    <n v="573.984779"/>
    <m/>
    <m/>
    <m/>
  </r>
  <r>
    <x v="17"/>
    <s v="MISS"/>
    <s v="MISS"/>
    <s v="Nao Aplicavel"/>
    <s v="NULL"/>
    <n v="0"/>
    <x v="0"/>
    <n v="-357161.74999999901"/>
    <n v="0"/>
    <n v="357161.749992"/>
    <m/>
    <m/>
    <m/>
    <m/>
    <m/>
  </r>
  <r>
    <x v="17"/>
    <s v="BCL_DQS5_3B"/>
    <s v="BCL_DQS5_3B"/>
    <s v="BCL_DQS5_3B"/>
    <s v="NULL"/>
    <n v="0"/>
    <x v="0"/>
    <n v="-13131853.7999999"/>
    <n v="1209.6326819999999"/>
    <n v="13131853.799981"/>
    <n v="403.627342"/>
    <n v="67.471247000000005"/>
    <n v="738.53409299999998"/>
    <m/>
    <m/>
  </r>
  <r>
    <x v="17"/>
    <s v="RE_DQS3_2A"/>
    <s v="RE_DQS3_2A"/>
    <s v="Nao Aplicavel"/>
    <s v="NULL"/>
    <n v="0"/>
    <x v="0"/>
    <n v="-302872.78556491202"/>
    <n v="2.1129099999999998"/>
    <n v="302872.78556300001"/>
    <n v="0.74759699999999996"/>
    <n v="1.365313"/>
    <m/>
    <m/>
    <m/>
  </r>
  <r>
    <x v="17"/>
    <s v="MVL_DQS4_3A"/>
    <s v="MVL_DQS4_3A"/>
    <s v="Nao Aplicavel"/>
    <s v="NULL"/>
    <n v="0"/>
    <x v="0"/>
    <n v="-79797.599999999904"/>
    <n v="6.9852220000000003"/>
    <n v="79797.599996999998"/>
    <n v="3.5911200000000001"/>
    <n v="3.3941020000000002"/>
    <m/>
    <m/>
    <m/>
  </r>
  <r>
    <x v="17"/>
    <s v="RE_DQS4_2B"/>
    <s v="RE_DQS4_2B"/>
    <s v="Nao Aplicavel"/>
    <s v="NULL"/>
    <n v="0"/>
    <x v="0"/>
    <n v="-24253360.349999901"/>
    <n v="25042.378835"/>
    <n v="24253360.349994"/>
    <n v="4053.5507600000001"/>
    <n v="20988.828075000001"/>
    <m/>
    <m/>
    <m/>
  </r>
  <r>
    <x v="17"/>
    <s v="Nao Aplicavel"/>
    <s v="MVL_DQS3_2B"/>
    <s v="Nao Aplicavel"/>
    <s v="NULL"/>
    <n v="0"/>
    <x v="0"/>
    <n v="-420931.34999999899"/>
    <n v="10.145674"/>
    <n v="420931.34998499998"/>
    <m/>
    <n v="10.145674"/>
    <m/>
    <m/>
    <m/>
  </r>
  <r>
    <x v="17"/>
    <s v="Nao Aplicavel"/>
    <s v="MVL_DQS4_3A"/>
    <s v="Nao Aplicavel"/>
    <s v="NULL"/>
    <n v="0"/>
    <x v="0"/>
    <n v="-624256.44999999902"/>
    <n v="11.158010000000001"/>
    <n v="624256.44997700001"/>
    <m/>
    <n v="11.158010000000001"/>
    <m/>
    <m/>
    <m/>
  </r>
  <r>
    <x v="17"/>
    <s v="MVL_DQS3_2B"/>
    <s v="MVL_DQS3_2B"/>
    <s v="Nao Aplicavel"/>
    <s v="NULL"/>
    <n v="0"/>
    <x v="0"/>
    <n v="-103783.97999999901"/>
    <n v="6.326397"/>
    <n v="103783.979999"/>
    <n v="2.779776"/>
    <n v="3.546621"/>
    <m/>
    <m/>
    <m/>
  </r>
  <r>
    <x v="17"/>
    <s v="Nao Aplicavel"/>
    <s v="Nao Aplicavel"/>
    <s v="Nao Aplicavel"/>
    <s v="NULL"/>
    <n v="0"/>
    <x v="0"/>
    <n v="-2786716.5144350799"/>
    <n v="0"/>
    <n v="2786716.514434"/>
    <m/>
    <m/>
    <m/>
    <m/>
    <m/>
  </r>
  <r>
    <x v="17"/>
    <s v="BCL_DQS4_3A"/>
    <s v="BCL_DQS4_3A"/>
    <s v="BCL_DQS4_3A"/>
    <s v="NULL"/>
    <n v="0"/>
    <x v="0"/>
    <n v="-37944935.019999899"/>
    <n v="13344.214564"/>
    <n v="37944935.019928999"/>
    <n v="4452.6637650000002"/>
    <n v="744.32200399999999"/>
    <n v="8147.228795"/>
    <m/>
    <m/>
  </r>
  <r>
    <x v="18"/>
    <s v="NULL"/>
    <s v="NULL"/>
    <s v="NULL"/>
    <s v="NULL"/>
    <n v="0"/>
    <x v="0"/>
    <m/>
    <n v="0"/>
    <m/>
    <m/>
    <m/>
    <m/>
    <m/>
    <m/>
  </r>
  <r>
    <x v="18"/>
    <s v="Nao Aplicavel"/>
    <s v="MVL_DQS3_2B"/>
    <s v="Nao Aplicavel"/>
    <s v="NULL"/>
    <n v="0"/>
    <x v="0"/>
    <n v="-91951.729999999894"/>
    <n v="2.8357579999999998"/>
    <n v="91951.729997000002"/>
    <m/>
    <n v="2.8357579999999998"/>
    <m/>
    <m/>
    <m/>
  </r>
  <r>
    <x v="18"/>
    <s v="BCL_DQS5_3B"/>
    <s v="BCL_DQS5_3B"/>
    <s v="BCL_DQS5_3B"/>
    <s v="NULL"/>
    <n v="0"/>
    <x v="0"/>
    <n v="-10221771.949999901"/>
    <n v="969.43594099999996"/>
    <n v="10221771.949949"/>
    <n v="312.11271299999999"/>
    <n v="54.697448999999999"/>
    <n v="602.62577899999997"/>
    <m/>
    <m/>
  </r>
  <r>
    <x v="18"/>
    <s v="MVL_DQS4_3A"/>
    <s v="Nao Aplicavel"/>
    <s v="Nao Aplicavel"/>
    <s v="NULL"/>
    <n v="0"/>
    <x v="0"/>
    <n v="-550652.71999999904"/>
    <n v="52.571691999999999"/>
    <n v="550652.71996000002"/>
    <n v="52.571691999999999"/>
    <m/>
    <m/>
    <m/>
    <m/>
  </r>
  <r>
    <x v="18"/>
    <s v="RE_DQS4_2B"/>
    <s v="RE_DQS4_2B"/>
    <s v="Nao Aplicavel"/>
    <s v="NULL"/>
    <n v="0"/>
    <x v="0"/>
    <n v="-2537349.5399999898"/>
    <n v="52.46904"/>
    <n v="2537349.539998"/>
    <n v="14.580314"/>
    <n v="37.888725999999998"/>
    <m/>
    <m/>
    <m/>
  </r>
  <r>
    <x v="18"/>
    <s v="RE_DQS3_2A"/>
    <s v="RE_DQS3_2A"/>
    <s v="Nao Aplicavel"/>
    <s v="NULL"/>
    <n v="0"/>
    <x v="0"/>
    <n v="-255399.87"/>
    <n v="0.36042999999999997"/>
    <n v="255399.87"/>
    <n v="0.15009800000000001"/>
    <n v="0.21033199999999999"/>
    <m/>
    <m/>
    <m/>
  </r>
  <r>
    <x v="18"/>
    <s v="MISS"/>
    <s v="MISS"/>
    <s v="MISS"/>
    <s v="NULL"/>
    <n v="0"/>
    <x v="0"/>
    <n v="1630549.15"/>
    <n v="0"/>
    <n v="-1630549.15"/>
    <m/>
    <m/>
    <m/>
    <m/>
    <m/>
  </r>
  <r>
    <x v="18"/>
    <s v="MVL_DQS4_3A"/>
    <s v="MVL_DQS4_3A"/>
    <s v="Nao Aplicavel"/>
    <s v="NULL"/>
    <n v="0"/>
    <x v="0"/>
    <n v="-163138.84999999899"/>
    <n v="7.9138260000000002"/>
    <n v="163138.84999300001"/>
    <n v="4.2790549999999996"/>
    <n v="3.6347710000000002"/>
    <m/>
    <m/>
    <m/>
  </r>
  <r>
    <x v="18"/>
    <s v="Nao Aplicavel"/>
    <s v="MVL_DQS4_3A"/>
    <s v="Nao Aplicavel"/>
    <s v="NULL"/>
    <n v="0"/>
    <x v="0"/>
    <n v="-647861.24999999895"/>
    <n v="13.882593"/>
    <n v="647861.24997400003"/>
    <m/>
    <n v="13.882593"/>
    <m/>
    <m/>
    <m/>
  </r>
  <r>
    <x v="18"/>
    <s v="MVL_DQS3_2B"/>
    <s v="MVL_DQS3_2B"/>
    <s v="Nao Aplicavel"/>
    <s v="NULL"/>
    <n v="0"/>
    <x v="0"/>
    <n v="-57204.559999999903"/>
    <n v="2.5887389999999999"/>
    <n v="57204.559998999997"/>
    <n v="1.4754389999999999"/>
    <n v="1.1133"/>
    <m/>
    <m/>
    <m/>
  </r>
  <r>
    <x v="18"/>
    <s v="MVL_DQS3_2B"/>
    <s v="Nao Aplicavel"/>
    <s v="Nao Aplicavel"/>
    <s v="NULL"/>
    <n v="0"/>
    <x v="0"/>
    <n v="-183044.639999999"/>
    <n v="12.528650000000001"/>
    <n v="183044.63999500001"/>
    <n v="12.528650000000001"/>
    <m/>
    <m/>
    <m/>
    <m/>
  </r>
  <r>
    <x v="18"/>
    <s v="RE_DQS5_3"/>
    <s v="RE_DQS5_3"/>
    <s v="Nao Aplicavel"/>
    <s v="NULL"/>
    <n v="0"/>
    <x v="0"/>
    <n v="-3887730.6167148598"/>
    <n v="892.87276799999995"/>
    <n v="3887730.6167100002"/>
    <n v="140.167306"/>
    <n v="752.70546200000001"/>
    <m/>
    <m/>
    <m/>
  </r>
  <r>
    <x v="18"/>
    <s v="Nao Aplicavel"/>
    <s v="Nao Aplicavel"/>
    <s v="Nao Aplicavel"/>
    <s v="NULL"/>
    <n v="0"/>
    <x v="0"/>
    <n v="-75117.153285133099"/>
    <n v="0"/>
    <n v="75117.153281000006"/>
    <m/>
    <m/>
    <m/>
    <m/>
    <m/>
  </r>
  <r>
    <x v="18"/>
    <s v="BCL_DQS4_3A"/>
    <s v="BCL_DQS4_3A"/>
    <s v="BCL_DQS4_3A"/>
    <s v="NULL"/>
    <n v="0"/>
    <x v="0"/>
    <n v="-20264177.989999902"/>
    <n v="7316.8090730000004"/>
    <n v="20264177.989937998"/>
    <n v="2053.0499439999999"/>
    <n v="413.86741699999999"/>
    <n v="4849.8917119999996"/>
    <m/>
    <m/>
  </r>
  <r>
    <x v="19"/>
    <s v="BCL_DQS5_3B"/>
    <s v="BCL_DQS5_3B"/>
    <s v="BCL_DQS5_3B"/>
    <s v="NULL"/>
    <n v="0"/>
    <x v="0"/>
    <n v="-393.02"/>
    <n v="3.5892E-2"/>
    <n v="393.02"/>
    <n v="1.1976000000000001E-2"/>
    <n v="1.9980000000000002E-3"/>
    <n v="2.1918E-2"/>
    <m/>
    <m/>
  </r>
  <r>
    <x v="19"/>
    <s v="BCL_DQS4_3A"/>
    <s v="BCL_DQS4_3A"/>
    <s v="BCL_DQS4_3A"/>
    <s v="NULL"/>
    <n v="0"/>
    <x v="0"/>
    <n v="-52086.45"/>
    <n v="17.358926"/>
    <n v="52086.45"/>
    <n v="5.7922830000000003"/>
    <n v="0.96825499999999998"/>
    <n v="10.598388"/>
    <m/>
    <m/>
  </r>
  <r>
    <x v="19"/>
    <s v="RE_DQS3_2A"/>
    <s v="RE_DQS3_2A"/>
    <s v="Nao Aplicavel"/>
    <s v="NULL"/>
    <n v="0"/>
    <x v="0"/>
    <n v="-85231.11"/>
    <n v="0.11197600000000001"/>
    <n v="85231.11"/>
    <n v="4.6190000000000002E-2"/>
    <n v="6.5785999999999997E-2"/>
    <m/>
    <m/>
    <m/>
  </r>
  <r>
    <x v="20"/>
    <s v="MISS"/>
    <s v="MISS"/>
    <s v="MISS"/>
    <s v="NULL"/>
    <n v="0"/>
    <x v="0"/>
    <n v="-19992939.690000001"/>
    <n v="0"/>
    <n v="19992939.690000001"/>
    <m/>
    <m/>
    <m/>
    <m/>
    <m/>
  </r>
  <r>
    <x v="20"/>
    <s v="BCL_DQS4_3A"/>
    <s v="BCL_DQS4_3A"/>
    <s v="BCL_DQS4_3A"/>
    <s v="NULL"/>
    <n v="0"/>
    <x v="0"/>
    <n v="-153986.26"/>
    <n v="82.869743"/>
    <n v="153986.26"/>
    <n v="27.651768000000001"/>
    <n v="4.6222649999999996"/>
    <n v="50.595709999999997"/>
    <m/>
    <m/>
  </r>
  <r>
    <x v="20"/>
    <s v="BCL_DQS5_3B"/>
    <s v="BCL_DQS5_3B"/>
    <s v="BCL_DQS5_3B"/>
    <s v="NULL"/>
    <n v="0"/>
    <x v="0"/>
    <n v="-86718793.409999996"/>
    <n v="7633.5875729999998"/>
    <n v="86718793.409999996"/>
    <n v="2524.4562420000002"/>
    <n v="411.06406900000002"/>
    <n v="4698.067261999999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8" firstHeaderRow="1" firstDataRow="1" firstDataCol="1" rowPageCount="1" colPageCount="1"/>
  <pivotFields count="15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dataField="1" numFmtId="4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6"/>
    </i>
    <i t="grand">
      <x/>
    </i>
  </rowItems>
  <colItems count="1">
    <i/>
  </colItems>
  <pageFields count="1">
    <pageField fld="6" hier="-1"/>
  </pageFields>
  <dataFields count="1">
    <dataField name="Sum of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S2:X25" firstHeaderRow="0" firstDataRow="1" firstDataCol="1"/>
  <pivotFields count="15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mount" fld="9" baseField="0" baseItem="0"/>
    <dataField name="Sum of gesi" fld="10" baseField="0" baseItem="0"/>
    <dataField name="Sum of gesii" fld="11" baseField="0" baseItem="0"/>
    <dataField name="Sum of gesiii" fld="12" baseField="0" baseItem="0"/>
    <dataField name="Sum of total" fld="8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6" firstHeaderRow="0" firstDataRow="1" firstDataCol="1"/>
  <pivotFields count="6">
    <pivotField axis="axisRow" showAll="0">
      <items count="13">
        <item x="8"/>
        <item x="2"/>
        <item x="1"/>
        <item x="10"/>
        <item x="7"/>
        <item x="0"/>
        <item x="3"/>
        <item x="11"/>
        <item x="4"/>
        <item x="6"/>
        <item x="9"/>
        <item x="5"/>
        <item t="default"/>
      </items>
    </pivotField>
    <pivotField showAll="0"/>
    <pivotField numFmtId="4" showAll="0"/>
    <pivotField dataField="1" numFmtId="4" showAll="0"/>
    <pivotField dataField="1" numFmtId="4" showAll="0"/>
    <pivotField dataField="1" numFmtId="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esi" fld="3" baseField="0" baseItem="0"/>
    <dataField name="Sum of gesii" fld="4" baseField="0" baseItem="0"/>
    <dataField name="Sum of gesiii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5:K20" firstHeaderRow="1" firstDataRow="1" firstDataCol="1" rowPageCount="1" colPageCount="1"/>
  <pivotFields count="15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dataField="1" numFmtId="4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6"/>
    </i>
    <i t="grand">
      <x/>
    </i>
  </rowItems>
  <colItems count="1">
    <i/>
  </colItems>
  <pageFields count="1">
    <pageField fld="6" hier="-1"/>
  </pageFields>
  <dataFields count="1">
    <dataField name="Sum of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"/>
  <sheetViews>
    <sheetView zoomScale="70" zoomScaleNormal="70" workbookViewId="0">
      <selection activeCell="K14" sqref="K14:L16"/>
    </sheetView>
  </sheetViews>
  <sheetFormatPr defaultColWidth="11.42578125" defaultRowHeight="18.75" x14ac:dyDescent="0.25"/>
  <cols>
    <col min="1" max="1" width="6.28515625" style="6" customWidth="1"/>
    <col min="2" max="2" width="15" style="6" bestFit="1" customWidth="1"/>
    <col min="3" max="3" width="15.42578125" style="6" bestFit="1" customWidth="1"/>
    <col min="4" max="4" width="21.28515625" style="6" customWidth="1"/>
    <col min="5" max="5" width="18.7109375" style="6" customWidth="1"/>
    <col min="6" max="7" width="19.140625" style="6" customWidth="1"/>
    <col min="8" max="8" width="87.28515625" style="6" customWidth="1"/>
    <col min="9" max="9" width="16.140625" style="6" customWidth="1"/>
    <col min="10" max="12" width="24.28515625" style="6" customWidth="1"/>
    <col min="13" max="16384" width="11.42578125" style="6"/>
  </cols>
  <sheetData>
    <row r="1" spans="2:12" ht="19.5" thickBot="1" x14ac:dyDescent="0.3"/>
    <row r="2" spans="2:12" x14ac:dyDescent="0.25">
      <c r="B2" s="84" t="s">
        <v>16</v>
      </c>
      <c r="C2" s="85"/>
      <c r="D2" s="86"/>
    </row>
    <row r="3" spans="2:12" ht="23.25" customHeight="1" thickBot="1" x14ac:dyDescent="0.3">
      <c r="B3" s="87"/>
      <c r="C3" s="88"/>
      <c r="D3" s="89"/>
      <c r="G3" s="9"/>
      <c r="I3" s="10"/>
    </row>
    <row r="7" spans="2:12" ht="19.5" thickBot="1" x14ac:dyDescent="0.3">
      <c r="E7" s="81" t="s">
        <v>24</v>
      </c>
      <c r="F7" s="82"/>
      <c r="G7" s="82"/>
      <c r="H7" s="82"/>
      <c r="I7" s="83"/>
    </row>
    <row r="8" spans="2:12" s="8" customFormat="1" ht="39.75" customHeight="1" thickBot="1" x14ac:dyDescent="0.3">
      <c r="B8" s="2" t="s">
        <v>10</v>
      </c>
      <c r="C8" s="3" t="s">
        <v>9</v>
      </c>
      <c r="D8" s="3" t="s">
        <v>8</v>
      </c>
      <c r="E8" s="4" t="s">
        <v>7</v>
      </c>
      <c r="F8" s="4" t="s">
        <v>6</v>
      </c>
      <c r="G8" s="4" t="s">
        <v>5</v>
      </c>
      <c r="H8" s="4" t="s">
        <v>4</v>
      </c>
      <c r="I8" s="4" t="s">
        <v>3</v>
      </c>
      <c r="J8" s="3" t="s">
        <v>2</v>
      </c>
      <c r="K8" s="3" t="s">
        <v>1</v>
      </c>
      <c r="L8" s="5" t="s">
        <v>0</v>
      </c>
    </row>
    <row r="9" spans="2:12" x14ac:dyDescent="0.25">
      <c r="B9" s="11" t="s">
        <v>23</v>
      </c>
      <c r="C9" s="11" t="s">
        <v>18</v>
      </c>
      <c r="D9" s="12">
        <v>1000</v>
      </c>
      <c r="E9" s="12">
        <v>11270639</v>
      </c>
      <c r="F9" s="12">
        <v>1893116</v>
      </c>
      <c r="G9" s="12">
        <v>55597710</v>
      </c>
      <c r="H9" s="12">
        <v>51525</v>
      </c>
      <c r="I9" s="12">
        <v>58114</v>
      </c>
      <c r="J9" s="12">
        <v>102797.717965323</v>
      </c>
      <c r="K9" s="12">
        <v>17266.811992083109</v>
      </c>
      <c r="L9" s="12">
        <v>507097.93048094201</v>
      </c>
    </row>
    <row r="10" spans="2:12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2:12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2:12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2:12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2:12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2:12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2:12" x14ac:dyDescent="0.25">
      <c r="B16" s="7"/>
      <c r="C16" s="7"/>
      <c r="D16" s="7"/>
      <c r="E16" s="7"/>
      <c r="F16" s="7"/>
      <c r="G16" s="7"/>
      <c r="H16" s="7"/>
      <c r="I16" s="7"/>
      <c r="J16" s="7" t="s">
        <v>4343</v>
      </c>
      <c r="K16" s="7"/>
      <c r="L16" s="7"/>
    </row>
    <row r="17" spans="2:12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2:12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2:12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2:12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2:12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2:12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2:12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5" spans="2:12" x14ac:dyDescent="0.25">
      <c r="G25" s="15" t="s">
        <v>28</v>
      </c>
      <c r="H25" s="16" t="s">
        <v>29</v>
      </c>
    </row>
    <row r="26" spans="2:12" x14ac:dyDescent="0.25">
      <c r="B26" s="14" t="s">
        <v>26</v>
      </c>
      <c r="G26" s="16"/>
      <c r="H26" s="16" t="s">
        <v>30</v>
      </c>
    </row>
    <row r="27" spans="2:12" x14ac:dyDescent="0.25">
      <c r="G27" s="17" t="s">
        <v>32</v>
      </c>
      <c r="H27" s="18" t="s">
        <v>33</v>
      </c>
    </row>
    <row r="28" spans="2:12" x14ac:dyDescent="0.25">
      <c r="G28" s="18"/>
      <c r="H28" s="18" t="s">
        <v>34</v>
      </c>
    </row>
  </sheetData>
  <mergeCells count="2">
    <mergeCell ref="E7:I7"/>
    <mergeCell ref="B2:D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7"/>
  <sheetViews>
    <sheetView showGridLines="0" zoomScale="75" workbookViewId="0">
      <selection activeCell="J8" sqref="J8"/>
    </sheetView>
  </sheetViews>
  <sheetFormatPr defaultColWidth="11.42578125" defaultRowHeight="15" x14ac:dyDescent="0.25"/>
  <cols>
    <col min="1" max="1" width="6.28515625" customWidth="1"/>
    <col min="2" max="2" width="20.7109375" customWidth="1"/>
    <col min="3" max="3" width="15.42578125" bestFit="1" customWidth="1"/>
    <col min="4" max="4" width="21.28515625" customWidth="1"/>
    <col min="5" max="7" width="26.85546875" customWidth="1"/>
    <col min="8" max="8" width="14.42578125" customWidth="1"/>
    <col min="9" max="10" width="16.140625" customWidth="1"/>
    <col min="11" max="13" width="24.28515625" customWidth="1"/>
  </cols>
  <sheetData>
    <row r="1" spans="2:13" ht="15.75" thickBot="1" x14ac:dyDescent="0.3"/>
    <row r="2" spans="2:13" ht="18.75" x14ac:dyDescent="0.25">
      <c r="B2" s="84" t="s">
        <v>17</v>
      </c>
      <c r="C2" s="85"/>
      <c r="D2" s="86"/>
      <c r="E2" s="6"/>
      <c r="F2" s="6"/>
      <c r="G2" s="6"/>
      <c r="H2" s="6"/>
      <c r="I2" s="6"/>
      <c r="J2" s="6"/>
      <c r="K2" s="6"/>
      <c r="L2" s="6"/>
      <c r="M2" s="6"/>
    </row>
    <row r="3" spans="2:13" ht="36" customHeight="1" thickBot="1" x14ac:dyDescent="0.3">
      <c r="B3" s="87"/>
      <c r="C3" s="88"/>
      <c r="D3" s="89"/>
      <c r="E3" s="6"/>
      <c r="F3" s="6"/>
      <c r="G3" s="6"/>
      <c r="H3" s="6"/>
      <c r="I3" s="6"/>
      <c r="J3" s="6"/>
      <c r="K3" s="6"/>
      <c r="L3" s="6"/>
      <c r="M3" s="6"/>
    </row>
    <row r="4" spans="2:13" ht="18.75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ht="18.75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 ht="18.75" x14ac:dyDescent="0.25">
      <c r="B6" s="6"/>
      <c r="C6" s="6"/>
      <c r="D6" s="6"/>
      <c r="E6" s="6"/>
      <c r="F6" s="6"/>
      <c r="G6" s="6"/>
      <c r="H6" s="6"/>
      <c r="I6" s="6"/>
      <c r="J6" s="10"/>
      <c r="K6" s="6"/>
      <c r="L6" s="6"/>
      <c r="M6" s="6"/>
    </row>
    <row r="7" spans="2:13" ht="19.5" thickBot="1" x14ac:dyDescent="0.3">
      <c r="B7" s="6"/>
      <c r="C7" s="6"/>
      <c r="D7" s="6"/>
      <c r="E7" s="90" t="s">
        <v>24</v>
      </c>
      <c r="F7" s="90"/>
      <c r="G7" s="90"/>
      <c r="H7" s="6"/>
      <c r="I7" s="6"/>
      <c r="J7" s="6"/>
      <c r="K7" s="6"/>
      <c r="L7" s="6"/>
      <c r="M7" s="6"/>
    </row>
    <row r="8" spans="2:13" s="1" customFormat="1" ht="39.75" customHeight="1" thickBot="1" x14ac:dyDescent="0.3">
      <c r="B8" s="2" t="s">
        <v>14</v>
      </c>
      <c r="C8" s="3" t="s">
        <v>9</v>
      </c>
      <c r="D8" s="3" t="s">
        <v>22</v>
      </c>
      <c r="E8" s="4" t="s">
        <v>13</v>
      </c>
      <c r="F8" s="4" t="s">
        <v>12</v>
      </c>
      <c r="G8" s="4" t="s">
        <v>11</v>
      </c>
      <c r="H8" s="3" t="s">
        <v>19</v>
      </c>
      <c r="I8" s="3" t="s">
        <v>20</v>
      </c>
      <c r="J8" s="3" t="s">
        <v>21</v>
      </c>
      <c r="K8" s="3" t="s">
        <v>2</v>
      </c>
      <c r="L8" s="3" t="s">
        <v>1</v>
      </c>
      <c r="M8" s="5" t="s">
        <v>0</v>
      </c>
    </row>
    <row r="9" spans="2:13" ht="18.75" x14ac:dyDescent="0.25">
      <c r="B9" s="11" t="s">
        <v>15</v>
      </c>
      <c r="C9" s="11" t="s">
        <v>25</v>
      </c>
      <c r="D9" s="12">
        <v>1000</v>
      </c>
      <c r="E9" s="12">
        <v>1571.88</v>
      </c>
      <c r="F9" s="12">
        <v>204.756</v>
      </c>
      <c r="G9" s="12">
        <v>786.71600000000001</v>
      </c>
      <c r="H9" s="12">
        <v>500</v>
      </c>
      <c r="I9" s="12">
        <v>1000</v>
      </c>
      <c r="J9" s="12">
        <v>600</v>
      </c>
      <c r="K9" s="13">
        <v>1.7465333333333333</v>
      </c>
      <c r="L9" s="13">
        <v>0.22750666666666666</v>
      </c>
      <c r="M9" s="13">
        <v>0.87412888888888896</v>
      </c>
    </row>
    <row r="10" spans="2:13" ht="18.75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2:13" ht="18.75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2:13" ht="18.75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2:13" ht="18.75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2:13" ht="18.75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2:13" ht="18.75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2:13" ht="18.75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 ht="18.75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 ht="18.75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2:13" ht="18.75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2:13" ht="18.75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2:13" ht="18.75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2:13" ht="18.75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2:13" ht="18.7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6" spans="2:13" ht="18.75" x14ac:dyDescent="0.25">
      <c r="B26" s="14" t="s">
        <v>26</v>
      </c>
      <c r="F26" s="15" t="s">
        <v>28</v>
      </c>
      <c r="G26" s="16" t="s">
        <v>31</v>
      </c>
      <c r="H26" t="s">
        <v>35</v>
      </c>
    </row>
    <row r="27" spans="2:13" ht="18.75" x14ac:dyDescent="0.25">
      <c r="F27" s="6"/>
      <c r="G27" s="6"/>
    </row>
  </sheetData>
  <mergeCells count="2">
    <mergeCell ref="E7:G7"/>
    <mergeCell ref="B2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workbookViewId="0">
      <selection activeCell="B26" sqref="B26"/>
    </sheetView>
  </sheetViews>
  <sheetFormatPr defaultRowHeight="15" x14ac:dyDescent="0.25"/>
  <cols>
    <col min="2" max="4" width="18" bestFit="1" customWidth="1"/>
  </cols>
  <sheetData>
    <row r="2" spans="2:4" x14ac:dyDescent="0.25">
      <c r="B2" t="s">
        <v>4488</v>
      </c>
      <c r="C2" t="s">
        <v>4489</v>
      </c>
      <c r="D2" t="s">
        <v>4490</v>
      </c>
    </row>
    <row r="3" spans="2:4" x14ac:dyDescent="0.25">
      <c r="B3" t="s">
        <v>4501</v>
      </c>
      <c r="C3" t="s">
        <v>4507</v>
      </c>
      <c r="D3" t="s">
        <v>4501</v>
      </c>
    </row>
    <row r="4" spans="2:4" x14ac:dyDescent="0.25">
      <c r="B4" t="s">
        <v>4501</v>
      </c>
      <c r="C4" t="s">
        <v>4501</v>
      </c>
      <c r="D4" t="s">
        <v>4501</v>
      </c>
    </row>
    <row r="5" spans="2:4" x14ac:dyDescent="0.25">
      <c r="B5" t="s">
        <v>4501</v>
      </c>
      <c r="C5" t="s">
        <v>4507</v>
      </c>
      <c r="D5" t="s">
        <v>4502</v>
      </c>
    </row>
    <row r="6" spans="2:4" x14ac:dyDescent="0.25">
      <c r="B6" t="s">
        <v>4501</v>
      </c>
      <c r="C6" t="s">
        <v>4501</v>
      </c>
      <c r="D6" t="s">
        <v>4502</v>
      </c>
    </row>
    <row r="7" spans="2:4" x14ac:dyDescent="0.25">
      <c r="B7" t="s">
        <v>4507</v>
      </c>
      <c r="C7" t="s">
        <v>4507</v>
      </c>
      <c r="D7" t="s">
        <v>4502</v>
      </c>
    </row>
    <row r="8" spans="2:4" x14ac:dyDescent="0.25">
      <c r="B8" s="78" t="s">
        <v>4506</v>
      </c>
      <c r="C8" s="78" t="s">
        <v>4506</v>
      </c>
      <c r="D8" s="78" t="s">
        <v>4506</v>
      </c>
    </row>
    <row r="9" spans="2:4" x14ac:dyDescent="0.25">
      <c r="B9" t="s">
        <v>4502</v>
      </c>
      <c r="C9" t="s">
        <v>4507</v>
      </c>
      <c r="D9" t="s">
        <v>4502</v>
      </c>
    </row>
    <row r="10" spans="2:4" x14ac:dyDescent="0.25">
      <c r="B10" t="s">
        <v>4502</v>
      </c>
      <c r="C10" t="s">
        <v>4501</v>
      </c>
      <c r="D10" t="s">
        <v>4502</v>
      </c>
    </row>
    <row r="11" spans="2:4" x14ac:dyDescent="0.25">
      <c r="B11" s="80" t="s">
        <v>4504</v>
      </c>
      <c r="C11" s="80" t="s">
        <v>4504</v>
      </c>
      <c r="D11" s="80" t="s">
        <v>4504</v>
      </c>
    </row>
    <row r="12" spans="2:4" x14ac:dyDescent="0.25">
      <c r="B12" t="s">
        <v>4499</v>
      </c>
      <c r="C12" t="s">
        <v>4499</v>
      </c>
      <c r="D12" t="s">
        <v>4497</v>
      </c>
    </row>
    <row r="13" spans="2:4" x14ac:dyDescent="0.25">
      <c r="B13" t="s">
        <v>4499</v>
      </c>
      <c r="C13" t="s">
        <v>4499</v>
      </c>
      <c r="D13" t="s">
        <v>4499</v>
      </c>
    </row>
    <row r="14" spans="2:4" x14ac:dyDescent="0.25">
      <c r="B14" t="s">
        <v>4498</v>
      </c>
      <c r="C14" t="s">
        <v>4498</v>
      </c>
      <c r="D14" t="s">
        <v>4497</v>
      </c>
    </row>
    <row r="15" spans="2:4" x14ac:dyDescent="0.25">
      <c r="B15" t="s">
        <v>4498</v>
      </c>
      <c r="C15" t="s">
        <v>4497</v>
      </c>
      <c r="D15" t="s">
        <v>4497</v>
      </c>
    </row>
    <row r="16" spans="2:4" x14ac:dyDescent="0.25">
      <c r="B16" t="s">
        <v>4500</v>
      </c>
      <c r="C16" t="s">
        <v>4497</v>
      </c>
      <c r="D16" t="s">
        <v>4497</v>
      </c>
    </row>
    <row r="17" spans="2:4" x14ac:dyDescent="0.25">
      <c r="B17" t="s">
        <v>4500</v>
      </c>
      <c r="C17" t="s">
        <v>4500</v>
      </c>
      <c r="D17" t="s">
        <v>4497</v>
      </c>
    </row>
    <row r="18" spans="2:4" x14ac:dyDescent="0.25">
      <c r="B18" t="s">
        <v>4508</v>
      </c>
      <c r="C18" t="s">
        <v>4508</v>
      </c>
      <c r="D18" t="s">
        <v>4497</v>
      </c>
    </row>
    <row r="19" spans="2:4" x14ac:dyDescent="0.25">
      <c r="B19" t="s">
        <v>4497</v>
      </c>
      <c r="C19" t="s">
        <v>4497</v>
      </c>
      <c r="D19" t="s">
        <v>4497</v>
      </c>
    </row>
    <row r="20" spans="2:4" x14ac:dyDescent="0.25">
      <c r="B20" t="s">
        <v>4497</v>
      </c>
      <c r="C20" t="s">
        <v>4498</v>
      </c>
      <c r="D20" t="s">
        <v>4497</v>
      </c>
    </row>
    <row r="21" spans="2:4" x14ac:dyDescent="0.25">
      <c r="B21" t="s">
        <v>4497</v>
      </c>
      <c r="C21" t="s">
        <v>4500</v>
      </c>
      <c r="D21" t="s">
        <v>4497</v>
      </c>
    </row>
    <row r="22" spans="2:4" x14ac:dyDescent="0.25">
      <c r="B22" t="s">
        <v>4511</v>
      </c>
      <c r="C22" t="s">
        <v>4509</v>
      </c>
      <c r="D22" t="s">
        <v>4510</v>
      </c>
    </row>
    <row r="23" spans="2:4" x14ac:dyDescent="0.25">
      <c r="B23" s="80" t="s">
        <v>4511</v>
      </c>
      <c r="C23" s="80" t="s">
        <v>4512</v>
      </c>
      <c r="D23" s="80" t="s">
        <v>4512</v>
      </c>
    </row>
    <row r="24" spans="2:4" x14ac:dyDescent="0.25">
      <c r="B24" t="s">
        <v>4509</v>
      </c>
      <c r="C24" t="s">
        <v>4509</v>
      </c>
      <c r="D24" t="s">
        <v>4510</v>
      </c>
    </row>
    <row r="25" spans="2:4" x14ac:dyDescent="0.25">
      <c r="B25" t="s">
        <v>4509</v>
      </c>
      <c r="C25" t="s">
        <v>4513</v>
      </c>
      <c r="D25" t="s">
        <v>4509</v>
      </c>
    </row>
    <row r="26" spans="2:4" x14ac:dyDescent="0.25">
      <c r="B26" s="80" t="s">
        <v>4512</v>
      </c>
      <c r="C26" s="80" t="s">
        <v>4512</v>
      </c>
      <c r="D26" s="80" t="s">
        <v>4512</v>
      </c>
    </row>
    <row r="27" spans="2:4" x14ac:dyDescent="0.25">
      <c r="B27" t="s">
        <v>4503</v>
      </c>
      <c r="C27" t="s">
        <v>4503</v>
      </c>
      <c r="D27" t="s">
        <v>4497</v>
      </c>
    </row>
    <row r="28" spans="2:4" x14ac:dyDescent="0.25">
      <c r="B28" t="s">
        <v>4496</v>
      </c>
      <c r="C28" t="s">
        <v>4496</v>
      </c>
      <c r="D28" t="s">
        <v>4497</v>
      </c>
    </row>
    <row r="29" spans="2:4" x14ac:dyDescent="0.25">
      <c r="B29" t="s">
        <v>4505</v>
      </c>
      <c r="C29" t="s">
        <v>4505</v>
      </c>
      <c r="D29" t="s">
        <v>4497</v>
      </c>
    </row>
  </sheetData>
  <autoFilter ref="B2:D29">
    <sortState ref="B3:D29">
      <sortCondition ref="B2:B29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zoomScale="75" workbookViewId="0">
      <selection activeCell="E9" sqref="E9"/>
    </sheetView>
  </sheetViews>
  <sheetFormatPr defaultColWidth="11.42578125" defaultRowHeight="15" x14ac:dyDescent="0.25"/>
  <cols>
    <col min="1" max="1" width="6.28515625" customWidth="1"/>
    <col min="2" max="2" width="20.7109375" customWidth="1"/>
    <col min="3" max="3" width="15.42578125" bestFit="1" customWidth="1"/>
    <col min="4" max="4" width="21.28515625" customWidth="1"/>
    <col min="5" max="7" width="26.85546875" customWidth="1"/>
    <col min="8" max="10" width="24.28515625" customWidth="1"/>
  </cols>
  <sheetData>
    <row r="1" spans="2:10" ht="15.75" thickBot="1" x14ac:dyDescent="0.3"/>
    <row r="2" spans="2:10" ht="18.75" x14ac:dyDescent="0.25">
      <c r="B2" s="84" t="s">
        <v>27</v>
      </c>
      <c r="C2" s="85"/>
      <c r="D2" s="86"/>
      <c r="E2" s="6"/>
      <c r="F2" s="6"/>
      <c r="G2" s="6"/>
      <c r="H2" s="6"/>
      <c r="I2" s="6"/>
      <c r="J2" s="6"/>
    </row>
    <row r="3" spans="2:10" ht="36" customHeight="1" thickBot="1" x14ac:dyDescent="0.3">
      <c r="B3" s="87"/>
      <c r="C3" s="88"/>
      <c r="D3" s="89"/>
      <c r="E3" s="6"/>
      <c r="F3" s="6"/>
      <c r="G3" s="6"/>
      <c r="H3" s="6"/>
      <c r="I3" s="6"/>
      <c r="J3" s="6"/>
    </row>
    <row r="4" spans="2:10" ht="18.75" x14ac:dyDescent="0.25">
      <c r="B4" s="6"/>
      <c r="C4" s="6"/>
      <c r="D4" s="6"/>
      <c r="E4" s="6"/>
      <c r="F4" s="6"/>
      <c r="G4" s="6"/>
      <c r="H4" s="6"/>
      <c r="I4" s="6"/>
      <c r="J4" s="6"/>
    </row>
    <row r="5" spans="2:10" ht="18.75" x14ac:dyDescent="0.25">
      <c r="B5" s="6"/>
      <c r="C5" s="6"/>
      <c r="D5" s="6"/>
      <c r="E5" s="6"/>
      <c r="F5" s="6"/>
      <c r="G5" s="6"/>
      <c r="H5" s="6"/>
      <c r="I5" s="6"/>
      <c r="J5" s="6"/>
    </row>
    <row r="6" spans="2:10" ht="18.75" x14ac:dyDescent="0.25">
      <c r="B6" s="6"/>
      <c r="C6" s="6"/>
      <c r="D6" s="6"/>
      <c r="E6" s="6"/>
      <c r="F6" s="6"/>
      <c r="G6" s="6"/>
      <c r="H6" s="6"/>
      <c r="I6" s="6"/>
      <c r="J6" s="6"/>
    </row>
    <row r="7" spans="2:10" ht="19.5" thickBot="1" x14ac:dyDescent="0.3">
      <c r="B7" s="6"/>
      <c r="C7" s="6"/>
      <c r="D7" s="6"/>
      <c r="E7" s="90" t="s">
        <v>24</v>
      </c>
      <c r="F7" s="90"/>
      <c r="G7" s="90"/>
      <c r="H7" s="6"/>
      <c r="I7" s="6"/>
      <c r="J7" s="6"/>
    </row>
    <row r="8" spans="2:10" s="1" customFormat="1" ht="39.75" customHeight="1" thickBot="1" x14ac:dyDescent="0.3">
      <c r="B8" s="2" t="s">
        <v>14</v>
      </c>
      <c r="C8" s="3" t="s">
        <v>9</v>
      </c>
      <c r="D8" s="3" t="s">
        <v>22</v>
      </c>
      <c r="E8" s="4" t="s">
        <v>13</v>
      </c>
      <c r="F8" s="4" t="s">
        <v>12</v>
      </c>
      <c r="G8" s="4" t="s">
        <v>11</v>
      </c>
      <c r="H8" s="3" t="s">
        <v>2</v>
      </c>
      <c r="I8" s="3" t="s">
        <v>1</v>
      </c>
      <c r="J8" s="5" t="s">
        <v>0</v>
      </c>
    </row>
    <row r="9" spans="2:10" ht="18.75" x14ac:dyDescent="0.25">
      <c r="B9" s="11" t="s">
        <v>15</v>
      </c>
      <c r="C9" s="11" t="s">
        <v>25</v>
      </c>
      <c r="D9" s="12">
        <v>1000</v>
      </c>
      <c r="E9" s="12">
        <v>1571.88</v>
      </c>
      <c r="F9" s="12">
        <v>204.756</v>
      </c>
      <c r="G9" s="12">
        <v>786.71600000000001</v>
      </c>
      <c r="H9" s="13">
        <v>1.7465333333333333</v>
      </c>
      <c r="I9" s="13">
        <v>0.22750666666666666</v>
      </c>
      <c r="J9" s="13">
        <v>0.87412888888888896</v>
      </c>
    </row>
    <row r="10" spans="2:10" ht="18.75" x14ac:dyDescent="0.25">
      <c r="B10" s="7"/>
      <c r="C10" s="7"/>
      <c r="D10" s="7"/>
      <c r="E10" s="7"/>
      <c r="F10" s="7"/>
      <c r="G10" s="7"/>
      <c r="H10" s="7"/>
      <c r="I10" s="7"/>
      <c r="J10" s="7"/>
    </row>
    <row r="11" spans="2:10" ht="18.75" x14ac:dyDescent="0.25">
      <c r="B11" s="7"/>
      <c r="C11" s="7"/>
      <c r="D11" s="7"/>
      <c r="E11" s="7"/>
      <c r="F11" s="7"/>
      <c r="G11" s="7"/>
      <c r="H11" s="7"/>
      <c r="I11" s="7"/>
      <c r="J11" s="7"/>
    </row>
    <row r="12" spans="2:10" ht="18.75" x14ac:dyDescent="0.25">
      <c r="B12" s="7"/>
      <c r="C12" s="7"/>
      <c r="D12" s="7"/>
      <c r="E12" s="7"/>
      <c r="F12" s="7"/>
      <c r="G12" s="7"/>
      <c r="H12" s="7"/>
      <c r="I12" s="7"/>
      <c r="J12" s="7"/>
    </row>
    <row r="13" spans="2:10" ht="18.75" x14ac:dyDescent="0.25">
      <c r="B13" s="7"/>
      <c r="C13" s="7"/>
      <c r="D13" s="7"/>
      <c r="E13" s="7"/>
      <c r="F13" s="7"/>
      <c r="G13" s="7"/>
      <c r="H13" s="7"/>
      <c r="I13" s="7"/>
      <c r="J13" s="7"/>
    </row>
    <row r="14" spans="2:10" ht="18.75" x14ac:dyDescent="0.25">
      <c r="B14" s="7"/>
      <c r="C14" s="7"/>
      <c r="D14" s="7"/>
      <c r="E14" s="7"/>
      <c r="F14" s="7"/>
      <c r="G14" s="7"/>
      <c r="H14" s="7"/>
      <c r="I14" s="7"/>
      <c r="J14" s="7"/>
    </row>
    <row r="15" spans="2:10" ht="18.75" x14ac:dyDescent="0.25">
      <c r="B15" s="7"/>
      <c r="C15" s="7"/>
      <c r="D15" s="7"/>
      <c r="E15" s="7"/>
      <c r="F15" s="7"/>
      <c r="G15" s="7"/>
      <c r="H15" s="7"/>
      <c r="I15" s="7"/>
      <c r="J15" s="7"/>
    </row>
    <row r="16" spans="2:10" ht="18.75" x14ac:dyDescent="0.25">
      <c r="B16" s="7"/>
      <c r="C16" s="7"/>
      <c r="D16" s="7"/>
      <c r="E16" s="7"/>
      <c r="F16" s="7"/>
      <c r="G16" s="7"/>
      <c r="H16" s="7"/>
      <c r="I16" s="7"/>
      <c r="J16" s="7"/>
    </row>
    <row r="17" spans="2:10" ht="18.75" x14ac:dyDescent="0.25">
      <c r="B17" s="7"/>
      <c r="C17" s="7"/>
      <c r="D17" s="7"/>
      <c r="E17" s="7"/>
      <c r="F17" s="7"/>
      <c r="G17" s="7"/>
      <c r="H17" s="7"/>
      <c r="I17" s="7"/>
      <c r="J17" s="7"/>
    </row>
    <row r="18" spans="2:10" ht="18.75" x14ac:dyDescent="0.25">
      <c r="B18" s="7"/>
      <c r="C18" s="7"/>
      <c r="D18" s="7"/>
      <c r="E18" s="7"/>
      <c r="F18" s="7"/>
      <c r="G18" s="7"/>
      <c r="H18" s="7"/>
      <c r="I18" s="7"/>
      <c r="J18" s="7"/>
    </row>
    <row r="19" spans="2:10" ht="18.75" x14ac:dyDescent="0.25">
      <c r="B19" s="7"/>
      <c r="C19" s="7"/>
      <c r="D19" s="7"/>
      <c r="E19" s="7"/>
      <c r="F19" s="7"/>
      <c r="G19" s="7"/>
      <c r="H19" s="7"/>
      <c r="I19" s="7"/>
      <c r="J19" s="7"/>
    </row>
    <row r="20" spans="2:10" ht="18.75" x14ac:dyDescent="0.25">
      <c r="B20" s="7"/>
      <c r="C20" s="7"/>
      <c r="D20" s="7"/>
      <c r="E20" s="7"/>
      <c r="F20" s="7"/>
      <c r="G20" s="7"/>
      <c r="H20" s="7"/>
      <c r="I20" s="7"/>
      <c r="J20" s="7"/>
    </row>
    <row r="21" spans="2:10" ht="18.75" x14ac:dyDescent="0.25">
      <c r="B21" s="7"/>
      <c r="C21" s="7"/>
      <c r="D21" s="7"/>
      <c r="E21" s="7"/>
      <c r="F21" s="7"/>
      <c r="G21" s="7"/>
      <c r="H21" s="7"/>
      <c r="I21" s="7"/>
      <c r="J21" s="7"/>
    </row>
    <row r="22" spans="2:10" ht="18.75" x14ac:dyDescent="0.25">
      <c r="B22" s="7"/>
      <c r="C22" s="7"/>
      <c r="D22" s="7"/>
      <c r="E22" s="7"/>
      <c r="F22" s="7"/>
      <c r="G22" s="7"/>
      <c r="H22" s="7"/>
      <c r="I22" s="7"/>
      <c r="J22" s="7"/>
    </row>
    <row r="23" spans="2:10" ht="18.75" x14ac:dyDescent="0.25">
      <c r="B23" s="7"/>
      <c r="C23" s="7"/>
      <c r="D23" s="7"/>
      <c r="E23" s="7"/>
      <c r="F23" s="7"/>
      <c r="G23" s="7"/>
      <c r="H23" s="7"/>
      <c r="I23" s="7"/>
      <c r="J23" s="7"/>
    </row>
    <row r="26" spans="2:10" x14ac:dyDescent="0.25">
      <c r="B26" s="14" t="s">
        <v>26</v>
      </c>
    </row>
  </sheetData>
  <mergeCells count="2">
    <mergeCell ref="B2:D3"/>
    <mergeCell ref="E7:G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4"/>
  <sheetViews>
    <sheetView workbookViewId="0"/>
  </sheetViews>
  <sheetFormatPr defaultRowHeight="15" x14ac:dyDescent="0.25"/>
  <cols>
    <col min="1" max="16384" width="9.140625" style="21"/>
  </cols>
  <sheetData>
    <row r="1" spans="1:16" x14ac:dyDescent="0.25">
      <c r="A1" s="21" t="s">
        <v>60</v>
      </c>
      <c r="B1" s="21" t="s">
        <v>355</v>
      </c>
      <c r="C1" s="21" t="s">
        <v>356</v>
      </c>
      <c r="D1" s="21" t="s">
        <v>289</v>
      </c>
      <c r="E1" s="21" t="s">
        <v>357</v>
      </c>
      <c r="F1" s="21" t="s">
        <v>358</v>
      </c>
      <c r="G1" s="21" t="s">
        <v>359</v>
      </c>
      <c r="H1" s="21" t="s">
        <v>360</v>
      </c>
      <c r="I1" s="21" t="s">
        <v>361</v>
      </c>
      <c r="J1" s="21" t="s">
        <v>362</v>
      </c>
      <c r="K1" s="21" t="s">
        <v>363</v>
      </c>
      <c r="L1" s="21" t="s">
        <v>364</v>
      </c>
      <c r="M1" s="21" t="s">
        <v>365</v>
      </c>
      <c r="N1" s="21" t="s">
        <v>366</v>
      </c>
      <c r="O1" s="21" t="s">
        <v>61</v>
      </c>
      <c r="P1" s="21" t="s">
        <v>367</v>
      </c>
    </row>
    <row r="2" spans="1:16" x14ac:dyDescent="0.25">
      <c r="A2" s="21" t="s">
        <v>146</v>
      </c>
      <c r="B2" s="21" t="s">
        <v>368</v>
      </c>
      <c r="C2" s="21" t="s">
        <v>369</v>
      </c>
      <c r="D2" s="21" t="s">
        <v>370</v>
      </c>
      <c r="E2" s="21">
        <v>2420000</v>
      </c>
      <c r="F2" s="21">
        <v>1460000</v>
      </c>
      <c r="G2" s="21" t="s">
        <v>371</v>
      </c>
      <c r="H2" s="21">
        <v>1</v>
      </c>
      <c r="I2" s="21">
        <v>2</v>
      </c>
      <c r="J2" s="21">
        <v>4</v>
      </c>
      <c r="K2" s="21">
        <v>2023</v>
      </c>
      <c r="L2" s="21" t="s">
        <v>372</v>
      </c>
      <c r="M2" s="21" t="s">
        <v>372</v>
      </c>
      <c r="N2" s="21" t="s">
        <v>373</v>
      </c>
      <c r="O2" s="21" t="s">
        <v>249</v>
      </c>
    </row>
    <row r="3" spans="1:16" x14ac:dyDescent="0.25">
      <c r="A3" s="21" t="s">
        <v>374</v>
      </c>
      <c r="B3" s="21" t="s">
        <v>375</v>
      </c>
      <c r="C3" s="21" t="s">
        <v>376</v>
      </c>
      <c r="D3" s="21" t="s">
        <v>377</v>
      </c>
      <c r="E3" s="21">
        <v>8882175</v>
      </c>
      <c r="F3" s="21">
        <v>183507</v>
      </c>
      <c r="G3" s="21" t="s">
        <v>378</v>
      </c>
      <c r="H3" s="21">
        <v>1</v>
      </c>
      <c r="I3" s="21">
        <v>1</v>
      </c>
      <c r="J3" s="21">
        <v>4</v>
      </c>
      <c r="K3" s="21">
        <v>2023</v>
      </c>
      <c r="L3" s="21" t="s">
        <v>372</v>
      </c>
      <c r="M3" s="21" t="s">
        <v>372</v>
      </c>
      <c r="N3" s="21" t="s">
        <v>373</v>
      </c>
      <c r="O3" s="21">
        <v>13275</v>
      </c>
    </row>
    <row r="4" spans="1:16" x14ac:dyDescent="0.25">
      <c r="A4" s="21" t="s">
        <v>84</v>
      </c>
      <c r="B4" s="21" t="s">
        <v>379</v>
      </c>
      <c r="C4" s="21" t="s">
        <v>380</v>
      </c>
      <c r="D4" s="21" t="s">
        <v>381</v>
      </c>
      <c r="E4" s="21">
        <v>156000</v>
      </c>
      <c r="F4" s="21">
        <v>305000</v>
      </c>
      <c r="G4" s="21" t="s">
        <v>382</v>
      </c>
      <c r="H4" s="21">
        <v>1</v>
      </c>
      <c r="I4" s="21">
        <v>1</v>
      </c>
      <c r="J4" s="21">
        <v>4</v>
      </c>
      <c r="K4" s="21">
        <v>2023</v>
      </c>
      <c r="L4" s="21" t="s">
        <v>372</v>
      </c>
      <c r="M4" s="21" t="s">
        <v>372</v>
      </c>
      <c r="N4" s="21" t="s">
        <v>373</v>
      </c>
      <c r="O4" s="21" t="s">
        <v>212</v>
      </c>
    </row>
    <row r="5" spans="1:16" x14ac:dyDescent="0.25">
      <c r="A5" s="21" t="s">
        <v>98</v>
      </c>
      <c r="B5" s="21" t="s">
        <v>383</v>
      </c>
      <c r="C5" s="21" t="s">
        <v>384</v>
      </c>
      <c r="D5" s="21" t="s">
        <v>385</v>
      </c>
      <c r="E5" s="21">
        <v>530000</v>
      </c>
      <c r="F5" s="21">
        <v>476000</v>
      </c>
      <c r="G5" s="21">
        <v>11963516</v>
      </c>
      <c r="H5" s="21">
        <v>1</v>
      </c>
      <c r="I5" s="21">
        <v>1</v>
      </c>
      <c r="J5" s="21">
        <v>4</v>
      </c>
      <c r="K5" s="21">
        <v>2023</v>
      </c>
      <c r="L5" s="21" t="s">
        <v>372</v>
      </c>
      <c r="M5" s="21" t="s">
        <v>372</v>
      </c>
      <c r="N5" s="21" t="s">
        <v>373</v>
      </c>
      <c r="O5" s="21" t="s">
        <v>221</v>
      </c>
    </row>
    <row r="6" spans="1:16" x14ac:dyDescent="0.25">
      <c r="A6" s="21" t="s">
        <v>386</v>
      </c>
      <c r="B6" s="21" t="s">
        <v>387</v>
      </c>
      <c r="C6" s="21" t="s">
        <v>388</v>
      </c>
      <c r="D6" s="21" t="s">
        <v>389</v>
      </c>
      <c r="E6" s="21">
        <v>342607</v>
      </c>
      <c r="F6" s="21">
        <v>271055</v>
      </c>
      <c r="G6" s="21" t="s">
        <v>390</v>
      </c>
      <c r="H6" s="21">
        <v>1</v>
      </c>
      <c r="I6" s="21">
        <v>1</v>
      </c>
      <c r="J6" s="21">
        <v>4</v>
      </c>
      <c r="K6" s="21">
        <v>2023</v>
      </c>
      <c r="L6" s="21" t="s">
        <v>372</v>
      </c>
      <c r="M6" s="21" t="s">
        <v>372</v>
      </c>
      <c r="N6" s="21" t="s">
        <v>373</v>
      </c>
      <c r="O6" s="21" t="s">
        <v>391</v>
      </c>
    </row>
    <row r="7" spans="1:16" x14ac:dyDescent="0.25">
      <c r="A7" s="21" t="s">
        <v>75</v>
      </c>
      <c r="B7" s="21" t="s">
        <v>392</v>
      </c>
      <c r="C7" s="21" t="s">
        <v>393</v>
      </c>
      <c r="D7" s="21" t="s">
        <v>394</v>
      </c>
      <c r="E7" s="21">
        <v>159652</v>
      </c>
      <c r="F7" s="21">
        <v>139733</v>
      </c>
      <c r="G7" s="21" t="s">
        <v>395</v>
      </c>
      <c r="H7" s="21">
        <v>1</v>
      </c>
      <c r="I7" s="21">
        <v>1</v>
      </c>
      <c r="J7" s="21">
        <v>4</v>
      </c>
      <c r="K7" s="21">
        <v>2023</v>
      </c>
      <c r="L7" s="21" t="s">
        <v>372</v>
      </c>
      <c r="M7" s="21" t="s">
        <v>372</v>
      </c>
      <c r="N7" s="21" t="s">
        <v>373</v>
      </c>
      <c r="O7" s="21">
        <v>18968</v>
      </c>
    </row>
    <row r="8" spans="1:16" x14ac:dyDescent="0.25">
      <c r="A8" s="21" t="s">
        <v>150</v>
      </c>
      <c r="B8" s="21" t="s">
        <v>396</v>
      </c>
      <c r="C8" s="21" t="s">
        <v>397</v>
      </c>
      <c r="D8" s="21" t="s">
        <v>398</v>
      </c>
      <c r="E8" s="21">
        <v>344000</v>
      </c>
      <c r="F8" s="21">
        <v>2584000</v>
      </c>
      <c r="G8" s="21" t="s">
        <v>399</v>
      </c>
      <c r="H8" s="21">
        <v>1</v>
      </c>
      <c r="I8" s="21">
        <v>1</v>
      </c>
      <c r="J8" s="21">
        <v>4</v>
      </c>
      <c r="K8" s="21">
        <v>2023</v>
      </c>
      <c r="L8" s="21" t="s">
        <v>372</v>
      </c>
      <c r="M8" s="21" t="s">
        <v>372</v>
      </c>
      <c r="N8" s="21" t="s">
        <v>373</v>
      </c>
      <c r="O8" s="21">
        <v>9226</v>
      </c>
    </row>
    <row r="9" spans="1:16" x14ac:dyDescent="0.25">
      <c r="A9" s="21" t="s">
        <v>111</v>
      </c>
      <c r="B9" s="21" t="s">
        <v>400</v>
      </c>
      <c r="C9" s="21" t="s">
        <v>401</v>
      </c>
      <c r="D9" s="21" t="s">
        <v>402</v>
      </c>
      <c r="E9" s="21">
        <v>872253</v>
      </c>
      <c r="F9" s="21">
        <v>1581947</v>
      </c>
      <c r="G9" s="21" t="s">
        <v>403</v>
      </c>
      <c r="H9" s="21">
        <v>1</v>
      </c>
      <c r="I9" s="21">
        <v>1</v>
      </c>
      <c r="J9" s="21">
        <v>4</v>
      </c>
      <c r="K9" s="21">
        <v>2023</v>
      </c>
      <c r="L9" s="21" t="s">
        <v>372</v>
      </c>
      <c r="M9" s="21" t="s">
        <v>372</v>
      </c>
      <c r="N9" s="21" t="s">
        <v>373</v>
      </c>
      <c r="O9" s="21">
        <v>4976</v>
      </c>
    </row>
    <row r="10" spans="1:16" x14ac:dyDescent="0.25">
      <c r="A10" s="21" t="s">
        <v>103</v>
      </c>
      <c r="B10" s="21" t="s">
        <v>404</v>
      </c>
      <c r="C10" s="21" t="s">
        <v>405</v>
      </c>
      <c r="D10" s="21" t="s">
        <v>406</v>
      </c>
      <c r="E10" s="21">
        <v>389195</v>
      </c>
      <c r="F10" s="21">
        <v>121602</v>
      </c>
      <c r="G10" s="21">
        <v>10332395</v>
      </c>
      <c r="H10" s="21">
        <v>1</v>
      </c>
      <c r="I10" s="21">
        <v>1</v>
      </c>
      <c r="J10" s="21">
        <v>4</v>
      </c>
      <c r="K10" s="21">
        <v>2023</v>
      </c>
      <c r="L10" s="21" t="s">
        <v>372</v>
      </c>
      <c r="M10" s="21" t="s">
        <v>372</v>
      </c>
      <c r="N10" s="21" t="s">
        <v>373</v>
      </c>
      <c r="O10" s="21" t="s">
        <v>224</v>
      </c>
    </row>
    <row r="11" spans="1:16" x14ac:dyDescent="0.25">
      <c r="A11" s="21" t="s">
        <v>407</v>
      </c>
      <c r="B11" s="21" t="s">
        <v>408</v>
      </c>
      <c r="C11" s="21" t="s">
        <v>409</v>
      </c>
      <c r="D11" s="21" t="s">
        <v>410</v>
      </c>
      <c r="E11" s="21">
        <v>171338</v>
      </c>
      <c r="F11" s="21">
        <v>18643</v>
      </c>
      <c r="G11" s="21" t="s">
        <v>411</v>
      </c>
      <c r="H11" s="21">
        <v>4</v>
      </c>
      <c r="I11" s="21">
        <v>2</v>
      </c>
      <c r="J11" s="21">
        <v>4</v>
      </c>
      <c r="K11" s="21">
        <v>2023</v>
      </c>
      <c r="L11" s="21" t="s">
        <v>373</v>
      </c>
      <c r="M11" s="21" t="s">
        <v>372</v>
      </c>
      <c r="N11" s="21" t="s">
        <v>373</v>
      </c>
      <c r="O11" s="21" t="s">
        <v>412</v>
      </c>
    </row>
    <row r="12" spans="1:16" x14ac:dyDescent="0.25">
      <c r="A12" s="21" t="s">
        <v>413</v>
      </c>
      <c r="B12" s="21" t="s">
        <v>414</v>
      </c>
      <c r="C12" s="21" t="s">
        <v>415</v>
      </c>
      <c r="D12" s="21" t="s">
        <v>416</v>
      </c>
      <c r="E12" s="21">
        <v>173157</v>
      </c>
      <c r="F12" s="21">
        <v>168878</v>
      </c>
      <c r="G12" s="21" t="s">
        <v>417</v>
      </c>
      <c r="H12" s="21">
        <v>1</v>
      </c>
      <c r="I12" s="21">
        <v>1</v>
      </c>
      <c r="J12" s="21">
        <v>4</v>
      </c>
      <c r="K12" s="21">
        <v>2023</v>
      </c>
      <c r="L12" s="21" t="s">
        <v>372</v>
      </c>
      <c r="M12" s="21" t="s">
        <v>372</v>
      </c>
      <c r="N12" s="21" t="s">
        <v>373</v>
      </c>
      <c r="O12" s="21" t="s">
        <v>418</v>
      </c>
    </row>
    <row r="13" spans="1:16" x14ac:dyDescent="0.25">
      <c r="A13" s="21" t="s">
        <v>419</v>
      </c>
      <c r="B13" s="21" t="s">
        <v>420</v>
      </c>
      <c r="C13" s="21" t="s">
        <v>421</v>
      </c>
      <c r="D13" s="21" t="s">
        <v>422</v>
      </c>
      <c r="E13" s="21">
        <v>19976</v>
      </c>
      <c r="F13" s="21">
        <v>164604</v>
      </c>
      <c r="G13" s="21" t="s">
        <v>423</v>
      </c>
      <c r="H13" s="21">
        <v>1</v>
      </c>
      <c r="I13" s="21">
        <v>1</v>
      </c>
      <c r="J13" s="21">
        <v>4</v>
      </c>
      <c r="K13" s="21">
        <v>2023</v>
      </c>
      <c r="L13" s="21" t="s">
        <v>372</v>
      </c>
      <c r="M13" s="21" t="s">
        <v>372</v>
      </c>
      <c r="N13" s="21" t="s">
        <v>373</v>
      </c>
      <c r="O13" s="21" t="s">
        <v>424</v>
      </c>
    </row>
    <row r="14" spans="1:16" x14ac:dyDescent="0.25">
      <c r="A14" s="21" t="s">
        <v>425</v>
      </c>
      <c r="B14" s="21" t="s">
        <v>426</v>
      </c>
      <c r="C14" s="21" t="s">
        <v>427</v>
      </c>
      <c r="D14" s="21" t="s">
        <v>428</v>
      </c>
      <c r="E14" s="21">
        <v>316</v>
      </c>
      <c r="F14" s="21">
        <v>265</v>
      </c>
      <c r="G14" s="21" t="s">
        <v>429</v>
      </c>
      <c r="H14" s="21">
        <v>2</v>
      </c>
      <c r="I14" s="21">
        <v>2</v>
      </c>
      <c r="J14" s="21">
        <v>4</v>
      </c>
      <c r="K14" s="21">
        <v>2023</v>
      </c>
      <c r="L14" s="21" t="s">
        <v>372</v>
      </c>
      <c r="M14" s="21" t="s">
        <v>372</v>
      </c>
      <c r="N14" s="21" t="s">
        <v>373</v>
      </c>
      <c r="O14" s="21" t="s">
        <v>430</v>
      </c>
    </row>
    <row r="15" spans="1:16" x14ac:dyDescent="0.25">
      <c r="A15" s="21" t="s">
        <v>431</v>
      </c>
      <c r="B15" s="21" t="s">
        <v>432</v>
      </c>
      <c r="C15" s="21" t="s">
        <v>433</v>
      </c>
      <c r="E15" s="21">
        <v>3823270</v>
      </c>
      <c r="F15" s="21">
        <v>4364</v>
      </c>
      <c r="G15" s="21" t="s">
        <v>434</v>
      </c>
      <c r="H15" s="21">
        <v>2</v>
      </c>
      <c r="I15" s="21">
        <v>1</v>
      </c>
      <c r="J15" s="21">
        <v>4</v>
      </c>
      <c r="K15" s="21">
        <v>2023</v>
      </c>
      <c r="L15" s="21" t="s">
        <v>372</v>
      </c>
      <c r="M15" s="21" t="s">
        <v>372</v>
      </c>
      <c r="N15" s="21" t="s">
        <v>373</v>
      </c>
      <c r="O15" s="21" t="s">
        <v>435</v>
      </c>
    </row>
    <row r="16" spans="1:16" x14ac:dyDescent="0.25">
      <c r="A16" s="21" t="s">
        <v>436</v>
      </c>
      <c r="B16" s="21" t="s">
        <v>437</v>
      </c>
      <c r="C16" s="21" t="s">
        <v>438</v>
      </c>
      <c r="D16" s="21" t="s">
        <v>439</v>
      </c>
      <c r="E16" s="21">
        <v>77785</v>
      </c>
      <c r="F16" s="21">
        <v>70609</v>
      </c>
      <c r="G16" s="21">
        <v>23315053</v>
      </c>
      <c r="H16" s="21">
        <v>1</v>
      </c>
      <c r="I16" s="21">
        <v>1</v>
      </c>
      <c r="J16" s="21">
        <v>4</v>
      </c>
      <c r="K16" s="21">
        <v>2023</v>
      </c>
      <c r="L16" s="21" t="s">
        <v>372</v>
      </c>
      <c r="M16" s="21" t="s">
        <v>372</v>
      </c>
      <c r="N16" s="21" t="s">
        <v>373</v>
      </c>
      <c r="O16" s="21">
        <v>16225</v>
      </c>
    </row>
    <row r="17" spans="1:15" x14ac:dyDescent="0.25">
      <c r="A17" s="21" t="s">
        <v>440</v>
      </c>
      <c r="B17" s="21" t="s">
        <v>441</v>
      </c>
      <c r="C17" s="21" t="s">
        <v>442</v>
      </c>
      <c r="D17" s="21" t="s">
        <v>443</v>
      </c>
      <c r="E17" s="21">
        <v>40011490</v>
      </c>
      <c r="F17" s="21">
        <v>515129</v>
      </c>
      <c r="G17" s="21" t="s">
        <v>444</v>
      </c>
      <c r="H17" s="21">
        <v>2</v>
      </c>
      <c r="I17" s="21">
        <v>2</v>
      </c>
      <c r="J17" s="21">
        <v>4</v>
      </c>
      <c r="K17" s="21">
        <v>2023</v>
      </c>
      <c r="L17" s="21" t="s">
        <v>372</v>
      </c>
      <c r="M17" s="21" t="s">
        <v>372</v>
      </c>
      <c r="N17" s="21" t="s">
        <v>373</v>
      </c>
      <c r="O17" s="21" t="s">
        <v>445</v>
      </c>
    </row>
    <row r="18" spans="1:15" x14ac:dyDescent="0.25">
      <c r="A18" s="21" t="s">
        <v>446</v>
      </c>
      <c r="B18" s="21" t="s">
        <v>447</v>
      </c>
      <c r="C18" s="21" t="s">
        <v>448</v>
      </c>
      <c r="D18" s="21" t="s">
        <v>449</v>
      </c>
      <c r="E18" s="21">
        <v>319009</v>
      </c>
      <c r="F18" s="21">
        <v>69238</v>
      </c>
      <c r="G18" s="21" t="s">
        <v>450</v>
      </c>
      <c r="H18" s="21">
        <v>4</v>
      </c>
      <c r="I18" s="21">
        <v>2</v>
      </c>
      <c r="J18" s="21">
        <v>4</v>
      </c>
      <c r="K18" s="21">
        <v>2023</v>
      </c>
      <c r="L18" s="21" t="s">
        <v>373</v>
      </c>
      <c r="M18" s="21" t="s">
        <v>372</v>
      </c>
      <c r="N18" s="21" t="s">
        <v>373</v>
      </c>
      <c r="O18" s="21" t="s">
        <v>451</v>
      </c>
    </row>
    <row r="19" spans="1:15" x14ac:dyDescent="0.25">
      <c r="A19" s="21" t="s">
        <v>82</v>
      </c>
      <c r="B19" s="21" t="s">
        <v>452</v>
      </c>
      <c r="C19" s="21" t="s">
        <v>453</v>
      </c>
      <c r="D19" s="21" t="s">
        <v>454</v>
      </c>
      <c r="E19" s="21">
        <v>22620100</v>
      </c>
      <c r="F19" s="21">
        <v>50700</v>
      </c>
      <c r="G19" s="21" t="s">
        <v>455</v>
      </c>
      <c r="H19" s="21">
        <v>1</v>
      </c>
      <c r="I19" s="21">
        <v>1</v>
      </c>
      <c r="J19" s="21">
        <v>4</v>
      </c>
      <c r="K19" s="21">
        <v>2023</v>
      </c>
      <c r="L19" s="21" t="s">
        <v>372</v>
      </c>
      <c r="M19" s="21" t="s">
        <v>372</v>
      </c>
      <c r="N19" s="21" t="s">
        <v>373</v>
      </c>
      <c r="O19" s="21">
        <v>15462</v>
      </c>
    </row>
    <row r="20" spans="1:15" x14ac:dyDescent="0.25">
      <c r="A20" s="21" t="s">
        <v>456</v>
      </c>
      <c r="B20" s="21" t="s">
        <v>457</v>
      </c>
      <c r="C20" s="21" t="s">
        <v>458</v>
      </c>
      <c r="D20" s="21" t="s">
        <v>459</v>
      </c>
      <c r="E20" s="21">
        <v>5599</v>
      </c>
      <c r="F20" s="21">
        <v>255</v>
      </c>
      <c r="G20" s="21" t="s">
        <v>460</v>
      </c>
      <c r="H20" s="21">
        <v>2</v>
      </c>
      <c r="I20" s="21">
        <v>2</v>
      </c>
      <c r="J20" s="21">
        <v>4</v>
      </c>
      <c r="K20" s="21">
        <v>2023</v>
      </c>
      <c r="L20" s="21" t="s">
        <v>372</v>
      </c>
      <c r="M20" s="21" t="s">
        <v>372</v>
      </c>
      <c r="N20" s="21" t="s">
        <v>373</v>
      </c>
      <c r="O20" s="21" t="s">
        <v>461</v>
      </c>
    </row>
    <row r="21" spans="1:15" x14ac:dyDescent="0.25">
      <c r="A21" s="21" t="s">
        <v>462</v>
      </c>
      <c r="B21" s="21" t="s">
        <v>463</v>
      </c>
      <c r="C21" s="21" t="s">
        <v>464</v>
      </c>
      <c r="D21" s="21" t="s">
        <v>465</v>
      </c>
      <c r="E21" s="21">
        <v>16800000</v>
      </c>
      <c r="F21" s="21">
        <v>9700000</v>
      </c>
      <c r="G21" s="21" t="s">
        <v>466</v>
      </c>
      <c r="H21" s="21">
        <v>1</v>
      </c>
      <c r="I21" s="21">
        <v>1</v>
      </c>
      <c r="J21" s="21">
        <v>4</v>
      </c>
      <c r="K21" s="21">
        <v>2023</v>
      </c>
      <c r="L21" s="21" t="s">
        <v>372</v>
      </c>
      <c r="M21" s="21" t="s">
        <v>372</v>
      </c>
      <c r="N21" s="21" t="s">
        <v>373</v>
      </c>
      <c r="O21" s="21">
        <v>32457</v>
      </c>
    </row>
    <row r="22" spans="1:15" x14ac:dyDescent="0.25">
      <c r="A22" s="21" t="s">
        <v>467</v>
      </c>
      <c r="B22" s="21" t="s">
        <v>468</v>
      </c>
      <c r="C22" s="21" t="s">
        <v>469</v>
      </c>
      <c r="D22" s="21" t="s">
        <v>470</v>
      </c>
      <c r="E22" s="21" t="s">
        <v>471</v>
      </c>
      <c r="F22" s="21" t="s">
        <v>472</v>
      </c>
      <c r="G22" s="21" t="s">
        <v>473</v>
      </c>
      <c r="H22" s="21">
        <v>4</v>
      </c>
      <c r="I22" s="21">
        <v>4</v>
      </c>
      <c r="J22" s="21">
        <v>4</v>
      </c>
      <c r="K22" s="21">
        <v>2023</v>
      </c>
      <c r="L22" s="21" t="s">
        <v>373</v>
      </c>
      <c r="M22" s="21" t="s">
        <v>373</v>
      </c>
      <c r="N22" s="21" t="s">
        <v>373</v>
      </c>
      <c r="O22" s="21" t="s">
        <v>474</v>
      </c>
    </row>
    <row r="23" spans="1:15" x14ac:dyDescent="0.25">
      <c r="A23" s="21" t="s">
        <v>475</v>
      </c>
      <c r="B23" s="21" t="s">
        <v>476</v>
      </c>
      <c r="C23" s="21" t="s">
        <v>477</v>
      </c>
      <c r="D23" s="21" t="s">
        <v>478</v>
      </c>
      <c r="E23" s="21">
        <v>554801</v>
      </c>
      <c r="F23" s="21">
        <v>301809</v>
      </c>
      <c r="G23" s="21" t="s">
        <v>479</v>
      </c>
      <c r="H23" s="21">
        <v>1</v>
      </c>
      <c r="I23" s="21">
        <v>1</v>
      </c>
      <c r="J23" s="21">
        <v>4</v>
      </c>
      <c r="K23" s="21">
        <v>2023</v>
      </c>
      <c r="L23" s="21" t="s">
        <v>372</v>
      </c>
      <c r="M23" s="21" t="s">
        <v>372</v>
      </c>
      <c r="N23" s="21" t="s">
        <v>373</v>
      </c>
      <c r="O23" s="21">
        <v>33975</v>
      </c>
    </row>
    <row r="24" spans="1:15" x14ac:dyDescent="0.25">
      <c r="A24" s="21" t="s">
        <v>480</v>
      </c>
      <c r="B24" s="21" t="s">
        <v>481</v>
      </c>
      <c r="C24" s="21" t="s">
        <v>482</v>
      </c>
      <c r="D24" s="21" t="s">
        <v>483</v>
      </c>
      <c r="E24" s="21">
        <v>60130</v>
      </c>
      <c r="F24" s="21">
        <v>195300</v>
      </c>
      <c r="G24" s="21" t="s">
        <v>484</v>
      </c>
      <c r="H24" s="21">
        <v>1</v>
      </c>
      <c r="I24" s="21">
        <v>2</v>
      </c>
      <c r="J24" s="21">
        <v>4</v>
      </c>
      <c r="K24" s="21">
        <v>2023</v>
      </c>
      <c r="L24" s="21" t="s">
        <v>372</v>
      </c>
      <c r="M24" s="21" t="s">
        <v>372</v>
      </c>
      <c r="N24" s="21" t="s">
        <v>373</v>
      </c>
      <c r="O24" s="21">
        <v>10184</v>
      </c>
    </row>
    <row r="25" spans="1:15" x14ac:dyDescent="0.25">
      <c r="A25" s="21" t="s">
        <v>485</v>
      </c>
      <c r="B25" s="21" t="s">
        <v>486</v>
      </c>
      <c r="C25" s="21" t="s">
        <v>487</v>
      </c>
      <c r="D25" s="21" t="s">
        <v>488</v>
      </c>
      <c r="E25" s="21">
        <v>617636</v>
      </c>
      <c r="F25" s="21">
        <v>334379</v>
      </c>
      <c r="G25" s="21" t="s">
        <v>489</v>
      </c>
      <c r="H25" s="21">
        <v>1</v>
      </c>
      <c r="I25" s="21">
        <v>1</v>
      </c>
      <c r="J25" s="21">
        <v>4</v>
      </c>
      <c r="K25" s="21">
        <v>2023</v>
      </c>
      <c r="L25" s="21" t="s">
        <v>372</v>
      </c>
      <c r="M25" s="21" t="s">
        <v>372</v>
      </c>
      <c r="N25" s="21" t="s">
        <v>373</v>
      </c>
      <c r="O25" s="21" t="s">
        <v>490</v>
      </c>
    </row>
    <row r="26" spans="1:15" x14ac:dyDescent="0.25">
      <c r="A26" s="21" t="s">
        <v>491</v>
      </c>
      <c r="B26" s="21" t="s">
        <v>492</v>
      </c>
      <c r="E26" s="21">
        <v>520</v>
      </c>
      <c r="F26" s="21">
        <v>5808</v>
      </c>
      <c r="G26" s="21">
        <v>244653</v>
      </c>
      <c r="H26" s="21">
        <v>1</v>
      </c>
      <c r="I26" s="21">
        <v>1</v>
      </c>
      <c r="J26" s="21">
        <v>1</v>
      </c>
      <c r="K26" s="21">
        <v>2023</v>
      </c>
      <c r="L26" s="21" t="s">
        <v>372</v>
      </c>
      <c r="M26" s="21" t="s">
        <v>372</v>
      </c>
      <c r="N26" s="21" t="s">
        <v>372</v>
      </c>
      <c r="O26" s="21" t="s">
        <v>493</v>
      </c>
    </row>
    <row r="27" spans="1:15" x14ac:dyDescent="0.25">
      <c r="A27" s="21" t="s">
        <v>494</v>
      </c>
      <c r="B27" s="21" t="s">
        <v>495</v>
      </c>
      <c r="C27" s="21" t="s">
        <v>496</v>
      </c>
      <c r="D27" s="21" t="s">
        <v>497</v>
      </c>
      <c r="E27" s="21">
        <v>11152</v>
      </c>
      <c r="F27" s="21">
        <v>69862</v>
      </c>
      <c r="G27" s="21" t="s">
        <v>498</v>
      </c>
      <c r="H27" s="21">
        <v>4</v>
      </c>
      <c r="I27" s="21">
        <v>2</v>
      </c>
      <c r="J27" s="21">
        <v>4</v>
      </c>
      <c r="K27" s="21">
        <v>2023</v>
      </c>
      <c r="L27" s="21" t="s">
        <v>373</v>
      </c>
      <c r="M27" s="21" t="s">
        <v>372</v>
      </c>
      <c r="N27" s="21" t="s">
        <v>373</v>
      </c>
      <c r="O27" s="21" t="s">
        <v>499</v>
      </c>
    </row>
    <row r="28" spans="1:15" x14ac:dyDescent="0.25">
      <c r="A28" s="21" t="s">
        <v>123</v>
      </c>
      <c r="B28" s="21" t="s">
        <v>500</v>
      </c>
      <c r="D28" s="21" t="s">
        <v>501</v>
      </c>
      <c r="E28" s="21">
        <v>16004</v>
      </c>
      <c r="F28" s="21">
        <v>62763</v>
      </c>
      <c r="G28" s="21">
        <v>31587541</v>
      </c>
      <c r="H28" s="21">
        <v>1</v>
      </c>
      <c r="I28" s="21">
        <v>1</v>
      </c>
      <c r="J28" s="21">
        <v>1</v>
      </c>
      <c r="K28" s="21">
        <v>2023</v>
      </c>
      <c r="L28" s="21" t="s">
        <v>372</v>
      </c>
      <c r="M28" s="21" t="s">
        <v>372</v>
      </c>
      <c r="N28" s="21" t="s">
        <v>372</v>
      </c>
      <c r="O28" s="21" t="s">
        <v>234</v>
      </c>
    </row>
    <row r="29" spans="1:15" x14ac:dyDescent="0.25">
      <c r="A29" s="21" t="s">
        <v>502</v>
      </c>
      <c r="B29" s="21" t="s">
        <v>503</v>
      </c>
      <c r="C29" s="21" t="s">
        <v>504</v>
      </c>
      <c r="D29" s="21" t="s">
        <v>505</v>
      </c>
      <c r="E29" s="21">
        <v>2542820</v>
      </c>
      <c r="F29" s="21">
        <v>89200</v>
      </c>
      <c r="G29" s="21" t="s">
        <v>506</v>
      </c>
      <c r="H29" s="21">
        <v>1</v>
      </c>
      <c r="I29" s="21">
        <v>1</v>
      </c>
      <c r="J29" s="21">
        <v>4</v>
      </c>
      <c r="K29" s="21">
        <v>2023</v>
      </c>
      <c r="L29" s="21" t="s">
        <v>372</v>
      </c>
      <c r="M29" s="21" t="s">
        <v>372</v>
      </c>
      <c r="N29" s="21" t="s">
        <v>373</v>
      </c>
      <c r="O29" s="21" t="s">
        <v>507</v>
      </c>
    </row>
    <row r="30" spans="1:15" x14ac:dyDescent="0.25">
      <c r="A30" s="21" t="s">
        <v>508</v>
      </c>
      <c r="B30" s="21" t="s">
        <v>509</v>
      </c>
      <c r="C30" s="21" t="s">
        <v>510</v>
      </c>
      <c r="E30" s="21">
        <v>21019</v>
      </c>
      <c r="F30" s="21">
        <v>5801</v>
      </c>
      <c r="G30" s="21">
        <v>59197</v>
      </c>
      <c r="H30" s="21">
        <v>1</v>
      </c>
      <c r="I30" s="21">
        <v>1</v>
      </c>
      <c r="J30" s="21">
        <v>4</v>
      </c>
      <c r="K30" s="21">
        <v>2023</v>
      </c>
      <c r="L30" s="21" t="s">
        <v>372</v>
      </c>
      <c r="M30" s="21" t="s">
        <v>372</v>
      </c>
      <c r="N30" s="21" t="s">
        <v>373</v>
      </c>
      <c r="O30" s="21" t="s">
        <v>511</v>
      </c>
    </row>
    <row r="31" spans="1:15" x14ac:dyDescent="0.25">
      <c r="A31" s="21" t="s">
        <v>512</v>
      </c>
      <c r="B31" s="21" t="s">
        <v>513</v>
      </c>
      <c r="C31" s="21" t="s">
        <v>514</v>
      </c>
      <c r="D31" s="21" t="s">
        <v>515</v>
      </c>
      <c r="E31" s="21">
        <v>928939</v>
      </c>
      <c r="F31" s="21">
        <v>5141880</v>
      </c>
      <c r="G31" s="21" t="s">
        <v>516</v>
      </c>
      <c r="H31" s="21">
        <v>1</v>
      </c>
      <c r="I31" s="21">
        <v>1</v>
      </c>
      <c r="J31" s="21">
        <v>4</v>
      </c>
      <c r="K31" s="21">
        <v>2023</v>
      </c>
      <c r="L31" s="21" t="s">
        <v>372</v>
      </c>
      <c r="M31" s="21" t="s">
        <v>372</v>
      </c>
      <c r="N31" s="21" t="s">
        <v>373</v>
      </c>
      <c r="O31" s="21" t="s">
        <v>517</v>
      </c>
    </row>
    <row r="32" spans="1:15" x14ac:dyDescent="0.25">
      <c r="A32" s="21" t="s">
        <v>518</v>
      </c>
      <c r="B32" s="21" t="s">
        <v>519</v>
      </c>
      <c r="C32" s="21" t="s">
        <v>520</v>
      </c>
      <c r="D32" s="21" t="s">
        <v>521</v>
      </c>
      <c r="E32" s="21">
        <v>1421755</v>
      </c>
      <c r="F32" s="21">
        <v>21414</v>
      </c>
      <c r="G32" s="21" t="s">
        <v>522</v>
      </c>
      <c r="H32" s="21">
        <v>2</v>
      </c>
      <c r="I32" s="21">
        <v>2</v>
      </c>
      <c r="J32" s="21">
        <v>4</v>
      </c>
      <c r="K32" s="21">
        <v>2023</v>
      </c>
      <c r="L32" s="21" t="s">
        <v>372</v>
      </c>
      <c r="M32" s="21" t="s">
        <v>372</v>
      </c>
      <c r="N32" s="21" t="s">
        <v>373</v>
      </c>
      <c r="O32" s="21" t="s">
        <v>523</v>
      </c>
    </row>
    <row r="33" spans="1:15" x14ac:dyDescent="0.25">
      <c r="A33" s="21" t="s">
        <v>524</v>
      </c>
      <c r="B33" s="21" t="s">
        <v>525</v>
      </c>
      <c r="C33" s="21" t="s">
        <v>526</v>
      </c>
      <c r="D33" s="21" t="s">
        <v>527</v>
      </c>
      <c r="E33" s="21">
        <v>17743</v>
      </c>
      <c r="F33" s="21">
        <v>5528</v>
      </c>
      <c r="G33" s="21" t="s">
        <v>528</v>
      </c>
      <c r="H33" s="21">
        <v>2</v>
      </c>
      <c r="I33" s="21">
        <v>2</v>
      </c>
      <c r="J33" s="21">
        <v>4</v>
      </c>
      <c r="K33" s="21">
        <v>2023</v>
      </c>
      <c r="L33" s="21" t="s">
        <v>372</v>
      </c>
      <c r="M33" s="21" t="s">
        <v>372</v>
      </c>
      <c r="N33" s="21" t="s">
        <v>373</v>
      </c>
      <c r="O33" s="21" t="s">
        <v>529</v>
      </c>
    </row>
    <row r="34" spans="1:15" x14ac:dyDescent="0.25">
      <c r="A34" s="21" t="s">
        <v>530</v>
      </c>
      <c r="B34" s="21" t="s">
        <v>531</v>
      </c>
      <c r="C34" s="21" t="s">
        <v>532</v>
      </c>
      <c r="D34" s="21" t="s">
        <v>533</v>
      </c>
      <c r="E34" s="21">
        <v>91200</v>
      </c>
      <c r="F34" s="21">
        <v>8045400</v>
      </c>
      <c r="G34" s="21">
        <v>14356503</v>
      </c>
      <c r="H34" s="21">
        <v>1</v>
      </c>
      <c r="I34" s="21">
        <v>1</v>
      </c>
      <c r="J34" s="21">
        <v>4</v>
      </c>
      <c r="K34" s="21">
        <v>2023</v>
      </c>
      <c r="L34" s="21" t="s">
        <v>372</v>
      </c>
      <c r="M34" s="21" t="s">
        <v>372</v>
      </c>
      <c r="N34" s="21" t="s">
        <v>373</v>
      </c>
      <c r="O34" s="21" t="s">
        <v>534</v>
      </c>
    </row>
    <row r="35" spans="1:15" x14ac:dyDescent="0.25">
      <c r="A35" s="21" t="s">
        <v>535</v>
      </c>
      <c r="B35" s="21" t="s">
        <v>536</v>
      </c>
      <c r="D35" s="21" t="s">
        <v>537</v>
      </c>
      <c r="E35" s="21" t="s">
        <v>538</v>
      </c>
      <c r="F35" s="21" t="s">
        <v>539</v>
      </c>
      <c r="G35" s="21" t="s">
        <v>540</v>
      </c>
      <c r="H35" s="21">
        <v>4</v>
      </c>
      <c r="I35" s="21">
        <v>4</v>
      </c>
      <c r="J35" s="21">
        <v>4</v>
      </c>
      <c r="K35" s="21">
        <v>2023</v>
      </c>
      <c r="L35" s="21" t="s">
        <v>373</v>
      </c>
      <c r="M35" s="21" t="s">
        <v>373</v>
      </c>
      <c r="N35" s="21" t="s">
        <v>373</v>
      </c>
      <c r="O35" s="21" t="s">
        <v>541</v>
      </c>
    </row>
    <row r="36" spans="1:15" x14ac:dyDescent="0.25">
      <c r="A36" s="21" t="s">
        <v>69</v>
      </c>
      <c r="B36" s="21" t="s">
        <v>542</v>
      </c>
      <c r="C36" s="21" t="s">
        <v>543</v>
      </c>
      <c r="D36" s="21" t="s">
        <v>544</v>
      </c>
      <c r="E36" s="21">
        <v>82888</v>
      </c>
      <c r="F36" s="21">
        <v>112932</v>
      </c>
      <c r="G36" s="21" t="s">
        <v>545</v>
      </c>
      <c r="H36" s="21">
        <v>2</v>
      </c>
      <c r="I36" s="21">
        <v>2</v>
      </c>
      <c r="J36" s="21">
        <v>4</v>
      </c>
      <c r="K36" s="21">
        <v>2023</v>
      </c>
      <c r="L36" s="21" t="s">
        <v>372</v>
      </c>
      <c r="M36" s="21" t="s">
        <v>372</v>
      </c>
      <c r="N36" s="21" t="s">
        <v>373</v>
      </c>
      <c r="O36" s="21">
        <v>2857</v>
      </c>
    </row>
    <row r="37" spans="1:15" x14ac:dyDescent="0.25">
      <c r="A37" s="21" t="s">
        <v>88</v>
      </c>
      <c r="B37" s="21" t="s">
        <v>546</v>
      </c>
      <c r="C37" s="21" t="s">
        <v>547</v>
      </c>
      <c r="D37" s="21" t="s">
        <v>548</v>
      </c>
      <c r="E37" s="21">
        <v>93970</v>
      </c>
      <c r="F37" s="21">
        <v>133651</v>
      </c>
      <c r="G37" s="21" t="s">
        <v>549</v>
      </c>
      <c r="H37" s="21">
        <v>1</v>
      </c>
      <c r="I37" s="21">
        <v>1</v>
      </c>
      <c r="J37" s="21">
        <v>4</v>
      </c>
      <c r="K37" s="21">
        <v>2023</v>
      </c>
      <c r="L37" s="21" t="s">
        <v>372</v>
      </c>
      <c r="M37" s="21" t="s">
        <v>372</v>
      </c>
      <c r="N37" s="21" t="s">
        <v>373</v>
      </c>
      <c r="O37" s="21">
        <v>13433</v>
      </c>
    </row>
    <row r="38" spans="1:15" x14ac:dyDescent="0.25">
      <c r="A38" s="21" t="s">
        <v>550</v>
      </c>
      <c r="B38" s="21" t="s">
        <v>551</v>
      </c>
      <c r="C38" s="21" t="s">
        <v>552</v>
      </c>
      <c r="D38" s="21" t="s">
        <v>553</v>
      </c>
      <c r="E38" s="21">
        <v>123892</v>
      </c>
      <c r="F38" s="21">
        <v>114625</v>
      </c>
      <c r="G38" s="21">
        <v>4476014</v>
      </c>
      <c r="H38" s="21">
        <v>1</v>
      </c>
      <c r="I38" s="21">
        <v>1</v>
      </c>
      <c r="J38" s="21">
        <v>1</v>
      </c>
      <c r="K38" s="21">
        <v>2023</v>
      </c>
      <c r="L38" s="21" t="s">
        <v>372</v>
      </c>
      <c r="M38" s="21" t="s">
        <v>372</v>
      </c>
      <c r="N38" s="21" t="s">
        <v>372</v>
      </c>
      <c r="O38" s="21" t="s">
        <v>554</v>
      </c>
    </row>
    <row r="39" spans="1:15" x14ac:dyDescent="0.25">
      <c r="A39" s="21" t="s">
        <v>555</v>
      </c>
      <c r="B39" s="21" t="s">
        <v>556</v>
      </c>
      <c r="C39" s="21" t="s">
        <v>557</v>
      </c>
      <c r="D39" s="21" t="s">
        <v>558</v>
      </c>
      <c r="E39" s="21">
        <v>7780179</v>
      </c>
      <c r="F39" s="21">
        <v>3721076</v>
      </c>
      <c r="G39" s="21" t="s">
        <v>559</v>
      </c>
      <c r="H39" s="21">
        <v>4</v>
      </c>
      <c r="I39" s="21">
        <v>2</v>
      </c>
      <c r="J39" s="21">
        <v>4</v>
      </c>
      <c r="K39" s="21">
        <v>2023</v>
      </c>
      <c r="L39" s="21" t="s">
        <v>373</v>
      </c>
      <c r="M39" s="21" t="s">
        <v>372</v>
      </c>
      <c r="N39" s="21" t="s">
        <v>373</v>
      </c>
      <c r="O39" s="21" t="s">
        <v>560</v>
      </c>
    </row>
    <row r="40" spans="1:15" x14ac:dyDescent="0.25">
      <c r="A40" s="21" t="s">
        <v>561</v>
      </c>
      <c r="B40" s="21" t="s">
        <v>562</v>
      </c>
      <c r="C40" s="21" t="s">
        <v>563</v>
      </c>
      <c r="E40" s="21">
        <v>1975</v>
      </c>
      <c r="F40" s="21">
        <v>226</v>
      </c>
      <c r="G40" s="21" t="s">
        <v>564</v>
      </c>
      <c r="H40" s="21">
        <v>2</v>
      </c>
      <c r="I40" s="21">
        <v>2</v>
      </c>
      <c r="J40" s="21">
        <v>4</v>
      </c>
      <c r="K40" s="21">
        <v>2023</v>
      </c>
      <c r="L40" s="21" t="s">
        <v>372</v>
      </c>
      <c r="M40" s="21" t="s">
        <v>372</v>
      </c>
      <c r="N40" s="21" t="s">
        <v>373</v>
      </c>
      <c r="O40" s="21" t="s">
        <v>565</v>
      </c>
    </row>
    <row r="41" spans="1:15" x14ac:dyDescent="0.25">
      <c r="A41" s="21" t="s">
        <v>87</v>
      </c>
      <c r="B41" s="21" t="s">
        <v>566</v>
      </c>
      <c r="C41" s="21" t="s">
        <v>567</v>
      </c>
      <c r="D41" s="21" t="s">
        <v>568</v>
      </c>
      <c r="E41" s="21">
        <v>1600</v>
      </c>
      <c r="F41" s="21">
        <v>35257</v>
      </c>
      <c r="G41" s="21" t="s">
        <v>569</v>
      </c>
      <c r="H41" s="21">
        <v>1</v>
      </c>
      <c r="I41" s="21">
        <v>1</v>
      </c>
      <c r="J41" s="21">
        <v>4</v>
      </c>
      <c r="K41" s="21">
        <v>2023</v>
      </c>
      <c r="L41" s="21" t="s">
        <v>372</v>
      </c>
      <c r="M41" s="21" t="s">
        <v>372</v>
      </c>
      <c r="N41" s="21" t="s">
        <v>373</v>
      </c>
      <c r="O41" s="21" t="s">
        <v>215</v>
      </c>
    </row>
    <row r="42" spans="1:15" x14ac:dyDescent="0.25">
      <c r="A42" s="21" t="s">
        <v>570</v>
      </c>
      <c r="B42" s="21" t="s">
        <v>571</v>
      </c>
      <c r="D42" s="21" t="s">
        <v>572</v>
      </c>
      <c r="E42" s="21">
        <v>1184985</v>
      </c>
      <c r="F42" s="21">
        <v>21675</v>
      </c>
      <c r="G42" s="21" t="s">
        <v>573</v>
      </c>
      <c r="H42" s="21">
        <v>1</v>
      </c>
      <c r="I42" s="21">
        <v>1</v>
      </c>
      <c r="J42" s="21">
        <v>1</v>
      </c>
      <c r="K42" s="21">
        <v>2023</v>
      </c>
      <c r="L42" s="21" t="s">
        <v>372</v>
      </c>
      <c r="M42" s="21" t="s">
        <v>372</v>
      </c>
      <c r="N42" s="21" t="s">
        <v>372</v>
      </c>
      <c r="O42" s="21" t="s">
        <v>574</v>
      </c>
    </row>
    <row r="43" spans="1:15" x14ac:dyDescent="0.25">
      <c r="A43" s="21" t="s">
        <v>575</v>
      </c>
      <c r="B43" s="21" t="s">
        <v>576</v>
      </c>
      <c r="C43" s="21" t="s">
        <v>577</v>
      </c>
      <c r="D43" s="21" t="s">
        <v>578</v>
      </c>
      <c r="E43" s="21">
        <v>14270000</v>
      </c>
      <c r="F43" s="21">
        <v>12768034</v>
      </c>
      <c r="G43" s="21" t="s">
        <v>579</v>
      </c>
      <c r="H43" s="21">
        <v>1</v>
      </c>
      <c r="I43" s="21">
        <v>1</v>
      </c>
      <c r="J43" s="21">
        <v>4</v>
      </c>
      <c r="K43" s="21">
        <v>2023</v>
      </c>
      <c r="L43" s="21" t="s">
        <v>372</v>
      </c>
      <c r="M43" s="21" t="s">
        <v>372</v>
      </c>
      <c r="N43" s="21" t="s">
        <v>373</v>
      </c>
      <c r="O43" s="21" t="s">
        <v>580</v>
      </c>
    </row>
    <row r="44" spans="1:15" x14ac:dyDescent="0.25">
      <c r="A44" s="21" t="s">
        <v>581</v>
      </c>
      <c r="B44" s="21" t="s">
        <v>582</v>
      </c>
      <c r="C44" s="21" t="s">
        <v>583</v>
      </c>
      <c r="D44" s="21" t="s">
        <v>584</v>
      </c>
      <c r="E44" s="21">
        <v>520069</v>
      </c>
      <c r="F44" s="21">
        <v>1318669</v>
      </c>
      <c r="G44" s="21" t="s">
        <v>585</v>
      </c>
      <c r="H44" s="21">
        <v>1</v>
      </c>
      <c r="I44" s="21">
        <v>1</v>
      </c>
      <c r="J44" s="21">
        <v>4</v>
      </c>
      <c r="K44" s="21">
        <v>2023</v>
      </c>
      <c r="L44" s="21" t="s">
        <v>372</v>
      </c>
      <c r="M44" s="21" t="s">
        <v>372</v>
      </c>
      <c r="N44" s="21" t="s">
        <v>373</v>
      </c>
      <c r="O44" s="21" t="s">
        <v>586</v>
      </c>
    </row>
    <row r="45" spans="1:15" x14ac:dyDescent="0.25">
      <c r="A45" s="21" t="s">
        <v>587</v>
      </c>
      <c r="B45" s="21" t="s">
        <v>588</v>
      </c>
      <c r="C45" s="21" t="s">
        <v>589</v>
      </c>
      <c r="D45" s="21" t="s">
        <v>590</v>
      </c>
      <c r="E45" s="21">
        <v>305501</v>
      </c>
      <c r="F45" s="21">
        <v>1786873</v>
      </c>
      <c r="G45" s="21">
        <v>2606779</v>
      </c>
      <c r="H45" s="21">
        <v>1</v>
      </c>
      <c r="I45" s="21">
        <v>1</v>
      </c>
      <c r="J45" s="21">
        <v>4</v>
      </c>
      <c r="K45" s="21">
        <v>2023</v>
      </c>
      <c r="L45" s="21" t="s">
        <v>372</v>
      </c>
      <c r="M45" s="21" t="s">
        <v>372</v>
      </c>
      <c r="N45" s="21" t="s">
        <v>373</v>
      </c>
      <c r="O45" s="21" t="s">
        <v>591</v>
      </c>
    </row>
    <row r="46" spans="1:15" x14ac:dyDescent="0.25">
      <c r="A46" s="21" t="s">
        <v>592</v>
      </c>
      <c r="B46" s="21" t="s">
        <v>593</v>
      </c>
      <c r="C46" s="21" t="s">
        <v>594</v>
      </c>
      <c r="D46" s="21" t="s">
        <v>595</v>
      </c>
      <c r="E46" s="21">
        <v>628716</v>
      </c>
      <c r="F46" s="21">
        <v>571425</v>
      </c>
      <c r="G46" s="21" t="s">
        <v>596</v>
      </c>
      <c r="H46" s="21">
        <v>2</v>
      </c>
      <c r="I46" s="21">
        <v>2</v>
      </c>
      <c r="J46" s="21">
        <v>4</v>
      </c>
      <c r="K46" s="21">
        <v>2023</v>
      </c>
      <c r="L46" s="21" t="s">
        <v>372</v>
      </c>
      <c r="M46" s="21" t="s">
        <v>372</v>
      </c>
      <c r="N46" s="21" t="s">
        <v>373</v>
      </c>
      <c r="O46" s="21" t="s">
        <v>597</v>
      </c>
    </row>
    <row r="47" spans="1:15" x14ac:dyDescent="0.25">
      <c r="A47" s="21" t="s">
        <v>598</v>
      </c>
      <c r="B47" s="21" t="s">
        <v>599</v>
      </c>
      <c r="C47" s="21" t="s">
        <v>600</v>
      </c>
      <c r="D47" s="21" t="s">
        <v>601</v>
      </c>
      <c r="E47" s="21">
        <v>124045</v>
      </c>
      <c r="F47" s="21">
        <v>97356</v>
      </c>
      <c r="G47" s="21">
        <v>25556384</v>
      </c>
      <c r="H47" s="21">
        <v>1</v>
      </c>
      <c r="I47" s="21">
        <v>1</v>
      </c>
      <c r="J47" s="21">
        <v>4</v>
      </c>
      <c r="K47" s="21">
        <v>2023</v>
      </c>
      <c r="L47" s="21" t="s">
        <v>372</v>
      </c>
      <c r="M47" s="21" t="s">
        <v>372</v>
      </c>
      <c r="N47" s="21" t="s">
        <v>373</v>
      </c>
      <c r="O47" s="21" t="s">
        <v>602</v>
      </c>
    </row>
    <row r="48" spans="1:15" x14ac:dyDescent="0.25">
      <c r="A48" s="21" t="s">
        <v>603</v>
      </c>
      <c r="B48" s="21" t="s">
        <v>604</v>
      </c>
      <c r="C48" s="21" t="s">
        <v>605</v>
      </c>
      <c r="D48" s="21" t="s">
        <v>606</v>
      </c>
      <c r="E48" s="21">
        <v>9034</v>
      </c>
      <c r="F48" s="21">
        <v>15502</v>
      </c>
      <c r="G48" s="21" t="s">
        <v>607</v>
      </c>
      <c r="H48" s="21">
        <v>2</v>
      </c>
      <c r="I48" s="21">
        <v>2</v>
      </c>
      <c r="J48" s="21">
        <v>4</v>
      </c>
      <c r="K48" s="21">
        <v>2023</v>
      </c>
      <c r="L48" s="21" t="s">
        <v>372</v>
      </c>
      <c r="M48" s="21" t="s">
        <v>372</v>
      </c>
      <c r="N48" s="21" t="s">
        <v>373</v>
      </c>
      <c r="O48" s="21" t="s">
        <v>608</v>
      </c>
    </row>
    <row r="49" spans="1:15" x14ac:dyDescent="0.25">
      <c r="A49" s="21" t="s">
        <v>201</v>
      </c>
      <c r="B49" s="21" t="s">
        <v>609</v>
      </c>
      <c r="C49" s="21" t="s">
        <v>610</v>
      </c>
      <c r="D49" s="21" t="s">
        <v>611</v>
      </c>
      <c r="E49" s="21">
        <v>5687</v>
      </c>
      <c r="F49" s="21">
        <v>66087</v>
      </c>
      <c r="G49" s="21" t="s">
        <v>612</v>
      </c>
      <c r="H49" s="21">
        <v>1</v>
      </c>
      <c r="I49" s="21">
        <v>1</v>
      </c>
      <c r="J49" s="21">
        <v>4</v>
      </c>
      <c r="K49" s="21">
        <v>2023</v>
      </c>
      <c r="L49" s="21" t="s">
        <v>372</v>
      </c>
      <c r="M49" s="21" t="s">
        <v>372</v>
      </c>
      <c r="N49" s="21" t="s">
        <v>373</v>
      </c>
      <c r="O49" s="21" t="s">
        <v>286</v>
      </c>
    </row>
    <row r="50" spans="1:15" x14ac:dyDescent="0.25">
      <c r="A50" s="21" t="s">
        <v>173</v>
      </c>
      <c r="B50" s="21" t="s">
        <v>613</v>
      </c>
      <c r="C50" s="21" t="s">
        <v>614</v>
      </c>
      <c r="D50" s="21" t="s">
        <v>615</v>
      </c>
      <c r="E50" s="21">
        <v>5745</v>
      </c>
      <c r="F50" s="21">
        <v>10341</v>
      </c>
      <c r="G50" s="21" t="s">
        <v>616</v>
      </c>
      <c r="H50" s="21">
        <v>1</v>
      </c>
      <c r="I50" s="21">
        <v>1</v>
      </c>
      <c r="J50" s="21">
        <v>4</v>
      </c>
      <c r="K50" s="21">
        <v>2023</v>
      </c>
      <c r="L50" s="21" t="s">
        <v>372</v>
      </c>
      <c r="M50" s="21" t="s">
        <v>372</v>
      </c>
      <c r="N50" s="21" t="s">
        <v>373</v>
      </c>
      <c r="O50" s="21" t="s">
        <v>265</v>
      </c>
    </row>
    <row r="51" spans="1:15" x14ac:dyDescent="0.25">
      <c r="A51" s="21" t="s">
        <v>617</v>
      </c>
      <c r="B51" s="21" t="s">
        <v>618</v>
      </c>
      <c r="C51" s="21" t="s">
        <v>619</v>
      </c>
      <c r="D51" s="21" t="s">
        <v>620</v>
      </c>
      <c r="E51" s="21">
        <v>51583</v>
      </c>
      <c r="F51" s="21">
        <v>98752</v>
      </c>
      <c r="G51" s="21" t="s">
        <v>621</v>
      </c>
      <c r="H51" s="21">
        <v>4</v>
      </c>
      <c r="I51" s="21">
        <v>2</v>
      </c>
      <c r="J51" s="21">
        <v>4</v>
      </c>
      <c r="K51" s="21">
        <v>2023</v>
      </c>
      <c r="L51" s="21" t="s">
        <v>373</v>
      </c>
      <c r="M51" s="21" t="s">
        <v>372</v>
      </c>
      <c r="N51" s="21" t="s">
        <v>373</v>
      </c>
      <c r="O51" s="21" t="s">
        <v>622</v>
      </c>
    </row>
    <row r="52" spans="1:15" x14ac:dyDescent="0.25">
      <c r="A52" s="21" t="s">
        <v>623</v>
      </c>
      <c r="B52" s="21" t="s">
        <v>624</v>
      </c>
      <c r="C52" s="21" t="s">
        <v>625</v>
      </c>
      <c r="D52" s="21" t="s">
        <v>626</v>
      </c>
      <c r="E52" s="21">
        <v>7694587</v>
      </c>
      <c r="F52" s="21">
        <v>65855</v>
      </c>
      <c r="G52" s="21">
        <v>2818458</v>
      </c>
      <c r="H52" s="21">
        <v>1</v>
      </c>
      <c r="I52" s="21">
        <v>1</v>
      </c>
      <c r="J52" s="21">
        <v>1</v>
      </c>
      <c r="K52" s="21">
        <v>2023</v>
      </c>
      <c r="L52" s="21" t="s">
        <v>372</v>
      </c>
      <c r="M52" s="21" t="s">
        <v>372</v>
      </c>
      <c r="N52" s="21" t="s">
        <v>372</v>
      </c>
      <c r="O52" s="21" t="s">
        <v>627</v>
      </c>
    </row>
    <row r="53" spans="1:15" x14ac:dyDescent="0.25">
      <c r="A53" s="21" t="s">
        <v>628</v>
      </c>
      <c r="B53" s="21" t="s">
        <v>629</v>
      </c>
      <c r="C53" s="21" t="s">
        <v>630</v>
      </c>
      <c r="D53" s="21" t="s">
        <v>631</v>
      </c>
      <c r="E53" s="21">
        <v>8262027</v>
      </c>
      <c r="F53" s="21">
        <v>5002161</v>
      </c>
      <c r="G53" s="21" t="s">
        <v>632</v>
      </c>
      <c r="H53" s="21">
        <v>1</v>
      </c>
      <c r="I53" s="21">
        <v>1</v>
      </c>
      <c r="J53" s="21">
        <v>4</v>
      </c>
      <c r="K53" s="21">
        <v>2023</v>
      </c>
      <c r="L53" s="21" t="s">
        <v>372</v>
      </c>
      <c r="M53" s="21" t="s">
        <v>372</v>
      </c>
      <c r="N53" s="21" t="s">
        <v>373</v>
      </c>
      <c r="O53" s="21" t="s">
        <v>633</v>
      </c>
    </row>
    <row r="54" spans="1:15" x14ac:dyDescent="0.25">
      <c r="A54" s="21" t="s">
        <v>634</v>
      </c>
      <c r="B54" s="21" t="s">
        <v>635</v>
      </c>
      <c r="E54" s="21">
        <v>24201</v>
      </c>
      <c r="F54" s="21">
        <v>171407</v>
      </c>
      <c r="G54" s="21" t="s">
        <v>636</v>
      </c>
      <c r="H54" s="21">
        <v>2</v>
      </c>
      <c r="I54" s="21">
        <v>2</v>
      </c>
      <c r="J54" s="21">
        <v>4</v>
      </c>
      <c r="K54" s="21">
        <v>2023</v>
      </c>
      <c r="L54" s="21" t="s">
        <v>372</v>
      </c>
      <c r="M54" s="21" t="s">
        <v>372</v>
      </c>
      <c r="N54" s="21" t="s">
        <v>373</v>
      </c>
      <c r="O54" s="21" t="s">
        <v>637</v>
      </c>
    </row>
    <row r="55" spans="1:15" x14ac:dyDescent="0.25">
      <c r="A55" s="21" t="s">
        <v>638</v>
      </c>
      <c r="B55" s="21" t="s">
        <v>639</v>
      </c>
      <c r="C55" s="21" t="s">
        <v>640</v>
      </c>
      <c r="D55" s="21" t="s">
        <v>641</v>
      </c>
      <c r="E55" s="21" t="s">
        <v>642</v>
      </c>
      <c r="F55" s="21" t="s">
        <v>643</v>
      </c>
      <c r="G55" s="21" t="s">
        <v>644</v>
      </c>
      <c r="H55" s="21">
        <v>4</v>
      </c>
      <c r="I55" s="21">
        <v>4</v>
      </c>
      <c r="J55" s="21">
        <v>4</v>
      </c>
      <c r="K55" s="21">
        <v>2023</v>
      </c>
      <c r="L55" s="21" t="s">
        <v>373</v>
      </c>
      <c r="M55" s="21" t="s">
        <v>373</v>
      </c>
      <c r="N55" s="21" t="s">
        <v>373</v>
      </c>
      <c r="O55" s="21" t="s">
        <v>645</v>
      </c>
    </row>
    <row r="56" spans="1:15" x14ac:dyDescent="0.25">
      <c r="A56" s="21" t="s">
        <v>646</v>
      </c>
      <c r="B56" s="21" t="s">
        <v>647</v>
      </c>
      <c r="C56" s="21" t="s">
        <v>648</v>
      </c>
      <c r="D56" s="21" t="s">
        <v>649</v>
      </c>
      <c r="E56" s="21">
        <v>55200</v>
      </c>
      <c r="F56" s="21">
        <v>1065405</v>
      </c>
      <c r="G56" s="21" t="s">
        <v>650</v>
      </c>
      <c r="H56" s="21">
        <v>1</v>
      </c>
      <c r="I56" s="21">
        <v>1</v>
      </c>
      <c r="J56" s="21">
        <v>4</v>
      </c>
      <c r="K56" s="21">
        <v>2023</v>
      </c>
      <c r="L56" s="21" t="s">
        <v>372</v>
      </c>
      <c r="M56" s="21" t="s">
        <v>372</v>
      </c>
      <c r="N56" s="21" t="s">
        <v>373</v>
      </c>
      <c r="O56" s="21" t="s">
        <v>651</v>
      </c>
    </row>
    <row r="57" spans="1:15" x14ac:dyDescent="0.25">
      <c r="A57" s="21" t="s">
        <v>652</v>
      </c>
      <c r="B57" s="21" t="s">
        <v>653</v>
      </c>
      <c r="C57" s="21" t="s">
        <v>654</v>
      </c>
      <c r="D57" s="21" t="s">
        <v>655</v>
      </c>
      <c r="E57" s="21">
        <v>338397</v>
      </c>
      <c r="F57" s="21">
        <v>52589</v>
      </c>
      <c r="G57" s="21" t="s">
        <v>656</v>
      </c>
      <c r="H57" s="21">
        <v>2</v>
      </c>
      <c r="I57" s="21">
        <v>2</v>
      </c>
      <c r="J57" s="21">
        <v>4</v>
      </c>
      <c r="K57" s="21">
        <v>2023</v>
      </c>
      <c r="L57" s="21" t="s">
        <v>372</v>
      </c>
      <c r="M57" s="21" t="s">
        <v>372</v>
      </c>
      <c r="N57" s="21" t="s">
        <v>373</v>
      </c>
      <c r="O57" s="21" t="s">
        <v>657</v>
      </c>
    </row>
    <row r="58" spans="1:15" x14ac:dyDescent="0.25">
      <c r="A58" s="21" t="s">
        <v>658</v>
      </c>
      <c r="B58" s="21" t="s">
        <v>659</v>
      </c>
      <c r="C58" s="21" t="s">
        <v>660</v>
      </c>
      <c r="D58" s="21" t="s">
        <v>661</v>
      </c>
      <c r="E58" s="21">
        <v>320635</v>
      </c>
      <c r="F58" s="21">
        <v>179312</v>
      </c>
      <c r="G58" s="21" t="s">
        <v>662</v>
      </c>
      <c r="H58" s="21">
        <v>1</v>
      </c>
      <c r="I58" s="21">
        <v>1</v>
      </c>
      <c r="J58" s="21">
        <v>4</v>
      </c>
      <c r="K58" s="21">
        <v>2023</v>
      </c>
      <c r="L58" s="21" t="s">
        <v>372</v>
      </c>
      <c r="M58" s="21" t="s">
        <v>372</v>
      </c>
      <c r="N58" s="21" t="s">
        <v>373</v>
      </c>
      <c r="O58" s="21" t="s">
        <v>663</v>
      </c>
    </row>
    <row r="59" spans="1:15" x14ac:dyDescent="0.25">
      <c r="A59" s="21" t="s">
        <v>66</v>
      </c>
      <c r="B59" s="21" t="s">
        <v>664</v>
      </c>
      <c r="C59" s="21" t="s">
        <v>665</v>
      </c>
      <c r="D59" s="21" t="s">
        <v>666</v>
      </c>
      <c r="E59" s="21">
        <v>113434783</v>
      </c>
      <c r="F59" s="21">
        <v>6157041</v>
      </c>
      <c r="G59" s="21" t="s">
        <v>667</v>
      </c>
      <c r="H59" s="21">
        <v>1</v>
      </c>
      <c r="I59" s="21">
        <v>1</v>
      </c>
      <c r="J59" s="21">
        <v>4</v>
      </c>
      <c r="K59" s="21">
        <v>2023</v>
      </c>
      <c r="L59" s="21" t="s">
        <v>372</v>
      </c>
      <c r="M59" s="21" t="s">
        <v>372</v>
      </c>
      <c r="N59" s="21" t="s">
        <v>373</v>
      </c>
      <c r="O59" s="21" t="s">
        <v>205</v>
      </c>
    </row>
    <row r="60" spans="1:15" x14ac:dyDescent="0.25">
      <c r="A60" s="21" t="s">
        <v>668</v>
      </c>
      <c r="B60" s="21" t="s">
        <v>669</v>
      </c>
      <c r="C60" s="21" t="s">
        <v>670</v>
      </c>
      <c r="D60" s="21" t="s">
        <v>671</v>
      </c>
      <c r="E60" s="21">
        <v>13500000</v>
      </c>
      <c r="F60" s="21">
        <v>2130000</v>
      </c>
      <c r="G60" s="21" t="s">
        <v>672</v>
      </c>
      <c r="H60" s="21">
        <v>1</v>
      </c>
      <c r="I60" s="21">
        <v>1</v>
      </c>
      <c r="J60" s="21">
        <v>4</v>
      </c>
      <c r="K60" s="21">
        <v>2023</v>
      </c>
      <c r="L60" s="21" t="s">
        <v>372</v>
      </c>
      <c r="M60" s="21" t="s">
        <v>372</v>
      </c>
      <c r="N60" s="21" t="s">
        <v>373</v>
      </c>
      <c r="O60" s="21" t="s">
        <v>673</v>
      </c>
    </row>
    <row r="61" spans="1:15" x14ac:dyDescent="0.25">
      <c r="A61" s="21" t="s">
        <v>674</v>
      </c>
      <c r="B61" s="21" t="s">
        <v>675</v>
      </c>
      <c r="C61" s="21" t="s">
        <v>676</v>
      </c>
      <c r="D61" s="21" t="s">
        <v>677</v>
      </c>
      <c r="E61" s="21">
        <v>175037</v>
      </c>
      <c r="F61" s="21">
        <v>110693</v>
      </c>
      <c r="G61" s="21" t="s">
        <v>678</v>
      </c>
      <c r="H61" s="21">
        <v>4</v>
      </c>
      <c r="I61" s="21">
        <v>1</v>
      </c>
      <c r="J61" s="21">
        <v>4</v>
      </c>
      <c r="K61" s="21">
        <v>2023</v>
      </c>
      <c r="L61" s="21" t="s">
        <v>373</v>
      </c>
      <c r="M61" s="21" t="s">
        <v>372</v>
      </c>
      <c r="N61" s="21" t="s">
        <v>373</v>
      </c>
      <c r="O61" s="21" t="s">
        <v>679</v>
      </c>
    </row>
    <row r="62" spans="1:15" x14ac:dyDescent="0.25">
      <c r="A62" s="21" t="s">
        <v>680</v>
      </c>
      <c r="B62" s="21" t="s">
        <v>681</v>
      </c>
      <c r="C62" s="21" t="s">
        <v>682</v>
      </c>
      <c r="D62" s="21" t="s">
        <v>683</v>
      </c>
      <c r="E62" s="21">
        <v>1330000</v>
      </c>
      <c r="F62" s="21">
        <v>964300</v>
      </c>
      <c r="G62" s="21" t="s">
        <v>684</v>
      </c>
      <c r="H62" s="21">
        <v>1</v>
      </c>
      <c r="I62" s="21">
        <v>1</v>
      </c>
      <c r="J62" s="21">
        <v>4</v>
      </c>
      <c r="K62" s="21">
        <v>2023</v>
      </c>
      <c r="L62" s="21" t="s">
        <v>372</v>
      </c>
      <c r="M62" s="21" t="s">
        <v>372</v>
      </c>
      <c r="N62" s="21" t="s">
        <v>373</v>
      </c>
      <c r="O62" s="21">
        <v>12315</v>
      </c>
    </row>
    <row r="63" spans="1:15" x14ac:dyDescent="0.25">
      <c r="A63" s="21" t="s">
        <v>685</v>
      </c>
      <c r="B63" s="21" t="s">
        <v>686</v>
      </c>
      <c r="C63" s="21" t="s">
        <v>687</v>
      </c>
      <c r="D63" s="21" t="s">
        <v>688</v>
      </c>
      <c r="E63" s="21">
        <v>13534</v>
      </c>
      <c r="F63" s="21">
        <v>28525</v>
      </c>
      <c r="G63" s="21" t="s">
        <v>689</v>
      </c>
      <c r="H63" s="21">
        <v>4</v>
      </c>
      <c r="I63" s="21">
        <v>1</v>
      </c>
      <c r="J63" s="21">
        <v>4</v>
      </c>
      <c r="K63" s="21">
        <v>2023</v>
      </c>
      <c r="L63" s="21" t="s">
        <v>373</v>
      </c>
      <c r="M63" s="21" t="s">
        <v>372</v>
      </c>
      <c r="N63" s="21" t="s">
        <v>373</v>
      </c>
      <c r="O63" s="21" t="s">
        <v>690</v>
      </c>
    </row>
    <row r="64" spans="1:15" x14ac:dyDescent="0.25">
      <c r="A64" s="21" t="s">
        <v>691</v>
      </c>
      <c r="B64" s="21" t="s">
        <v>692</v>
      </c>
      <c r="C64" s="21" t="s">
        <v>693</v>
      </c>
      <c r="D64" s="21" t="s">
        <v>694</v>
      </c>
      <c r="E64" s="21">
        <v>11675</v>
      </c>
      <c r="F64" s="21">
        <v>28437</v>
      </c>
      <c r="G64" s="21">
        <v>14513778</v>
      </c>
      <c r="H64" s="21">
        <v>2</v>
      </c>
      <c r="I64" s="21">
        <v>2</v>
      </c>
      <c r="J64" s="21">
        <v>4</v>
      </c>
      <c r="K64" s="21">
        <v>2023</v>
      </c>
      <c r="L64" s="21" t="s">
        <v>372</v>
      </c>
      <c r="M64" s="21" t="s">
        <v>372</v>
      </c>
      <c r="N64" s="21" t="s">
        <v>373</v>
      </c>
      <c r="O64" s="21" t="s">
        <v>695</v>
      </c>
    </row>
    <row r="65" spans="1:15" x14ac:dyDescent="0.25">
      <c r="A65" s="21" t="s">
        <v>696</v>
      </c>
      <c r="B65" s="21" t="s">
        <v>697</v>
      </c>
      <c r="C65" s="21" t="s">
        <v>698</v>
      </c>
      <c r="D65" s="21" t="s">
        <v>699</v>
      </c>
      <c r="E65" s="21">
        <v>90993</v>
      </c>
      <c r="F65" s="21">
        <v>2171847</v>
      </c>
      <c r="G65" s="21" t="s">
        <v>700</v>
      </c>
      <c r="H65" s="21">
        <v>1</v>
      </c>
      <c r="I65" s="21">
        <v>1</v>
      </c>
      <c r="J65" s="21">
        <v>4</v>
      </c>
      <c r="K65" s="21">
        <v>2023</v>
      </c>
      <c r="L65" s="21" t="s">
        <v>372</v>
      </c>
      <c r="M65" s="21" t="s">
        <v>372</v>
      </c>
      <c r="N65" s="21" t="s">
        <v>373</v>
      </c>
      <c r="O65" s="21" t="s">
        <v>701</v>
      </c>
    </row>
    <row r="66" spans="1:15" x14ac:dyDescent="0.25">
      <c r="A66" s="21" t="s">
        <v>702</v>
      </c>
      <c r="B66" s="21" t="s">
        <v>703</v>
      </c>
      <c r="C66" s="21" t="s">
        <v>704</v>
      </c>
      <c r="D66" s="21" t="s">
        <v>705</v>
      </c>
      <c r="E66" s="21">
        <v>17300</v>
      </c>
      <c r="F66" s="21">
        <v>193000</v>
      </c>
      <c r="G66" s="21" t="s">
        <v>706</v>
      </c>
      <c r="H66" s="21">
        <v>1</v>
      </c>
      <c r="I66" s="21">
        <v>1</v>
      </c>
      <c r="J66" s="21">
        <v>4</v>
      </c>
      <c r="K66" s="21">
        <v>2023</v>
      </c>
      <c r="L66" s="21" t="s">
        <v>372</v>
      </c>
      <c r="M66" s="21" t="s">
        <v>372</v>
      </c>
      <c r="N66" s="21" t="s">
        <v>373</v>
      </c>
      <c r="O66" s="21" t="s">
        <v>707</v>
      </c>
    </row>
    <row r="67" spans="1:15" x14ac:dyDescent="0.25">
      <c r="A67" s="21" t="s">
        <v>124</v>
      </c>
      <c r="B67" s="21" t="s">
        <v>708</v>
      </c>
      <c r="C67" s="21" t="s">
        <v>709</v>
      </c>
      <c r="D67" s="21" t="s">
        <v>710</v>
      </c>
      <c r="E67" s="21">
        <v>40789</v>
      </c>
      <c r="F67" s="21">
        <v>62638</v>
      </c>
      <c r="G67" s="21" t="s">
        <v>711</v>
      </c>
      <c r="H67" s="21">
        <v>1</v>
      </c>
      <c r="I67" s="21">
        <v>1</v>
      </c>
      <c r="J67" s="21">
        <v>4</v>
      </c>
      <c r="K67" s="21">
        <v>2023</v>
      </c>
      <c r="L67" s="21" t="s">
        <v>372</v>
      </c>
      <c r="M67" s="21" t="s">
        <v>372</v>
      </c>
      <c r="N67" s="21" t="s">
        <v>373</v>
      </c>
      <c r="O67" s="21">
        <v>538647</v>
      </c>
    </row>
    <row r="68" spans="1:15" x14ac:dyDescent="0.25">
      <c r="A68" s="21" t="s">
        <v>106</v>
      </c>
      <c r="B68" s="21" t="s">
        <v>712</v>
      </c>
      <c r="C68" s="21" t="s">
        <v>713</v>
      </c>
      <c r="D68" s="21" t="s">
        <v>714</v>
      </c>
      <c r="E68" s="21">
        <v>2408430</v>
      </c>
      <c r="F68" s="21">
        <v>698978</v>
      </c>
      <c r="G68" s="21">
        <v>7940302</v>
      </c>
      <c r="H68" s="21">
        <v>1</v>
      </c>
      <c r="I68" s="21">
        <v>1</v>
      </c>
      <c r="J68" s="21">
        <v>4</v>
      </c>
      <c r="K68" s="21">
        <v>2023</v>
      </c>
      <c r="L68" s="21" t="s">
        <v>372</v>
      </c>
      <c r="M68" s="21" t="s">
        <v>372</v>
      </c>
      <c r="N68" s="21" t="s">
        <v>373</v>
      </c>
      <c r="O68" s="21" t="s">
        <v>226</v>
      </c>
    </row>
    <row r="69" spans="1:15" x14ac:dyDescent="0.25">
      <c r="A69" s="21" t="s">
        <v>715</v>
      </c>
      <c r="B69" s="21" t="s">
        <v>716</v>
      </c>
      <c r="E69" s="21">
        <v>1505</v>
      </c>
      <c r="F69" s="21">
        <v>13447</v>
      </c>
      <c r="G69" s="21">
        <v>2760636</v>
      </c>
      <c r="H69" s="21">
        <v>1</v>
      </c>
      <c r="I69" s="21">
        <v>1</v>
      </c>
      <c r="J69" s="21">
        <v>1</v>
      </c>
      <c r="K69" s="21">
        <v>2023</v>
      </c>
      <c r="L69" s="21" t="s">
        <v>372</v>
      </c>
      <c r="M69" s="21" t="s">
        <v>372</v>
      </c>
      <c r="N69" s="21" t="s">
        <v>372</v>
      </c>
      <c r="O69" s="21" t="s">
        <v>717</v>
      </c>
    </row>
    <row r="70" spans="1:15" x14ac:dyDescent="0.25">
      <c r="A70" s="21" t="s">
        <v>718</v>
      </c>
      <c r="B70" s="21" t="s">
        <v>719</v>
      </c>
      <c r="C70" s="21" t="s">
        <v>720</v>
      </c>
      <c r="D70" s="21" t="s">
        <v>721</v>
      </c>
      <c r="E70" s="21">
        <v>85879</v>
      </c>
      <c r="F70" s="21">
        <v>41563</v>
      </c>
      <c r="G70" s="21" t="s">
        <v>722</v>
      </c>
      <c r="H70" s="21">
        <v>1</v>
      </c>
      <c r="I70" s="21">
        <v>1</v>
      </c>
      <c r="J70" s="21">
        <v>4</v>
      </c>
      <c r="K70" s="21">
        <v>2023</v>
      </c>
      <c r="L70" s="21" t="s">
        <v>372</v>
      </c>
      <c r="M70" s="21" t="s">
        <v>372</v>
      </c>
      <c r="N70" s="21" t="s">
        <v>373</v>
      </c>
      <c r="O70" s="21" t="s">
        <v>723</v>
      </c>
    </row>
    <row r="71" spans="1:15" x14ac:dyDescent="0.25">
      <c r="A71" s="21" t="s">
        <v>149</v>
      </c>
      <c r="B71" s="21" t="s">
        <v>724</v>
      </c>
      <c r="C71" s="21" t="s">
        <v>725</v>
      </c>
      <c r="D71" s="21" t="s">
        <v>726</v>
      </c>
      <c r="E71" s="21">
        <v>245117</v>
      </c>
      <c r="F71" s="21">
        <v>195126</v>
      </c>
      <c r="G71" s="21">
        <v>6369757</v>
      </c>
      <c r="H71" s="21">
        <v>1</v>
      </c>
      <c r="I71" s="21">
        <v>1</v>
      </c>
      <c r="J71" s="21">
        <v>1</v>
      </c>
      <c r="K71" s="21">
        <v>2023</v>
      </c>
      <c r="L71" s="21" t="s">
        <v>372</v>
      </c>
      <c r="M71" s="21" t="s">
        <v>372</v>
      </c>
      <c r="N71" s="21" t="s">
        <v>372</v>
      </c>
      <c r="O71" s="21" t="s">
        <v>252</v>
      </c>
    </row>
    <row r="72" spans="1:15" x14ac:dyDescent="0.25">
      <c r="A72" s="21" t="s">
        <v>727</v>
      </c>
      <c r="B72" s="21" t="s">
        <v>728</v>
      </c>
      <c r="C72" s="21" t="s">
        <v>729</v>
      </c>
      <c r="D72" s="21" t="s">
        <v>730</v>
      </c>
      <c r="E72" s="21">
        <v>917036</v>
      </c>
      <c r="F72" s="21">
        <v>4962516</v>
      </c>
      <c r="G72" s="21">
        <v>12312996</v>
      </c>
      <c r="H72" s="21">
        <v>1</v>
      </c>
      <c r="I72" s="21">
        <v>1</v>
      </c>
      <c r="J72" s="21">
        <v>1</v>
      </c>
      <c r="K72" s="21">
        <v>2023</v>
      </c>
      <c r="L72" s="21" t="s">
        <v>372</v>
      </c>
      <c r="M72" s="21" t="s">
        <v>372</v>
      </c>
      <c r="N72" s="21" t="s">
        <v>372</v>
      </c>
      <c r="O72" s="21" t="s">
        <v>731</v>
      </c>
    </row>
    <row r="73" spans="1:15" x14ac:dyDescent="0.25">
      <c r="A73" s="21" t="s">
        <v>732</v>
      </c>
      <c r="B73" s="21" t="s">
        <v>733</v>
      </c>
      <c r="E73" s="21" t="s">
        <v>734</v>
      </c>
      <c r="F73" s="21" t="s">
        <v>735</v>
      </c>
      <c r="G73" s="21" t="s">
        <v>736</v>
      </c>
      <c r="H73" s="21">
        <v>2</v>
      </c>
      <c r="I73" s="21">
        <v>2</v>
      </c>
      <c r="J73" s="21">
        <v>1</v>
      </c>
      <c r="K73" s="21">
        <v>2023</v>
      </c>
      <c r="L73" s="21" t="s">
        <v>372</v>
      </c>
      <c r="M73" s="21" t="s">
        <v>372</v>
      </c>
      <c r="N73" s="21" t="s">
        <v>372</v>
      </c>
      <c r="O73" s="21" t="s">
        <v>737</v>
      </c>
    </row>
    <row r="74" spans="1:15" x14ac:dyDescent="0.25">
      <c r="A74" s="21" t="s">
        <v>738</v>
      </c>
      <c r="B74" s="21" t="s">
        <v>739</v>
      </c>
      <c r="C74" s="21" t="s">
        <v>740</v>
      </c>
      <c r="D74" s="21" t="s">
        <v>741</v>
      </c>
      <c r="E74" s="21">
        <v>1775010</v>
      </c>
      <c r="F74" s="21">
        <v>236135</v>
      </c>
      <c r="G74" s="21">
        <v>699463</v>
      </c>
      <c r="H74" s="21">
        <v>1</v>
      </c>
      <c r="I74" s="21">
        <v>1</v>
      </c>
      <c r="J74" s="21">
        <v>1</v>
      </c>
      <c r="K74" s="21">
        <v>2023</v>
      </c>
      <c r="L74" s="21" t="s">
        <v>372</v>
      </c>
      <c r="M74" s="21" t="s">
        <v>372</v>
      </c>
      <c r="N74" s="21" t="s">
        <v>372</v>
      </c>
      <c r="O74" s="21" t="s">
        <v>742</v>
      </c>
    </row>
    <row r="75" spans="1:15" x14ac:dyDescent="0.25">
      <c r="A75" s="21" t="s">
        <v>743</v>
      </c>
      <c r="B75" s="21" t="s">
        <v>744</v>
      </c>
      <c r="C75" s="21" t="s">
        <v>745</v>
      </c>
      <c r="D75" s="21" t="s">
        <v>746</v>
      </c>
      <c r="E75" s="21">
        <v>20517</v>
      </c>
      <c r="F75" s="21">
        <v>130592</v>
      </c>
      <c r="G75" s="21" t="s">
        <v>747</v>
      </c>
      <c r="H75" s="21">
        <v>4</v>
      </c>
      <c r="I75" s="21">
        <v>1</v>
      </c>
      <c r="J75" s="21">
        <v>4</v>
      </c>
      <c r="K75" s="21">
        <v>2023</v>
      </c>
      <c r="L75" s="21" t="s">
        <v>373</v>
      </c>
      <c r="M75" s="21" t="s">
        <v>372</v>
      </c>
      <c r="N75" s="21" t="s">
        <v>373</v>
      </c>
      <c r="O75" s="21">
        <v>3610</v>
      </c>
    </row>
    <row r="76" spans="1:15" x14ac:dyDescent="0.25">
      <c r="A76" s="21" t="s">
        <v>748</v>
      </c>
      <c r="B76" s="21" t="s">
        <v>748</v>
      </c>
      <c r="C76" s="21" t="s">
        <v>749</v>
      </c>
      <c r="E76" s="21">
        <v>4423</v>
      </c>
      <c r="F76" s="21">
        <v>31</v>
      </c>
      <c r="G76" s="21" t="s">
        <v>750</v>
      </c>
      <c r="H76" s="21">
        <v>1</v>
      </c>
      <c r="I76" s="21">
        <v>1</v>
      </c>
      <c r="J76" s="21">
        <v>4</v>
      </c>
      <c r="K76" s="21">
        <v>2023</v>
      </c>
      <c r="L76" s="21" t="s">
        <v>372</v>
      </c>
      <c r="M76" s="21" t="s">
        <v>372</v>
      </c>
      <c r="N76" s="21" t="s">
        <v>373</v>
      </c>
      <c r="O76" s="21" t="s">
        <v>751</v>
      </c>
    </row>
    <row r="77" spans="1:15" x14ac:dyDescent="0.25">
      <c r="A77" s="21" t="s">
        <v>752</v>
      </c>
      <c r="B77" s="21" t="s">
        <v>753</v>
      </c>
      <c r="D77" s="21" t="s">
        <v>754</v>
      </c>
      <c r="E77" s="21">
        <v>56589</v>
      </c>
      <c r="F77" s="21">
        <v>56064</v>
      </c>
      <c r="G77" s="21">
        <v>1706758</v>
      </c>
      <c r="H77" s="21">
        <v>1</v>
      </c>
      <c r="I77" s="21">
        <v>1</v>
      </c>
      <c r="J77" s="21">
        <v>4</v>
      </c>
      <c r="K77" s="21">
        <v>2023</v>
      </c>
      <c r="L77" s="21" t="s">
        <v>372</v>
      </c>
      <c r="M77" s="21" t="s">
        <v>372</v>
      </c>
      <c r="N77" s="21" t="s">
        <v>373</v>
      </c>
      <c r="O77" s="21" t="s">
        <v>755</v>
      </c>
    </row>
    <row r="78" spans="1:15" x14ac:dyDescent="0.25">
      <c r="A78" s="21" t="s">
        <v>756</v>
      </c>
      <c r="B78" s="21" t="s">
        <v>757</v>
      </c>
      <c r="C78" s="21" t="s">
        <v>758</v>
      </c>
      <c r="D78" s="21" t="s">
        <v>759</v>
      </c>
      <c r="E78" s="21">
        <v>253026</v>
      </c>
      <c r="F78" s="21">
        <v>200079</v>
      </c>
      <c r="G78" s="21" t="s">
        <v>760</v>
      </c>
      <c r="H78" s="21">
        <v>2</v>
      </c>
      <c r="I78" s="21">
        <v>2</v>
      </c>
      <c r="J78" s="21">
        <v>4</v>
      </c>
      <c r="K78" s="21">
        <v>2023</v>
      </c>
      <c r="L78" s="21" t="s">
        <v>372</v>
      </c>
      <c r="M78" s="21" t="s">
        <v>372</v>
      </c>
      <c r="N78" s="21" t="s">
        <v>373</v>
      </c>
      <c r="O78" s="21" t="s">
        <v>761</v>
      </c>
    </row>
    <row r="79" spans="1:15" x14ac:dyDescent="0.25">
      <c r="A79" s="21" t="s">
        <v>762</v>
      </c>
      <c r="B79" s="21" t="s">
        <v>763</v>
      </c>
      <c r="E79" s="21">
        <v>7233</v>
      </c>
      <c r="F79" s="21">
        <v>22449</v>
      </c>
      <c r="G79" s="21">
        <v>9647314</v>
      </c>
      <c r="H79" s="21">
        <v>2</v>
      </c>
      <c r="I79" s="21">
        <v>2</v>
      </c>
      <c r="J79" s="21">
        <v>4</v>
      </c>
      <c r="K79" s="21">
        <v>2023</v>
      </c>
      <c r="L79" s="21" t="s">
        <v>372</v>
      </c>
      <c r="M79" s="21" t="s">
        <v>372</v>
      </c>
      <c r="N79" s="21" t="s">
        <v>373</v>
      </c>
      <c r="O79" s="21" t="s">
        <v>764</v>
      </c>
    </row>
    <row r="80" spans="1:15" x14ac:dyDescent="0.25">
      <c r="A80" s="21" t="s">
        <v>80</v>
      </c>
      <c r="B80" s="21" t="s">
        <v>765</v>
      </c>
      <c r="E80" s="21">
        <v>987869</v>
      </c>
      <c r="F80" s="21">
        <v>335844</v>
      </c>
      <c r="G80" s="21" t="s">
        <v>766</v>
      </c>
      <c r="H80" s="21">
        <v>1</v>
      </c>
      <c r="I80" s="21">
        <v>1</v>
      </c>
      <c r="J80" s="21">
        <v>4</v>
      </c>
      <c r="K80" s="21">
        <v>2023</v>
      </c>
      <c r="L80" s="21" t="s">
        <v>372</v>
      </c>
      <c r="M80" s="21" t="s">
        <v>372</v>
      </c>
      <c r="N80" s="21" t="s">
        <v>373</v>
      </c>
      <c r="O80" s="21" t="s">
        <v>211</v>
      </c>
    </row>
    <row r="81" spans="1:15" x14ac:dyDescent="0.25">
      <c r="A81" s="21" t="s">
        <v>119</v>
      </c>
      <c r="B81" s="21" t="s">
        <v>767</v>
      </c>
      <c r="C81" s="21" t="s">
        <v>768</v>
      </c>
      <c r="D81" s="21" t="s">
        <v>769</v>
      </c>
      <c r="E81" s="21">
        <v>3089851</v>
      </c>
      <c r="F81" s="21">
        <v>316</v>
      </c>
      <c r="G81" s="21" t="s">
        <v>770</v>
      </c>
      <c r="H81" s="21">
        <v>1</v>
      </c>
      <c r="I81" s="21">
        <v>1</v>
      </c>
      <c r="J81" s="21">
        <v>4</v>
      </c>
      <c r="K81" s="21">
        <v>2023</v>
      </c>
      <c r="L81" s="21" t="s">
        <v>372</v>
      </c>
      <c r="M81" s="21" t="s">
        <v>372</v>
      </c>
      <c r="N81" s="21" t="s">
        <v>373</v>
      </c>
      <c r="O81" s="21" t="s">
        <v>232</v>
      </c>
    </row>
    <row r="82" spans="1:15" x14ac:dyDescent="0.25">
      <c r="A82" s="21" t="s">
        <v>771</v>
      </c>
      <c r="B82" s="21" t="s">
        <v>772</v>
      </c>
      <c r="C82" s="21" t="s">
        <v>773</v>
      </c>
      <c r="D82" s="21" t="s">
        <v>774</v>
      </c>
      <c r="E82" s="21">
        <v>127167</v>
      </c>
      <c r="F82" s="21">
        <v>46114</v>
      </c>
      <c r="G82" s="21" t="s">
        <v>775</v>
      </c>
      <c r="H82" s="21">
        <v>1</v>
      </c>
      <c r="I82" s="21">
        <v>1</v>
      </c>
      <c r="J82" s="21">
        <v>4</v>
      </c>
      <c r="K82" s="21">
        <v>2023</v>
      </c>
      <c r="L82" s="21" t="s">
        <v>372</v>
      </c>
      <c r="M82" s="21" t="s">
        <v>372</v>
      </c>
      <c r="N82" s="21" t="s">
        <v>373</v>
      </c>
      <c r="O82" s="21" t="s">
        <v>776</v>
      </c>
    </row>
    <row r="83" spans="1:15" x14ac:dyDescent="0.25">
      <c r="A83" s="21" t="s">
        <v>777</v>
      </c>
      <c r="B83" s="21" t="s">
        <v>778</v>
      </c>
      <c r="C83" s="21" t="s">
        <v>779</v>
      </c>
      <c r="D83" s="21" t="s">
        <v>780</v>
      </c>
      <c r="E83" s="21">
        <v>113089</v>
      </c>
      <c r="F83" s="21">
        <v>281182</v>
      </c>
      <c r="G83" s="21" t="s">
        <v>781</v>
      </c>
      <c r="H83" s="21">
        <v>1</v>
      </c>
      <c r="I83" s="21">
        <v>1</v>
      </c>
      <c r="J83" s="21">
        <v>4</v>
      </c>
      <c r="K83" s="21">
        <v>2023</v>
      </c>
      <c r="L83" s="21" t="s">
        <v>372</v>
      </c>
      <c r="M83" s="21" t="s">
        <v>372</v>
      </c>
      <c r="N83" s="21" t="s">
        <v>373</v>
      </c>
      <c r="O83" s="21" t="s">
        <v>782</v>
      </c>
    </row>
    <row r="84" spans="1:15" x14ac:dyDescent="0.25">
      <c r="A84" s="21" t="s">
        <v>783</v>
      </c>
      <c r="B84" s="21" t="s">
        <v>784</v>
      </c>
      <c r="C84" s="21" t="s">
        <v>785</v>
      </c>
      <c r="E84" s="21" t="s">
        <v>786</v>
      </c>
      <c r="F84" s="21" t="s">
        <v>787</v>
      </c>
      <c r="G84" s="21" t="s">
        <v>788</v>
      </c>
      <c r="H84" s="21">
        <v>4</v>
      </c>
      <c r="I84" s="21">
        <v>4</v>
      </c>
      <c r="J84" s="21">
        <v>4</v>
      </c>
      <c r="K84" s="21">
        <v>2023</v>
      </c>
      <c r="L84" s="21" t="s">
        <v>373</v>
      </c>
      <c r="M84" s="21" t="s">
        <v>373</v>
      </c>
      <c r="N84" s="21" t="s">
        <v>373</v>
      </c>
      <c r="O84" s="21" t="s">
        <v>789</v>
      </c>
    </row>
    <row r="85" spans="1:15" x14ac:dyDescent="0.25">
      <c r="A85" s="21" t="s">
        <v>790</v>
      </c>
      <c r="B85" s="21" t="s">
        <v>791</v>
      </c>
      <c r="C85" s="21" t="s">
        <v>792</v>
      </c>
      <c r="D85" s="21" t="s">
        <v>793</v>
      </c>
      <c r="E85" s="21">
        <v>449608</v>
      </c>
      <c r="F85" s="21">
        <v>803219</v>
      </c>
      <c r="G85" s="21" t="s">
        <v>794</v>
      </c>
      <c r="H85" s="21">
        <v>1</v>
      </c>
      <c r="I85" s="21">
        <v>1</v>
      </c>
      <c r="J85" s="21">
        <v>4</v>
      </c>
      <c r="K85" s="21">
        <v>2023</v>
      </c>
      <c r="L85" s="21" t="s">
        <v>372</v>
      </c>
      <c r="M85" s="21" t="s">
        <v>372</v>
      </c>
      <c r="N85" s="21" t="s">
        <v>373</v>
      </c>
      <c r="O85" s="21" t="s">
        <v>795</v>
      </c>
    </row>
    <row r="86" spans="1:15" x14ac:dyDescent="0.25">
      <c r="A86" s="21" t="s">
        <v>796</v>
      </c>
      <c r="B86" s="21" t="s">
        <v>797</v>
      </c>
      <c r="C86" s="21" t="s">
        <v>798</v>
      </c>
      <c r="D86" s="21" t="s">
        <v>799</v>
      </c>
      <c r="E86" s="21">
        <v>1768</v>
      </c>
      <c r="F86" s="21">
        <v>3715</v>
      </c>
      <c r="G86" s="21" t="s">
        <v>800</v>
      </c>
      <c r="H86" s="21">
        <v>4</v>
      </c>
      <c r="I86" s="21">
        <v>2</v>
      </c>
      <c r="J86" s="21">
        <v>4</v>
      </c>
      <c r="K86" s="21">
        <v>2023</v>
      </c>
      <c r="L86" s="21" t="s">
        <v>373</v>
      </c>
      <c r="M86" s="21" t="s">
        <v>372</v>
      </c>
      <c r="N86" s="21" t="s">
        <v>373</v>
      </c>
      <c r="O86" s="21" t="s">
        <v>801</v>
      </c>
    </row>
    <row r="87" spans="1:15" x14ac:dyDescent="0.25">
      <c r="A87" s="21" t="s">
        <v>802</v>
      </c>
      <c r="B87" s="21" t="s">
        <v>803</v>
      </c>
      <c r="C87" s="21" t="s">
        <v>804</v>
      </c>
      <c r="D87" s="21" t="s">
        <v>805</v>
      </c>
      <c r="E87" s="21">
        <v>5170</v>
      </c>
      <c r="F87" s="21">
        <v>41640</v>
      </c>
      <c r="G87" s="21" t="s">
        <v>806</v>
      </c>
      <c r="H87" s="21">
        <v>2</v>
      </c>
      <c r="I87" s="21">
        <v>2</v>
      </c>
      <c r="J87" s="21">
        <v>4</v>
      </c>
      <c r="K87" s="21">
        <v>2023</v>
      </c>
      <c r="L87" s="21" t="s">
        <v>372</v>
      </c>
      <c r="M87" s="21" t="s">
        <v>372</v>
      </c>
      <c r="N87" s="21" t="s">
        <v>373</v>
      </c>
      <c r="O87" s="21" t="s">
        <v>807</v>
      </c>
    </row>
    <row r="88" spans="1:15" x14ac:dyDescent="0.25">
      <c r="A88" s="21" t="s">
        <v>808</v>
      </c>
      <c r="B88" s="21" t="s">
        <v>809</v>
      </c>
      <c r="C88" s="21" t="s">
        <v>810</v>
      </c>
      <c r="D88" s="21" t="s">
        <v>811</v>
      </c>
      <c r="E88" s="21">
        <v>23234</v>
      </c>
      <c r="F88" s="21">
        <v>4802</v>
      </c>
      <c r="G88" s="21">
        <v>3802591</v>
      </c>
      <c r="H88" s="21">
        <v>1</v>
      </c>
      <c r="I88" s="21">
        <v>1</v>
      </c>
      <c r="J88" s="21">
        <v>1</v>
      </c>
      <c r="K88" s="21">
        <v>2023</v>
      </c>
      <c r="L88" s="21" t="s">
        <v>372</v>
      </c>
      <c r="M88" s="21" t="s">
        <v>372</v>
      </c>
      <c r="N88" s="21" t="s">
        <v>372</v>
      </c>
      <c r="O88" s="21" t="s">
        <v>812</v>
      </c>
    </row>
    <row r="89" spans="1:15" x14ac:dyDescent="0.25">
      <c r="A89" s="21" t="s">
        <v>813</v>
      </c>
      <c r="B89" s="21" t="s">
        <v>814</v>
      </c>
      <c r="C89" s="21" t="s">
        <v>815</v>
      </c>
      <c r="D89" s="21" t="s">
        <v>816</v>
      </c>
      <c r="E89" s="21">
        <v>5981000</v>
      </c>
      <c r="F89" s="21">
        <v>1419000</v>
      </c>
      <c r="G89" s="21" t="s">
        <v>817</v>
      </c>
      <c r="H89" s="21">
        <v>1</v>
      </c>
      <c r="I89" s="21">
        <v>1</v>
      </c>
      <c r="J89" s="21">
        <v>4</v>
      </c>
      <c r="K89" s="21">
        <v>2023</v>
      </c>
      <c r="L89" s="21" t="s">
        <v>372</v>
      </c>
      <c r="M89" s="21" t="s">
        <v>372</v>
      </c>
      <c r="N89" s="21" t="s">
        <v>373</v>
      </c>
      <c r="O89" s="21" t="s">
        <v>818</v>
      </c>
    </row>
    <row r="90" spans="1:15" x14ac:dyDescent="0.25">
      <c r="A90" s="21" t="s">
        <v>819</v>
      </c>
      <c r="B90" s="21" t="s">
        <v>820</v>
      </c>
      <c r="C90" s="21" t="s">
        <v>821</v>
      </c>
      <c r="D90" s="21" t="s">
        <v>822</v>
      </c>
      <c r="E90" s="21">
        <v>103877</v>
      </c>
      <c r="F90" s="21">
        <v>271861</v>
      </c>
      <c r="G90" s="21" t="s">
        <v>823</v>
      </c>
      <c r="H90" s="21">
        <v>1</v>
      </c>
      <c r="I90" s="21">
        <v>1</v>
      </c>
      <c r="J90" s="21">
        <v>4</v>
      </c>
      <c r="K90" s="21">
        <v>2023</v>
      </c>
      <c r="L90" s="21" t="s">
        <v>372</v>
      </c>
      <c r="M90" s="21" t="s">
        <v>372</v>
      </c>
      <c r="N90" s="21" t="s">
        <v>373</v>
      </c>
      <c r="O90" s="21" t="s">
        <v>824</v>
      </c>
    </row>
    <row r="91" spans="1:15" x14ac:dyDescent="0.25">
      <c r="A91" s="21" t="s">
        <v>825</v>
      </c>
      <c r="B91" s="21" t="s">
        <v>826</v>
      </c>
      <c r="C91" s="21" t="s">
        <v>827</v>
      </c>
      <c r="D91" s="21" t="s">
        <v>828</v>
      </c>
      <c r="E91" s="21">
        <v>16555000</v>
      </c>
      <c r="F91" s="21">
        <v>3558000</v>
      </c>
      <c r="G91" s="21" t="s">
        <v>829</v>
      </c>
      <c r="H91" s="21">
        <v>1</v>
      </c>
      <c r="I91" s="21">
        <v>1</v>
      </c>
      <c r="J91" s="21">
        <v>4</v>
      </c>
      <c r="K91" s="21">
        <v>2023</v>
      </c>
      <c r="L91" s="21" t="s">
        <v>372</v>
      </c>
      <c r="M91" s="21" t="s">
        <v>372</v>
      </c>
      <c r="N91" s="21" t="s">
        <v>373</v>
      </c>
      <c r="O91" s="21">
        <v>60878</v>
      </c>
    </row>
    <row r="92" spans="1:15" x14ac:dyDescent="0.25">
      <c r="A92" s="21" t="s">
        <v>830</v>
      </c>
      <c r="B92" s="21" t="s">
        <v>831</v>
      </c>
      <c r="C92" s="21" t="s">
        <v>832</v>
      </c>
      <c r="D92" s="21" t="s">
        <v>833</v>
      </c>
      <c r="E92" s="21">
        <v>5318</v>
      </c>
      <c r="F92" s="21">
        <v>11371</v>
      </c>
      <c r="G92" s="21" t="s">
        <v>834</v>
      </c>
      <c r="H92" s="21">
        <v>4</v>
      </c>
      <c r="I92" s="21">
        <v>2</v>
      </c>
      <c r="J92" s="21">
        <v>4</v>
      </c>
      <c r="K92" s="21">
        <v>2023</v>
      </c>
      <c r="L92" s="21" t="s">
        <v>373</v>
      </c>
      <c r="M92" s="21" t="s">
        <v>372</v>
      </c>
      <c r="N92" s="21" t="s">
        <v>373</v>
      </c>
      <c r="O92" s="21" t="s">
        <v>835</v>
      </c>
    </row>
    <row r="93" spans="1:15" x14ac:dyDescent="0.25">
      <c r="A93" s="21" t="s">
        <v>836</v>
      </c>
      <c r="B93" s="21" t="s">
        <v>837</v>
      </c>
      <c r="C93" s="21" t="s">
        <v>838</v>
      </c>
      <c r="D93" s="21" t="s">
        <v>839</v>
      </c>
      <c r="E93" s="21">
        <v>373000</v>
      </c>
      <c r="F93" s="21">
        <v>413000</v>
      </c>
      <c r="G93" s="21">
        <v>5915000</v>
      </c>
      <c r="H93" s="21">
        <v>1</v>
      </c>
      <c r="I93" s="21">
        <v>1</v>
      </c>
      <c r="J93" s="21">
        <v>1</v>
      </c>
      <c r="K93" s="21">
        <v>2023</v>
      </c>
      <c r="L93" s="21" t="s">
        <v>372</v>
      </c>
      <c r="M93" s="21" t="s">
        <v>372</v>
      </c>
      <c r="N93" s="21" t="s">
        <v>372</v>
      </c>
      <c r="O93" s="21" t="s">
        <v>840</v>
      </c>
    </row>
    <row r="94" spans="1:15" x14ac:dyDescent="0.25">
      <c r="A94" s="21" t="s">
        <v>125</v>
      </c>
      <c r="B94" s="21" t="s">
        <v>841</v>
      </c>
      <c r="C94" s="21" t="s">
        <v>842</v>
      </c>
      <c r="D94" s="21" t="s">
        <v>843</v>
      </c>
      <c r="E94" s="21">
        <v>1910000</v>
      </c>
      <c r="F94" s="21">
        <v>1560000</v>
      </c>
      <c r="G94" s="21" t="s">
        <v>844</v>
      </c>
      <c r="H94" s="21">
        <v>1</v>
      </c>
      <c r="I94" s="21">
        <v>1</v>
      </c>
      <c r="J94" s="21">
        <v>4</v>
      </c>
      <c r="K94" s="21">
        <v>2023</v>
      </c>
      <c r="L94" s="21" t="s">
        <v>372</v>
      </c>
      <c r="M94" s="21" t="s">
        <v>372</v>
      </c>
      <c r="N94" s="21" t="s">
        <v>373</v>
      </c>
      <c r="O94" s="21">
        <v>72856</v>
      </c>
    </row>
    <row r="95" spans="1:15" x14ac:dyDescent="0.25">
      <c r="A95" s="21" t="s">
        <v>845</v>
      </c>
      <c r="B95" s="21" t="s">
        <v>846</v>
      </c>
      <c r="C95" s="21" t="s">
        <v>847</v>
      </c>
      <c r="D95" s="21" t="s">
        <v>848</v>
      </c>
      <c r="E95" s="21">
        <v>150535</v>
      </c>
      <c r="F95" s="21">
        <v>442260</v>
      </c>
      <c r="G95" s="21" t="s">
        <v>849</v>
      </c>
      <c r="H95" s="21">
        <v>2</v>
      </c>
      <c r="I95" s="21">
        <v>2</v>
      </c>
      <c r="J95" s="21">
        <v>4</v>
      </c>
      <c r="K95" s="21">
        <v>2023</v>
      </c>
      <c r="L95" s="21" t="s">
        <v>372</v>
      </c>
      <c r="M95" s="21" t="s">
        <v>372</v>
      </c>
      <c r="N95" s="21" t="s">
        <v>373</v>
      </c>
      <c r="O95" s="21" t="s">
        <v>850</v>
      </c>
    </row>
    <row r="96" spans="1:15" x14ac:dyDescent="0.25">
      <c r="A96" s="21" t="s">
        <v>851</v>
      </c>
      <c r="B96" s="21" t="s">
        <v>852</v>
      </c>
      <c r="C96" s="21" t="s">
        <v>853</v>
      </c>
      <c r="D96" s="21" t="s">
        <v>854</v>
      </c>
      <c r="E96" s="21">
        <v>882001</v>
      </c>
      <c r="F96" s="21">
        <v>155369</v>
      </c>
      <c r="G96" s="21" t="s">
        <v>855</v>
      </c>
      <c r="H96" s="21">
        <v>4</v>
      </c>
      <c r="I96" s="21">
        <v>2</v>
      </c>
      <c r="J96" s="21">
        <v>4</v>
      </c>
      <c r="K96" s="21">
        <v>2023</v>
      </c>
      <c r="L96" s="21" t="s">
        <v>373</v>
      </c>
      <c r="M96" s="21" t="s">
        <v>372</v>
      </c>
      <c r="N96" s="21" t="s">
        <v>373</v>
      </c>
      <c r="O96" s="21" t="s">
        <v>856</v>
      </c>
    </row>
    <row r="97" spans="1:15" x14ac:dyDescent="0.25">
      <c r="A97" s="21" t="s">
        <v>91</v>
      </c>
      <c r="B97" s="21" t="s">
        <v>857</v>
      </c>
      <c r="C97" s="21" t="s">
        <v>858</v>
      </c>
      <c r="D97" s="21" t="s">
        <v>859</v>
      </c>
      <c r="E97" s="21">
        <v>39497</v>
      </c>
      <c r="F97" s="21">
        <v>59495</v>
      </c>
      <c r="G97" s="21" t="s">
        <v>860</v>
      </c>
      <c r="H97" s="21">
        <v>1</v>
      </c>
      <c r="I97" s="21">
        <v>1</v>
      </c>
      <c r="J97" s="21">
        <v>4</v>
      </c>
      <c r="K97" s="21">
        <v>2023</v>
      </c>
      <c r="L97" s="21" t="s">
        <v>372</v>
      </c>
      <c r="M97" s="21" t="s">
        <v>372</v>
      </c>
      <c r="N97" s="21" t="s">
        <v>373</v>
      </c>
      <c r="O97" s="21">
        <v>8609</v>
      </c>
    </row>
    <row r="98" spans="1:15" x14ac:dyDescent="0.25">
      <c r="A98" s="21" t="s">
        <v>861</v>
      </c>
      <c r="B98" s="21" t="s">
        <v>862</v>
      </c>
      <c r="D98" s="21" t="s">
        <v>863</v>
      </c>
      <c r="E98" s="21">
        <v>16692</v>
      </c>
      <c r="F98" s="21">
        <v>4419</v>
      </c>
      <c r="G98" s="21">
        <v>2732457</v>
      </c>
      <c r="H98" s="21">
        <v>1</v>
      </c>
      <c r="I98" s="21">
        <v>1</v>
      </c>
      <c r="J98" s="21">
        <v>4</v>
      </c>
      <c r="K98" s="21">
        <v>2023</v>
      </c>
      <c r="L98" s="21" t="s">
        <v>372</v>
      </c>
      <c r="M98" s="21" t="s">
        <v>372</v>
      </c>
      <c r="N98" s="21" t="s">
        <v>373</v>
      </c>
      <c r="O98" s="21" t="s">
        <v>864</v>
      </c>
    </row>
    <row r="99" spans="1:15" x14ac:dyDescent="0.25">
      <c r="A99" s="21" t="s">
        <v>203</v>
      </c>
      <c r="B99" s="21" t="s">
        <v>865</v>
      </c>
      <c r="D99" s="21" t="s">
        <v>866</v>
      </c>
      <c r="E99" s="21">
        <v>191100</v>
      </c>
      <c r="F99" s="21">
        <v>171500</v>
      </c>
      <c r="G99" s="21" t="s">
        <v>867</v>
      </c>
      <c r="H99" s="21">
        <v>1</v>
      </c>
      <c r="I99" s="21">
        <v>1</v>
      </c>
      <c r="J99" s="21">
        <v>4</v>
      </c>
      <c r="K99" s="21">
        <v>2023</v>
      </c>
      <c r="L99" s="21" t="s">
        <v>372</v>
      </c>
      <c r="M99" s="21" t="s">
        <v>372</v>
      </c>
      <c r="N99" s="21" t="s">
        <v>373</v>
      </c>
      <c r="O99" s="21">
        <v>22607</v>
      </c>
    </row>
    <row r="100" spans="1:15" x14ac:dyDescent="0.25">
      <c r="A100" s="21" t="s">
        <v>868</v>
      </c>
      <c r="B100" s="21" t="s">
        <v>869</v>
      </c>
      <c r="C100" s="21" t="s">
        <v>870</v>
      </c>
      <c r="D100" s="21" t="s">
        <v>871</v>
      </c>
      <c r="E100" s="21">
        <v>9200000</v>
      </c>
      <c r="F100" s="21">
        <v>4800000</v>
      </c>
      <c r="G100" s="21" t="s">
        <v>872</v>
      </c>
      <c r="H100" s="21">
        <v>1</v>
      </c>
      <c r="I100" s="21">
        <v>1</v>
      </c>
      <c r="J100" s="21">
        <v>4</v>
      </c>
      <c r="K100" s="21">
        <v>2023</v>
      </c>
      <c r="L100" s="21" t="s">
        <v>372</v>
      </c>
      <c r="M100" s="21" t="s">
        <v>372</v>
      </c>
      <c r="N100" s="21" t="s">
        <v>373</v>
      </c>
      <c r="O100" s="21" t="s">
        <v>873</v>
      </c>
    </row>
    <row r="101" spans="1:15" x14ac:dyDescent="0.25">
      <c r="A101" s="21" t="s">
        <v>174</v>
      </c>
      <c r="B101" s="21" t="s">
        <v>874</v>
      </c>
      <c r="C101" s="21" t="s">
        <v>875</v>
      </c>
      <c r="D101" s="21" t="s">
        <v>876</v>
      </c>
      <c r="E101" s="21">
        <v>1127129</v>
      </c>
      <c r="F101" s="21">
        <v>461252</v>
      </c>
      <c r="G101" s="21">
        <v>9321665</v>
      </c>
      <c r="H101" s="21">
        <v>1</v>
      </c>
      <c r="I101" s="21">
        <v>1</v>
      </c>
      <c r="J101" s="21">
        <v>4</v>
      </c>
      <c r="K101" s="21">
        <v>2023</v>
      </c>
      <c r="L101" s="21" t="s">
        <v>372</v>
      </c>
      <c r="M101" s="21" t="s">
        <v>372</v>
      </c>
      <c r="N101" s="21" t="s">
        <v>373</v>
      </c>
      <c r="O101" s="21" t="s">
        <v>266</v>
      </c>
    </row>
    <row r="102" spans="1:15" x14ac:dyDescent="0.25">
      <c r="A102" s="21" t="s">
        <v>877</v>
      </c>
      <c r="B102" s="21" t="s">
        <v>878</v>
      </c>
      <c r="C102" s="21" t="s">
        <v>879</v>
      </c>
      <c r="D102" s="21" t="s">
        <v>880</v>
      </c>
      <c r="E102" s="21">
        <v>24629</v>
      </c>
      <c r="F102" s="21">
        <v>34321</v>
      </c>
      <c r="G102" s="21" t="s">
        <v>881</v>
      </c>
      <c r="H102" s="21">
        <v>1</v>
      </c>
      <c r="I102" s="21">
        <v>1</v>
      </c>
      <c r="J102" s="21">
        <v>4</v>
      </c>
      <c r="K102" s="21">
        <v>2023</v>
      </c>
      <c r="L102" s="21" t="s">
        <v>372</v>
      </c>
      <c r="M102" s="21" t="s">
        <v>372</v>
      </c>
      <c r="N102" s="21" t="s">
        <v>373</v>
      </c>
      <c r="O102" s="21" t="s">
        <v>882</v>
      </c>
    </row>
    <row r="103" spans="1:15" x14ac:dyDescent="0.25">
      <c r="A103" s="21" t="s">
        <v>883</v>
      </c>
      <c r="B103" s="21" t="s">
        <v>884</v>
      </c>
      <c r="C103" s="21" t="s">
        <v>885</v>
      </c>
      <c r="D103" s="21" t="s">
        <v>886</v>
      </c>
      <c r="E103" s="21">
        <v>542</v>
      </c>
      <c r="F103" s="21">
        <v>10759</v>
      </c>
      <c r="G103" s="21" t="s">
        <v>887</v>
      </c>
      <c r="H103" s="21">
        <v>1</v>
      </c>
      <c r="I103" s="21">
        <v>1</v>
      </c>
      <c r="J103" s="21">
        <v>4</v>
      </c>
      <c r="K103" s="21">
        <v>2023</v>
      </c>
      <c r="L103" s="21" t="s">
        <v>372</v>
      </c>
      <c r="M103" s="21" t="s">
        <v>372</v>
      </c>
      <c r="N103" s="21" t="s">
        <v>373</v>
      </c>
      <c r="O103" s="21" t="s">
        <v>888</v>
      </c>
    </row>
    <row r="104" spans="1:15" x14ac:dyDescent="0.25">
      <c r="A104" s="21" t="s">
        <v>889</v>
      </c>
      <c r="B104" s="21" t="s">
        <v>890</v>
      </c>
      <c r="C104" s="21" t="s">
        <v>891</v>
      </c>
      <c r="D104" s="21" t="s">
        <v>892</v>
      </c>
      <c r="E104" s="21">
        <v>433132</v>
      </c>
      <c r="F104" s="21">
        <v>9833</v>
      </c>
      <c r="G104" s="21" t="s">
        <v>893</v>
      </c>
      <c r="H104" s="21">
        <v>2</v>
      </c>
      <c r="I104" s="21">
        <v>2</v>
      </c>
      <c r="J104" s="21">
        <v>4</v>
      </c>
      <c r="K104" s="21">
        <v>2023</v>
      </c>
      <c r="L104" s="21" t="s">
        <v>372</v>
      </c>
      <c r="M104" s="21" t="s">
        <v>372</v>
      </c>
      <c r="N104" s="21" t="s">
        <v>373</v>
      </c>
      <c r="O104" s="21" t="s">
        <v>894</v>
      </c>
    </row>
    <row r="105" spans="1:15" x14ac:dyDescent="0.25">
      <c r="A105" s="21" t="s">
        <v>895</v>
      </c>
      <c r="B105" s="21" t="s">
        <v>896</v>
      </c>
      <c r="D105" s="21" t="s">
        <v>897</v>
      </c>
      <c r="E105" s="21">
        <v>6068</v>
      </c>
      <c r="F105" s="21">
        <v>94075</v>
      </c>
      <c r="G105" s="21" t="s">
        <v>898</v>
      </c>
      <c r="H105" s="21">
        <v>1</v>
      </c>
      <c r="I105" s="21">
        <v>1</v>
      </c>
      <c r="J105" s="21">
        <v>1</v>
      </c>
      <c r="K105" s="21">
        <v>2023</v>
      </c>
      <c r="L105" s="21" t="s">
        <v>372</v>
      </c>
      <c r="M105" s="21" t="s">
        <v>372</v>
      </c>
      <c r="N105" s="21" t="s">
        <v>372</v>
      </c>
      <c r="O105" s="21" t="s">
        <v>899</v>
      </c>
    </row>
    <row r="106" spans="1:15" x14ac:dyDescent="0.25">
      <c r="A106" s="21" t="s">
        <v>900</v>
      </c>
      <c r="B106" s="21" t="s">
        <v>901</v>
      </c>
      <c r="D106" s="21" t="s">
        <v>902</v>
      </c>
      <c r="E106" s="21">
        <v>280781</v>
      </c>
      <c r="F106" s="21">
        <v>212637</v>
      </c>
      <c r="G106" s="21">
        <v>2149916</v>
      </c>
      <c r="H106" s="21">
        <v>2</v>
      </c>
      <c r="I106" s="21">
        <v>2</v>
      </c>
      <c r="J106" s="21">
        <v>4</v>
      </c>
      <c r="K106" s="21">
        <v>2023</v>
      </c>
      <c r="L106" s="21" t="s">
        <v>372</v>
      </c>
      <c r="M106" s="21" t="s">
        <v>372</v>
      </c>
      <c r="N106" s="21" t="s">
        <v>373</v>
      </c>
      <c r="O106" s="21">
        <v>23080</v>
      </c>
    </row>
    <row r="107" spans="1:15" x14ac:dyDescent="0.25">
      <c r="A107" s="21" t="s">
        <v>903</v>
      </c>
      <c r="B107" s="21" t="s">
        <v>904</v>
      </c>
      <c r="C107" s="21" t="s">
        <v>905</v>
      </c>
      <c r="D107" s="21" t="s">
        <v>906</v>
      </c>
      <c r="E107" s="21">
        <v>642000</v>
      </c>
      <c r="F107" s="21">
        <v>779000</v>
      </c>
      <c r="G107" s="21" t="s">
        <v>907</v>
      </c>
      <c r="H107" s="21">
        <v>1</v>
      </c>
      <c r="I107" s="21">
        <v>1</v>
      </c>
      <c r="J107" s="21">
        <v>4</v>
      </c>
      <c r="K107" s="21">
        <v>2023</v>
      </c>
      <c r="L107" s="21" t="s">
        <v>372</v>
      </c>
      <c r="M107" s="21" t="s">
        <v>372</v>
      </c>
      <c r="N107" s="21" t="s">
        <v>373</v>
      </c>
      <c r="O107" s="21" t="s">
        <v>908</v>
      </c>
    </row>
    <row r="108" spans="1:15" x14ac:dyDescent="0.25">
      <c r="A108" s="21" t="s">
        <v>909</v>
      </c>
      <c r="B108" s="21" t="s">
        <v>910</v>
      </c>
      <c r="C108" s="21" t="s">
        <v>911</v>
      </c>
      <c r="D108" s="21" t="s">
        <v>912</v>
      </c>
      <c r="E108" s="21">
        <v>136081</v>
      </c>
      <c r="F108" s="21">
        <v>21269</v>
      </c>
      <c r="G108" s="21" t="s">
        <v>913</v>
      </c>
      <c r="H108" s="21">
        <v>4</v>
      </c>
      <c r="I108" s="21">
        <v>2</v>
      </c>
      <c r="J108" s="21">
        <v>4</v>
      </c>
      <c r="K108" s="21">
        <v>2023</v>
      </c>
      <c r="L108" s="21" t="s">
        <v>373</v>
      </c>
      <c r="M108" s="21" t="s">
        <v>372</v>
      </c>
      <c r="N108" s="21" t="s">
        <v>373</v>
      </c>
      <c r="O108" s="21" t="s">
        <v>914</v>
      </c>
    </row>
    <row r="109" spans="1:15" x14ac:dyDescent="0.25">
      <c r="A109" s="21" t="s">
        <v>915</v>
      </c>
      <c r="B109" s="21" t="s">
        <v>916</v>
      </c>
      <c r="E109" s="21">
        <v>1603</v>
      </c>
      <c r="F109" s="21">
        <v>4095</v>
      </c>
      <c r="G109" s="21">
        <v>726147</v>
      </c>
      <c r="H109" s="21">
        <v>4</v>
      </c>
      <c r="I109" s="21">
        <v>2</v>
      </c>
      <c r="J109" s="21">
        <v>4</v>
      </c>
      <c r="K109" s="21">
        <v>2023</v>
      </c>
      <c r="L109" s="21" t="s">
        <v>373</v>
      </c>
      <c r="M109" s="21" t="s">
        <v>372</v>
      </c>
      <c r="N109" s="21" t="s">
        <v>373</v>
      </c>
      <c r="O109" s="21" t="s">
        <v>917</v>
      </c>
    </row>
    <row r="110" spans="1:15" x14ac:dyDescent="0.25">
      <c r="A110" s="21" t="s">
        <v>918</v>
      </c>
      <c r="B110" s="21" t="s">
        <v>919</v>
      </c>
      <c r="C110" s="21" t="s">
        <v>920</v>
      </c>
      <c r="D110" s="21" t="s">
        <v>921</v>
      </c>
      <c r="E110" s="21">
        <v>4396</v>
      </c>
      <c r="F110" s="21">
        <v>162</v>
      </c>
      <c r="G110" s="21">
        <v>319249</v>
      </c>
      <c r="H110" s="21">
        <v>2</v>
      </c>
      <c r="I110" s="21">
        <v>2</v>
      </c>
      <c r="J110" s="21">
        <v>4</v>
      </c>
      <c r="K110" s="21">
        <v>2023</v>
      </c>
      <c r="L110" s="21" t="s">
        <v>372</v>
      </c>
      <c r="M110" s="21" t="s">
        <v>372</v>
      </c>
      <c r="N110" s="21" t="s">
        <v>373</v>
      </c>
      <c r="O110" s="21" t="s">
        <v>922</v>
      </c>
    </row>
    <row r="111" spans="1:15" x14ac:dyDescent="0.25">
      <c r="A111" s="21" t="s">
        <v>923</v>
      </c>
      <c r="B111" s="21" t="s">
        <v>924</v>
      </c>
      <c r="C111" s="21" t="s">
        <v>925</v>
      </c>
      <c r="D111" s="21" t="s">
        <v>926</v>
      </c>
      <c r="E111" s="21">
        <v>3331743</v>
      </c>
      <c r="F111" s="21">
        <v>1454713</v>
      </c>
      <c r="G111" s="21" t="s">
        <v>927</v>
      </c>
      <c r="H111" s="21">
        <v>2</v>
      </c>
      <c r="I111" s="21">
        <v>2</v>
      </c>
      <c r="J111" s="21">
        <v>4</v>
      </c>
      <c r="K111" s="21">
        <v>2023</v>
      </c>
      <c r="L111" s="21" t="s">
        <v>372</v>
      </c>
      <c r="M111" s="21" t="s">
        <v>372</v>
      </c>
      <c r="N111" s="21" t="s">
        <v>373</v>
      </c>
      <c r="O111" s="21" t="s">
        <v>928</v>
      </c>
    </row>
    <row r="112" spans="1:15" x14ac:dyDescent="0.25">
      <c r="A112" s="21" t="s">
        <v>187</v>
      </c>
      <c r="B112" s="21" t="s">
        <v>929</v>
      </c>
      <c r="C112" s="21" t="s">
        <v>930</v>
      </c>
      <c r="D112" s="21" t="s">
        <v>931</v>
      </c>
      <c r="E112" s="21">
        <v>1729927</v>
      </c>
      <c r="F112" s="21">
        <v>197240</v>
      </c>
      <c r="G112" s="21" t="s">
        <v>932</v>
      </c>
      <c r="H112" s="21">
        <v>1</v>
      </c>
      <c r="I112" s="21">
        <v>1</v>
      </c>
      <c r="J112" s="21">
        <v>4</v>
      </c>
      <c r="K112" s="21">
        <v>2023</v>
      </c>
      <c r="L112" s="21" t="s">
        <v>372</v>
      </c>
      <c r="M112" s="21" t="s">
        <v>372</v>
      </c>
      <c r="N112" s="21" t="s">
        <v>373</v>
      </c>
      <c r="O112" s="21">
        <v>29284</v>
      </c>
    </row>
    <row r="113" spans="1:15" x14ac:dyDescent="0.25">
      <c r="A113" s="21" t="s">
        <v>933</v>
      </c>
      <c r="B113" s="21" t="s">
        <v>934</v>
      </c>
      <c r="C113" s="21" t="s">
        <v>935</v>
      </c>
      <c r="E113" s="21">
        <v>31748</v>
      </c>
      <c r="F113" s="21">
        <v>16407</v>
      </c>
      <c r="G113" s="21" t="s">
        <v>936</v>
      </c>
      <c r="H113" s="21">
        <v>1</v>
      </c>
      <c r="I113" s="21">
        <v>1</v>
      </c>
      <c r="J113" s="21">
        <v>4</v>
      </c>
      <c r="K113" s="21">
        <v>2023</v>
      </c>
      <c r="L113" s="21" t="s">
        <v>372</v>
      </c>
      <c r="M113" s="21" t="s">
        <v>372</v>
      </c>
      <c r="N113" s="21" t="s">
        <v>373</v>
      </c>
      <c r="O113" s="21" t="s">
        <v>937</v>
      </c>
    </row>
    <row r="114" spans="1:15" x14ac:dyDescent="0.25">
      <c r="A114" s="21" t="s">
        <v>938</v>
      </c>
      <c r="B114" s="21" t="s">
        <v>939</v>
      </c>
      <c r="C114" s="21" t="s">
        <v>940</v>
      </c>
      <c r="D114" s="21" t="s">
        <v>941</v>
      </c>
      <c r="E114" s="21">
        <v>10104170</v>
      </c>
      <c r="F114" s="21">
        <v>731736</v>
      </c>
      <c r="G114" s="21" t="s">
        <v>942</v>
      </c>
      <c r="H114" s="21">
        <v>1</v>
      </c>
      <c r="I114" s="21">
        <v>1</v>
      </c>
      <c r="J114" s="21">
        <v>1</v>
      </c>
      <c r="K114" s="21">
        <v>2023</v>
      </c>
      <c r="L114" s="21" t="s">
        <v>372</v>
      </c>
      <c r="M114" s="21" t="s">
        <v>372</v>
      </c>
      <c r="N114" s="21" t="s">
        <v>372</v>
      </c>
      <c r="O114" s="21" t="s">
        <v>943</v>
      </c>
    </row>
    <row r="115" spans="1:15" x14ac:dyDescent="0.25">
      <c r="A115" s="21" t="s">
        <v>944</v>
      </c>
      <c r="B115" s="21" t="s">
        <v>945</v>
      </c>
      <c r="C115" s="21" t="s">
        <v>946</v>
      </c>
      <c r="D115" s="21" t="s">
        <v>947</v>
      </c>
      <c r="E115" s="21">
        <v>1746874</v>
      </c>
      <c r="F115" s="21">
        <v>73590</v>
      </c>
      <c r="G115" s="21" t="s">
        <v>948</v>
      </c>
      <c r="H115" s="21">
        <v>1</v>
      </c>
      <c r="I115" s="21">
        <v>1</v>
      </c>
      <c r="J115" s="21">
        <v>4</v>
      </c>
      <c r="K115" s="21">
        <v>2023</v>
      </c>
      <c r="L115" s="21" t="s">
        <v>372</v>
      </c>
      <c r="M115" s="21" t="s">
        <v>372</v>
      </c>
      <c r="N115" s="21" t="s">
        <v>373</v>
      </c>
      <c r="O115" s="21" t="s">
        <v>949</v>
      </c>
    </row>
    <row r="116" spans="1:15" x14ac:dyDescent="0.25">
      <c r="A116" s="21" t="s">
        <v>950</v>
      </c>
      <c r="B116" s="21" t="s">
        <v>951</v>
      </c>
      <c r="C116" s="21" t="s">
        <v>952</v>
      </c>
      <c r="D116" s="21" t="s">
        <v>953</v>
      </c>
      <c r="E116" s="21">
        <v>100927</v>
      </c>
      <c r="F116" s="21">
        <v>544663</v>
      </c>
      <c r="G116" s="21" t="s">
        <v>954</v>
      </c>
      <c r="H116" s="21">
        <v>1</v>
      </c>
      <c r="I116" s="21">
        <v>1</v>
      </c>
      <c r="J116" s="21">
        <v>4</v>
      </c>
      <c r="K116" s="21">
        <v>2023</v>
      </c>
      <c r="L116" s="21" t="s">
        <v>372</v>
      </c>
      <c r="M116" s="21" t="s">
        <v>372</v>
      </c>
      <c r="N116" s="21" t="s">
        <v>373</v>
      </c>
      <c r="O116" s="21" t="s">
        <v>955</v>
      </c>
    </row>
    <row r="117" spans="1:15" x14ac:dyDescent="0.25">
      <c r="A117" s="21" t="s">
        <v>200</v>
      </c>
      <c r="B117" s="21" t="s">
        <v>956</v>
      </c>
      <c r="C117" s="21" t="s">
        <v>957</v>
      </c>
      <c r="D117" s="21" t="s">
        <v>958</v>
      </c>
      <c r="E117" s="21">
        <v>211681</v>
      </c>
      <c r="F117" s="21">
        <v>49704</v>
      </c>
      <c r="G117" s="21" t="s">
        <v>959</v>
      </c>
      <c r="H117" s="21">
        <v>1</v>
      </c>
      <c r="I117" s="21">
        <v>1</v>
      </c>
      <c r="J117" s="21">
        <v>4</v>
      </c>
      <c r="K117" s="21">
        <v>2023</v>
      </c>
      <c r="L117" s="21" t="s">
        <v>372</v>
      </c>
      <c r="M117" s="21" t="s">
        <v>372</v>
      </c>
      <c r="N117" s="21" t="s">
        <v>373</v>
      </c>
      <c r="O117" s="21" t="s">
        <v>285</v>
      </c>
    </row>
    <row r="118" spans="1:15" x14ac:dyDescent="0.25">
      <c r="A118" s="21" t="s">
        <v>960</v>
      </c>
      <c r="B118" s="21" t="s">
        <v>961</v>
      </c>
      <c r="C118" s="21" t="s">
        <v>962</v>
      </c>
      <c r="D118" s="21" t="s">
        <v>963</v>
      </c>
      <c r="E118" s="21">
        <v>1782281</v>
      </c>
      <c r="F118" s="21">
        <v>2153236</v>
      </c>
      <c r="G118" s="21" t="s">
        <v>964</v>
      </c>
      <c r="H118" s="21">
        <v>1</v>
      </c>
      <c r="I118" s="21">
        <v>1</v>
      </c>
      <c r="J118" s="21">
        <v>4</v>
      </c>
      <c r="K118" s="21">
        <v>2023</v>
      </c>
      <c r="L118" s="21" t="s">
        <v>372</v>
      </c>
      <c r="M118" s="21" t="s">
        <v>372</v>
      </c>
      <c r="N118" s="21" t="s">
        <v>373</v>
      </c>
      <c r="O118" s="21" t="s">
        <v>965</v>
      </c>
    </row>
    <row r="119" spans="1:15" x14ac:dyDescent="0.25">
      <c r="A119" s="21" t="s">
        <v>966</v>
      </c>
      <c r="B119" s="21" t="s">
        <v>967</v>
      </c>
      <c r="C119" s="21" t="s">
        <v>968</v>
      </c>
      <c r="D119" s="21" t="s">
        <v>969</v>
      </c>
      <c r="E119" s="21">
        <v>272485</v>
      </c>
      <c r="F119" s="21">
        <v>37707</v>
      </c>
      <c r="G119" s="21" t="s">
        <v>970</v>
      </c>
      <c r="H119" s="21">
        <v>2</v>
      </c>
      <c r="I119" s="21">
        <v>2</v>
      </c>
      <c r="J119" s="21">
        <v>4</v>
      </c>
      <c r="K119" s="21">
        <v>2023</v>
      </c>
      <c r="L119" s="21" t="s">
        <v>372</v>
      </c>
      <c r="M119" s="21" t="s">
        <v>372</v>
      </c>
      <c r="N119" s="21" t="s">
        <v>373</v>
      </c>
      <c r="O119" s="21" t="s">
        <v>971</v>
      </c>
    </row>
    <row r="120" spans="1:15" x14ac:dyDescent="0.25">
      <c r="A120" s="21" t="s">
        <v>127</v>
      </c>
      <c r="B120" s="21" t="s">
        <v>972</v>
      </c>
      <c r="C120" s="21" t="s">
        <v>973</v>
      </c>
      <c r="D120" s="21" t="s">
        <v>974</v>
      </c>
      <c r="E120" s="21">
        <v>5732</v>
      </c>
      <c r="F120" s="21">
        <v>6243</v>
      </c>
      <c r="G120" s="21">
        <v>2460206</v>
      </c>
      <c r="H120" s="21">
        <v>1</v>
      </c>
      <c r="I120" s="21">
        <v>1</v>
      </c>
      <c r="J120" s="21">
        <v>1</v>
      </c>
      <c r="K120" s="21">
        <v>2023</v>
      </c>
      <c r="L120" s="21" t="s">
        <v>372</v>
      </c>
      <c r="M120" s="21" t="s">
        <v>372</v>
      </c>
      <c r="N120" s="21" t="s">
        <v>372</v>
      </c>
      <c r="O120" s="21" t="s">
        <v>235</v>
      </c>
    </row>
    <row r="121" spans="1:15" x14ac:dyDescent="0.25">
      <c r="A121" s="21" t="s">
        <v>159</v>
      </c>
      <c r="B121" s="21" t="s">
        <v>975</v>
      </c>
      <c r="C121" s="21" t="s">
        <v>976</v>
      </c>
      <c r="E121" s="21">
        <v>202290</v>
      </c>
      <c r="F121" s="21">
        <v>155056</v>
      </c>
      <c r="G121" s="21">
        <v>1820832</v>
      </c>
      <c r="H121" s="21">
        <v>1</v>
      </c>
      <c r="I121" s="21">
        <v>1</v>
      </c>
      <c r="J121" s="21">
        <v>4</v>
      </c>
      <c r="K121" s="21">
        <v>2023</v>
      </c>
      <c r="L121" s="21" t="s">
        <v>372</v>
      </c>
      <c r="M121" s="21" t="s">
        <v>372</v>
      </c>
      <c r="N121" s="21" t="s">
        <v>373</v>
      </c>
      <c r="O121" s="21">
        <v>65109</v>
      </c>
    </row>
    <row r="122" spans="1:15" x14ac:dyDescent="0.25">
      <c r="A122" s="21" t="s">
        <v>977</v>
      </c>
      <c r="B122" s="21" t="s">
        <v>978</v>
      </c>
      <c r="D122" s="21" t="s">
        <v>979</v>
      </c>
      <c r="E122" s="21">
        <v>16743</v>
      </c>
      <c r="F122" s="21">
        <v>32638</v>
      </c>
      <c r="G122" s="21" t="s">
        <v>980</v>
      </c>
      <c r="H122" s="21">
        <v>1</v>
      </c>
      <c r="I122" s="21">
        <v>2</v>
      </c>
      <c r="J122" s="21">
        <v>4</v>
      </c>
      <c r="K122" s="21">
        <v>2023</v>
      </c>
      <c r="L122" s="21" t="s">
        <v>372</v>
      </c>
      <c r="M122" s="21" t="s">
        <v>372</v>
      </c>
      <c r="N122" s="21" t="s">
        <v>373</v>
      </c>
      <c r="O122" s="21" t="s">
        <v>981</v>
      </c>
    </row>
    <row r="123" spans="1:15" x14ac:dyDescent="0.25">
      <c r="A123" s="21" t="s">
        <v>982</v>
      </c>
      <c r="B123" s="21" t="s">
        <v>983</v>
      </c>
      <c r="C123" s="21" t="s">
        <v>984</v>
      </c>
      <c r="D123" s="21" t="s">
        <v>985</v>
      </c>
      <c r="E123" s="21">
        <v>8025</v>
      </c>
      <c r="F123" s="21">
        <v>11739</v>
      </c>
      <c r="G123" s="21" t="s">
        <v>986</v>
      </c>
      <c r="H123" s="21">
        <v>1</v>
      </c>
      <c r="I123" s="21">
        <v>1</v>
      </c>
      <c r="J123" s="21">
        <v>4</v>
      </c>
      <c r="K123" s="21">
        <v>2023</v>
      </c>
      <c r="L123" s="21" t="s">
        <v>372</v>
      </c>
      <c r="M123" s="21" t="s">
        <v>372</v>
      </c>
      <c r="N123" s="21" t="s">
        <v>373</v>
      </c>
      <c r="O123" s="21" t="s">
        <v>987</v>
      </c>
    </row>
    <row r="124" spans="1:15" x14ac:dyDescent="0.25">
      <c r="A124" s="21" t="s">
        <v>988</v>
      </c>
      <c r="B124" s="21" t="s">
        <v>989</v>
      </c>
      <c r="C124" s="21" t="s">
        <v>990</v>
      </c>
      <c r="D124" s="21" t="s">
        <v>991</v>
      </c>
      <c r="E124" s="21">
        <v>180227</v>
      </c>
      <c r="F124" s="21">
        <v>498302</v>
      </c>
      <c r="G124" s="21" t="s">
        <v>992</v>
      </c>
      <c r="H124" s="21">
        <v>2</v>
      </c>
      <c r="I124" s="21">
        <v>2</v>
      </c>
      <c r="J124" s="21">
        <v>4</v>
      </c>
      <c r="K124" s="21">
        <v>2023</v>
      </c>
      <c r="L124" s="21" t="s">
        <v>372</v>
      </c>
      <c r="M124" s="21" t="s">
        <v>372</v>
      </c>
      <c r="N124" s="21" t="s">
        <v>373</v>
      </c>
      <c r="O124" s="21" t="s">
        <v>993</v>
      </c>
    </row>
    <row r="125" spans="1:15" x14ac:dyDescent="0.25">
      <c r="A125" s="21" t="s">
        <v>994</v>
      </c>
      <c r="B125" s="21" t="s">
        <v>995</v>
      </c>
      <c r="C125" s="21" t="s">
        <v>996</v>
      </c>
      <c r="D125" s="21" t="s">
        <v>997</v>
      </c>
      <c r="E125" s="21">
        <v>13006</v>
      </c>
      <c r="F125" s="21">
        <v>31014</v>
      </c>
      <c r="G125" s="21" t="s">
        <v>998</v>
      </c>
      <c r="H125" s="21">
        <v>1</v>
      </c>
      <c r="I125" s="21">
        <v>1</v>
      </c>
      <c r="J125" s="21">
        <v>4</v>
      </c>
      <c r="K125" s="21">
        <v>2023</v>
      </c>
      <c r="L125" s="21" t="s">
        <v>372</v>
      </c>
      <c r="M125" s="21" t="s">
        <v>372</v>
      </c>
      <c r="N125" s="21" t="s">
        <v>373</v>
      </c>
      <c r="O125" s="21" t="s">
        <v>999</v>
      </c>
    </row>
    <row r="126" spans="1:15" x14ac:dyDescent="0.25">
      <c r="A126" s="21" t="s">
        <v>1000</v>
      </c>
      <c r="B126" s="21" t="s">
        <v>1001</v>
      </c>
      <c r="C126" s="21" t="s">
        <v>1002</v>
      </c>
      <c r="D126" s="21" t="s">
        <v>1003</v>
      </c>
      <c r="E126" s="21">
        <v>98358</v>
      </c>
      <c r="F126" s="21">
        <v>181474</v>
      </c>
      <c r="G126" s="21" t="s">
        <v>1004</v>
      </c>
      <c r="H126" s="21">
        <v>2</v>
      </c>
      <c r="I126" s="21">
        <v>2</v>
      </c>
      <c r="J126" s="21">
        <v>4</v>
      </c>
      <c r="K126" s="21">
        <v>2023</v>
      </c>
      <c r="L126" s="21" t="s">
        <v>372</v>
      </c>
      <c r="M126" s="21" t="s">
        <v>372</v>
      </c>
      <c r="N126" s="21" t="s">
        <v>373</v>
      </c>
      <c r="O126" s="21" t="s">
        <v>1005</v>
      </c>
    </row>
    <row r="127" spans="1:15" x14ac:dyDescent="0.25">
      <c r="A127" s="21" t="s">
        <v>1006</v>
      </c>
      <c r="B127" s="21" t="s">
        <v>1007</v>
      </c>
      <c r="C127" s="21" t="s">
        <v>1008</v>
      </c>
      <c r="D127" s="21" t="s">
        <v>1009</v>
      </c>
      <c r="E127" s="21">
        <v>191281</v>
      </c>
      <c r="F127" s="21">
        <v>650186</v>
      </c>
      <c r="G127" s="21" t="s">
        <v>1010</v>
      </c>
      <c r="H127" s="21">
        <v>4</v>
      </c>
      <c r="I127" s="21">
        <v>2</v>
      </c>
      <c r="J127" s="21">
        <v>4</v>
      </c>
      <c r="K127" s="21">
        <v>2023</v>
      </c>
      <c r="L127" s="21" t="s">
        <v>373</v>
      </c>
      <c r="M127" s="21" t="s">
        <v>372</v>
      </c>
      <c r="N127" s="21" t="s">
        <v>373</v>
      </c>
      <c r="O127" s="21" t="s">
        <v>1011</v>
      </c>
    </row>
    <row r="128" spans="1:15" x14ac:dyDescent="0.25">
      <c r="A128" s="21" t="s">
        <v>1012</v>
      </c>
      <c r="B128" s="21" t="s">
        <v>1013</v>
      </c>
      <c r="C128" s="21" t="s">
        <v>1014</v>
      </c>
      <c r="D128" s="21" t="s">
        <v>1015</v>
      </c>
      <c r="E128" s="21">
        <v>1737156</v>
      </c>
      <c r="F128" s="21">
        <v>1010292</v>
      </c>
      <c r="G128" s="21" t="s">
        <v>1016</v>
      </c>
      <c r="H128" s="21">
        <v>4</v>
      </c>
      <c r="I128" s="21">
        <v>2</v>
      </c>
      <c r="J128" s="21">
        <v>4</v>
      </c>
      <c r="K128" s="21">
        <v>2023</v>
      </c>
      <c r="L128" s="21" t="s">
        <v>373</v>
      </c>
      <c r="M128" s="21" t="s">
        <v>372</v>
      </c>
      <c r="N128" s="21" t="s">
        <v>373</v>
      </c>
      <c r="O128" s="21" t="s">
        <v>1017</v>
      </c>
    </row>
    <row r="129" spans="1:15" x14ac:dyDescent="0.25">
      <c r="A129" s="21" t="s">
        <v>1018</v>
      </c>
      <c r="B129" s="21" t="s">
        <v>1019</v>
      </c>
      <c r="E129" s="21">
        <v>140035</v>
      </c>
      <c r="F129" s="21">
        <v>47169</v>
      </c>
      <c r="G129" s="21">
        <v>1872286</v>
      </c>
      <c r="H129" s="21">
        <v>1</v>
      </c>
      <c r="I129" s="21">
        <v>1</v>
      </c>
      <c r="J129" s="21">
        <v>4</v>
      </c>
      <c r="K129" s="21">
        <v>2023</v>
      </c>
      <c r="L129" s="21" t="s">
        <v>372</v>
      </c>
      <c r="M129" s="21" t="s">
        <v>372</v>
      </c>
      <c r="N129" s="21" t="s">
        <v>373</v>
      </c>
      <c r="O129" s="21" t="s">
        <v>1020</v>
      </c>
    </row>
    <row r="130" spans="1:15" x14ac:dyDescent="0.25">
      <c r="A130" s="21" t="s">
        <v>1021</v>
      </c>
      <c r="B130" s="21" t="s">
        <v>1022</v>
      </c>
      <c r="C130" s="21" t="s">
        <v>1023</v>
      </c>
      <c r="D130" s="21" t="s">
        <v>1024</v>
      </c>
      <c r="E130" s="21">
        <v>259181</v>
      </c>
      <c r="F130" s="21">
        <v>82214</v>
      </c>
      <c r="G130" s="21">
        <v>391416</v>
      </c>
      <c r="H130" s="21">
        <v>4</v>
      </c>
      <c r="I130" s="21">
        <v>2</v>
      </c>
      <c r="J130" s="21">
        <v>4</v>
      </c>
      <c r="K130" s="21">
        <v>2023</v>
      </c>
      <c r="L130" s="21" t="s">
        <v>373</v>
      </c>
      <c r="M130" s="21" t="s">
        <v>372</v>
      </c>
      <c r="N130" s="21" t="s">
        <v>373</v>
      </c>
      <c r="O130" s="21" t="s">
        <v>1025</v>
      </c>
    </row>
    <row r="131" spans="1:15" x14ac:dyDescent="0.25">
      <c r="A131" s="21" t="s">
        <v>184</v>
      </c>
      <c r="B131" s="21" t="s">
        <v>1026</v>
      </c>
      <c r="C131" s="21" t="s">
        <v>1027</v>
      </c>
      <c r="D131" s="21" t="s">
        <v>1028</v>
      </c>
      <c r="E131" s="21">
        <v>1769789</v>
      </c>
      <c r="F131" s="21">
        <v>1150738</v>
      </c>
      <c r="G131" s="21" t="s">
        <v>1029</v>
      </c>
      <c r="H131" s="21">
        <v>1</v>
      </c>
      <c r="I131" s="21">
        <v>1</v>
      </c>
      <c r="J131" s="21">
        <v>4</v>
      </c>
      <c r="K131" s="21">
        <v>2023</v>
      </c>
      <c r="L131" s="21" t="s">
        <v>372</v>
      </c>
      <c r="M131" s="21" t="s">
        <v>372</v>
      </c>
      <c r="N131" s="21" t="s">
        <v>373</v>
      </c>
      <c r="O131" s="21" t="s">
        <v>273</v>
      </c>
    </row>
    <row r="132" spans="1:15" x14ac:dyDescent="0.25">
      <c r="A132" s="21" t="s">
        <v>1030</v>
      </c>
      <c r="B132" s="21" t="s">
        <v>1031</v>
      </c>
      <c r="C132" s="21" t="s">
        <v>1032</v>
      </c>
      <c r="D132" s="21" t="s">
        <v>1033</v>
      </c>
      <c r="E132" s="21">
        <v>93405</v>
      </c>
      <c r="F132" s="21">
        <v>27895</v>
      </c>
      <c r="G132" s="21" t="s">
        <v>1034</v>
      </c>
      <c r="H132" s="21">
        <v>1</v>
      </c>
      <c r="I132" s="21">
        <v>1</v>
      </c>
      <c r="J132" s="21">
        <v>4</v>
      </c>
      <c r="K132" s="21">
        <v>2023</v>
      </c>
      <c r="L132" s="21" t="s">
        <v>372</v>
      </c>
      <c r="M132" s="21" t="s">
        <v>372</v>
      </c>
      <c r="N132" s="21" t="s">
        <v>373</v>
      </c>
      <c r="O132" s="21" t="s">
        <v>1035</v>
      </c>
    </row>
    <row r="133" spans="1:15" x14ac:dyDescent="0.25">
      <c r="A133" s="21" t="s">
        <v>179</v>
      </c>
      <c r="B133" s="21" t="s">
        <v>1036</v>
      </c>
      <c r="C133" s="21" t="s">
        <v>1037</v>
      </c>
      <c r="D133" s="21" t="s">
        <v>1038</v>
      </c>
      <c r="E133" s="21">
        <v>71561</v>
      </c>
      <c r="F133" s="21">
        <v>86280</v>
      </c>
      <c r="G133" s="21" t="s">
        <v>1039</v>
      </c>
      <c r="H133" s="21">
        <v>1</v>
      </c>
      <c r="I133" s="21">
        <v>1</v>
      </c>
      <c r="J133" s="21">
        <v>4</v>
      </c>
      <c r="K133" s="21">
        <v>2023</v>
      </c>
      <c r="L133" s="21" t="s">
        <v>372</v>
      </c>
      <c r="M133" s="21" t="s">
        <v>372</v>
      </c>
      <c r="N133" s="21" t="s">
        <v>373</v>
      </c>
      <c r="O133" s="21">
        <v>4909</v>
      </c>
    </row>
    <row r="134" spans="1:15" x14ac:dyDescent="0.25">
      <c r="A134" s="21" t="s">
        <v>1040</v>
      </c>
      <c r="B134" s="21" t="s">
        <v>1041</v>
      </c>
      <c r="C134" s="21" t="s">
        <v>1042</v>
      </c>
      <c r="D134" s="21" t="s">
        <v>1043</v>
      </c>
      <c r="E134" s="21">
        <v>7373</v>
      </c>
      <c r="F134" s="21">
        <v>30889</v>
      </c>
      <c r="G134" s="21" t="s">
        <v>1044</v>
      </c>
      <c r="H134" s="21">
        <v>2</v>
      </c>
      <c r="I134" s="21">
        <v>2</v>
      </c>
      <c r="J134" s="21">
        <v>4</v>
      </c>
      <c r="K134" s="21">
        <v>2023</v>
      </c>
      <c r="L134" s="21" t="s">
        <v>372</v>
      </c>
      <c r="M134" s="21" t="s">
        <v>372</v>
      </c>
      <c r="N134" s="21" t="s">
        <v>373</v>
      </c>
      <c r="O134" s="21" t="s">
        <v>1045</v>
      </c>
    </row>
    <row r="135" spans="1:15" x14ac:dyDescent="0.25">
      <c r="A135" s="21" t="s">
        <v>1046</v>
      </c>
      <c r="B135" s="21" t="s">
        <v>1047</v>
      </c>
      <c r="C135" s="21" t="s">
        <v>1048</v>
      </c>
      <c r="D135" s="21" t="s">
        <v>1049</v>
      </c>
      <c r="E135" s="21">
        <v>28156</v>
      </c>
      <c r="F135" s="21">
        <v>19962</v>
      </c>
      <c r="G135" s="21" t="s">
        <v>1050</v>
      </c>
      <c r="H135" s="21">
        <v>1</v>
      </c>
      <c r="I135" s="21">
        <v>1</v>
      </c>
      <c r="J135" s="21">
        <v>4</v>
      </c>
      <c r="K135" s="21">
        <v>2023</v>
      </c>
      <c r="L135" s="21" t="s">
        <v>372</v>
      </c>
      <c r="M135" s="21" t="s">
        <v>372</v>
      </c>
      <c r="N135" s="21" t="s">
        <v>373</v>
      </c>
      <c r="O135" s="21" t="s">
        <v>1051</v>
      </c>
    </row>
    <row r="136" spans="1:15" x14ac:dyDescent="0.25">
      <c r="A136" s="21" t="s">
        <v>1052</v>
      </c>
      <c r="B136" s="21" t="s">
        <v>1053</v>
      </c>
      <c r="C136" s="21" t="s">
        <v>1054</v>
      </c>
      <c r="E136" s="21">
        <v>21345</v>
      </c>
      <c r="F136" s="21">
        <v>4262</v>
      </c>
      <c r="G136" s="21" t="s">
        <v>1055</v>
      </c>
      <c r="H136" s="21">
        <v>2</v>
      </c>
      <c r="I136" s="21">
        <v>2</v>
      </c>
      <c r="J136" s="21">
        <v>4</v>
      </c>
      <c r="K136" s="21">
        <v>2023</v>
      </c>
      <c r="L136" s="21" t="s">
        <v>372</v>
      </c>
      <c r="M136" s="21" t="s">
        <v>372</v>
      </c>
      <c r="N136" s="21" t="s">
        <v>373</v>
      </c>
      <c r="O136" s="21" t="s">
        <v>1056</v>
      </c>
    </row>
    <row r="137" spans="1:15" x14ac:dyDescent="0.25">
      <c r="A137" s="21" t="s">
        <v>1057</v>
      </c>
      <c r="B137" s="21" t="s">
        <v>1058</v>
      </c>
      <c r="C137" s="21" t="s">
        <v>1059</v>
      </c>
      <c r="D137" s="21" t="s">
        <v>1060</v>
      </c>
      <c r="E137" s="21">
        <v>75647</v>
      </c>
      <c r="F137" s="21">
        <v>1213638</v>
      </c>
      <c r="G137" s="21" t="s">
        <v>1061</v>
      </c>
      <c r="H137" s="21">
        <v>1</v>
      </c>
      <c r="I137" s="21">
        <v>1</v>
      </c>
      <c r="J137" s="21">
        <v>4</v>
      </c>
      <c r="K137" s="21">
        <v>2023</v>
      </c>
      <c r="L137" s="21" t="s">
        <v>372</v>
      </c>
      <c r="M137" s="21" t="s">
        <v>372</v>
      </c>
      <c r="N137" s="21" t="s">
        <v>373</v>
      </c>
      <c r="O137" s="21" t="s">
        <v>1062</v>
      </c>
    </row>
    <row r="138" spans="1:15" x14ac:dyDescent="0.25">
      <c r="A138" s="21" t="s">
        <v>1063</v>
      </c>
      <c r="B138" s="21" t="s">
        <v>1064</v>
      </c>
      <c r="C138" s="21" t="s">
        <v>1065</v>
      </c>
      <c r="D138" s="21" t="s">
        <v>1066</v>
      </c>
      <c r="E138" s="21">
        <v>151120</v>
      </c>
      <c r="F138" s="21">
        <v>214389</v>
      </c>
      <c r="G138" s="21">
        <v>39450049</v>
      </c>
      <c r="H138" s="21">
        <v>1</v>
      </c>
      <c r="I138" s="21">
        <v>1</v>
      </c>
      <c r="J138" s="21">
        <v>1</v>
      </c>
      <c r="K138" s="21">
        <v>2023</v>
      </c>
      <c r="L138" s="21" t="s">
        <v>372</v>
      </c>
      <c r="M138" s="21" t="s">
        <v>372</v>
      </c>
      <c r="N138" s="21" t="s">
        <v>372</v>
      </c>
      <c r="O138" s="21" t="s">
        <v>1067</v>
      </c>
    </row>
    <row r="139" spans="1:15" x14ac:dyDescent="0.25">
      <c r="A139" s="21" t="s">
        <v>1068</v>
      </c>
      <c r="B139" s="21" t="s">
        <v>1069</v>
      </c>
      <c r="D139" s="21" t="s">
        <v>1070</v>
      </c>
      <c r="E139" s="21">
        <v>6927653</v>
      </c>
      <c r="F139" s="21">
        <v>3984087</v>
      </c>
      <c r="G139" s="21">
        <v>60353411</v>
      </c>
      <c r="H139" s="21">
        <v>1</v>
      </c>
      <c r="I139" s="21">
        <v>1</v>
      </c>
      <c r="J139" s="21">
        <v>4</v>
      </c>
      <c r="K139" s="21">
        <v>2023</v>
      </c>
      <c r="L139" s="21" t="s">
        <v>372</v>
      </c>
      <c r="M139" s="21" t="s">
        <v>372</v>
      </c>
      <c r="N139" s="21" t="s">
        <v>373</v>
      </c>
      <c r="O139" s="21" t="s">
        <v>1071</v>
      </c>
    </row>
    <row r="140" spans="1:15" x14ac:dyDescent="0.25">
      <c r="A140" s="21" t="s">
        <v>1072</v>
      </c>
      <c r="B140" s="21" t="s">
        <v>1073</v>
      </c>
      <c r="C140" s="21" t="s">
        <v>1074</v>
      </c>
      <c r="D140" s="21" t="s">
        <v>1075</v>
      </c>
      <c r="E140" s="21">
        <v>8901</v>
      </c>
      <c r="F140" s="21">
        <v>46909</v>
      </c>
      <c r="G140" s="21" t="s">
        <v>1076</v>
      </c>
      <c r="H140" s="21">
        <v>4</v>
      </c>
      <c r="I140" s="21">
        <v>2</v>
      </c>
      <c r="J140" s="21">
        <v>4</v>
      </c>
      <c r="K140" s="21">
        <v>2023</v>
      </c>
      <c r="L140" s="21" t="s">
        <v>373</v>
      </c>
      <c r="M140" s="21" t="s">
        <v>372</v>
      </c>
      <c r="N140" s="21" t="s">
        <v>373</v>
      </c>
      <c r="O140" s="21" t="s">
        <v>1077</v>
      </c>
    </row>
    <row r="141" spans="1:15" x14ac:dyDescent="0.25">
      <c r="A141" s="21" t="s">
        <v>1078</v>
      </c>
      <c r="B141" s="21" t="s">
        <v>1079</v>
      </c>
      <c r="C141" s="21" t="s">
        <v>1080</v>
      </c>
      <c r="D141" s="21" t="s">
        <v>1081</v>
      </c>
      <c r="E141" s="21">
        <v>339109</v>
      </c>
      <c r="F141" s="21">
        <v>40961</v>
      </c>
      <c r="G141" s="21" t="s">
        <v>1082</v>
      </c>
      <c r="H141" s="21">
        <v>1</v>
      </c>
      <c r="I141" s="21">
        <v>1</v>
      </c>
      <c r="J141" s="21">
        <v>4</v>
      </c>
      <c r="K141" s="21">
        <v>2023</v>
      </c>
      <c r="L141" s="21" t="s">
        <v>372</v>
      </c>
      <c r="M141" s="21" t="s">
        <v>372</v>
      </c>
      <c r="N141" s="21" t="s">
        <v>373</v>
      </c>
      <c r="O141" s="21" t="s">
        <v>1083</v>
      </c>
    </row>
    <row r="142" spans="1:15" x14ac:dyDescent="0.25">
      <c r="A142" s="21" t="s">
        <v>1084</v>
      </c>
      <c r="B142" s="21" t="s">
        <v>1085</v>
      </c>
      <c r="C142" s="21" t="s">
        <v>1086</v>
      </c>
      <c r="E142" s="21">
        <v>8538503</v>
      </c>
      <c r="F142" s="21">
        <v>43415</v>
      </c>
      <c r="G142" s="21" t="s">
        <v>1087</v>
      </c>
      <c r="H142" s="21">
        <v>1</v>
      </c>
      <c r="I142" s="21">
        <v>1</v>
      </c>
      <c r="J142" s="21">
        <v>4</v>
      </c>
      <c r="K142" s="21">
        <v>2023</v>
      </c>
      <c r="L142" s="21" t="s">
        <v>372</v>
      </c>
      <c r="M142" s="21" t="s">
        <v>372</v>
      </c>
      <c r="N142" s="21" t="s">
        <v>373</v>
      </c>
      <c r="O142" s="21" t="s">
        <v>1088</v>
      </c>
    </row>
    <row r="143" spans="1:15" x14ac:dyDescent="0.25">
      <c r="A143" s="21" t="s">
        <v>1089</v>
      </c>
      <c r="B143" s="21" t="s">
        <v>1090</v>
      </c>
      <c r="C143" s="21" t="s">
        <v>1091</v>
      </c>
      <c r="D143" s="21" t="s">
        <v>1092</v>
      </c>
      <c r="E143" s="21">
        <v>581593</v>
      </c>
      <c r="F143" s="21">
        <v>740949</v>
      </c>
      <c r="G143" s="21" t="s">
        <v>1093</v>
      </c>
      <c r="H143" s="21">
        <v>1</v>
      </c>
      <c r="I143" s="21">
        <v>1</v>
      </c>
      <c r="J143" s="21">
        <v>4</v>
      </c>
      <c r="K143" s="21">
        <v>2023</v>
      </c>
      <c r="L143" s="21" t="s">
        <v>372</v>
      </c>
      <c r="M143" s="21" t="s">
        <v>372</v>
      </c>
      <c r="N143" s="21" t="s">
        <v>373</v>
      </c>
      <c r="O143" s="21">
        <v>34018</v>
      </c>
    </row>
    <row r="144" spans="1:15" x14ac:dyDescent="0.25">
      <c r="A144" s="21" t="s">
        <v>1094</v>
      </c>
      <c r="B144" s="21" t="s">
        <v>1095</v>
      </c>
      <c r="C144" s="21" t="s">
        <v>1096</v>
      </c>
      <c r="D144" s="21" t="s">
        <v>1097</v>
      </c>
      <c r="E144" s="21">
        <v>834000</v>
      </c>
      <c r="F144" s="21">
        <v>191000</v>
      </c>
      <c r="G144" s="21" t="s">
        <v>1098</v>
      </c>
      <c r="H144" s="21">
        <v>1</v>
      </c>
      <c r="I144" s="21">
        <v>1</v>
      </c>
      <c r="J144" s="21">
        <v>4</v>
      </c>
      <c r="K144" s="21">
        <v>2023</v>
      </c>
      <c r="L144" s="21" t="s">
        <v>372</v>
      </c>
      <c r="M144" s="21" t="s">
        <v>372</v>
      </c>
      <c r="N144" s="21" t="s">
        <v>373</v>
      </c>
      <c r="O144" s="21">
        <v>4837</v>
      </c>
    </row>
    <row r="145" spans="1:15" x14ac:dyDescent="0.25">
      <c r="A145" s="21" t="s">
        <v>1099</v>
      </c>
      <c r="B145" s="21" t="s">
        <v>1100</v>
      </c>
      <c r="C145" s="21" t="s">
        <v>1101</v>
      </c>
      <c r="D145" s="21" t="s">
        <v>1102</v>
      </c>
      <c r="E145" s="21">
        <v>1177246</v>
      </c>
      <c r="F145" s="21">
        <v>4005234</v>
      </c>
      <c r="G145" s="21" t="s">
        <v>1103</v>
      </c>
      <c r="H145" s="21">
        <v>4</v>
      </c>
      <c r="I145" s="21">
        <v>2</v>
      </c>
      <c r="J145" s="21">
        <v>4</v>
      </c>
      <c r="K145" s="21">
        <v>2023</v>
      </c>
      <c r="L145" s="21" t="s">
        <v>373</v>
      </c>
      <c r="M145" s="21" t="s">
        <v>372</v>
      </c>
      <c r="N145" s="21" t="s">
        <v>373</v>
      </c>
      <c r="O145" s="21" t="s">
        <v>1104</v>
      </c>
    </row>
    <row r="146" spans="1:15" x14ac:dyDescent="0.25">
      <c r="A146" s="21" t="s">
        <v>1105</v>
      </c>
      <c r="B146" s="21" t="s">
        <v>1106</v>
      </c>
      <c r="C146" s="21" t="s">
        <v>1107</v>
      </c>
      <c r="D146" s="21" t="s">
        <v>1108</v>
      </c>
      <c r="E146" s="21">
        <v>48337</v>
      </c>
      <c r="F146" s="21">
        <v>37218</v>
      </c>
      <c r="G146" s="21" t="s">
        <v>1109</v>
      </c>
      <c r="H146" s="21">
        <v>1</v>
      </c>
      <c r="I146" s="21">
        <v>1</v>
      </c>
      <c r="J146" s="21">
        <v>4</v>
      </c>
      <c r="K146" s="21">
        <v>2023</v>
      </c>
      <c r="L146" s="21" t="s">
        <v>372</v>
      </c>
      <c r="M146" s="21" t="s">
        <v>372</v>
      </c>
      <c r="N146" s="21" t="s">
        <v>373</v>
      </c>
      <c r="O146" s="21" t="s">
        <v>1110</v>
      </c>
    </row>
    <row r="147" spans="1:15" x14ac:dyDescent="0.25">
      <c r="A147" s="21" t="s">
        <v>1111</v>
      </c>
      <c r="B147" s="21" t="s">
        <v>1112</v>
      </c>
      <c r="C147" s="21" t="s">
        <v>1113</v>
      </c>
      <c r="D147" s="21" t="s">
        <v>1114</v>
      </c>
      <c r="E147" s="21">
        <v>3858</v>
      </c>
      <c r="F147" s="21">
        <v>53140</v>
      </c>
      <c r="G147" s="21">
        <v>879681</v>
      </c>
      <c r="H147" s="21">
        <v>1</v>
      </c>
      <c r="I147" s="21">
        <v>1</v>
      </c>
      <c r="J147" s="21">
        <v>1</v>
      </c>
      <c r="K147" s="21">
        <v>2023</v>
      </c>
      <c r="L147" s="21" t="s">
        <v>372</v>
      </c>
      <c r="M147" s="21" t="s">
        <v>372</v>
      </c>
      <c r="N147" s="21" t="s">
        <v>372</v>
      </c>
      <c r="O147" s="21" t="s">
        <v>1115</v>
      </c>
    </row>
    <row r="148" spans="1:15" x14ac:dyDescent="0.25">
      <c r="A148" s="21" t="s">
        <v>1116</v>
      </c>
      <c r="B148" s="21" t="s">
        <v>1117</v>
      </c>
      <c r="C148" s="21" t="s">
        <v>1118</v>
      </c>
      <c r="E148" s="21">
        <v>75431</v>
      </c>
      <c r="F148" s="21">
        <v>22307</v>
      </c>
      <c r="G148" s="21" t="s">
        <v>1119</v>
      </c>
      <c r="H148" s="21">
        <v>1</v>
      </c>
      <c r="I148" s="21">
        <v>1</v>
      </c>
      <c r="J148" s="21">
        <v>4</v>
      </c>
      <c r="K148" s="21">
        <v>2023</v>
      </c>
      <c r="L148" s="21" t="s">
        <v>372</v>
      </c>
      <c r="M148" s="21" t="s">
        <v>372</v>
      </c>
      <c r="N148" s="21" t="s">
        <v>373</v>
      </c>
      <c r="O148" s="21" t="s">
        <v>1120</v>
      </c>
    </row>
    <row r="149" spans="1:15" x14ac:dyDescent="0.25">
      <c r="A149" s="21" t="s">
        <v>1121</v>
      </c>
      <c r="B149" s="21" t="s">
        <v>1122</v>
      </c>
      <c r="C149" s="21" t="s">
        <v>1123</v>
      </c>
      <c r="D149" s="21" t="s">
        <v>1124</v>
      </c>
      <c r="E149" s="21">
        <v>23200</v>
      </c>
      <c r="F149" s="21">
        <v>198329</v>
      </c>
      <c r="G149" s="21" t="s">
        <v>1125</v>
      </c>
      <c r="H149" s="21">
        <v>1</v>
      </c>
      <c r="I149" s="21">
        <v>1</v>
      </c>
      <c r="J149" s="21">
        <v>4</v>
      </c>
      <c r="K149" s="21">
        <v>2023</v>
      </c>
      <c r="L149" s="21" t="s">
        <v>372</v>
      </c>
      <c r="M149" s="21" t="s">
        <v>372</v>
      </c>
      <c r="N149" s="21" t="s">
        <v>373</v>
      </c>
      <c r="O149" s="21">
        <v>3145</v>
      </c>
    </row>
    <row r="150" spans="1:15" x14ac:dyDescent="0.25">
      <c r="A150" s="21" t="s">
        <v>196</v>
      </c>
      <c r="B150" s="21" t="s">
        <v>1126</v>
      </c>
      <c r="C150" s="21" t="s">
        <v>1127</v>
      </c>
      <c r="D150" s="21" t="s">
        <v>1128</v>
      </c>
      <c r="E150" s="21">
        <v>3212</v>
      </c>
      <c r="F150" s="21">
        <v>340262</v>
      </c>
      <c r="G150" s="21" t="s">
        <v>1129</v>
      </c>
      <c r="H150" s="21">
        <v>1</v>
      </c>
      <c r="I150" s="21">
        <v>1</v>
      </c>
      <c r="J150" s="21">
        <v>4</v>
      </c>
      <c r="K150" s="21">
        <v>2023</v>
      </c>
      <c r="L150" s="21" t="s">
        <v>372</v>
      </c>
      <c r="M150" s="21" t="s">
        <v>372</v>
      </c>
      <c r="N150" s="21" t="s">
        <v>373</v>
      </c>
      <c r="O150" s="21" t="s">
        <v>281</v>
      </c>
    </row>
    <row r="151" spans="1:15" x14ac:dyDescent="0.25">
      <c r="A151" s="21" t="s">
        <v>1130</v>
      </c>
      <c r="B151" s="21" t="s">
        <v>1131</v>
      </c>
      <c r="C151" s="21" t="s">
        <v>1132</v>
      </c>
      <c r="D151" s="21" t="s">
        <v>1133</v>
      </c>
      <c r="E151" s="21">
        <v>3555344</v>
      </c>
      <c r="F151" s="21">
        <v>273794</v>
      </c>
      <c r="G151" s="21" t="s">
        <v>1134</v>
      </c>
      <c r="H151" s="21">
        <v>1</v>
      </c>
      <c r="I151" s="21">
        <v>1</v>
      </c>
      <c r="J151" s="21">
        <v>4</v>
      </c>
      <c r="K151" s="21">
        <v>2023</v>
      </c>
      <c r="L151" s="21" t="s">
        <v>372</v>
      </c>
      <c r="M151" s="21" t="s">
        <v>372</v>
      </c>
      <c r="N151" s="21" t="s">
        <v>373</v>
      </c>
      <c r="O151" s="21" t="s">
        <v>1135</v>
      </c>
    </row>
    <row r="152" spans="1:15" x14ac:dyDescent="0.25">
      <c r="A152" s="21" t="s">
        <v>1136</v>
      </c>
      <c r="B152" s="21" t="s">
        <v>1137</v>
      </c>
      <c r="C152" s="21" t="s">
        <v>1138</v>
      </c>
      <c r="D152" s="21" t="s">
        <v>1139</v>
      </c>
      <c r="E152" s="21">
        <v>10729165</v>
      </c>
      <c r="F152" s="21">
        <v>468578</v>
      </c>
      <c r="G152" s="21" t="s">
        <v>1140</v>
      </c>
      <c r="H152" s="21">
        <v>1</v>
      </c>
      <c r="I152" s="21">
        <v>2</v>
      </c>
      <c r="J152" s="21">
        <v>4</v>
      </c>
      <c r="K152" s="21">
        <v>2023</v>
      </c>
      <c r="L152" s="21" t="s">
        <v>372</v>
      </c>
      <c r="M152" s="21" t="s">
        <v>372</v>
      </c>
      <c r="N152" s="21" t="s">
        <v>373</v>
      </c>
      <c r="O152" s="21" t="s">
        <v>1141</v>
      </c>
    </row>
    <row r="153" spans="1:15" x14ac:dyDescent="0.25">
      <c r="A153" s="21" t="s">
        <v>1142</v>
      </c>
      <c r="B153" s="21" t="s">
        <v>1143</v>
      </c>
      <c r="C153" s="21" t="s">
        <v>1144</v>
      </c>
      <c r="D153" s="21" t="s">
        <v>1145</v>
      </c>
      <c r="E153" s="21">
        <v>36183530</v>
      </c>
      <c r="F153" s="21">
        <v>3121995</v>
      </c>
      <c r="G153" s="21" t="s">
        <v>1146</v>
      </c>
      <c r="H153" s="21">
        <v>1</v>
      </c>
      <c r="I153" s="21">
        <v>1</v>
      </c>
      <c r="J153" s="21">
        <v>4</v>
      </c>
      <c r="K153" s="21">
        <v>2023</v>
      </c>
      <c r="L153" s="21" t="s">
        <v>372</v>
      </c>
      <c r="M153" s="21" t="s">
        <v>372</v>
      </c>
      <c r="N153" s="21" t="s">
        <v>373</v>
      </c>
      <c r="O153" s="21" t="s">
        <v>1147</v>
      </c>
    </row>
    <row r="154" spans="1:15" x14ac:dyDescent="0.25">
      <c r="A154" s="21" t="s">
        <v>1148</v>
      </c>
      <c r="B154" s="21" t="s">
        <v>1149</v>
      </c>
      <c r="C154" s="21" t="s">
        <v>1150</v>
      </c>
      <c r="D154" s="21" t="s">
        <v>1151</v>
      </c>
      <c r="E154" s="21">
        <v>83357</v>
      </c>
      <c r="F154" s="21">
        <v>291766</v>
      </c>
      <c r="G154" s="21" t="s">
        <v>1152</v>
      </c>
      <c r="H154" s="21">
        <v>1</v>
      </c>
      <c r="I154" s="21">
        <v>1</v>
      </c>
      <c r="J154" s="21">
        <v>4</v>
      </c>
      <c r="K154" s="21">
        <v>2023</v>
      </c>
      <c r="L154" s="21" t="s">
        <v>372</v>
      </c>
      <c r="M154" s="21" t="s">
        <v>372</v>
      </c>
      <c r="N154" s="21" t="s">
        <v>373</v>
      </c>
      <c r="O154" s="21" t="s">
        <v>1153</v>
      </c>
    </row>
    <row r="155" spans="1:15" x14ac:dyDescent="0.25">
      <c r="A155" s="21" t="s">
        <v>1154</v>
      </c>
      <c r="B155" s="21" t="s">
        <v>1155</v>
      </c>
      <c r="C155" s="21" t="s">
        <v>1156</v>
      </c>
      <c r="D155" s="21" t="s">
        <v>1157</v>
      </c>
      <c r="E155" s="21">
        <v>239057</v>
      </c>
      <c r="F155" s="21">
        <v>376551</v>
      </c>
      <c r="G155" s="21" t="s">
        <v>1158</v>
      </c>
      <c r="H155" s="21">
        <v>4</v>
      </c>
      <c r="I155" s="21">
        <v>2</v>
      </c>
      <c r="J155" s="21">
        <v>4</v>
      </c>
      <c r="K155" s="21">
        <v>2023</v>
      </c>
      <c r="L155" s="21" t="s">
        <v>373</v>
      </c>
      <c r="M155" s="21" t="s">
        <v>372</v>
      </c>
      <c r="N155" s="21" t="s">
        <v>373</v>
      </c>
      <c r="O155" s="21" t="s">
        <v>1159</v>
      </c>
    </row>
    <row r="156" spans="1:15" x14ac:dyDescent="0.25">
      <c r="A156" s="21" t="s">
        <v>1160</v>
      </c>
      <c r="B156" s="21" t="s">
        <v>1161</v>
      </c>
      <c r="C156" s="21" t="s">
        <v>1162</v>
      </c>
      <c r="D156" s="21" t="s">
        <v>1163</v>
      </c>
      <c r="E156" s="21">
        <v>1995085</v>
      </c>
      <c r="F156" s="21">
        <v>16253</v>
      </c>
      <c r="G156" s="21" t="s">
        <v>1164</v>
      </c>
      <c r="H156" s="21">
        <v>1</v>
      </c>
      <c r="I156" s="21">
        <v>1</v>
      </c>
      <c r="J156" s="21">
        <v>4</v>
      </c>
      <c r="K156" s="21">
        <v>2023</v>
      </c>
      <c r="L156" s="21" t="s">
        <v>372</v>
      </c>
      <c r="M156" s="21" t="s">
        <v>372</v>
      </c>
      <c r="N156" s="21" t="s">
        <v>373</v>
      </c>
      <c r="O156" s="21" t="s">
        <v>1165</v>
      </c>
    </row>
    <row r="157" spans="1:15" x14ac:dyDescent="0.25">
      <c r="A157" s="21" t="s">
        <v>1166</v>
      </c>
      <c r="B157" s="21" t="s">
        <v>1167</v>
      </c>
      <c r="C157" s="21" t="s">
        <v>1168</v>
      </c>
      <c r="D157" s="21" t="s">
        <v>1169</v>
      </c>
      <c r="E157" s="21" t="s">
        <v>1170</v>
      </c>
      <c r="F157" s="21" t="s">
        <v>1171</v>
      </c>
      <c r="G157" s="21" t="s">
        <v>1172</v>
      </c>
      <c r="H157" s="21">
        <v>4</v>
      </c>
      <c r="I157" s="21">
        <v>4</v>
      </c>
      <c r="J157" s="21">
        <v>4</v>
      </c>
      <c r="K157" s="21">
        <v>2023</v>
      </c>
      <c r="L157" s="21" t="s">
        <v>373</v>
      </c>
      <c r="M157" s="21" t="s">
        <v>373</v>
      </c>
      <c r="N157" s="21" t="s">
        <v>373</v>
      </c>
      <c r="O157" s="21" t="s">
        <v>1173</v>
      </c>
    </row>
    <row r="158" spans="1:15" x14ac:dyDescent="0.25">
      <c r="A158" s="21" t="s">
        <v>1174</v>
      </c>
      <c r="B158" s="21" t="s">
        <v>1175</v>
      </c>
      <c r="C158" s="21" t="s">
        <v>1176</v>
      </c>
      <c r="D158" s="21" t="s">
        <v>1177</v>
      </c>
      <c r="E158" s="21">
        <v>179700</v>
      </c>
      <c r="F158" s="21">
        <v>157762</v>
      </c>
      <c r="G158" s="21" t="s">
        <v>1178</v>
      </c>
      <c r="H158" s="21">
        <v>1</v>
      </c>
      <c r="I158" s="21">
        <v>1</v>
      </c>
      <c r="J158" s="21">
        <v>4</v>
      </c>
      <c r="K158" s="21">
        <v>2023</v>
      </c>
      <c r="L158" s="21" t="s">
        <v>372</v>
      </c>
      <c r="M158" s="21" t="s">
        <v>372</v>
      </c>
      <c r="N158" s="21" t="s">
        <v>373</v>
      </c>
      <c r="O158" s="21" t="s">
        <v>1179</v>
      </c>
    </row>
    <row r="159" spans="1:15" x14ac:dyDescent="0.25">
      <c r="A159" s="21" t="s">
        <v>1180</v>
      </c>
      <c r="B159" s="21" t="s">
        <v>1181</v>
      </c>
      <c r="C159" s="21" t="s">
        <v>1182</v>
      </c>
      <c r="D159" s="21" t="s">
        <v>1183</v>
      </c>
      <c r="E159" s="21">
        <v>6520163</v>
      </c>
      <c r="F159" s="21">
        <v>1409752</v>
      </c>
      <c r="G159" s="21" t="s">
        <v>1184</v>
      </c>
      <c r="H159" s="21">
        <v>4</v>
      </c>
      <c r="I159" s="21">
        <v>2</v>
      </c>
      <c r="J159" s="21">
        <v>4</v>
      </c>
      <c r="K159" s="21">
        <v>2023</v>
      </c>
      <c r="L159" s="21" t="s">
        <v>373</v>
      </c>
      <c r="M159" s="21" t="s">
        <v>372</v>
      </c>
      <c r="N159" s="21" t="s">
        <v>373</v>
      </c>
      <c r="O159" s="21" t="s">
        <v>1185</v>
      </c>
    </row>
    <row r="160" spans="1:15" x14ac:dyDescent="0.25">
      <c r="A160" s="21" t="s">
        <v>1186</v>
      </c>
      <c r="B160" s="21" t="s">
        <v>1187</v>
      </c>
      <c r="C160" s="21" t="s">
        <v>1188</v>
      </c>
      <c r="E160" s="21">
        <v>9116223</v>
      </c>
      <c r="F160" s="21">
        <v>4420175</v>
      </c>
      <c r="G160" s="21" t="s">
        <v>1189</v>
      </c>
      <c r="H160" s="21">
        <v>4</v>
      </c>
      <c r="I160" s="21">
        <v>2</v>
      </c>
      <c r="J160" s="21">
        <v>4</v>
      </c>
      <c r="K160" s="21">
        <v>2023</v>
      </c>
      <c r="L160" s="21" t="s">
        <v>373</v>
      </c>
      <c r="M160" s="21" t="s">
        <v>372</v>
      </c>
      <c r="N160" s="21" t="s">
        <v>373</v>
      </c>
      <c r="O160" s="21" t="s">
        <v>1190</v>
      </c>
    </row>
    <row r="161" spans="1:15" x14ac:dyDescent="0.25">
      <c r="A161" s="21" t="s">
        <v>1191</v>
      </c>
      <c r="B161" s="21" t="s">
        <v>1192</v>
      </c>
      <c r="C161" s="21" t="s">
        <v>1193</v>
      </c>
      <c r="D161" s="21" t="s">
        <v>1194</v>
      </c>
      <c r="E161" s="21">
        <v>231545</v>
      </c>
      <c r="F161" s="21">
        <v>106205</v>
      </c>
      <c r="G161" s="21" t="s">
        <v>1195</v>
      </c>
      <c r="H161" s="21">
        <v>1</v>
      </c>
      <c r="I161" s="21">
        <v>1</v>
      </c>
      <c r="J161" s="21">
        <v>4</v>
      </c>
      <c r="K161" s="21">
        <v>2023</v>
      </c>
      <c r="L161" s="21" t="s">
        <v>372</v>
      </c>
      <c r="M161" s="21" t="s">
        <v>372</v>
      </c>
      <c r="N161" s="21" t="s">
        <v>373</v>
      </c>
      <c r="O161" s="21" t="s">
        <v>1196</v>
      </c>
    </row>
    <row r="162" spans="1:15" x14ac:dyDescent="0.25">
      <c r="A162" s="21" t="s">
        <v>1197</v>
      </c>
      <c r="B162" s="21" t="s">
        <v>1198</v>
      </c>
      <c r="C162" s="21" t="s">
        <v>1199</v>
      </c>
      <c r="D162" s="21" t="s">
        <v>1200</v>
      </c>
      <c r="E162" s="21">
        <v>10071372</v>
      </c>
      <c r="F162" s="21">
        <v>5240833</v>
      </c>
      <c r="G162" s="21" t="s">
        <v>1201</v>
      </c>
      <c r="H162" s="21">
        <v>4</v>
      </c>
      <c r="I162" s="21">
        <v>2</v>
      </c>
      <c r="J162" s="21">
        <v>4</v>
      </c>
      <c r="K162" s="21">
        <v>2023</v>
      </c>
      <c r="L162" s="21" t="s">
        <v>373</v>
      </c>
      <c r="M162" s="21" t="s">
        <v>372</v>
      </c>
      <c r="N162" s="21" t="s">
        <v>373</v>
      </c>
      <c r="O162" s="21" t="s">
        <v>1202</v>
      </c>
    </row>
    <row r="163" spans="1:15" x14ac:dyDescent="0.25">
      <c r="A163" s="21" t="s">
        <v>1203</v>
      </c>
      <c r="B163" s="21" t="s">
        <v>1204</v>
      </c>
      <c r="E163" s="21" t="s">
        <v>1205</v>
      </c>
      <c r="F163" s="21" t="s">
        <v>1206</v>
      </c>
      <c r="G163" s="21" t="s">
        <v>1207</v>
      </c>
      <c r="H163" s="21">
        <v>4</v>
      </c>
      <c r="I163" s="21">
        <v>4</v>
      </c>
      <c r="J163" s="21">
        <v>4</v>
      </c>
      <c r="K163" s="21">
        <v>2023</v>
      </c>
      <c r="L163" s="21" t="s">
        <v>373</v>
      </c>
      <c r="M163" s="21" t="s">
        <v>373</v>
      </c>
      <c r="N163" s="21" t="s">
        <v>373</v>
      </c>
      <c r="O163" s="21" t="s">
        <v>1208</v>
      </c>
    </row>
    <row r="164" spans="1:15" x14ac:dyDescent="0.25">
      <c r="A164" s="21" t="s">
        <v>1209</v>
      </c>
      <c r="B164" s="21" t="s">
        <v>1210</v>
      </c>
      <c r="D164" s="21" t="s">
        <v>1211</v>
      </c>
      <c r="E164" s="21">
        <v>3680435</v>
      </c>
      <c r="F164" s="21">
        <v>713759</v>
      </c>
      <c r="G164" s="21" t="s">
        <v>1212</v>
      </c>
      <c r="H164" s="21">
        <v>4</v>
      </c>
      <c r="I164" s="21">
        <v>2</v>
      </c>
      <c r="J164" s="21">
        <v>4</v>
      </c>
      <c r="K164" s="21">
        <v>2023</v>
      </c>
      <c r="L164" s="21" t="s">
        <v>373</v>
      </c>
      <c r="M164" s="21" t="s">
        <v>372</v>
      </c>
      <c r="N164" s="21" t="s">
        <v>373</v>
      </c>
      <c r="O164" s="21" t="s">
        <v>1213</v>
      </c>
    </row>
    <row r="165" spans="1:15" x14ac:dyDescent="0.25">
      <c r="A165" s="21" t="s">
        <v>1214</v>
      </c>
      <c r="B165" s="21" t="s">
        <v>1214</v>
      </c>
      <c r="C165" s="21" t="s">
        <v>1215</v>
      </c>
      <c r="E165" s="21">
        <v>380435</v>
      </c>
      <c r="F165" s="21">
        <v>960763</v>
      </c>
      <c r="G165" s="21" t="s">
        <v>1216</v>
      </c>
      <c r="H165" s="21">
        <v>4</v>
      </c>
      <c r="I165" s="21">
        <v>2</v>
      </c>
      <c r="J165" s="21">
        <v>4</v>
      </c>
      <c r="K165" s="21">
        <v>2023</v>
      </c>
      <c r="L165" s="21" t="s">
        <v>373</v>
      </c>
      <c r="M165" s="21" t="s">
        <v>372</v>
      </c>
      <c r="N165" s="21" t="s">
        <v>373</v>
      </c>
      <c r="O165" s="21" t="s">
        <v>1217</v>
      </c>
    </row>
    <row r="166" spans="1:15" x14ac:dyDescent="0.25">
      <c r="A166" s="21" t="s">
        <v>1218</v>
      </c>
      <c r="B166" s="21" t="s">
        <v>1219</v>
      </c>
      <c r="D166" s="21" t="s">
        <v>1220</v>
      </c>
      <c r="E166" s="21">
        <v>4990472</v>
      </c>
      <c r="F166" s="21">
        <v>3520973</v>
      </c>
      <c r="G166" s="21" t="s">
        <v>1221</v>
      </c>
      <c r="H166" s="21">
        <v>4</v>
      </c>
      <c r="I166" s="21">
        <v>2</v>
      </c>
      <c r="J166" s="21">
        <v>4</v>
      </c>
      <c r="K166" s="21">
        <v>2023</v>
      </c>
      <c r="L166" s="21" t="s">
        <v>373</v>
      </c>
      <c r="M166" s="21" t="s">
        <v>372</v>
      </c>
      <c r="N166" s="21" t="s">
        <v>373</v>
      </c>
      <c r="O166" s="21" t="s">
        <v>1222</v>
      </c>
    </row>
    <row r="167" spans="1:15" x14ac:dyDescent="0.25">
      <c r="A167" s="21" t="s">
        <v>120</v>
      </c>
      <c r="B167" s="21" t="s">
        <v>1223</v>
      </c>
      <c r="C167" s="21" t="s">
        <v>1224</v>
      </c>
      <c r="D167" s="21" t="s">
        <v>1225</v>
      </c>
      <c r="E167" s="21">
        <v>101153</v>
      </c>
      <c r="F167" s="21">
        <v>540977</v>
      </c>
      <c r="G167" s="21" t="s">
        <v>1226</v>
      </c>
      <c r="H167" s="21">
        <v>1</v>
      </c>
      <c r="I167" s="21">
        <v>1</v>
      </c>
      <c r="J167" s="21">
        <v>4</v>
      </c>
      <c r="K167" s="21">
        <v>2023</v>
      </c>
      <c r="L167" s="21" t="s">
        <v>372</v>
      </c>
      <c r="M167" s="21" t="s">
        <v>372</v>
      </c>
      <c r="N167" s="21" t="s">
        <v>373</v>
      </c>
      <c r="O167" s="21" t="s">
        <v>233</v>
      </c>
    </row>
    <row r="168" spans="1:15" x14ac:dyDescent="0.25">
      <c r="A168" s="21" t="s">
        <v>1227</v>
      </c>
      <c r="B168" s="21" t="s">
        <v>1228</v>
      </c>
      <c r="C168" s="21" t="s">
        <v>1229</v>
      </c>
      <c r="D168" s="21" t="s">
        <v>1230</v>
      </c>
      <c r="E168" s="21">
        <v>34931</v>
      </c>
      <c r="F168" s="21">
        <v>564012</v>
      </c>
      <c r="G168" s="21">
        <v>16198875</v>
      </c>
      <c r="H168" s="21">
        <v>1</v>
      </c>
      <c r="I168" s="21">
        <v>1</v>
      </c>
      <c r="J168" s="21">
        <v>4</v>
      </c>
      <c r="K168" s="21">
        <v>2023</v>
      </c>
      <c r="L168" s="21" t="s">
        <v>372</v>
      </c>
      <c r="M168" s="21" t="s">
        <v>372</v>
      </c>
      <c r="N168" s="21" t="s">
        <v>373</v>
      </c>
      <c r="O168" s="21" t="s">
        <v>1231</v>
      </c>
    </row>
    <row r="169" spans="1:15" x14ac:dyDescent="0.25">
      <c r="A169" s="21" t="s">
        <v>1232</v>
      </c>
      <c r="B169" s="21" t="s">
        <v>1233</v>
      </c>
      <c r="C169" s="21" t="s">
        <v>1234</v>
      </c>
      <c r="D169" s="21" t="s">
        <v>1235</v>
      </c>
      <c r="E169" s="21">
        <v>7534374</v>
      </c>
      <c r="F169" s="21">
        <v>2441517</v>
      </c>
      <c r="G169" s="21" t="s">
        <v>1236</v>
      </c>
      <c r="H169" s="21">
        <v>1</v>
      </c>
      <c r="I169" s="21">
        <v>1</v>
      </c>
      <c r="J169" s="21">
        <v>4</v>
      </c>
      <c r="K169" s="21">
        <v>2023</v>
      </c>
      <c r="L169" s="21" t="s">
        <v>372</v>
      </c>
      <c r="M169" s="21" t="s">
        <v>372</v>
      </c>
      <c r="N169" s="21" t="s">
        <v>373</v>
      </c>
      <c r="O169" s="21" t="s">
        <v>1237</v>
      </c>
    </row>
    <row r="170" spans="1:15" x14ac:dyDescent="0.25">
      <c r="A170" s="21" t="s">
        <v>1238</v>
      </c>
      <c r="B170" s="21" t="s">
        <v>1239</v>
      </c>
      <c r="C170" s="21" t="s">
        <v>1240</v>
      </c>
      <c r="D170" s="21" t="s">
        <v>1241</v>
      </c>
      <c r="E170" s="21">
        <v>320879</v>
      </c>
      <c r="F170" s="21">
        <v>337701</v>
      </c>
      <c r="G170" s="21" t="s">
        <v>1242</v>
      </c>
      <c r="H170" s="21">
        <v>1</v>
      </c>
      <c r="I170" s="21">
        <v>1</v>
      </c>
      <c r="J170" s="21">
        <v>4</v>
      </c>
      <c r="K170" s="21">
        <v>2023</v>
      </c>
      <c r="L170" s="21" t="s">
        <v>372</v>
      </c>
      <c r="M170" s="21" t="s">
        <v>372</v>
      </c>
      <c r="N170" s="21" t="s">
        <v>373</v>
      </c>
      <c r="O170" s="21" t="s">
        <v>1243</v>
      </c>
    </row>
    <row r="171" spans="1:15" x14ac:dyDescent="0.25">
      <c r="A171" s="21" t="s">
        <v>1244</v>
      </c>
      <c r="B171" s="21" t="s">
        <v>1245</v>
      </c>
      <c r="C171" s="21" t="s">
        <v>1246</v>
      </c>
      <c r="D171" s="21" t="s">
        <v>1247</v>
      </c>
      <c r="E171" s="21">
        <v>1582649</v>
      </c>
      <c r="F171" s="21" t="s">
        <v>1248</v>
      </c>
      <c r="G171" s="21" t="s">
        <v>1249</v>
      </c>
      <c r="H171" s="21">
        <v>4</v>
      </c>
      <c r="I171" s="21">
        <v>4</v>
      </c>
      <c r="J171" s="21">
        <v>4</v>
      </c>
      <c r="K171" s="21">
        <v>2023</v>
      </c>
      <c r="L171" s="21" t="s">
        <v>373</v>
      </c>
      <c r="M171" s="21" t="s">
        <v>373</v>
      </c>
      <c r="N171" s="21" t="s">
        <v>373</v>
      </c>
      <c r="O171" s="21" t="s">
        <v>1250</v>
      </c>
    </row>
    <row r="172" spans="1:15" x14ac:dyDescent="0.25">
      <c r="A172" s="21" t="s">
        <v>1251</v>
      </c>
      <c r="B172" s="21" t="s">
        <v>1252</v>
      </c>
      <c r="C172" s="21" t="s">
        <v>1253</v>
      </c>
      <c r="D172" s="21" t="s">
        <v>1254</v>
      </c>
      <c r="E172" s="21">
        <v>3453762</v>
      </c>
      <c r="F172" s="21">
        <v>1198570</v>
      </c>
      <c r="G172" s="21" t="s">
        <v>1255</v>
      </c>
      <c r="H172" s="21">
        <v>4</v>
      </c>
      <c r="I172" s="21">
        <v>2</v>
      </c>
      <c r="J172" s="21">
        <v>4</v>
      </c>
      <c r="K172" s="21">
        <v>2023</v>
      </c>
      <c r="L172" s="21" t="s">
        <v>373</v>
      </c>
      <c r="M172" s="21" t="s">
        <v>372</v>
      </c>
      <c r="N172" s="21" t="s">
        <v>373</v>
      </c>
      <c r="O172" s="21" t="s">
        <v>1256</v>
      </c>
    </row>
    <row r="173" spans="1:15" x14ac:dyDescent="0.25">
      <c r="A173" s="21" t="s">
        <v>1257</v>
      </c>
      <c r="B173" s="21" t="s">
        <v>1258</v>
      </c>
      <c r="C173" s="21" t="s">
        <v>1259</v>
      </c>
      <c r="D173" s="21" t="s">
        <v>1260</v>
      </c>
      <c r="E173" s="21">
        <v>17674826</v>
      </c>
      <c r="F173" s="21">
        <v>13145</v>
      </c>
      <c r="G173" s="21" t="s">
        <v>1261</v>
      </c>
      <c r="H173" s="21">
        <v>1</v>
      </c>
      <c r="I173" s="21">
        <v>1</v>
      </c>
      <c r="J173" s="21">
        <v>4</v>
      </c>
      <c r="K173" s="21">
        <v>2023</v>
      </c>
      <c r="L173" s="21" t="s">
        <v>372</v>
      </c>
      <c r="M173" s="21" t="s">
        <v>372</v>
      </c>
      <c r="N173" s="21" t="s">
        <v>373</v>
      </c>
      <c r="O173" s="21" t="s">
        <v>1262</v>
      </c>
    </row>
    <row r="174" spans="1:15" x14ac:dyDescent="0.25">
      <c r="A174" s="21" t="s">
        <v>135</v>
      </c>
      <c r="B174" s="21" t="s">
        <v>1263</v>
      </c>
      <c r="C174" s="21" t="s">
        <v>1264</v>
      </c>
      <c r="D174" s="21" t="s">
        <v>1265</v>
      </c>
      <c r="E174" s="21">
        <v>127139</v>
      </c>
      <c r="F174" s="21">
        <v>125400</v>
      </c>
      <c r="G174" s="21" t="s">
        <v>1266</v>
      </c>
      <c r="H174" s="21">
        <v>1</v>
      </c>
      <c r="I174" s="21">
        <v>1</v>
      </c>
      <c r="J174" s="21">
        <v>4</v>
      </c>
      <c r="K174" s="21">
        <v>2023</v>
      </c>
      <c r="L174" s="21" t="s">
        <v>372</v>
      </c>
      <c r="M174" s="21" t="s">
        <v>372</v>
      </c>
      <c r="N174" s="21" t="s">
        <v>373</v>
      </c>
      <c r="O174" s="21" t="s">
        <v>241</v>
      </c>
    </row>
    <row r="175" spans="1:15" x14ac:dyDescent="0.25">
      <c r="A175" s="21" t="s">
        <v>188</v>
      </c>
      <c r="B175" s="21" t="s">
        <v>1267</v>
      </c>
      <c r="C175" s="21" t="s">
        <v>1268</v>
      </c>
      <c r="D175" s="21" t="s">
        <v>1269</v>
      </c>
      <c r="E175" s="21">
        <v>295904</v>
      </c>
      <c r="F175" s="21">
        <v>303597</v>
      </c>
      <c r="G175" s="21" t="s">
        <v>1270</v>
      </c>
      <c r="H175" s="21">
        <v>1</v>
      </c>
      <c r="I175" s="21">
        <v>1</v>
      </c>
      <c r="J175" s="21">
        <v>4</v>
      </c>
      <c r="K175" s="21">
        <v>2023</v>
      </c>
      <c r="L175" s="21" t="s">
        <v>372</v>
      </c>
      <c r="M175" s="21" t="s">
        <v>372</v>
      </c>
      <c r="N175" s="21" t="s">
        <v>373</v>
      </c>
      <c r="O175" s="21">
        <v>20431</v>
      </c>
    </row>
    <row r="176" spans="1:15" x14ac:dyDescent="0.25">
      <c r="A176" s="21" t="s">
        <v>1271</v>
      </c>
      <c r="B176" s="21" t="s">
        <v>1272</v>
      </c>
      <c r="C176" s="21" t="s">
        <v>1273</v>
      </c>
      <c r="D176" s="21" t="s">
        <v>1274</v>
      </c>
      <c r="E176" s="21">
        <v>533906</v>
      </c>
      <c r="F176" s="21">
        <v>890400</v>
      </c>
      <c r="G176" s="21" t="s">
        <v>1275</v>
      </c>
      <c r="H176" s="21">
        <v>1</v>
      </c>
      <c r="I176" s="21">
        <v>1</v>
      </c>
      <c r="J176" s="21">
        <v>4</v>
      </c>
      <c r="K176" s="21">
        <v>2023</v>
      </c>
      <c r="L176" s="21" t="s">
        <v>372</v>
      </c>
      <c r="M176" s="21" t="s">
        <v>372</v>
      </c>
      <c r="N176" s="21" t="s">
        <v>373</v>
      </c>
      <c r="O176" s="21" t="s">
        <v>1276</v>
      </c>
    </row>
    <row r="177" spans="1:15" x14ac:dyDescent="0.25">
      <c r="A177" s="21" t="s">
        <v>1277</v>
      </c>
      <c r="B177" s="21" t="s">
        <v>1278</v>
      </c>
      <c r="C177" s="21" t="s">
        <v>1279</v>
      </c>
      <c r="D177" s="21" t="s">
        <v>1280</v>
      </c>
      <c r="E177" s="21">
        <v>218766</v>
      </c>
      <c r="F177" s="21">
        <v>124514</v>
      </c>
      <c r="G177" s="21" t="s">
        <v>1281</v>
      </c>
      <c r="H177" s="21">
        <v>4</v>
      </c>
      <c r="I177" s="21">
        <v>2</v>
      </c>
      <c r="J177" s="21">
        <v>4</v>
      </c>
      <c r="K177" s="21">
        <v>2023</v>
      </c>
      <c r="L177" s="21" t="s">
        <v>373</v>
      </c>
      <c r="M177" s="21" t="s">
        <v>372</v>
      </c>
      <c r="N177" s="21" t="s">
        <v>373</v>
      </c>
      <c r="O177" s="21" t="s">
        <v>1282</v>
      </c>
    </row>
    <row r="178" spans="1:15" x14ac:dyDescent="0.25">
      <c r="A178" s="21" t="s">
        <v>1283</v>
      </c>
      <c r="B178" s="21" t="s">
        <v>1284</v>
      </c>
      <c r="D178" s="21" t="s">
        <v>1285</v>
      </c>
      <c r="E178" s="21">
        <v>1907500</v>
      </c>
      <c r="F178" s="21">
        <v>2159500</v>
      </c>
      <c r="G178" s="21" t="s">
        <v>1286</v>
      </c>
      <c r="H178" s="21">
        <v>2</v>
      </c>
      <c r="I178" s="21">
        <v>2</v>
      </c>
      <c r="J178" s="21">
        <v>4</v>
      </c>
      <c r="K178" s="21">
        <v>2023</v>
      </c>
      <c r="L178" s="21" t="s">
        <v>372</v>
      </c>
      <c r="M178" s="21" t="s">
        <v>372</v>
      </c>
      <c r="N178" s="21" t="s">
        <v>373</v>
      </c>
      <c r="O178" s="21" t="s">
        <v>1287</v>
      </c>
    </row>
    <row r="179" spans="1:15" x14ac:dyDescent="0.25">
      <c r="A179" s="21" t="s">
        <v>1288</v>
      </c>
      <c r="B179" s="21" t="s">
        <v>1289</v>
      </c>
      <c r="C179" s="21" t="s">
        <v>1290</v>
      </c>
      <c r="D179" s="21" t="s">
        <v>1291</v>
      </c>
      <c r="E179" s="21">
        <v>9999</v>
      </c>
      <c r="F179" s="21">
        <v>101402</v>
      </c>
      <c r="G179" s="21">
        <v>507568</v>
      </c>
      <c r="H179" s="21">
        <v>1</v>
      </c>
      <c r="I179" s="21">
        <v>1</v>
      </c>
      <c r="J179" s="21">
        <v>1</v>
      </c>
      <c r="K179" s="21">
        <v>2023</v>
      </c>
      <c r="L179" s="21" t="s">
        <v>372</v>
      </c>
      <c r="M179" s="21" t="s">
        <v>372</v>
      </c>
      <c r="N179" s="21" t="s">
        <v>372</v>
      </c>
      <c r="O179" s="21" t="s">
        <v>1292</v>
      </c>
    </row>
    <row r="180" spans="1:15" x14ac:dyDescent="0.25">
      <c r="A180" s="21" t="s">
        <v>1293</v>
      </c>
      <c r="B180" s="21" t="s">
        <v>1294</v>
      </c>
      <c r="C180" s="21" t="s">
        <v>1295</v>
      </c>
      <c r="D180" s="21" t="s">
        <v>1296</v>
      </c>
      <c r="E180" s="21">
        <v>31226</v>
      </c>
      <c r="F180" s="21">
        <v>80948</v>
      </c>
      <c r="G180" s="21" t="s">
        <v>1297</v>
      </c>
      <c r="H180" s="21">
        <v>4</v>
      </c>
      <c r="I180" s="21">
        <v>2</v>
      </c>
      <c r="J180" s="21">
        <v>4</v>
      </c>
      <c r="K180" s="21">
        <v>2023</v>
      </c>
      <c r="L180" s="21" t="s">
        <v>373</v>
      </c>
      <c r="M180" s="21" t="s">
        <v>372</v>
      </c>
      <c r="N180" s="21" t="s">
        <v>373</v>
      </c>
      <c r="O180" s="21" t="s">
        <v>1298</v>
      </c>
    </row>
    <row r="181" spans="1:15" x14ac:dyDescent="0.25">
      <c r="A181" s="21" t="s">
        <v>175</v>
      </c>
      <c r="B181" s="21" t="s">
        <v>1299</v>
      </c>
      <c r="C181" s="21" t="s">
        <v>1300</v>
      </c>
      <c r="D181" s="21" t="s">
        <v>1301</v>
      </c>
      <c r="E181" s="21">
        <v>195700</v>
      </c>
      <c r="F181" s="21">
        <v>369000</v>
      </c>
      <c r="G181" s="21" t="s">
        <v>1302</v>
      </c>
      <c r="H181" s="21">
        <v>1</v>
      </c>
      <c r="I181" s="21">
        <v>1</v>
      </c>
      <c r="J181" s="21">
        <v>4</v>
      </c>
      <c r="K181" s="21">
        <v>2023</v>
      </c>
      <c r="L181" s="21" t="s">
        <v>372</v>
      </c>
      <c r="M181" s="21" t="s">
        <v>372</v>
      </c>
      <c r="N181" s="21" t="s">
        <v>373</v>
      </c>
      <c r="O181" s="21" t="s">
        <v>267</v>
      </c>
    </row>
    <row r="182" spans="1:15" x14ac:dyDescent="0.25">
      <c r="A182" s="21" t="s">
        <v>1303</v>
      </c>
      <c r="B182" s="21" t="s">
        <v>1304</v>
      </c>
      <c r="C182" s="21" t="s">
        <v>1305</v>
      </c>
      <c r="D182" s="21" t="s">
        <v>1306</v>
      </c>
      <c r="E182" s="21">
        <v>496938</v>
      </c>
      <c r="F182" s="21">
        <v>1480893</v>
      </c>
      <c r="G182" s="21" t="s">
        <v>1307</v>
      </c>
      <c r="H182" s="21">
        <v>1</v>
      </c>
      <c r="I182" s="21">
        <v>1</v>
      </c>
      <c r="J182" s="21">
        <v>4</v>
      </c>
      <c r="K182" s="21">
        <v>2023</v>
      </c>
      <c r="L182" s="21" t="s">
        <v>372</v>
      </c>
      <c r="M182" s="21" t="s">
        <v>372</v>
      </c>
      <c r="N182" s="21" t="s">
        <v>373</v>
      </c>
      <c r="O182" s="21" t="s">
        <v>1308</v>
      </c>
    </row>
    <row r="183" spans="1:15" x14ac:dyDescent="0.25">
      <c r="A183" s="21" t="s">
        <v>1309</v>
      </c>
      <c r="B183" s="21" t="s">
        <v>1310</v>
      </c>
      <c r="C183" s="21" t="s">
        <v>1311</v>
      </c>
      <c r="D183" s="21" t="s">
        <v>1312</v>
      </c>
      <c r="E183" s="21" t="s">
        <v>1313</v>
      </c>
      <c r="F183" s="21" t="s">
        <v>1314</v>
      </c>
      <c r="G183" s="21" t="s">
        <v>1315</v>
      </c>
      <c r="H183" s="21">
        <v>4</v>
      </c>
      <c r="I183" s="21">
        <v>4</v>
      </c>
      <c r="J183" s="21">
        <v>4</v>
      </c>
      <c r="K183" s="21">
        <v>2023</v>
      </c>
      <c r="L183" s="21" t="s">
        <v>373</v>
      </c>
      <c r="M183" s="21" t="s">
        <v>373</v>
      </c>
      <c r="N183" s="21" t="s">
        <v>373</v>
      </c>
      <c r="O183" s="21" t="s">
        <v>1316</v>
      </c>
    </row>
    <row r="184" spans="1:15" x14ac:dyDescent="0.25">
      <c r="A184" s="21" t="s">
        <v>1317</v>
      </c>
      <c r="B184" s="21" t="s">
        <v>1318</v>
      </c>
      <c r="C184" s="21" t="s">
        <v>1319</v>
      </c>
      <c r="D184" s="21" t="s">
        <v>1320</v>
      </c>
      <c r="E184" s="21">
        <v>8895</v>
      </c>
      <c r="F184" s="21">
        <v>3151</v>
      </c>
      <c r="G184" s="21" t="s">
        <v>1321</v>
      </c>
      <c r="H184" s="21">
        <v>4</v>
      </c>
      <c r="I184" s="21">
        <v>2</v>
      </c>
      <c r="J184" s="21">
        <v>4</v>
      </c>
      <c r="K184" s="21">
        <v>2023</v>
      </c>
      <c r="L184" s="21" t="s">
        <v>373</v>
      </c>
      <c r="M184" s="21" t="s">
        <v>372</v>
      </c>
      <c r="N184" s="21" t="s">
        <v>373</v>
      </c>
      <c r="O184" s="21" t="s">
        <v>1322</v>
      </c>
    </row>
    <row r="185" spans="1:15" x14ac:dyDescent="0.25">
      <c r="A185" s="21" t="s">
        <v>147</v>
      </c>
      <c r="B185" s="21" t="s">
        <v>1323</v>
      </c>
      <c r="C185" s="21" t="s">
        <v>1324</v>
      </c>
      <c r="D185" s="21" t="s">
        <v>1325</v>
      </c>
      <c r="E185" s="21">
        <v>100000</v>
      </c>
      <c r="F185" s="21">
        <v>46807</v>
      </c>
      <c r="G185" s="21">
        <v>11766055</v>
      </c>
      <c r="H185" s="21">
        <v>1</v>
      </c>
      <c r="I185" s="21">
        <v>1</v>
      </c>
      <c r="J185" s="21">
        <v>4</v>
      </c>
      <c r="K185" s="21">
        <v>2023</v>
      </c>
      <c r="L185" s="21" t="s">
        <v>372</v>
      </c>
      <c r="M185" s="21" t="s">
        <v>372</v>
      </c>
      <c r="N185" s="21" t="s">
        <v>373</v>
      </c>
      <c r="O185" s="21" t="s">
        <v>250</v>
      </c>
    </row>
    <row r="186" spans="1:15" x14ac:dyDescent="0.25">
      <c r="A186" s="21" t="s">
        <v>1326</v>
      </c>
      <c r="B186" s="21" t="s">
        <v>1327</v>
      </c>
      <c r="C186" s="21" t="s">
        <v>1328</v>
      </c>
      <c r="D186" s="21" t="s">
        <v>1329</v>
      </c>
      <c r="E186" s="21">
        <v>37281</v>
      </c>
      <c r="F186" s="21">
        <v>19503</v>
      </c>
      <c r="G186" s="21">
        <v>263728</v>
      </c>
      <c r="H186" s="21">
        <v>1</v>
      </c>
      <c r="I186" s="21">
        <v>1</v>
      </c>
      <c r="J186" s="21">
        <v>4</v>
      </c>
      <c r="K186" s="21">
        <v>2023</v>
      </c>
      <c r="L186" s="21" t="s">
        <v>372</v>
      </c>
      <c r="M186" s="21" t="s">
        <v>372</v>
      </c>
      <c r="N186" s="21" t="s">
        <v>373</v>
      </c>
      <c r="O186" s="21" t="s">
        <v>1330</v>
      </c>
    </row>
    <row r="187" spans="1:15" x14ac:dyDescent="0.25">
      <c r="A187" s="21" t="s">
        <v>1331</v>
      </c>
      <c r="B187" s="21" t="s">
        <v>1332</v>
      </c>
      <c r="C187" s="21" t="s">
        <v>1333</v>
      </c>
      <c r="D187" s="21" t="s">
        <v>1334</v>
      </c>
      <c r="E187" s="21">
        <v>9108347</v>
      </c>
      <c r="F187" s="21">
        <v>325341</v>
      </c>
      <c r="G187" s="21" t="s">
        <v>1335</v>
      </c>
      <c r="H187" s="21">
        <v>1</v>
      </c>
      <c r="I187" s="21">
        <v>1</v>
      </c>
      <c r="J187" s="21">
        <v>4</v>
      </c>
      <c r="K187" s="21">
        <v>2023</v>
      </c>
      <c r="L187" s="21" t="s">
        <v>372</v>
      </c>
      <c r="M187" s="21" t="s">
        <v>372</v>
      </c>
      <c r="N187" s="21" t="s">
        <v>373</v>
      </c>
      <c r="O187" s="21" t="s">
        <v>1336</v>
      </c>
    </row>
    <row r="188" spans="1:15" x14ac:dyDescent="0.25">
      <c r="A188" s="21" t="s">
        <v>1337</v>
      </c>
      <c r="B188" s="21" t="s">
        <v>1338</v>
      </c>
      <c r="C188" s="21" t="s">
        <v>1339</v>
      </c>
      <c r="D188" s="21" t="s">
        <v>1340</v>
      </c>
      <c r="E188" s="21">
        <v>610885</v>
      </c>
      <c r="F188" s="21">
        <v>3405853</v>
      </c>
      <c r="G188" s="21" t="s">
        <v>1341</v>
      </c>
      <c r="H188" s="21">
        <v>1</v>
      </c>
      <c r="I188" s="21">
        <v>1</v>
      </c>
      <c r="J188" s="21">
        <v>4</v>
      </c>
      <c r="K188" s="21">
        <v>2023</v>
      </c>
      <c r="L188" s="21" t="s">
        <v>372</v>
      </c>
      <c r="M188" s="21" t="s">
        <v>372</v>
      </c>
      <c r="N188" s="21" t="s">
        <v>373</v>
      </c>
      <c r="O188" s="21" t="s">
        <v>1342</v>
      </c>
    </row>
    <row r="189" spans="1:15" x14ac:dyDescent="0.25">
      <c r="A189" s="21" t="s">
        <v>1343</v>
      </c>
      <c r="B189" s="21" t="s">
        <v>1344</v>
      </c>
      <c r="C189" s="21" t="s">
        <v>1345</v>
      </c>
      <c r="D189" s="21" t="s">
        <v>1346</v>
      </c>
      <c r="E189" s="21">
        <v>760000</v>
      </c>
      <c r="F189" s="21">
        <v>1845000</v>
      </c>
      <c r="G189" s="21" t="s">
        <v>1347</v>
      </c>
      <c r="H189" s="21">
        <v>1</v>
      </c>
      <c r="I189" s="21">
        <v>1</v>
      </c>
      <c r="J189" s="21">
        <v>4</v>
      </c>
      <c r="K189" s="21">
        <v>2023</v>
      </c>
      <c r="L189" s="21" t="s">
        <v>372</v>
      </c>
      <c r="M189" s="21" t="s">
        <v>372</v>
      </c>
      <c r="N189" s="21" t="s">
        <v>373</v>
      </c>
      <c r="O189" s="21">
        <v>21707</v>
      </c>
    </row>
    <row r="190" spans="1:15" x14ac:dyDescent="0.25">
      <c r="A190" s="21" t="s">
        <v>1348</v>
      </c>
      <c r="B190" s="21" t="s">
        <v>1349</v>
      </c>
      <c r="C190" s="21" t="s">
        <v>1350</v>
      </c>
      <c r="D190" s="21" t="s">
        <v>1351</v>
      </c>
      <c r="E190" s="21">
        <v>50834</v>
      </c>
      <c r="F190" s="21">
        <v>163700</v>
      </c>
      <c r="G190" s="21" t="s">
        <v>1352</v>
      </c>
      <c r="H190" s="21">
        <v>1</v>
      </c>
      <c r="I190" s="21">
        <v>1</v>
      </c>
      <c r="J190" s="21">
        <v>4</v>
      </c>
      <c r="K190" s="21">
        <v>2023</v>
      </c>
      <c r="L190" s="21" t="s">
        <v>372</v>
      </c>
      <c r="M190" s="21" t="s">
        <v>372</v>
      </c>
      <c r="N190" s="21" t="s">
        <v>373</v>
      </c>
      <c r="O190" s="21" t="s">
        <v>1353</v>
      </c>
    </row>
    <row r="191" spans="1:15" x14ac:dyDescent="0.25">
      <c r="A191" s="21" t="s">
        <v>181</v>
      </c>
      <c r="B191" s="21" t="s">
        <v>1354</v>
      </c>
      <c r="C191" s="21" t="s">
        <v>1355</v>
      </c>
      <c r="D191" s="21" t="s">
        <v>1356</v>
      </c>
      <c r="E191" s="21">
        <v>424000</v>
      </c>
      <c r="F191" s="21">
        <v>577000</v>
      </c>
      <c r="G191" s="21" t="s">
        <v>1357</v>
      </c>
      <c r="H191" s="21">
        <v>1</v>
      </c>
      <c r="I191" s="21">
        <v>2</v>
      </c>
      <c r="J191" s="21">
        <v>4</v>
      </c>
      <c r="K191" s="21">
        <v>2023</v>
      </c>
      <c r="L191" s="21" t="s">
        <v>372</v>
      </c>
      <c r="M191" s="21" t="s">
        <v>372</v>
      </c>
      <c r="N191" s="21" t="s">
        <v>373</v>
      </c>
      <c r="O191" s="21" t="s">
        <v>271</v>
      </c>
    </row>
    <row r="192" spans="1:15" x14ac:dyDescent="0.25">
      <c r="A192" s="21" t="s">
        <v>1358</v>
      </c>
      <c r="B192" s="21" t="s">
        <v>1359</v>
      </c>
      <c r="C192" s="21" t="s">
        <v>1360</v>
      </c>
      <c r="D192" s="21" t="s">
        <v>1361</v>
      </c>
      <c r="E192" s="21">
        <v>2541515</v>
      </c>
      <c r="F192" s="21">
        <v>11445465</v>
      </c>
      <c r="G192" s="21" t="s">
        <v>1362</v>
      </c>
      <c r="H192" s="21">
        <v>1</v>
      </c>
      <c r="I192" s="21">
        <v>2</v>
      </c>
      <c r="J192" s="21">
        <v>4</v>
      </c>
      <c r="K192" s="21">
        <v>2023</v>
      </c>
      <c r="L192" s="21" t="s">
        <v>372</v>
      </c>
      <c r="M192" s="21" t="s">
        <v>372</v>
      </c>
      <c r="N192" s="21" t="s">
        <v>373</v>
      </c>
      <c r="O192" s="21" t="s">
        <v>1363</v>
      </c>
    </row>
    <row r="193" spans="1:15" x14ac:dyDescent="0.25">
      <c r="A193" s="21" t="s">
        <v>1364</v>
      </c>
      <c r="B193" s="21" t="s">
        <v>1365</v>
      </c>
      <c r="C193" s="21" t="s">
        <v>1366</v>
      </c>
      <c r="D193" s="21" t="s">
        <v>1367</v>
      </c>
      <c r="E193" s="21">
        <v>1405640</v>
      </c>
      <c r="F193" s="21">
        <v>1425977</v>
      </c>
      <c r="G193" s="21">
        <v>168195623</v>
      </c>
      <c r="H193" s="21">
        <v>1</v>
      </c>
      <c r="I193" s="21">
        <v>1</v>
      </c>
      <c r="J193" s="21">
        <v>1</v>
      </c>
      <c r="K193" s="21">
        <v>2023</v>
      </c>
      <c r="L193" s="21" t="s">
        <v>372</v>
      </c>
      <c r="M193" s="21" t="s">
        <v>372</v>
      </c>
      <c r="N193" s="21" t="s">
        <v>372</v>
      </c>
      <c r="O193" s="21" t="s">
        <v>1368</v>
      </c>
    </row>
    <row r="194" spans="1:15" x14ac:dyDescent="0.25">
      <c r="A194" s="21" t="s">
        <v>1369</v>
      </c>
      <c r="B194" s="21" t="s">
        <v>1370</v>
      </c>
      <c r="C194" s="21" t="s">
        <v>1371</v>
      </c>
      <c r="D194" s="21" t="s">
        <v>1372</v>
      </c>
      <c r="E194" s="21">
        <v>990000</v>
      </c>
      <c r="F194" s="21">
        <v>3820000</v>
      </c>
      <c r="G194" s="21" t="s">
        <v>1373</v>
      </c>
      <c r="H194" s="21">
        <v>1</v>
      </c>
      <c r="I194" s="21">
        <v>1</v>
      </c>
      <c r="J194" s="21">
        <v>4</v>
      </c>
      <c r="K194" s="21">
        <v>2023</v>
      </c>
      <c r="L194" s="21" t="s">
        <v>372</v>
      </c>
      <c r="M194" s="21" t="s">
        <v>372</v>
      </c>
      <c r="N194" s="21" t="s">
        <v>373</v>
      </c>
      <c r="O194" s="21">
        <v>9818</v>
      </c>
    </row>
    <row r="195" spans="1:15" x14ac:dyDescent="0.25">
      <c r="A195" s="21" t="s">
        <v>1374</v>
      </c>
      <c r="B195" s="21" t="s">
        <v>1375</v>
      </c>
      <c r="C195" s="21" t="s">
        <v>1376</v>
      </c>
      <c r="D195" s="21" t="s">
        <v>1377</v>
      </c>
      <c r="E195" s="21">
        <v>1542</v>
      </c>
      <c r="F195" s="21">
        <v>9044</v>
      </c>
      <c r="G195" s="21" t="s">
        <v>1378</v>
      </c>
      <c r="H195" s="21">
        <v>1</v>
      </c>
      <c r="I195" s="21">
        <v>1</v>
      </c>
      <c r="J195" s="21">
        <v>4</v>
      </c>
      <c r="K195" s="21">
        <v>2023</v>
      </c>
      <c r="L195" s="21" t="s">
        <v>372</v>
      </c>
      <c r="M195" s="21" t="s">
        <v>372</v>
      </c>
      <c r="N195" s="21" t="s">
        <v>373</v>
      </c>
      <c r="O195" s="21" t="s">
        <v>1379</v>
      </c>
    </row>
    <row r="196" spans="1:15" x14ac:dyDescent="0.25">
      <c r="A196" s="21" t="s">
        <v>1380</v>
      </c>
      <c r="B196" s="21" t="s">
        <v>1381</v>
      </c>
      <c r="E196" s="21">
        <v>960653</v>
      </c>
      <c r="F196" s="21">
        <v>137587</v>
      </c>
      <c r="G196" s="21">
        <v>9594</v>
      </c>
      <c r="H196" s="21">
        <v>1</v>
      </c>
      <c r="I196" s="21">
        <v>1</v>
      </c>
      <c r="J196" s="21">
        <v>1</v>
      </c>
      <c r="K196" s="21">
        <v>2023</v>
      </c>
      <c r="L196" s="21" t="s">
        <v>372</v>
      </c>
      <c r="M196" s="21" t="s">
        <v>372</v>
      </c>
      <c r="N196" s="21" t="s">
        <v>372</v>
      </c>
      <c r="O196" s="21" t="s">
        <v>1382</v>
      </c>
    </row>
    <row r="197" spans="1:15" x14ac:dyDescent="0.25">
      <c r="A197" s="21" t="s">
        <v>1383</v>
      </c>
      <c r="B197" s="21" t="s">
        <v>1384</v>
      </c>
      <c r="C197" s="21" t="s">
        <v>1385</v>
      </c>
      <c r="D197" s="21" t="s">
        <v>1386</v>
      </c>
      <c r="E197" s="21">
        <v>193583</v>
      </c>
      <c r="F197" s="21">
        <v>562791</v>
      </c>
      <c r="G197" s="21">
        <v>4537485</v>
      </c>
      <c r="H197" s="21">
        <v>1</v>
      </c>
      <c r="I197" s="21">
        <v>2</v>
      </c>
      <c r="J197" s="21">
        <v>1</v>
      </c>
      <c r="K197" s="21">
        <v>2023</v>
      </c>
      <c r="L197" s="21" t="s">
        <v>372</v>
      </c>
      <c r="M197" s="21" t="s">
        <v>372</v>
      </c>
      <c r="N197" s="21" t="s">
        <v>372</v>
      </c>
      <c r="O197" s="21" t="s">
        <v>1387</v>
      </c>
    </row>
    <row r="198" spans="1:15" x14ac:dyDescent="0.25">
      <c r="A198" s="21" t="s">
        <v>1388</v>
      </c>
      <c r="B198" s="21" t="s">
        <v>1388</v>
      </c>
      <c r="C198" s="21" t="s">
        <v>1389</v>
      </c>
      <c r="D198" s="21" t="s">
        <v>1390</v>
      </c>
      <c r="E198" s="21">
        <v>50638</v>
      </c>
      <c r="F198" s="21">
        <v>111252</v>
      </c>
      <c r="G198" s="21" t="s">
        <v>1391</v>
      </c>
      <c r="H198" s="21">
        <v>1</v>
      </c>
      <c r="I198" s="21">
        <v>1</v>
      </c>
      <c r="J198" s="21">
        <v>4</v>
      </c>
      <c r="K198" s="21">
        <v>2023</v>
      </c>
      <c r="L198" s="21" t="s">
        <v>372</v>
      </c>
      <c r="M198" s="21" t="s">
        <v>372</v>
      </c>
      <c r="N198" s="21" t="s">
        <v>373</v>
      </c>
      <c r="O198" s="21">
        <v>17949</v>
      </c>
    </row>
    <row r="199" spans="1:15" x14ac:dyDescent="0.25">
      <c r="A199" s="21" t="s">
        <v>1392</v>
      </c>
      <c r="B199" s="21" t="s">
        <v>1393</v>
      </c>
      <c r="C199" s="21" t="s">
        <v>1394</v>
      </c>
      <c r="D199" s="21" t="s">
        <v>1395</v>
      </c>
      <c r="E199" s="21">
        <v>31200000</v>
      </c>
      <c r="F199" s="21">
        <v>2300000</v>
      </c>
      <c r="G199" s="21" t="s">
        <v>1396</v>
      </c>
      <c r="H199" s="21">
        <v>1</v>
      </c>
      <c r="I199" s="21">
        <v>1</v>
      </c>
      <c r="J199" s="21">
        <v>4</v>
      </c>
      <c r="K199" s="21">
        <v>2023</v>
      </c>
      <c r="L199" s="21" t="s">
        <v>372</v>
      </c>
      <c r="M199" s="21" t="s">
        <v>372</v>
      </c>
      <c r="N199" s="21" t="s">
        <v>373</v>
      </c>
      <c r="O199" s="21" t="s">
        <v>1397</v>
      </c>
    </row>
    <row r="200" spans="1:15" x14ac:dyDescent="0.25">
      <c r="A200" s="21" t="s">
        <v>1398</v>
      </c>
      <c r="B200" s="21" t="s">
        <v>1399</v>
      </c>
      <c r="C200" s="21" t="s">
        <v>1400</v>
      </c>
      <c r="D200" s="21" t="s">
        <v>1401</v>
      </c>
      <c r="E200" s="21">
        <v>110487</v>
      </c>
      <c r="F200" s="21">
        <v>57294</v>
      </c>
      <c r="G200" s="21" t="s">
        <v>1402</v>
      </c>
      <c r="H200" s="21">
        <v>1</v>
      </c>
      <c r="I200" s="21">
        <v>1</v>
      </c>
      <c r="J200" s="21">
        <v>4</v>
      </c>
      <c r="K200" s="21">
        <v>2023</v>
      </c>
      <c r="L200" s="21" t="s">
        <v>372</v>
      </c>
      <c r="M200" s="21" t="s">
        <v>372</v>
      </c>
      <c r="N200" s="21" t="s">
        <v>373</v>
      </c>
      <c r="O200" s="21" t="s">
        <v>1403</v>
      </c>
    </row>
    <row r="201" spans="1:15" x14ac:dyDescent="0.25">
      <c r="A201" s="21" t="s">
        <v>1404</v>
      </c>
      <c r="B201" s="21" t="s">
        <v>1405</v>
      </c>
      <c r="C201" s="21" t="s">
        <v>1406</v>
      </c>
      <c r="D201" s="21" t="s">
        <v>1407</v>
      </c>
      <c r="E201" s="21">
        <v>13328</v>
      </c>
      <c r="F201" s="21">
        <v>60329</v>
      </c>
      <c r="G201" s="21" t="s">
        <v>1408</v>
      </c>
      <c r="H201" s="21">
        <v>2</v>
      </c>
      <c r="I201" s="21">
        <v>2</v>
      </c>
      <c r="J201" s="21">
        <v>4</v>
      </c>
      <c r="K201" s="21">
        <v>2023</v>
      </c>
      <c r="L201" s="21" t="s">
        <v>372</v>
      </c>
      <c r="M201" s="21" t="s">
        <v>372</v>
      </c>
      <c r="N201" s="21" t="s">
        <v>373</v>
      </c>
      <c r="O201" s="21" t="s">
        <v>1409</v>
      </c>
    </row>
    <row r="202" spans="1:15" x14ac:dyDescent="0.25">
      <c r="A202" s="21" t="s">
        <v>1410</v>
      </c>
      <c r="B202" s="21" t="s">
        <v>1411</v>
      </c>
      <c r="C202" s="21" t="s">
        <v>1412</v>
      </c>
      <c r="D202" s="21" t="s">
        <v>1413</v>
      </c>
      <c r="E202" s="21">
        <v>612909</v>
      </c>
      <c r="F202" s="21">
        <v>802641</v>
      </c>
      <c r="G202" s="21">
        <v>13847854</v>
      </c>
      <c r="H202" s="21">
        <v>1</v>
      </c>
      <c r="I202" s="21">
        <v>1</v>
      </c>
      <c r="J202" s="21">
        <v>4</v>
      </c>
      <c r="K202" s="21">
        <v>2023</v>
      </c>
      <c r="L202" s="21" t="s">
        <v>372</v>
      </c>
      <c r="M202" s="21" t="s">
        <v>372</v>
      </c>
      <c r="N202" s="21" t="s">
        <v>373</v>
      </c>
      <c r="O202" s="21" t="s">
        <v>1414</v>
      </c>
    </row>
    <row r="203" spans="1:15" x14ac:dyDescent="0.25">
      <c r="A203" s="21" t="s">
        <v>1415</v>
      </c>
      <c r="B203" s="21" t="s">
        <v>1416</v>
      </c>
      <c r="C203" s="21" t="s">
        <v>1417</v>
      </c>
      <c r="D203" s="21" t="s">
        <v>1418</v>
      </c>
      <c r="E203" s="21">
        <v>570897</v>
      </c>
      <c r="F203" s="21">
        <v>2237570</v>
      </c>
      <c r="G203" s="21" t="s">
        <v>1419</v>
      </c>
      <c r="H203" s="21">
        <v>4</v>
      </c>
      <c r="I203" s="21">
        <v>2</v>
      </c>
      <c r="J203" s="21">
        <v>4</v>
      </c>
      <c r="K203" s="21">
        <v>2023</v>
      </c>
      <c r="L203" s="21" t="s">
        <v>373</v>
      </c>
      <c r="M203" s="21" t="s">
        <v>372</v>
      </c>
      <c r="N203" s="21" t="s">
        <v>373</v>
      </c>
      <c r="O203" s="21" t="s">
        <v>1420</v>
      </c>
    </row>
    <row r="204" spans="1:15" x14ac:dyDescent="0.25">
      <c r="A204" s="21" t="s">
        <v>189</v>
      </c>
      <c r="B204" s="21" t="s">
        <v>1421</v>
      </c>
      <c r="C204" s="21" t="s">
        <v>1422</v>
      </c>
      <c r="D204" s="21" t="s">
        <v>1423</v>
      </c>
      <c r="E204" s="21">
        <v>11579510</v>
      </c>
      <c r="F204" s="21">
        <v>304776</v>
      </c>
      <c r="G204" s="21" t="s">
        <v>1424</v>
      </c>
      <c r="H204" s="21">
        <v>1</v>
      </c>
      <c r="I204" s="21">
        <v>1</v>
      </c>
      <c r="J204" s="21">
        <v>4</v>
      </c>
      <c r="K204" s="21">
        <v>2023</v>
      </c>
      <c r="L204" s="21" t="s">
        <v>372</v>
      </c>
      <c r="M204" s="21" t="s">
        <v>372</v>
      </c>
      <c r="N204" s="21" t="s">
        <v>373</v>
      </c>
      <c r="O204" s="21" t="s">
        <v>275</v>
      </c>
    </row>
    <row r="205" spans="1:15" x14ac:dyDescent="0.25">
      <c r="A205" s="21" t="s">
        <v>1425</v>
      </c>
      <c r="B205" s="21" t="s">
        <v>1426</v>
      </c>
      <c r="C205" s="21" t="s">
        <v>1427</v>
      </c>
      <c r="D205" s="21" t="s">
        <v>1428</v>
      </c>
      <c r="E205" s="21">
        <v>310944</v>
      </c>
      <c r="F205" s="21">
        <v>532645</v>
      </c>
      <c r="G205" s="21" t="s">
        <v>1429</v>
      </c>
      <c r="H205" s="21">
        <v>1</v>
      </c>
      <c r="I205" s="21">
        <v>1</v>
      </c>
      <c r="J205" s="21">
        <v>4</v>
      </c>
      <c r="K205" s="21">
        <v>2023</v>
      </c>
      <c r="L205" s="21" t="s">
        <v>372</v>
      </c>
      <c r="M205" s="21" t="s">
        <v>372</v>
      </c>
      <c r="N205" s="21" t="s">
        <v>373</v>
      </c>
      <c r="O205" s="21" t="s">
        <v>1430</v>
      </c>
    </row>
    <row r="206" spans="1:15" x14ac:dyDescent="0.25">
      <c r="A206" s="21" t="s">
        <v>1431</v>
      </c>
      <c r="B206" s="21" t="s">
        <v>1432</v>
      </c>
      <c r="C206" s="21" t="s">
        <v>1433</v>
      </c>
      <c r="D206" s="21" t="s">
        <v>1434</v>
      </c>
      <c r="E206" s="21">
        <v>250022</v>
      </c>
      <c r="F206" s="21">
        <v>795681</v>
      </c>
      <c r="G206" s="21" t="s">
        <v>1435</v>
      </c>
      <c r="H206" s="21">
        <v>1</v>
      </c>
      <c r="I206" s="21">
        <v>1</v>
      </c>
      <c r="J206" s="21">
        <v>4</v>
      </c>
      <c r="K206" s="21">
        <v>2023</v>
      </c>
      <c r="L206" s="21" t="s">
        <v>372</v>
      </c>
      <c r="M206" s="21" t="s">
        <v>372</v>
      </c>
      <c r="N206" s="21" t="s">
        <v>373</v>
      </c>
      <c r="O206" s="21" t="s">
        <v>1436</v>
      </c>
    </row>
    <row r="207" spans="1:15" x14ac:dyDescent="0.25">
      <c r="A207" s="21" t="s">
        <v>1437</v>
      </c>
      <c r="B207" s="21" t="s">
        <v>1438</v>
      </c>
      <c r="C207" s="21" t="s">
        <v>1439</v>
      </c>
      <c r="D207" s="21" t="s">
        <v>1440</v>
      </c>
      <c r="E207" s="21">
        <v>8198</v>
      </c>
      <c r="F207" s="21">
        <v>55639</v>
      </c>
      <c r="G207" s="21" t="s">
        <v>1441</v>
      </c>
      <c r="H207" s="21">
        <v>4</v>
      </c>
      <c r="I207" s="21">
        <v>2</v>
      </c>
      <c r="J207" s="21">
        <v>4</v>
      </c>
      <c r="K207" s="21">
        <v>2023</v>
      </c>
      <c r="L207" s="21" t="s">
        <v>373</v>
      </c>
      <c r="M207" s="21" t="s">
        <v>372</v>
      </c>
      <c r="N207" s="21" t="s">
        <v>373</v>
      </c>
      <c r="O207" s="21" t="s">
        <v>1442</v>
      </c>
    </row>
    <row r="208" spans="1:15" x14ac:dyDescent="0.25">
      <c r="A208" s="21" t="s">
        <v>1443</v>
      </c>
      <c r="B208" s="21" t="s">
        <v>1444</v>
      </c>
      <c r="C208" s="21" t="s">
        <v>1445</v>
      </c>
      <c r="E208" s="21">
        <v>450</v>
      </c>
      <c r="F208" s="21">
        <v>306</v>
      </c>
      <c r="G208" s="21" t="s">
        <v>1446</v>
      </c>
      <c r="H208" s="21">
        <v>2</v>
      </c>
      <c r="I208" s="21">
        <v>2</v>
      </c>
      <c r="J208" s="21">
        <v>4</v>
      </c>
      <c r="K208" s="21">
        <v>2023</v>
      </c>
      <c r="L208" s="21" t="s">
        <v>372</v>
      </c>
      <c r="M208" s="21" t="s">
        <v>372</v>
      </c>
      <c r="N208" s="21" t="s">
        <v>373</v>
      </c>
      <c r="O208" s="21" t="s">
        <v>1447</v>
      </c>
    </row>
    <row r="209" spans="1:15" x14ac:dyDescent="0.25">
      <c r="A209" s="21" t="s">
        <v>1448</v>
      </c>
      <c r="B209" s="21" t="s">
        <v>1449</v>
      </c>
      <c r="C209" s="21" t="s">
        <v>1450</v>
      </c>
      <c r="D209" s="21" t="s">
        <v>1451</v>
      </c>
      <c r="E209" s="21">
        <v>22931</v>
      </c>
      <c r="F209" s="21">
        <v>1146054</v>
      </c>
      <c r="G209" s="21">
        <v>279011</v>
      </c>
      <c r="H209" s="21">
        <v>1</v>
      </c>
      <c r="I209" s="21">
        <v>1</v>
      </c>
      <c r="J209" s="21">
        <v>1</v>
      </c>
      <c r="K209" s="21">
        <v>2023</v>
      </c>
      <c r="L209" s="21" t="s">
        <v>372</v>
      </c>
      <c r="M209" s="21" t="s">
        <v>372</v>
      </c>
      <c r="N209" s="21" t="s">
        <v>372</v>
      </c>
      <c r="O209" s="21" t="s">
        <v>1452</v>
      </c>
    </row>
    <row r="210" spans="1:15" x14ac:dyDescent="0.25">
      <c r="A210" s="21" t="s">
        <v>176</v>
      </c>
      <c r="B210" s="21" t="s">
        <v>1453</v>
      </c>
      <c r="C210" s="21" t="s">
        <v>1454</v>
      </c>
      <c r="D210" s="21" t="s">
        <v>1455</v>
      </c>
      <c r="E210" s="21">
        <v>369199</v>
      </c>
      <c r="F210" s="21">
        <v>594093</v>
      </c>
      <c r="G210" s="21" t="s">
        <v>1456</v>
      </c>
      <c r="H210" s="21">
        <v>1</v>
      </c>
      <c r="I210" s="21">
        <v>1</v>
      </c>
      <c r="J210" s="21">
        <v>4</v>
      </c>
      <c r="K210" s="21">
        <v>2023</v>
      </c>
      <c r="L210" s="21" t="s">
        <v>372</v>
      </c>
      <c r="M210" s="21" t="s">
        <v>372</v>
      </c>
      <c r="N210" s="21" t="s">
        <v>373</v>
      </c>
      <c r="O210" s="21">
        <v>51516</v>
      </c>
    </row>
    <row r="211" spans="1:15" x14ac:dyDescent="0.25">
      <c r="A211" s="21" t="s">
        <v>1457</v>
      </c>
      <c r="B211" s="21" t="s">
        <v>1458</v>
      </c>
      <c r="C211" s="21" t="s">
        <v>1459</v>
      </c>
      <c r="D211" s="21" t="s">
        <v>1460</v>
      </c>
      <c r="E211" s="21">
        <v>138390</v>
      </c>
      <c r="F211" s="21">
        <v>209459</v>
      </c>
      <c r="G211" s="21" t="s">
        <v>1461</v>
      </c>
      <c r="H211" s="21">
        <v>2</v>
      </c>
      <c r="I211" s="21">
        <v>2</v>
      </c>
      <c r="J211" s="21">
        <v>4</v>
      </c>
      <c r="K211" s="21">
        <v>2023</v>
      </c>
      <c r="L211" s="21" t="s">
        <v>372</v>
      </c>
      <c r="M211" s="21" t="s">
        <v>372</v>
      </c>
      <c r="N211" s="21" t="s">
        <v>373</v>
      </c>
      <c r="O211" s="21" t="s">
        <v>1462</v>
      </c>
    </row>
    <row r="212" spans="1:15" x14ac:dyDescent="0.25">
      <c r="A212" s="21" t="s">
        <v>1463</v>
      </c>
      <c r="B212" s="21" t="s">
        <v>1464</v>
      </c>
      <c r="C212" s="21" t="s">
        <v>1465</v>
      </c>
      <c r="D212" s="21" t="s">
        <v>1466</v>
      </c>
      <c r="E212" s="21">
        <v>285694</v>
      </c>
      <c r="F212" s="21">
        <v>368436</v>
      </c>
      <c r="G212" s="21" t="s">
        <v>1467</v>
      </c>
      <c r="H212" s="21">
        <v>1</v>
      </c>
      <c r="I212" s="21">
        <v>1</v>
      </c>
      <c r="J212" s="21">
        <v>4</v>
      </c>
      <c r="K212" s="21">
        <v>2023</v>
      </c>
      <c r="L212" s="21" t="s">
        <v>372</v>
      </c>
      <c r="M212" s="21" t="s">
        <v>372</v>
      </c>
      <c r="N212" s="21" t="s">
        <v>373</v>
      </c>
      <c r="O212" s="21" t="s">
        <v>1468</v>
      </c>
    </row>
    <row r="213" spans="1:15" x14ac:dyDescent="0.25">
      <c r="A213" s="21" t="s">
        <v>121</v>
      </c>
      <c r="B213" s="21" t="s">
        <v>1469</v>
      </c>
      <c r="C213" s="21" t="s">
        <v>1470</v>
      </c>
      <c r="D213" s="21" t="s">
        <v>1471</v>
      </c>
      <c r="E213" s="21">
        <v>830923</v>
      </c>
      <c r="F213" s="21">
        <v>762805</v>
      </c>
      <c r="G213" s="21" t="s">
        <v>1472</v>
      </c>
      <c r="H213" s="21">
        <v>1</v>
      </c>
      <c r="I213" s="21">
        <v>1</v>
      </c>
      <c r="J213" s="21">
        <v>4</v>
      </c>
      <c r="K213" s="21">
        <v>2023</v>
      </c>
      <c r="L213" s="21" t="s">
        <v>372</v>
      </c>
      <c r="M213" s="21" t="s">
        <v>372</v>
      </c>
      <c r="N213" s="21" t="s">
        <v>373</v>
      </c>
      <c r="O213" s="21">
        <v>32656</v>
      </c>
    </row>
    <row r="214" spans="1:15" x14ac:dyDescent="0.25">
      <c r="A214" s="21" t="s">
        <v>1473</v>
      </c>
      <c r="B214" s="21" t="s">
        <v>1474</v>
      </c>
      <c r="C214" s="21" t="s">
        <v>1475</v>
      </c>
      <c r="D214" s="21" t="s">
        <v>1476</v>
      </c>
      <c r="E214" s="21">
        <v>4476</v>
      </c>
      <c r="F214" s="21">
        <v>22929</v>
      </c>
      <c r="G214" s="21">
        <v>673426</v>
      </c>
      <c r="H214" s="21">
        <v>1</v>
      </c>
      <c r="I214" s="21">
        <v>1</v>
      </c>
      <c r="J214" s="21">
        <v>4</v>
      </c>
      <c r="K214" s="21">
        <v>2023</v>
      </c>
      <c r="L214" s="21" t="s">
        <v>372</v>
      </c>
      <c r="M214" s="21" t="s">
        <v>372</v>
      </c>
      <c r="N214" s="21" t="s">
        <v>373</v>
      </c>
      <c r="O214" s="21" t="s">
        <v>1477</v>
      </c>
    </row>
    <row r="215" spans="1:15" x14ac:dyDescent="0.25">
      <c r="A215" s="21" t="s">
        <v>1478</v>
      </c>
      <c r="B215" s="21" t="s">
        <v>1479</v>
      </c>
      <c r="C215" s="21" t="s">
        <v>1480</v>
      </c>
      <c r="D215" s="21" t="s">
        <v>1481</v>
      </c>
      <c r="E215" s="21">
        <v>7250</v>
      </c>
      <c r="F215" s="21">
        <v>11319</v>
      </c>
      <c r="G215" s="21" t="s">
        <v>1482</v>
      </c>
      <c r="H215" s="21">
        <v>1</v>
      </c>
      <c r="I215" s="21">
        <v>1</v>
      </c>
      <c r="J215" s="21">
        <v>4</v>
      </c>
      <c r="K215" s="21">
        <v>2023</v>
      </c>
      <c r="L215" s="21" t="s">
        <v>372</v>
      </c>
      <c r="M215" s="21" t="s">
        <v>372</v>
      </c>
      <c r="N215" s="21" t="s">
        <v>373</v>
      </c>
      <c r="O215" s="21" t="s">
        <v>1483</v>
      </c>
    </row>
    <row r="216" spans="1:15" x14ac:dyDescent="0.25">
      <c r="A216" s="21" t="s">
        <v>1484</v>
      </c>
      <c r="B216" s="21" t="s">
        <v>1485</v>
      </c>
      <c r="C216" s="21" t="s">
        <v>1486</v>
      </c>
      <c r="D216" s="21" t="s">
        <v>1487</v>
      </c>
      <c r="E216" s="21">
        <v>39009</v>
      </c>
      <c r="F216" s="21">
        <v>100074</v>
      </c>
      <c r="G216" s="21" t="s">
        <v>1488</v>
      </c>
      <c r="H216" s="21">
        <v>4</v>
      </c>
      <c r="I216" s="21">
        <v>4</v>
      </c>
      <c r="J216" s="21">
        <v>4</v>
      </c>
      <c r="K216" s="21">
        <v>2023</v>
      </c>
      <c r="L216" s="21" t="s">
        <v>373</v>
      </c>
      <c r="M216" s="21" t="s">
        <v>373</v>
      </c>
      <c r="N216" s="21" t="s">
        <v>373</v>
      </c>
      <c r="O216" s="21" t="s">
        <v>1489</v>
      </c>
    </row>
    <row r="217" spans="1:15" x14ac:dyDescent="0.25">
      <c r="A217" s="21" t="s">
        <v>1490</v>
      </c>
      <c r="B217" s="21" t="s">
        <v>1491</v>
      </c>
      <c r="C217" s="21" t="s">
        <v>1492</v>
      </c>
      <c r="D217" s="21" t="s">
        <v>1493</v>
      </c>
      <c r="E217" s="21">
        <v>45800</v>
      </c>
      <c r="F217" s="21">
        <v>330564</v>
      </c>
      <c r="G217" s="21" t="s">
        <v>1494</v>
      </c>
      <c r="H217" s="21">
        <v>1</v>
      </c>
      <c r="I217" s="21">
        <v>1</v>
      </c>
      <c r="J217" s="21">
        <v>4</v>
      </c>
      <c r="K217" s="21">
        <v>2023</v>
      </c>
      <c r="L217" s="21" t="s">
        <v>372</v>
      </c>
      <c r="M217" s="21" t="s">
        <v>372</v>
      </c>
      <c r="N217" s="21" t="s">
        <v>373</v>
      </c>
      <c r="O217" s="21" t="s">
        <v>1495</v>
      </c>
    </row>
    <row r="218" spans="1:15" x14ac:dyDescent="0.25">
      <c r="A218" s="21" t="s">
        <v>1496</v>
      </c>
      <c r="B218" s="21" t="s">
        <v>1496</v>
      </c>
      <c r="C218" s="21" t="s">
        <v>1497</v>
      </c>
      <c r="D218" s="21" t="s">
        <v>1498</v>
      </c>
      <c r="E218" s="21">
        <v>30741000</v>
      </c>
      <c r="F218" s="21">
        <v>203486</v>
      </c>
      <c r="G218" s="21" t="s">
        <v>1499</v>
      </c>
      <c r="H218" s="21">
        <v>1</v>
      </c>
      <c r="I218" s="21">
        <v>1</v>
      </c>
      <c r="J218" s="21">
        <v>4</v>
      </c>
      <c r="K218" s="21">
        <v>2023</v>
      </c>
      <c r="L218" s="21" t="s">
        <v>372</v>
      </c>
      <c r="M218" s="21" t="s">
        <v>372</v>
      </c>
      <c r="N218" s="21" t="s">
        <v>373</v>
      </c>
      <c r="O218" s="21" t="s">
        <v>1500</v>
      </c>
    </row>
    <row r="219" spans="1:15" x14ac:dyDescent="0.25">
      <c r="A219" s="21" t="s">
        <v>195</v>
      </c>
      <c r="B219" s="21" t="s">
        <v>1501</v>
      </c>
      <c r="C219" s="21" t="s">
        <v>1502</v>
      </c>
      <c r="D219" s="21" t="s">
        <v>1503</v>
      </c>
      <c r="E219" s="21">
        <v>2919</v>
      </c>
      <c r="F219" s="21">
        <v>13396</v>
      </c>
      <c r="G219" s="21" t="s">
        <v>1504</v>
      </c>
      <c r="H219" s="21">
        <v>1</v>
      </c>
      <c r="I219" s="21">
        <v>1</v>
      </c>
      <c r="J219" s="21">
        <v>4</v>
      </c>
      <c r="K219" s="21">
        <v>2023</v>
      </c>
      <c r="L219" s="21" t="s">
        <v>372</v>
      </c>
      <c r="M219" s="21" t="s">
        <v>372</v>
      </c>
      <c r="N219" s="21" t="s">
        <v>373</v>
      </c>
      <c r="O219" s="21" t="s">
        <v>280</v>
      </c>
    </row>
    <row r="220" spans="1:15" x14ac:dyDescent="0.25">
      <c r="A220" s="21" t="s">
        <v>1505</v>
      </c>
      <c r="B220" s="21" t="s">
        <v>1506</v>
      </c>
      <c r="C220" s="21" t="s">
        <v>1507</v>
      </c>
      <c r="D220" s="21" t="s">
        <v>1508</v>
      </c>
      <c r="E220" s="21">
        <v>548</v>
      </c>
      <c r="F220" s="21" t="s">
        <v>1509</v>
      </c>
      <c r="G220" s="21" t="s">
        <v>1510</v>
      </c>
      <c r="H220" s="21">
        <v>2</v>
      </c>
      <c r="I220" s="21">
        <v>2</v>
      </c>
      <c r="J220" s="21">
        <v>4</v>
      </c>
      <c r="K220" s="21">
        <v>2023</v>
      </c>
      <c r="L220" s="21" t="s">
        <v>372</v>
      </c>
      <c r="M220" s="21" t="s">
        <v>372</v>
      </c>
      <c r="N220" s="21" t="s">
        <v>373</v>
      </c>
      <c r="O220" s="21" t="s">
        <v>1511</v>
      </c>
    </row>
    <row r="221" spans="1:15" x14ac:dyDescent="0.25">
      <c r="A221" s="21" t="s">
        <v>1512</v>
      </c>
      <c r="B221" s="21" t="s">
        <v>1513</v>
      </c>
      <c r="C221" s="21" t="s">
        <v>1514</v>
      </c>
      <c r="D221" s="21" t="s">
        <v>1515</v>
      </c>
      <c r="E221" s="21">
        <v>2773378</v>
      </c>
      <c r="F221" s="21">
        <v>4350701</v>
      </c>
      <c r="G221" s="21" t="s">
        <v>1516</v>
      </c>
      <c r="H221" s="21">
        <v>1</v>
      </c>
      <c r="I221" s="21">
        <v>1</v>
      </c>
      <c r="J221" s="21">
        <v>4</v>
      </c>
      <c r="K221" s="21">
        <v>2023</v>
      </c>
      <c r="L221" s="21" t="s">
        <v>372</v>
      </c>
      <c r="M221" s="21" t="s">
        <v>372</v>
      </c>
      <c r="N221" s="21" t="s">
        <v>373</v>
      </c>
      <c r="O221" s="21">
        <v>55326</v>
      </c>
    </row>
    <row r="222" spans="1:15" x14ac:dyDescent="0.25">
      <c r="A222" s="21" t="s">
        <v>153</v>
      </c>
      <c r="B222" s="21" t="s">
        <v>1517</v>
      </c>
      <c r="C222" s="21" t="s">
        <v>1518</v>
      </c>
      <c r="D222" s="21" t="s">
        <v>1519</v>
      </c>
      <c r="E222" s="21">
        <v>25110</v>
      </c>
      <c r="F222" s="21">
        <v>130688</v>
      </c>
      <c r="G222" s="21" t="s">
        <v>1520</v>
      </c>
      <c r="H222" s="21">
        <v>1</v>
      </c>
      <c r="I222" s="21">
        <v>1</v>
      </c>
      <c r="J222" s="21">
        <v>4</v>
      </c>
      <c r="K222" s="21">
        <v>2023</v>
      </c>
      <c r="L222" s="21" t="s">
        <v>372</v>
      </c>
      <c r="M222" s="21" t="s">
        <v>372</v>
      </c>
      <c r="N222" s="21" t="s">
        <v>373</v>
      </c>
      <c r="O222" s="21">
        <v>580468</v>
      </c>
    </row>
    <row r="223" spans="1:15" x14ac:dyDescent="0.25">
      <c r="A223" s="21" t="s">
        <v>90</v>
      </c>
      <c r="B223" s="21" t="s">
        <v>1521</v>
      </c>
      <c r="C223" s="21" t="s">
        <v>1522</v>
      </c>
      <c r="D223" s="21" t="s">
        <v>1523</v>
      </c>
      <c r="E223" s="21">
        <v>8297000</v>
      </c>
      <c r="F223" s="21">
        <v>690000</v>
      </c>
      <c r="G223" s="21" t="s">
        <v>1524</v>
      </c>
      <c r="H223" s="21">
        <v>1</v>
      </c>
      <c r="I223" s="21">
        <v>1</v>
      </c>
      <c r="J223" s="21">
        <v>4</v>
      </c>
      <c r="K223" s="21">
        <v>2023</v>
      </c>
      <c r="L223" s="21" t="s">
        <v>372</v>
      </c>
      <c r="M223" s="21" t="s">
        <v>372</v>
      </c>
      <c r="N223" s="21" t="s">
        <v>373</v>
      </c>
      <c r="O223" s="21">
        <v>48419</v>
      </c>
    </row>
    <row r="224" spans="1:15" x14ac:dyDescent="0.25">
      <c r="A224" s="21" t="s">
        <v>1525</v>
      </c>
      <c r="B224" s="21" t="s">
        <v>1526</v>
      </c>
      <c r="C224" s="21" t="s">
        <v>1527</v>
      </c>
      <c r="D224" s="21" t="s">
        <v>1528</v>
      </c>
      <c r="E224" s="21">
        <v>212044</v>
      </c>
      <c r="F224" s="21">
        <v>4232913</v>
      </c>
      <c r="G224" s="21" t="s">
        <v>1529</v>
      </c>
      <c r="H224" s="21">
        <v>1</v>
      </c>
      <c r="I224" s="21">
        <v>1</v>
      </c>
      <c r="J224" s="21">
        <v>4</v>
      </c>
      <c r="K224" s="21">
        <v>2023</v>
      </c>
      <c r="L224" s="21" t="s">
        <v>372</v>
      </c>
      <c r="M224" s="21" t="s">
        <v>372</v>
      </c>
      <c r="N224" s="21" t="s">
        <v>373</v>
      </c>
      <c r="O224" s="21">
        <v>251079</v>
      </c>
    </row>
    <row r="225" spans="1:15" x14ac:dyDescent="0.25">
      <c r="A225" s="21" t="s">
        <v>1530</v>
      </c>
      <c r="B225" s="21" t="s">
        <v>1531</v>
      </c>
      <c r="C225" s="21" t="s">
        <v>1532</v>
      </c>
      <c r="E225" s="21">
        <v>22925</v>
      </c>
      <c r="F225" s="21">
        <v>18335</v>
      </c>
      <c r="G225" s="21" t="s">
        <v>1533</v>
      </c>
      <c r="H225" s="21">
        <v>1</v>
      </c>
      <c r="I225" s="21">
        <v>1</v>
      </c>
      <c r="J225" s="21">
        <v>4</v>
      </c>
      <c r="K225" s="21">
        <v>2023</v>
      </c>
      <c r="L225" s="21" t="s">
        <v>372</v>
      </c>
      <c r="M225" s="21" t="s">
        <v>372</v>
      </c>
      <c r="N225" s="21" t="s">
        <v>373</v>
      </c>
      <c r="O225" s="21" t="s">
        <v>1534</v>
      </c>
    </row>
    <row r="226" spans="1:15" x14ac:dyDescent="0.25">
      <c r="A226" s="21" t="s">
        <v>1535</v>
      </c>
      <c r="B226" s="21" t="s">
        <v>1536</v>
      </c>
      <c r="C226" s="21" t="s">
        <v>1537</v>
      </c>
      <c r="D226" s="21" t="s">
        <v>1538</v>
      </c>
      <c r="E226" s="21">
        <v>16215</v>
      </c>
      <c r="F226" s="21">
        <v>5828</v>
      </c>
      <c r="G226" s="21" t="s">
        <v>1539</v>
      </c>
      <c r="H226" s="21">
        <v>1</v>
      </c>
      <c r="I226" s="21">
        <v>1</v>
      </c>
      <c r="J226" s="21">
        <v>4</v>
      </c>
      <c r="K226" s="21">
        <v>2023</v>
      </c>
      <c r="L226" s="21" t="s">
        <v>372</v>
      </c>
      <c r="M226" s="21" t="s">
        <v>372</v>
      </c>
      <c r="N226" s="21" t="s">
        <v>373</v>
      </c>
      <c r="O226" s="21" t="s">
        <v>1540</v>
      </c>
    </row>
    <row r="227" spans="1:15" x14ac:dyDescent="0.25">
      <c r="A227" s="21" t="s">
        <v>1541</v>
      </c>
      <c r="B227" s="21" t="s">
        <v>1542</v>
      </c>
      <c r="C227" s="21" t="s">
        <v>1543</v>
      </c>
      <c r="D227" s="21" t="s">
        <v>1544</v>
      </c>
      <c r="E227" s="21">
        <v>16370</v>
      </c>
      <c r="F227" s="21">
        <v>11157</v>
      </c>
      <c r="G227" s="21" t="s">
        <v>1545</v>
      </c>
      <c r="H227" s="21">
        <v>4</v>
      </c>
      <c r="I227" s="21">
        <v>2</v>
      </c>
      <c r="J227" s="21">
        <v>4</v>
      </c>
      <c r="K227" s="21">
        <v>2023</v>
      </c>
      <c r="L227" s="21" t="s">
        <v>373</v>
      </c>
      <c r="M227" s="21" t="s">
        <v>372</v>
      </c>
      <c r="N227" s="21" t="s">
        <v>373</v>
      </c>
      <c r="O227" s="21" t="s">
        <v>1546</v>
      </c>
    </row>
    <row r="228" spans="1:15" x14ac:dyDescent="0.25">
      <c r="A228" s="21" t="s">
        <v>178</v>
      </c>
      <c r="B228" s="21" t="s">
        <v>1547</v>
      </c>
      <c r="C228" s="21" t="s">
        <v>1548</v>
      </c>
      <c r="D228" s="21" t="s">
        <v>1549</v>
      </c>
      <c r="E228" s="21">
        <v>436000</v>
      </c>
      <c r="F228" s="21">
        <v>157784</v>
      </c>
      <c r="G228" s="21" t="s">
        <v>1550</v>
      </c>
      <c r="H228" s="21">
        <v>1</v>
      </c>
      <c r="I228" s="21">
        <v>1</v>
      </c>
      <c r="J228" s="21">
        <v>4</v>
      </c>
      <c r="K228" s="21">
        <v>2023</v>
      </c>
      <c r="L228" s="21" t="s">
        <v>372</v>
      </c>
      <c r="M228" s="21" t="s">
        <v>372</v>
      </c>
      <c r="N228" s="21" t="s">
        <v>373</v>
      </c>
      <c r="O228" s="21" t="s">
        <v>269</v>
      </c>
    </row>
    <row r="229" spans="1:15" x14ac:dyDescent="0.25">
      <c r="A229" s="21" t="s">
        <v>1551</v>
      </c>
      <c r="B229" s="21" t="s">
        <v>1552</v>
      </c>
      <c r="C229" s="21" t="s">
        <v>1553</v>
      </c>
      <c r="D229" s="21" t="s">
        <v>1554</v>
      </c>
      <c r="E229" s="21">
        <v>55773</v>
      </c>
      <c r="F229" s="21">
        <v>3451583</v>
      </c>
      <c r="G229" s="21" t="s">
        <v>1555</v>
      </c>
      <c r="H229" s="21">
        <v>1</v>
      </c>
      <c r="I229" s="21">
        <v>1</v>
      </c>
      <c r="J229" s="21">
        <v>4</v>
      </c>
      <c r="K229" s="21">
        <v>2023</v>
      </c>
      <c r="L229" s="21" t="s">
        <v>372</v>
      </c>
      <c r="M229" s="21" t="s">
        <v>372</v>
      </c>
      <c r="N229" s="21" t="s">
        <v>373</v>
      </c>
      <c r="O229" s="21" t="s">
        <v>1556</v>
      </c>
    </row>
    <row r="230" spans="1:15" x14ac:dyDescent="0.25">
      <c r="A230" s="21" t="s">
        <v>1557</v>
      </c>
      <c r="B230" s="21" t="s">
        <v>1558</v>
      </c>
      <c r="C230" s="21" t="s">
        <v>1559</v>
      </c>
      <c r="E230" s="21">
        <v>6465</v>
      </c>
      <c r="F230" s="21">
        <v>14666</v>
      </c>
      <c r="G230" s="21" t="s">
        <v>1560</v>
      </c>
      <c r="H230" s="21">
        <v>4</v>
      </c>
      <c r="I230" s="21">
        <v>2</v>
      </c>
      <c r="J230" s="21">
        <v>4</v>
      </c>
      <c r="K230" s="21">
        <v>2023</v>
      </c>
      <c r="L230" s="21" t="s">
        <v>373</v>
      </c>
      <c r="M230" s="21" t="s">
        <v>372</v>
      </c>
      <c r="N230" s="21" t="s">
        <v>373</v>
      </c>
      <c r="O230" s="21" t="s">
        <v>1561</v>
      </c>
    </row>
    <row r="231" spans="1:15" x14ac:dyDescent="0.25">
      <c r="A231" s="21" t="s">
        <v>1562</v>
      </c>
      <c r="B231" s="21" t="s">
        <v>1563</v>
      </c>
      <c r="E231" s="21">
        <v>77295</v>
      </c>
      <c r="F231" s="21">
        <v>204804</v>
      </c>
      <c r="G231" s="21" t="s">
        <v>1564</v>
      </c>
      <c r="H231" s="21">
        <v>2</v>
      </c>
      <c r="I231" s="21">
        <v>2</v>
      </c>
      <c r="J231" s="21">
        <v>4</v>
      </c>
      <c r="K231" s="21">
        <v>2023</v>
      </c>
      <c r="L231" s="21" t="s">
        <v>372</v>
      </c>
      <c r="M231" s="21" t="s">
        <v>372</v>
      </c>
      <c r="N231" s="21" t="s">
        <v>373</v>
      </c>
      <c r="O231" s="21" t="s">
        <v>1565</v>
      </c>
    </row>
    <row r="232" spans="1:15" x14ac:dyDescent="0.25">
      <c r="A232" s="21" t="s">
        <v>1566</v>
      </c>
      <c r="B232" s="21" t="s">
        <v>1567</v>
      </c>
      <c r="C232" s="21" t="s">
        <v>1568</v>
      </c>
      <c r="D232" s="21" t="s">
        <v>1569</v>
      </c>
      <c r="E232" s="21">
        <v>29523724</v>
      </c>
      <c r="F232" s="21">
        <v>444018</v>
      </c>
      <c r="G232" s="21" t="s">
        <v>1570</v>
      </c>
      <c r="H232" s="21">
        <v>1</v>
      </c>
      <c r="I232" s="21">
        <v>1</v>
      </c>
      <c r="J232" s="21">
        <v>4</v>
      </c>
      <c r="K232" s="21">
        <v>2023</v>
      </c>
      <c r="L232" s="21" t="s">
        <v>372</v>
      </c>
      <c r="M232" s="21" t="s">
        <v>372</v>
      </c>
      <c r="N232" s="21" t="s">
        <v>373</v>
      </c>
      <c r="O232" s="21" t="s">
        <v>1571</v>
      </c>
    </row>
    <row r="233" spans="1:15" x14ac:dyDescent="0.25">
      <c r="A233" s="21" t="s">
        <v>1572</v>
      </c>
      <c r="B233" s="21" t="s">
        <v>1573</v>
      </c>
      <c r="C233" s="21" t="s">
        <v>1574</v>
      </c>
      <c r="D233" s="21" t="s">
        <v>1575</v>
      </c>
      <c r="E233" s="21">
        <v>12858</v>
      </c>
      <c r="F233" s="21">
        <v>3568</v>
      </c>
      <c r="G233" s="21" t="s">
        <v>1576</v>
      </c>
      <c r="H233" s="21">
        <v>1</v>
      </c>
      <c r="I233" s="21">
        <v>1</v>
      </c>
      <c r="J233" s="21">
        <v>4</v>
      </c>
      <c r="K233" s="21">
        <v>2023</v>
      </c>
      <c r="L233" s="21" t="s">
        <v>372</v>
      </c>
      <c r="M233" s="21" t="s">
        <v>372</v>
      </c>
      <c r="N233" s="21" t="s">
        <v>373</v>
      </c>
      <c r="O233" s="21" t="s">
        <v>1577</v>
      </c>
    </row>
    <row r="234" spans="1:15" x14ac:dyDescent="0.25">
      <c r="A234" s="21" t="s">
        <v>1578</v>
      </c>
      <c r="B234" s="21" t="s">
        <v>1579</v>
      </c>
      <c r="C234" s="21" t="s">
        <v>1580</v>
      </c>
      <c r="D234" s="21" t="s">
        <v>1581</v>
      </c>
      <c r="E234" s="21">
        <v>50044</v>
      </c>
      <c r="F234" s="21">
        <v>99036</v>
      </c>
      <c r="G234" s="21" t="s">
        <v>1582</v>
      </c>
      <c r="H234" s="21">
        <v>1</v>
      </c>
      <c r="I234" s="21">
        <v>1</v>
      </c>
      <c r="J234" s="21">
        <v>4</v>
      </c>
      <c r="K234" s="21">
        <v>2023</v>
      </c>
      <c r="L234" s="21" t="s">
        <v>372</v>
      </c>
      <c r="M234" s="21" t="s">
        <v>372</v>
      </c>
      <c r="N234" s="21" t="s">
        <v>373</v>
      </c>
      <c r="O234" s="21" t="s">
        <v>1583</v>
      </c>
    </row>
    <row r="235" spans="1:15" x14ac:dyDescent="0.25">
      <c r="A235" s="21" t="s">
        <v>1584</v>
      </c>
      <c r="B235" s="21" t="s">
        <v>1585</v>
      </c>
      <c r="E235" s="21">
        <v>123101</v>
      </c>
      <c r="F235" s="21">
        <v>531858</v>
      </c>
      <c r="G235" s="21" t="s">
        <v>1586</v>
      </c>
      <c r="H235" s="21">
        <v>2</v>
      </c>
      <c r="I235" s="21">
        <v>2</v>
      </c>
      <c r="J235" s="21">
        <v>4</v>
      </c>
      <c r="K235" s="21">
        <v>2023</v>
      </c>
      <c r="L235" s="21" t="s">
        <v>372</v>
      </c>
      <c r="M235" s="21" t="s">
        <v>372</v>
      </c>
      <c r="N235" s="21" t="s">
        <v>373</v>
      </c>
      <c r="O235" s="21" t="s">
        <v>1587</v>
      </c>
    </row>
    <row r="236" spans="1:15" x14ac:dyDescent="0.25">
      <c r="A236" s="21" t="s">
        <v>1588</v>
      </c>
      <c r="B236" s="21" t="s">
        <v>1589</v>
      </c>
      <c r="C236" s="21" t="s">
        <v>1590</v>
      </c>
      <c r="D236" s="21" t="s">
        <v>1591</v>
      </c>
      <c r="E236" s="21">
        <v>2569290</v>
      </c>
      <c r="F236" s="21">
        <v>604737</v>
      </c>
      <c r="G236" s="21" t="s">
        <v>1592</v>
      </c>
      <c r="H236" s="21">
        <v>1</v>
      </c>
      <c r="I236" s="21">
        <v>1</v>
      </c>
      <c r="J236" s="21">
        <v>4</v>
      </c>
      <c r="K236" s="21">
        <v>2023</v>
      </c>
      <c r="L236" s="21" t="s">
        <v>372</v>
      </c>
      <c r="M236" s="21" t="s">
        <v>372</v>
      </c>
      <c r="N236" s="21" t="s">
        <v>373</v>
      </c>
      <c r="O236" s="21" t="s">
        <v>1593</v>
      </c>
    </row>
    <row r="237" spans="1:15" x14ac:dyDescent="0.25">
      <c r="A237" s="21" t="s">
        <v>1594</v>
      </c>
      <c r="B237" s="21" t="s">
        <v>1595</v>
      </c>
      <c r="C237" s="21" t="s">
        <v>1596</v>
      </c>
      <c r="D237" s="21" t="s">
        <v>1597</v>
      </c>
      <c r="E237" s="21">
        <v>756</v>
      </c>
      <c r="F237" s="21">
        <v>1665</v>
      </c>
      <c r="G237" s="21" t="s">
        <v>1598</v>
      </c>
      <c r="H237" s="21">
        <v>1</v>
      </c>
      <c r="I237" s="21">
        <v>1</v>
      </c>
      <c r="J237" s="21">
        <v>4</v>
      </c>
      <c r="K237" s="21">
        <v>2023</v>
      </c>
      <c r="L237" s="21" t="s">
        <v>372</v>
      </c>
      <c r="M237" s="21" t="s">
        <v>372</v>
      </c>
      <c r="N237" s="21" t="s">
        <v>373</v>
      </c>
      <c r="O237" s="21" t="s">
        <v>1599</v>
      </c>
    </row>
    <row r="238" spans="1:15" x14ac:dyDescent="0.25">
      <c r="A238" s="21" t="s">
        <v>1600</v>
      </c>
      <c r="B238" s="21" t="s">
        <v>1601</v>
      </c>
      <c r="C238" s="21" t="s">
        <v>1602</v>
      </c>
      <c r="D238" s="21" t="s">
        <v>1603</v>
      </c>
      <c r="E238" s="21">
        <v>336144</v>
      </c>
      <c r="F238" s="21">
        <v>332638</v>
      </c>
      <c r="G238" s="21" t="s">
        <v>1604</v>
      </c>
      <c r="H238" s="21">
        <v>1</v>
      </c>
      <c r="I238" s="21">
        <v>1</v>
      </c>
      <c r="J238" s="21">
        <v>4</v>
      </c>
      <c r="K238" s="21">
        <v>2023</v>
      </c>
      <c r="L238" s="21" t="s">
        <v>372</v>
      </c>
      <c r="M238" s="21" t="s">
        <v>372</v>
      </c>
      <c r="N238" s="21" t="s">
        <v>373</v>
      </c>
      <c r="O238" s="21" t="s">
        <v>1605</v>
      </c>
    </row>
    <row r="239" spans="1:15" x14ac:dyDescent="0.25">
      <c r="A239" s="21" t="s">
        <v>170</v>
      </c>
      <c r="B239" s="21" t="s">
        <v>1606</v>
      </c>
      <c r="C239" s="21" t="s">
        <v>1607</v>
      </c>
      <c r="D239" s="21" t="s">
        <v>1608</v>
      </c>
      <c r="E239" s="21">
        <v>1542250</v>
      </c>
      <c r="F239" s="21">
        <v>891267</v>
      </c>
      <c r="G239" s="21" t="s">
        <v>1609</v>
      </c>
      <c r="H239" s="21">
        <v>1</v>
      </c>
      <c r="I239" s="21">
        <v>1</v>
      </c>
      <c r="J239" s="21">
        <v>4</v>
      </c>
      <c r="K239" s="21">
        <v>2023</v>
      </c>
      <c r="L239" s="21" t="s">
        <v>372</v>
      </c>
      <c r="M239" s="21" t="s">
        <v>372</v>
      </c>
      <c r="N239" s="21" t="s">
        <v>373</v>
      </c>
      <c r="O239" s="21" t="s">
        <v>263</v>
      </c>
    </row>
    <row r="240" spans="1:15" x14ac:dyDescent="0.25">
      <c r="A240" s="21" t="s">
        <v>1610</v>
      </c>
      <c r="B240" s="21" t="s">
        <v>1611</v>
      </c>
      <c r="C240" s="21" t="s">
        <v>1612</v>
      </c>
      <c r="E240" s="21" t="s">
        <v>1613</v>
      </c>
      <c r="F240" s="21" t="s">
        <v>1614</v>
      </c>
      <c r="G240" s="21" t="s">
        <v>1615</v>
      </c>
      <c r="H240" s="21">
        <v>4</v>
      </c>
      <c r="I240" s="21">
        <v>4</v>
      </c>
      <c r="J240" s="21">
        <v>4</v>
      </c>
      <c r="K240" s="21">
        <v>2023</v>
      </c>
      <c r="L240" s="21" t="s">
        <v>373</v>
      </c>
      <c r="M240" s="21" t="s">
        <v>373</v>
      </c>
      <c r="N240" s="21" t="s">
        <v>373</v>
      </c>
      <c r="O240" s="21" t="s">
        <v>1616</v>
      </c>
    </row>
    <row r="241" spans="1:15" x14ac:dyDescent="0.25">
      <c r="A241" s="21" t="s">
        <v>1617</v>
      </c>
      <c r="B241" s="21" t="s">
        <v>1618</v>
      </c>
      <c r="C241" s="21" t="s">
        <v>1619</v>
      </c>
      <c r="D241" s="21" t="s">
        <v>1620</v>
      </c>
      <c r="E241" s="21">
        <v>78800000</v>
      </c>
      <c r="F241" s="21">
        <v>414000</v>
      </c>
      <c r="G241" s="21" t="s">
        <v>1621</v>
      </c>
      <c r="H241" s="21">
        <v>2</v>
      </c>
      <c r="I241" s="21">
        <v>2</v>
      </c>
      <c r="J241" s="21">
        <v>4</v>
      </c>
      <c r="K241" s="21">
        <v>2023</v>
      </c>
      <c r="L241" s="21" t="s">
        <v>372</v>
      </c>
      <c r="M241" s="21" t="s">
        <v>372</v>
      </c>
      <c r="N241" s="21" t="s">
        <v>373</v>
      </c>
      <c r="O241" s="21" t="s">
        <v>1622</v>
      </c>
    </row>
    <row r="242" spans="1:15" x14ac:dyDescent="0.25">
      <c r="A242" s="21" t="s">
        <v>1623</v>
      </c>
      <c r="B242" s="21" t="s">
        <v>1624</v>
      </c>
      <c r="C242" s="21" t="s">
        <v>1625</v>
      </c>
      <c r="D242" s="21" t="s">
        <v>1626</v>
      </c>
      <c r="E242" s="21">
        <v>7044</v>
      </c>
      <c r="F242" s="21">
        <v>8782</v>
      </c>
      <c r="G242" s="21" t="s">
        <v>1627</v>
      </c>
      <c r="H242" s="21">
        <v>2</v>
      </c>
      <c r="I242" s="21">
        <v>2</v>
      </c>
      <c r="J242" s="21">
        <v>4</v>
      </c>
      <c r="K242" s="21">
        <v>2023</v>
      </c>
      <c r="L242" s="21" t="s">
        <v>372</v>
      </c>
      <c r="M242" s="21" t="s">
        <v>372</v>
      </c>
      <c r="N242" s="21" t="s">
        <v>373</v>
      </c>
      <c r="O242" s="21" t="s">
        <v>1628</v>
      </c>
    </row>
    <row r="243" spans="1:15" x14ac:dyDescent="0.25">
      <c r="A243" s="21" t="s">
        <v>1629</v>
      </c>
      <c r="B243" s="21" t="s">
        <v>1630</v>
      </c>
      <c r="C243" s="21" t="s">
        <v>1631</v>
      </c>
      <c r="D243" s="21" t="s">
        <v>1632</v>
      </c>
      <c r="E243" s="21">
        <v>1433816</v>
      </c>
      <c r="F243" s="21">
        <v>1001248</v>
      </c>
      <c r="G243" s="21">
        <v>9203630</v>
      </c>
      <c r="H243" s="21">
        <v>1</v>
      </c>
      <c r="I243" s="21">
        <v>1</v>
      </c>
      <c r="J243" s="21">
        <v>1</v>
      </c>
      <c r="K243" s="21">
        <v>2023</v>
      </c>
      <c r="L243" s="21" t="s">
        <v>372</v>
      </c>
      <c r="M243" s="21" t="s">
        <v>372</v>
      </c>
      <c r="N243" s="21" t="s">
        <v>372</v>
      </c>
      <c r="O243" s="21" t="s">
        <v>1633</v>
      </c>
    </row>
    <row r="244" spans="1:15" x14ac:dyDescent="0.25">
      <c r="A244" s="21" t="s">
        <v>1634</v>
      </c>
      <c r="B244" s="21" t="s">
        <v>1635</v>
      </c>
      <c r="C244" s="21" t="s">
        <v>1636</v>
      </c>
      <c r="D244" s="21" t="s">
        <v>1637</v>
      </c>
      <c r="E244" s="21">
        <v>17825</v>
      </c>
      <c r="F244" s="21">
        <v>29677</v>
      </c>
      <c r="G244" s="21" t="s">
        <v>1638</v>
      </c>
      <c r="H244" s="21">
        <v>1</v>
      </c>
      <c r="I244" s="21">
        <v>1</v>
      </c>
      <c r="J244" s="21">
        <v>4</v>
      </c>
      <c r="K244" s="21">
        <v>2023</v>
      </c>
      <c r="L244" s="21" t="s">
        <v>372</v>
      </c>
      <c r="M244" s="21" t="s">
        <v>372</v>
      </c>
      <c r="N244" s="21" t="s">
        <v>373</v>
      </c>
      <c r="O244" s="21" t="s">
        <v>1639</v>
      </c>
    </row>
    <row r="245" spans="1:15" x14ac:dyDescent="0.25">
      <c r="A245" s="21" t="s">
        <v>1640</v>
      </c>
      <c r="B245" s="21" t="s">
        <v>1641</v>
      </c>
      <c r="C245" s="21" t="s">
        <v>1642</v>
      </c>
      <c r="D245" s="21" t="s">
        <v>1643</v>
      </c>
      <c r="E245" s="21">
        <v>2881549</v>
      </c>
      <c r="F245" s="21">
        <v>3381938</v>
      </c>
      <c r="G245" s="21" t="s">
        <v>1644</v>
      </c>
      <c r="H245" s="21">
        <v>1</v>
      </c>
      <c r="I245" s="21">
        <v>1</v>
      </c>
      <c r="J245" s="21">
        <v>4</v>
      </c>
      <c r="K245" s="21">
        <v>2023</v>
      </c>
      <c r="L245" s="21" t="s">
        <v>372</v>
      </c>
      <c r="M245" s="21" t="s">
        <v>372</v>
      </c>
      <c r="N245" s="21" t="s">
        <v>373</v>
      </c>
      <c r="O245" s="21">
        <v>63230</v>
      </c>
    </row>
    <row r="246" spans="1:15" x14ac:dyDescent="0.25">
      <c r="A246" s="21" t="s">
        <v>1645</v>
      </c>
      <c r="B246" s="21" t="s">
        <v>1646</v>
      </c>
      <c r="C246" s="21" t="s">
        <v>1647</v>
      </c>
      <c r="D246" s="21" t="s">
        <v>1648</v>
      </c>
      <c r="E246" s="21">
        <v>5970870</v>
      </c>
      <c r="F246" s="21">
        <v>836571</v>
      </c>
      <c r="G246" s="21" t="s">
        <v>1649</v>
      </c>
      <c r="H246" s="21">
        <v>1</v>
      </c>
      <c r="I246" s="21">
        <v>1</v>
      </c>
      <c r="J246" s="21">
        <v>4</v>
      </c>
      <c r="K246" s="21">
        <v>2023</v>
      </c>
      <c r="L246" s="21" t="s">
        <v>372</v>
      </c>
      <c r="M246" s="21" t="s">
        <v>372</v>
      </c>
      <c r="N246" s="21" t="s">
        <v>373</v>
      </c>
      <c r="O246" s="21" t="s">
        <v>1650</v>
      </c>
    </row>
    <row r="247" spans="1:15" x14ac:dyDescent="0.25">
      <c r="A247" s="21" t="s">
        <v>1651</v>
      </c>
      <c r="B247" s="21" t="s">
        <v>1652</v>
      </c>
      <c r="C247" s="21" t="s">
        <v>1653</v>
      </c>
      <c r="D247" s="21" t="s">
        <v>1654</v>
      </c>
      <c r="E247" s="21">
        <v>6421434</v>
      </c>
      <c r="F247" s="21">
        <v>700</v>
      </c>
      <c r="G247" s="21">
        <v>2637010</v>
      </c>
      <c r="H247" s="21">
        <v>1</v>
      </c>
      <c r="I247" s="21">
        <v>1</v>
      </c>
      <c r="J247" s="21">
        <v>4</v>
      </c>
      <c r="K247" s="21">
        <v>2023</v>
      </c>
      <c r="L247" s="21" t="s">
        <v>372</v>
      </c>
      <c r="M247" s="21" t="s">
        <v>372</v>
      </c>
      <c r="N247" s="21" t="s">
        <v>373</v>
      </c>
      <c r="O247" s="21" t="s">
        <v>1655</v>
      </c>
    </row>
    <row r="248" spans="1:15" x14ac:dyDescent="0.25">
      <c r="A248" s="21" t="s">
        <v>1656</v>
      </c>
      <c r="B248" s="21" t="s">
        <v>1657</v>
      </c>
      <c r="C248" s="21" t="s">
        <v>1658</v>
      </c>
      <c r="D248" s="21" t="s">
        <v>1659</v>
      </c>
      <c r="E248" s="21">
        <v>5133</v>
      </c>
      <c r="F248" s="21">
        <v>123130</v>
      </c>
      <c r="G248" s="21" t="s">
        <v>1660</v>
      </c>
      <c r="H248" s="21">
        <v>1</v>
      </c>
      <c r="I248" s="21">
        <v>1</v>
      </c>
      <c r="J248" s="21">
        <v>4</v>
      </c>
      <c r="K248" s="21">
        <v>2023</v>
      </c>
      <c r="L248" s="21" t="s">
        <v>372</v>
      </c>
      <c r="M248" s="21" t="s">
        <v>372</v>
      </c>
      <c r="N248" s="21" t="s">
        <v>373</v>
      </c>
      <c r="O248" s="21" t="s">
        <v>1661</v>
      </c>
    </row>
    <row r="249" spans="1:15" x14ac:dyDescent="0.25">
      <c r="A249" s="21" t="s">
        <v>141</v>
      </c>
      <c r="B249" s="21" t="s">
        <v>1662</v>
      </c>
      <c r="C249" s="21" t="s">
        <v>1663</v>
      </c>
      <c r="D249" s="21" t="s">
        <v>1664</v>
      </c>
      <c r="E249" s="21">
        <v>171685</v>
      </c>
      <c r="F249" s="21">
        <v>102467</v>
      </c>
      <c r="G249" s="21" t="s">
        <v>1665</v>
      </c>
      <c r="H249" s="21">
        <v>1</v>
      </c>
      <c r="I249" s="21">
        <v>1</v>
      </c>
      <c r="J249" s="21">
        <v>4</v>
      </c>
      <c r="K249" s="21">
        <v>2023</v>
      </c>
      <c r="L249" s="21" t="s">
        <v>372</v>
      </c>
      <c r="M249" s="21" t="s">
        <v>372</v>
      </c>
      <c r="N249" s="21" t="s">
        <v>373</v>
      </c>
      <c r="O249" s="21" t="s">
        <v>246</v>
      </c>
    </row>
    <row r="250" spans="1:15" x14ac:dyDescent="0.25">
      <c r="A250" s="21" t="s">
        <v>1666</v>
      </c>
      <c r="B250" s="21" t="s">
        <v>1667</v>
      </c>
      <c r="C250" s="21" t="s">
        <v>1668</v>
      </c>
      <c r="D250" s="21" t="s">
        <v>1669</v>
      </c>
      <c r="E250" s="21">
        <v>299143</v>
      </c>
      <c r="F250" s="21">
        <v>170546</v>
      </c>
      <c r="G250" s="21">
        <v>6410373</v>
      </c>
      <c r="H250" s="21">
        <v>1</v>
      </c>
      <c r="I250" s="21">
        <v>1</v>
      </c>
      <c r="J250" s="21">
        <v>4</v>
      </c>
      <c r="K250" s="21">
        <v>2023</v>
      </c>
      <c r="L250" s="21" t="s">
        <v>372</v>
      </c>
      <c r="M250" s="21" t="s">
        <v>372</v>
      </c>
      <c r="N250" s="21" t="s">
        <v>373</v>
      </c>
      <c r="O250" s="21" t="s">
        <v>1670</v>
      </c>
    </row>
    <row r="251" spans="1:15" x14ac:dyDescent="0.25">
      <c r="A251" s="21" t="s">
        <v>144</v>
      </c>
      <c r="B251" s="21" t="s">
        <v>1671</v>
      </c>
      <c r="C251" s="21" t="s">
        <v>1672</v>
      </c>
      <c r="D251" s="21" t="s">
        <v>1673</v>
      </c>
      <c r="E251" s="21">
        <v>6279</v>
      </c>
      <c r="F251" s="21">
        <v>2204</v>
      </c>
      <c r="G251" s="21">
        <v>16462135</v>
      </c>
      <c r="H251" s="21">
        <v>1</v>
      </c>
      <c r="I251" s="21">
        <v>1</v>
      </c>
      <c r="J251" s="21">
        <v>1</v>
      </c>
      <c r="K251" s="21">
        <v>2023</v>
      </c>
      <c r="L251" s="21" t="s">
        <v>372</v>
      </c>
      <c r="M251" s="21" t="s">
        <v>372</v>
      </c>
      <c r="N251" s="21" t="s">
        <v>372</v>
      </c>
      <c r="O251" s="21">
        <v>4837</v>
      </c>
    </row>
    <row r="252" spans="1:15" x14ac:dyDescent="0.25">
      <c r="A252" s="21" t="s">
        <v>1674</v>
      </c>
      <c r="B252" s="21" t="s">
        <v>1675</v>
      </c>
      <c r="E252" s="21">
        <v>23817090</v>
      </c>
      <c r="F252" s="21">
        <v>388819</v>
      </c>
      <c r="G252" s="21">
        <v>94516985</v>
      </c>
      <c r="H252" s="21">
        <v>1</v>
      </c>
      <c r="I252" s="21">
        <v>1</v>
      </c>
      <c r="J252" s="21">
        <v>1</v>
      </c>
      <c r="K252" s="21">
        <v>2023</v>
      </c>
      <c r="L252" s="21" t="s">
        <v>372</v>
      </c>
      <c r="M252" s="21" t="s">
        <v>372</v>
      </c>
      <c r="N252" s="21" t="s">
        <v>372</v>
      </c>
      <c r="O252" s="21">
        <v>155686</v>
      </c>
    </row>
    <row r="253" spans="1:15" x14ac:dyDescent="0.25">
      <c r="A253" s="21" t="s">
        <v>1676</v>
      </c>
      <c r="B253" s="21" t="s">
        <v>1677</v>
      </c>
      <c r="C253" s="21" t="s">
        <v>1678</v>
      </c>
      <c r="D253" s="21" t="s">
        <v>1679</v>
      </c>
      <c r="E253" s="21">
        <v>47705980</v>
      </c>
      <c r="F253" s="21">
        <v>386868</v>
      </c>
      <c r="G253" s="21" t="s">
        <v>1680</v>
      </c>
      <c r="H253" s="21">
        <v>4</v>
      </c>
      <c r="I253" s="21">
        <v>2</v>
      </c>
      <c r="J253" s="21">
        <v>4</v>
      </c>
      <c r="K253" s="21">
        <v>2023</v>
      </c>
      <c r="L253" s="21" t="s">
        <v>373</v>
      </c>
      <c r="M253" s="21" t="s">
        <v>372</v>
      </c>
      <c r="N253" s="21" t="s">
        <v>373</v>
      </c>
      <c r="O253" s="21" t="s">
        <v>1681</v>
      </c>
    </row>
    <row r="254" spans="1:15" x14ac:dyDescent="0.25">
      <c r="A254" s="21" t="s">
        <v>163</v>
      </c>
      <c r="B254" s="21" t="s">
        <v>1682</v>
      </c>
      <c r="C254" s="21" t="s">
        <v>1683</v>
      </c>
      <c r="D254" s="21" t="s">
        <v>1684</v>
      </c>
      <c r="E254" s="21">
        <v>134089</v>
      </c>
      <c r="F254" s="21">
        <v>63348</v>
      </c>
      <c r="G254" s="21" t="s">
        <v>1685</v>
      </c>
      <c r="H254" s="21">
        <v>1</v>
      </c>
      <c r="I254" s="21">
        <v>1</v>
      </c>
      <c r="J254" s="21">
        <v>4</v>
      </c>
      <c r="K254" s="21">
        <v>2023</v>
      </c>
      <c r="L254" s="21" t="s">
        <v>372</v>
      </c>
      <c r="M254" s="21" t="s">
        <v>372</v>
      </c>
      <c r="N254" s="21" t="s">
        <v>373</v>
      </c>
      <c r="O254" s="21">
        <v>47719</v>
      </c>
    </row>
    <row r="255" spans="1:15" x14ac:dyDescent="0.25">
      <c r="A255" s="21" t="s">
        <v>202</v>
      </c>
      <c r="B255" s="21" t="s">
        <v>1686</v>
      </c>
      <c r="C255" s="21" t="s">
        <v>1687</v>
      </c>
      <c r="D255" s="21" t="s">
        <v>1688</v>
      </c>
      <c r="E255" s="21">
        <v>695575</v>
      </c>
      <c r="F255" s="21">
        <v>33646</v>
      </c>
      <c r="G255" s="21" t="s">
        <v>1689</v>
      </c>
      <c r="H255" s="21">
        <v>1</v>
      </c>
      <c r="I255" s="21">
        <v>1</v>
      </c>
      <c r="J255" s="21">
        <v>4</v>
      </c>
      <c r="K255" s="21">
        <v>2023</v>
      </c>
      <c r="L255" s="21" t="s">
        <v>372</v>
      </c>
      <c r="M255" s="21" t="s">
        <v>372</v>
      </c>
      <c r="N255" s="21" t="s">
        <v>373</v>
      </c>
      <c r="O255" s="21">
        <v>24852</v>
      </c>
    </row>
    <row r="256" spans="1:15" x14ac:dyDescent="0.25">
      <c r="A256" s="21" t="s">
        <v>89</v>
      </c>
      <c r="B256" s="21" t="s">
        <v>1690</v>
      </c>
      <c r="D256" s="21" t="s">
        <v>1691</v>
      </c>
      <c r="E256" s="21">
        <v>122519</v>
      </c>
      <c r="F256" s="21">
        <v>186795</v>
      </c>
      <c r="G256" s="21" t="s">
        <v>1692</v>
      </c>
      <c r="H256" s="21">
        <v>1</v>
      </c>
      <c r="I256" s="21">
        <v>1</v>
      </c>
      <c r="J256" s="21">
        <v>4</v>
      </c>
      <c r="K256" s="21">
        <v>2023</v>
      </c>
      <c r="L256" s="21" t="s">
        <v>372</v>
      </c>
      <c r="M256" s="21" t="s">
        <v>372</v>
      </c>
      <c r="N256" s="21" t="s">
        <v>373</v>
      </c>
      <c r="O256" s="21" t="s">
        <v>216</v>
      </c>
    </row>
    <row r="257" spans="1:15" x14ac:dyDescent="0.25">
      <c r="A257" s="21" t="s">
        <v>137</v>
      </c>
      <c r="B257" s="21" t="s">
        <v>1693</v>
      </c>
      <c r="C257" s="21" t="s">
        <v>1694</v>
      </c>
      <c r="E257" s="21">
        <v>76084</v>
      </c>
      <c r="F257" s="21">
        <v>3566</v>
      </c>
      <c r="G257" s="21" t="s">
        <v>1695</v>
      </c>
      <c r="H257" s="21">
        <v>1</v>
      </c>
      <c r="I257" s="21">
        <v>1</v>
      </c>
      <c r="J257" s="21">
        <v>4</v>
      </c>
      <c r="K257" s="21">
        <v>2023</v>
      </c>
      <c r="L257" s="21" t="s">
        <v>372</v>
      </c>
      <c r="M257" s="21" t="s">
        <v>372</v>
      </c>
      <c r="N257" s="21" t="s">
        <v>373</v>
      </c>
      <c r="O257" s="21" t="s">
        <v>243</v>
      </c>
    </row>
    <row r="258" spans="1:15" x14ac:dyDescent="0.25">
      <c r="A258" s="21" t="s">
        <v>101</v>
      </c>
      <c r="B258" s="21" t="s">
        <v>1696</v>
      </c>
      <c r="C258" s="21" t="s">
        <v>1697</v>
      </c>
      <c r="D258" s="21" t="s">
        <v>1698</v>
      </c>
      <c r="E258" s="21">
        <v>9405035</v>
      </c>
      <c r="F258" s="21">
        <v>469323</v>
      </c>
      <c r="G258" s="21" t="s">
        <v>1699</v>
      </c>
      <c r="H258" s="21">
        <v>1</v>
      </c>
      <c r="I258" s="21">
        <v>1</v>
      </c>
      <c r="J258" s="21">
        <v>4</v>
      </c>
      <c r="K258" s="21">
        <v>2023</v>
      </c>
      <c r="L258" s="21" t="s">
        <v>372</v>
      </c>
      <c r="M258" s="21" t="s">
        <v>372</v>
      </c>
      <c r="N258" s="21" t="s">
        <v>373</v>
      </c>
      <c r="O258" s="21" t="s">
        <v>222</v>
      </c>
    </row>
    <row r="259" spans="1:15" x14ac:dyDescent="0.25">
      <c r="A259" s="21" t="s">
        <v>1700</v>
      </c>
      <c r="B259" s="21" t="s">
        <v>1701</v>
      </c>
      <c r="E259" s="21">
        <v>4500</v>
      </c>
      <c r="F259" s="21">
        <v>7800</v>
      </c>
      <c r="G259" s="21">
        <v>2961392</v>
      </c>
      <c r="H259" s="21">
        <v>1</v>
      </c>
      <c r="I259" s="21">
        <v>1</v>
      </c>
      <c r="J259" s="21">
        <v>4</v>
      </c>
      <c r="K259" s="21">
        <v>2023</v>
      </c>
      <c r="L259" s="21" t="s">
        <v>372</v>
      </c>
      <c r="M259" s="21" t="s">
        <v>372</v>
      </c>
      <c r="N259" s="21" t="s">
        <v>373</v>
      </c>
      <c r="O259" s="21" t="s">
        <v>1702</v>
      </c>
    </row>
    <row r="260" spans="1:15" x14ac:dyDescent="0.25">
      <c r="A260" s="21" t="s">
        <v>156</v>
      </c>
      <c r="B260" s="21" t="s">
        <v>1703</v>
      </c>
      <c r="C260" s="21" t="s">
        <v>1704</v>
      </c>
      <c r="D260" s="21" t="s">
        <v>1705</v>
      </c>
      <c r="E260" s="21">
        <v>47666</v>
      </c>
      <c r="F260" s="21">
        <v>42956</v>
      </c>
      <c r="G260" s="21" t="s">
        <v>1706</v>
      </c>
      <c r="H260" s="21">
        <v>1</v>
      </c>
      <c r="I260" s="21">
        <v>1</v>
      </c>
      <c r="J260" s="21">
        <v>4</v>
      </c>
      <c r="K260" s="21">
        <v>2023</v>
      </c>
      <c r="L260" s="21" t="s">
        <v>372</v>
      </c>
      <c r="M260" s="21" t="s">
        <v>372</v>
      </c>
      <c r="N260" s="21" t="s">
        <v>373</v>
      </c>
      <c r="O260" s="21">
        <v>973</v>
      </c>
    </row>
    <row r="261" spans="1:15" x14ac:dyDescent="0.25">
      <c r="A261" s="21" t="s">
        <v>1707</v>
      </c>
      <c r="B261" s="21" t="s">
        <v>1708</v>
      </c>
      <c r="C261" s="21" t="s">
        <v>1709</v>
      </c>
      <c r="D261" s="21" t="s">
        <v>1710</v>
      </c>
      <c r="E261" s="21">
        <v>3958097</v>
      </c>
      <c r="F261" s="21">
        <v>313886</v>
      </c>
      <c r="G261" s="21" t="s">
        <v>1711</v>
      </c>
      <c r="H261" s="21">
        <v>1</v>
      </c>
      <c r="I261" s="21">
        <v>2</v>
      </c>
      <c r="J261" s="21">
        <v>4</v>
      </c>
      <c r="K261" s="21">
        <v>2023</v>
      </c>
      <c r="L261" s="21" t="s">
        <v>372</v>
      </c>
      <c r="M261" s="21" t="s">
        <v>372</v>
      </c>
      <c r="N261" s="21" t="s">
        <v>373</v>
      </c>
      <c r="O261" s="21" t="s">
        <v>1712</v>
      </c>
    </row>
    <row r="262" spans="1:15" x14ac:dyDescent="0.25">
      <c r="A262" s="21" t="s">
        <v>1713</v>
      </c>
      <c r="B262" s="21" t="s">
        <v>1714</v>
      </c>
      <c r="C262" s="21" t="s">
        <v>1715</v>
      </c>
      <c r="D262" s="21" t="s">
        <v>1716</v>
      </c>
      <c r="E262" s="21">
        <v>171000</v>
      </c>
      <c r="F262" s="21">
        <v>415000</v>
      </c>
      <c r="G262" s="21" t="s">
        <v>1717</v>
      </c>
      <c r="H262" s="21">
        <v>1</v>
      </c>
      <c r="I262" s="21">
        <v>1</v>
      </c>
      <c r="J262" s="21">
        <v>4</v>
      </c>
      <c r="K262" s="21">
        <v>2023</v>
      </c>
      <c r="L262" s="21" t="s">
        <v>372</v>
      </c>
      <c r="M262" s="21" t="s">
        <v>372</v>
      </c>
      <c r="N262" s="21" t="s">
        <v>373</v>
      </c>
      <c r="O262" s="21" t="s">
        <v>1718</v>
      </c>
    </row>
    <row r="263" spans="1:15" x14ac:dyDescent="0.25">
      <c r="A263" s="21" t="s">
        <v>108</v>
      </c>
      <c r="B263" s="21" t="s">
        <v>1719</v>
      </c>
      <c r="D263" s="21" t="s">
        <v>1720</v>
      </c>
      <c r="E263" s="21">
        <v>383033</v>
      </c>
      <c r="F263" s="21">
        <v>800444</v>
      </c>
      <c r="G263" s="21" t="s">
        <v>1721</v>
      </c>
      <c r="H263" s="21">
        <v>1</v>
      </c>
      <c r="I263" s="21">
        <v>1</v>
      </c>
      <c r="J263" s="21">
        <v>4</v>
      </c>
      <c r="K263" s="21">
        <v>2023</v>
      </c>
      <c r="L263" s="21" t="s">
        <v>372</v>
      </c>
      <c r="M263" s="21" t="s">
        <v>372</v>
      </c>
      <c r="N263" s="21" t="s">
        <v>373</v>
      </c>
      <c r="O263" s="21">
        <v>12836</v>
      </c>
    </row>
    <row r="264" spans="1:15" x14ac:dyDescent="0.25">
      <c r="A264" s="21" t="s">
        <v>85</v>
      </c>
      <c r="B264" s="21" t="s">
        <v>1722</v>
      </c>
      <c r="C264" s="21" t="s">
        <v>1723</v>
      </c>
      <c r="D264" s="21" t="s">
        <v>1724</v>
      </c>
      <c r="E264" s="21">
        <v>41599</v>
      </c>
      <c r="F264" s="21">
        <v>17885</v>
      </c>
      <c r="G264" s="21" t="s">
        <v>1725</v>
      </c>
      <c r="H264" s="21">
        <v>1</v>
      </c>
      <c r="I264" s="21">
        <v>1</v>
      </c>
      <c r="J264" s="21">
        <v>4</v>
      </c>
      <c r="K264" s="21">
        <v>2023</v>
      </c>
      <c r="L264" s="21" t="s">
        <v>372</v>
      </c>
      <c r="M264" s="21" t="s">
        <v>372</v>
      </c>
      <c r="N264" s="21" t="s">
        <v>373</v>
      </c>
      <c r="O264" s="21" t="s">
        <v>213</v>
      </c>
    </row>
    <row r="265" spans="1:15" x14ac:dyDescent="0.25">
      <c r="A265" s="21" t="s">
        <v>1726</v>
      </c>
      <c r="B265" s="21" t="s">
        <v>1727</v>
      </c>
      <c r="C265" s="21" t="s">
        <v>1728</v>
      </c>
      <c r="D265" s="21" t="s">
        <v>1729</v>
      </c>
      <c r="E265" s="21">
        <v>187533</v>
      </c>
      <c r="F265" s="21">
        <v>446</v>
      </c>
      <c r="G265" s="21" t="s">
        <v>1730</v>
      </c>
      <c r="H265" s="21">
        <v>1</v>
      </c>
      <c r="I265" s="21">
        <v>1</v>
      </c>
      <c r="J265" s="21">
        <v>4</v>
      </c>
      <c r="K265" s="21">
        <v>2023</v>
      </c>
      <c r="L265" s="21" t="s">
        <v>372</v>
      </c>
      <c r="M265" s="21" t="s">
        <v>372</v>
      </c>
      <c r="N265" s="21" t="s">
        <v>373</v>
      </c>
      <c r="O265" s="21" t="s">
        <v>1731</v>
      </c>
    </row>
    <row r="266" spans="1:15" x14ac:dyDescent="0.25">
      <c r="A266" s="21" t="s">
        <v>191</v>
      </c>
      <c r="B266" s="21" t="s">
        <v>1732</v>
      </c>
      <c r="C266" s="21" t="s">
        <v>1733</v>
      </c>
      <c r="D266" s="21" t="s">
        <v>1734</v>
      </c>
      <c r="E266" s="21">
        <v>385410</v>
      </c>
      <c r="F266" s="21">
        <v>59653</v>
      </c>
      <c r="G266" s="21" t="s">
        <v>1735</v>
      </c>
      <c r="H266" s="21">
        <v>1</v>
      </c>
      <c r="I266" s="21">
        <v>1</v>
      </c>
      <c r="J266" s="21">
        <v>4</v>
      </c>
      <c r="K266" s="21">
        <v>2023</v>
      </c>
      <c r="L266" s="21" t="s">
        <v>372</v>
      </c>
      <c r="M266" s="21" t="s">
        <v>372</v>
      </c>
      <c r="N266" s="21" t="s">
        <v>373</v>
      </c>
      <c r="O266" s="21" t="s">
        <v>277</v>
      </c>
    </row>
    <row r="267" spans="1:15" x14ac:dyDescent="0.25">
      <c r="A267" s="21" t="s">
        <v>1736</v>
      </c>
      <c r="B267" s="21" t="s">
        <v>1737</v>
      </c>
      <c r="C267" s="21" t="s">
        <v>1738</v>
      </c>
      <c r="D267" s="21" t="s">
        <v>1739</v>
      </c>
      <c r="E267" s="21">
        <v>7715000</v>
      </c>
      <c r="F267" s="21">
        <v>6693000</v>
      </c>
      <c r="G267" s="21" t="s">
        <v>1740</v>
      </c>
      <c r="H267" s="21">
        <v>1</v>
      </c>
      <c r="I267" s="21">
        <v>1</v>
      </c>
      <c r="J267" s="21">
        <v>4</v>
      </c>
      <c r="K267" s="21">
        <v>2023</v>
      </c>
      <c r="L267" s="21" t="s">
        <v>372</v>
      </c>
      <c r="M267" s="21" t="s">
        <v>372</v>
      </c>
      <c r="N267" s="21" t="s">
        <v>373</v>
      </c>
      <c r="O267" s="21" t="s">
        <v>1741</v>
      </c>
    </row>
    <row r="268" spans="1:15" x14ac:dyDescent="0.25">
      <c r="A268" s="21" t="s">
        <v>1742</v>
      </c>
      <c r="B268" s="21" t="s">
        <v>1743</v>
      </c>
      <c r="C268" s="21" t="s">
        <v>1744</v>
      </c>
      <c r="D268" s="21" t="s">
        <v>1745</v>
      </c>
      <c r="E268" s="21">
        <v>17474213</v>
      </c>
      <c r="F268" s="21">
        <v>920711</v>
      </c>
      <c r="G268" s="21" t="s">
        <v>1746</v>
      </c>
      <c r="H268" s="21">
        <v>1</v>
      </c>
      <c r="I268" s="21">
        <v>1</v>
      </c>
      <c r="J268" s="21">
        <v>4</v>
      </c>
      <c r="K268" s="21">
        <v>2023</v>
      </c>
      <c r="L268" s="21" t="s">
        <v>372</v>
      </c>
      <c r="M268" s="21" t="s">
        <v>372</v>
      </c>
      <c r="N268" s="21" t="s">
        <v>373</v>
      </c>
      <c r="O268" s="21" t="s">
        <v>1747</v>
      </c>
    </row>
    <row r="269" spans="1:15" x14ac:dyDescent="0.25">
      <c r="A269" s="21" t="s">
        <v>1748</v>
      </c>
      <c r="B269" s="21" t="s">
        <v>1749</v>
      </c>
      <c r="C269" s="21" t="s">
        <v>1750</v>
      </c>
      <c r="D269" s="21" t="s">
        <v>1751</v>
      </c>
      <c r="E269" s="21">
        <v>329674</v>
      </c>
      <c r="F269" s="21">
        <v>179458</v>
      </c>
      <c r="G269" s="21" t="s">
        <v>1752</v>
      </c>
      <c r="H269" s="21">
        <v>4</v>
      </c>
      <c r="I269" s="21">
        <v>2</v>
      </c>
      <c r="J269" s="21">
        <v>4</v>
      </c>
      <c r="K269" s="21">
        <v>2023</v>
      </c>
      <c r="L269" s="21" t="s">
        <v>373</v>
      </c>
      <c r="M269" s="21" t="s">
        <v>372</v>
      </c>
      <c r="N269" s="21" t="s">
        <v>373</v>
      </c>
      <c r="O269" s="21" t="s">
        <v>1753</v>
      </c>
    </row>
    <row r="270" spans="1:15" x14ac:dyDescent="0.25">
      <c r="A270" s="21" t="s">
        <v>1754</v>
      </c>
      <c r="B270" s="21" t="s">
        <v>1755</v>
      </c>
      <c r="C270" s="21" t="s">
        <v>1756</v>
      </c>
      <c r="D270" s="21" t="s">
        <v>1757</v>
      </c>
      <c r="E270" s="21">
        <v>9569165</v>
      </c>
      <c r="F270" s="21">
        <v>377185</v>
      </c>
      <c r="G270" s="21" t="s">
        <v>1758</v>
      </c>
      <c r="H270" s="21">
        <v>4</v>
      </c>
      <c r="I270" s="21">
        <v>2</v>
      </c>
      <c r="J270" s="21">
        <v>4</v>
      </c>
      <c r="K270" s="21">
        <v>2023</v>
      </c>
      <c r="L270" s="21" t="s">
        <v>373</v>
      </c>
      <c r="M270" s="21" t="s">
        <v>372</v>
      </c>
      <c r="N270" s="21" t="s">
        <v>373</v>
      </c>
      <c r="O270" s="21" t="s">
        <v>1759</v>
      </c>
    </row>
    <row r="271" spans="1:15" x14ac:dyDescent="0.25">
      <c r="A271" s="21" t="s">
        <v>126</v>
      </c>
      <c r="B271" s="21" t="s">
        <v>1760</v>
      </c>
      <c r="C271" s="21" t="s">
        <v>1761</v>
      </c>
      <c r="D271" s="21" t="s">
        <v>1762</v>
      </c>
      <c r="E271" s="21">
        <v>53066418</v>
      </c>
      <c r="F271" s="21">
        <v>4023258</v>
      </c>
      <c r="G271" s="21" t="s">
        <v>1763</v>
      </c>
      <c r="H271" s="21">
        <v>1</v>
      </c>
      <c r="I271" s="21">
        <v>1</v>
      </c>
      <c r="J271" s="21">
        <v>4</v>
      </c>
      <c r="K271" s="21">
        <v>2023</v>
      </c>
      <c r="L271" s="21" t="s">
        <v>372</v>
      </c>
      <c r="M271" s="21" t="s">
        <v>372</v>
      </c>
      <c r="N271" s="21" t="s">
        <v>373</v>
      </c>
      <c r="O271" s="21">
        <v>120494</v>
      </c>
    </row>
    <row r="272" spans="1:15" x14ac:dyDescent="0.25">
      <c r="A272" s="21" t="s">
        <v>1764</v>
      </c>
      <c r="B272" s="21" t="s">
        <v>1765</v>
      </c>
      <c r="C272" s="21" t="s">
        <v>1766</v>
      </c>
      <c r="E272" s="21">
        <v>766477</v>
      </c>
      <c r="F272" s="21">
        <v>245265</v>
      </c>
      <c r="G272" s="21" t="s">
        <v>1767</v>
      </c>
      <c r="H272" s="21">
        <v>1</v>
      </c>
      <c r="I272" s="21">
        <v>2</v>
      </c>
      <c r="J272" s="21">
        <v>4</v>
      </c>
      <c r="K272" s="21">
        <v>2023</v>
      </c>
      <c r="L272" s="21" t="s">
        <v>372</v>
      </c>
      <c r="M272" s="21" t="s">
        <v>372</v>
      </c>
      <c r="N272" s="21" t="s">
        <v>373</v>
      </c>
      <c r="O272" s="21" t="s">
        <v>1768</v>
      </c>
    </row>
    <row r="273" spans="1:15" x14ac:dyDescent="0.25">
      <c r="A273" s="21" t="s">
        <v>1769</v>
      </c>
      <c r="B273" s="21" t="s">
        <v>1770</v>
      </c>
      <c r="C273" s="21" t="s">
        <v>1771</v>
      </c>
      <c r="E273" s="21">
        <v>10923</v>
      </c>
      <c r="F273" s="21">
        <v>17866</v>
      </c>
      <c r="G273" s="21" t="s">
        <v>1772</v>
      </c>
      <c r="H273" s="21">
        <v>4</v>
      </c>
      <c r="I273" s="21">
        <v>2</v>
      </c>
      <c r="J273" s="21">
        <v>4</v>
      </c>
      <c r="K273" s="21">
        <v>2023</v>
      </c>
      <c r="L273" s="21" t="s">
        <v>373</v>
      </c>
      <c r="M273" s="21" t="s">
        <v>372</v>
      </c>
      <c r="N273" s="21" t="s">
        <v>373</v>
      </c>
      <c r="O273" s="21" t="s">
        <v>1773</v>
      </c>
    </row>
    <row r="274" spans="1:15" x14ac:dyDescent="0.25">
      <c r="A274" s="21" t="s">
        <v>1774</v>
      </c>
      <c r="B274" s="21" t="s">
        <v>1775</v>
      </c>
      <c r="C274" s="21" t="s">
        <v>1776</v>
      </c>
      <c r="D274" s="21" t="s">
        <v>1777</v>
      </c>
      <c r="E274" s="21">
        <v>17594613</v>
      </c>
      <c r="F274" s="21">
        <v>3905349</v>
      </c>
      <c r="G274" s="21" t="s">
        <v>1778</v>
      </c>
      <c r="H274" s="21">
        <v>4</v>
      </c>
      <c r="I274" s="21">
        <v>2</v>
      </c>
      <c r="J274" s="21">
        <v>4</v>
      </c>
      <c r="K274" s="21">
        <v>2023</v>
      </c>
      <c r="L274" s="21" t="s">
        <v>373</v>
      </c>
      <c r="M274" s="21" t="s">
        <v>372</v>
      </c>
      <c r="N274" s="21" t="s">
        <v>373</v>
      </c>
      <c r="O274" s="21" t="s">
        <v>1779</v>
      </c>
    </row>
    <row r="275" spans="1:15" x14ac:dyDescent="0.25">
      <c r="A275" s="21" t="s">
        <v>1780</v>
      </c>
      <c r="B275" s="21" t="s">
        <v>1781</v>
      </c>
      <c r="C275" s="21" t="s">
        <v>1782</v>
      </c>
      <c r="D275" s="21" t="s">
        <v>1783</v>
      </c>
      <c r="E275" s="21" t="s">
        <v>1784</v>
      </c>
      <c r="F275" s="21">
        <v>1700</v>
      </c>
      <c r="G275" s="21" t="s">
        <v>1785</v>
      </c>
      <c r="H275" s="21">
        <v>2</v>
      </c>
      <c r="I275" s="21">
        <v>1</v>
      </c>
      <c r="J275" s="21">
        <v>4</v>
      </c>
      <c r="K275" s="21">
        <v>2023</v>
      </c>
      <c r="L275" s="21" t="s">
        <v>372</v>
      </c>
      <c r="M275" s="21" t="s">
        <v>372</v>
      </c>
      <c r="N275" s="21" t="s">
        <v>373</v>
      </c>
      <c r="O275" s="21" t="s">
        <v>1786</v>
      </c>
    </row>
    <row r="276" spans="1:15" x14ac:dyDescent="0.25">
      <c r="A276" s="21" t="s">
        <v>65</v>
      </c>
      <c r="B276" s="21" t="s">
        <v>1787</v>
      </c>
      <c r="C276" s="21" t="s">
        <v>1788</v>
      </c>
      <c r="D276" s="21" t="s">
        <v>1789</v>
      </c>
      <c r="E276" s="21">
        <v>29832102</v>
      </c>
      <c r="F276" s="21">
        <v>751862</v>
      </c>
      <c r="G276" s="21" t="s">
        <v>1790</v>
      </c>
      <c r="H276" s="21">
        <v>1</v>
      </c>
      <c r="I276" s="21">
        <v>1</v>
      </c>
      <c r="J276" s="21">
        <v>4</v>
      </c>
      <c r="K276" s="21">
        <v>2023</v>
      </c>
      <c r="L276" s="21" t="s">
        <v>372</v>
      </c>
      <c r="M276" s="21" t="s">
        <v>372</v>
      </c>
      <c r="N276" s="21" t="s">
        <v>373</v>
      </c>
      <c r="O276" s="21">
        <v>93896</v>
      </c>
    </row>
    <row r="277" spans="1:15" x14ac:dyDescent="0.25">
      <c r="A277" s="21" t="s">
        <v>1791</v>
      </c>
      <c r="B277" s="21" t="s">
        <v>1792</v>
      </c>
      <c r="C277" s="21" t="s">
        <v>1793</v>
      </c>
      <c r="D277" s="21" t="s">
        <v>1794</v>
      </c>
      <c r="E277" s="21">
        <v>4929968</v>
      </c>
      <c r="F277" s="21">
        <v>157318</v>
      </c>
      <c r="G277" s="21" t="s">
        <v>1795</v>
      </c>
      <c r="H277" s="21">
        <v>1</v>
      </c>
      <c r="I277" s="21">
        <v>1</v>
      </c>
      <c r="J277" s="21">
        <v>4</v>
      </c>
      <c r="K277" s="21">
        <v>2023</v>
      </c>
      <c r="L277" s="21" t="s">
        <v>372</v>
      </c>
      <c r="M277" s="21" t="s">
        <v>372</v>
      </c>
      <c r="N277" s="21" t="s">
        <v>373</v>
      </c>
      <c r="O277" s="21" t="s">
        <v>1796</v>
      </c>
    </row>
    <row r="278" spans="1:15" x14ac:dyDescent="0.25">
      <c r="A278" s="21" t="s">
        <v>1797</v>
      </c>
      <c r="B278" s="21" t="s">
        <v>1798</v>
      </c>
      <c r="C278" s="21" t="s">
        <v>1799</v>
      </c>
      <c r="D278" s="21" t="s">
        <v>1800</v>
      </c>
      <c r="E278" s="21">
        <v>10101</v>
      </c>
      <c r="F278" s="21">
        <v>17535548</v>
      </c>
      <c r="G278" s="21">
        <v>272581</v>
      </c>
      <c r="H278" s="21">
        <v>1</v>
      </c>
      <c r="I278" s="21">
        <v>2</v>
      </c>
      <c r="J278" s="21">
        <v>4</v>
      </c>
      <c r="K278" s="21">
        <v>2023</v>
      </c>
      <c r="L278" s="21" t="s">
        <v>372</v>
      </c>
      <c r="M278" s="21" t="s">
        <v>372</v>
      </c>
      <c r="N278" s="21" t="s">
        <v>373</v>
      </c>
      <c r="O278" s="21" t="s">
        <v>1801</v>
      </c>
    </row>
    <row r="279" spans="1:15" x14ac:dyDescent="0.25">
      <c r="A279" s="21" t="s">
        <v>1802</v>
      </c>
      <c r="B279" s="21" t="s">
        <v>1803</v>
      </c>
      <c r="C279" s="21" t="s">
        <v>1804</v>
      </c>
      <c r="D279" s="21" t="s">
        <v>1805</v>
      </c>
      <c r="E279" s="21">
        <v>683821</v>
      </c>
      <c r="F279" s="21">
        <v>5294</v>
      </c>
      <c r="G279" s="21" t="s">
        <v>1806</v>
      </c>
      <c r="H279" s="21">
        <v>2</v>
      </c>
      <c r="I279" s="21">
        <v>2</v>
      </c>
      <c r="J279" s="21">
        <v>4</v>
      </c>
      <c r="K279" s="21">
        <v>2023</v>
      </c>
      <c r="L279" s="21" t="s">
        <v>372</v>
      </c>
      <c r="M279" s="21" t="s">
        <v>372</v>
      </c>
      <c r="N279" s="21" t="s">
        <v>373</v>
      </c>
      <c r="O279" s="21" t="s">
        <v>1807</v>
      </c>
    </row>
    <row r="280" spans="1:15" x14ac:dyDescent="0.25">
      <c r="A280" s="21" t="s">
        <v>1808</v>
      </c>
      <c r="B280" s="21" t="s">
        <v>1809</v>
      </c>
      <c r="C280" s="21" t="s">
        <v>1810</v>
      </c>
      <c r="E280" s="21">
        <v>1181376</v>
      </c>
      <c r="F280" s="21">
        <v>198780</v>
      </c>
      <c r="G280" s="21" t="s">
        <v>1811</v>
      </c>
      <c r="H280" s="21">
        <v>1</v>
      </c>
      <c r="I280" s="21">
        <v>2</v>
      </c>
      <c r="J280" s="21">
        <v>4</v>
      </c>
      <c r="K280" s="21">
        <v>2023</v>
      </c>
      <c r="L280" s="21" t="s">
        <v>372</v>
      </c>
      <c r="M280" s="21" t="s">
        <v>372</v>
      </c>
      <c r="N280" s="21" t="s">
        <v>373</v>
      </c>
      <c r="O280" s="21" t="s">
        <v>1812</v>
      </c>
    </row>
    <row r="281" spans="1:15" x14ac:dyDescent="0.25">
      <c r="A281" s="21" t="s">
        <v>1813</v>
      </c>
      <c r="B281" s="21" t="s">
        <v>1814</v>
      </c>
      <c r="C281" s="21" t="s">
        <v>1815</v>
      </c>
      <c r="D281" s="21" t="s">
        <v>1816</v>
      </c>
      <c r="E281" s="21">
        <v>40293</v>
      </c>
      <c r="F281" s="21">
        <v>2405226</v>
      </c>
      <c r="G281" s="21" t="s">
        <v>1817</v>
      </c>
      <c r="H281" s="21">
        <v>1</v>
      </c>
      <c r="I281" s="21">
        <v>1</v>
      </c>
      <c r="J281" s="21">
        <v>4</v>
      </c>
      <c r="K281" s="21">
        <v>2023</v>
      </c>
      <c r="L281" s="21" t="s">
        <v>372</v>
      </c>
      <c r="M281" s="21" t="s">
        <v>372</v>
      </c>
      <c r="N281" s="21" t="s">
        <v>373</v>
      </c>
      <c r="O281" s="21" t="s">
        <v>1818</v>
      </c>
    </row>
    <row r="282" spans="1:15" x14ac:dyDescent="0.25">
      <c r="A282" s="21" t="s">
        <v>1819</v>
      </c>
      <c r="B282" s="21" t="s">
        <v>1820</v>
      </c>
      <c r="C282" s="21" t="s">
        <v>1821</v>
      </c>
      <c r="D282" s="21" t="s">
        <v>1822</v>
      </c>
      <c r="E282" s="21">
        <v>3286187</v>
      </c>
      <c r="F282" s="21">
        <v>602890</v>
      </c>
      <c r="G282" s="21" t="s">
        <v>1823</v>
      </c>
      <c r="H282" s="21">
        <v>1</v>
      </c>
      <c r="I282" s="21">
        <v>1</v>
      </c>
      <c r="J282" s="21">
        <v>4</v>
      </c>
      <c r="K282" s="21">
        <v>2023</v>
      </c>
      <c r="L282" s="21" t="s">
        <v>372</v>
      </c>
      <c r="M282" s="21" t="s">
        <v>372</v>
      </c>
      <c r="N282" s="21" t="s">
        <v>373</v>
      </c>
      <c r="O282" s="21">
        <v>4365</v>
      </c>
    </row>
    <row r="283" spans="1:15" x14ac:dyDescent="0.25">
      <c r="A283" s="21" t="s">
        <v>1824</v>
      </c>
      <c r="B283" s="21" t="s">
        <v>1825</v>
      </c>
      <c r="C283" s="21" t="s">
        <v>1826</v>
      </c>
      <c r="D283" s="21" t="s">
        <v>1827</v>
      </c>
      <c r="E283" s="21">
        <v>937</v>
      </c>
      <c r="F283" s="21">
        <v>5300</v>
      </c>
      <c r="G283" s="21">
        <v>218224</v>
      </c>
      <c r="H283" s="21">
        <v>1</v>
      </c>
      <c r="I283" s="21">
        <v>1</v>
      </c>
      <c r="J283" s="21">
        <v>4</v>
      </c>
      <c r="K283" s="21">
        <v>2023</v>
      </c>
      <c r="L283" s="21" t="s">
        <v>372</v>
      </c>
      <c r="M283" s="21" t="s">
        <v>372</v>
      </c>
      <c r="N283" s="21" t="s">
        <v>373</v>
      </c>
      <c r="O283" s="21" t="s">
        <v>1828</v>
      </c>
    </row>
    <row r="284" spans="1:15" x14ac:dyDescent="0.25">
      <c r="A284" s="21" t="s">
        <v>1829</v>
      </c>
      <c r="B284" s="21" t="s">
        <v>1830</v>
      </c>
      <c r="C284" s="21" t="s">
        <v>1831</v>
      </c>
      <c r="D284" s="21" t="s">
        <v>1832</v>
      </c>
      <c r="E284" s="21">
        <v>38402</v>
      </c>
      <c r="F284" s="21">
        <v>141363</v>
      </c>
      <c r="G284" s="21" t="s">
        <v>1833</v>
      </c>
      <c r="H284" s="21">
        <v>1</v>
      </c>
      <c r="I284" s="21">
        <v>1</v>
      </c>
      <c r="J284" s="21">
        <v>4</v>
      </c>
      <c r="K284" s="21">
        <v>2023</v>
      </c>
      <c r="L284" s="21" t="s">
        <v>372</v>
      </c>
      <c r="M284" s="21" t="s">
        <v>372</v>
      </c>
      <c r="N284" s="21" t="s">
        <v>373</v>
      </c>
      <c r="O284" s="21" t="s">
        <v>1834</v>
      </c>
    </row>
    <row r="285" spans="1:15" x14ac:dyDescent="0.25">
      <c r="A285" s="21" t="s">
        <v>100</v>
      </c>
      <c r="B285" s="21" t="s">
        <v>1835</v>
      </c>
      <c r="C285" s="21" t="s">
        <v>1836</v>
      </c>
      <c r="D285" s="21" t="s">
        <v>1837</v>
      </c>
      <c r="E285" s="21">
        <v>108453</v>
      </c>
      <c r="F285" s="21">
        <v>704804</v>
      </c>
      <c r="G285" s="21">
        <v>2879051</v>
      </c>
      <c r="H285" s="21">
        <v>1</v>
      </c>
      <c r="I285" s="21">
        <v>1</v>
      </c>
      <c r="J285" s="21">
        <v>4</v>
      </c>
      <c r="K285" s="21">
        <v>2023</v>
      </c>
      <c r="L285" s="21" t="s">
        <v>372</v>
      </c>
      <c r="M285" s="21" t="s">
        <v>372</v>
      </c>
      <c r="N285" s="21" t="s">
        <v>373</v>
      </c>
      <c r="O285" s="21">
        <v>54218</v>
      </c>
    </row>
    <row r="286" spans="1:15" x14ac:dyDescent="0.25">
      <c r="A286" s="21" t="s">
        <v>1838</v>
      </c>
      <c r="B286" s="21" t="s">
        <v>1839</v>
      </c>
      <c r="C286" s="21" t="s">
        <v>1840</v>
      </c>
      <c r="D286" s="21" t="s">
        <v>1841</v>
      </c>
      <c r="E286" s="21">
        <v>720751</v>
      </c>
      <c r="F286" s="21" t="s">
        <v>1842</v>
      </c>
      <c r="G286" s="21" t="s">
        <v>1843</v>
      </c>
      <c r="H286" s="21">
        <v>4</v>
      </c>
      <c r="I286" s="21">
        <v>4</v>
      </c>
      <c r="J286" s="21">
        <v>4</v>
      </c>
      <c r="K286" s="21">
        <v>2023</v>
      </c>
      <c r="L286" s="21" t="s">
        <v>373</v>
      </c>
      <c r="M286" s="21" t="s">
        <v>373</v>
      </c>
      <c r="N286" s="21" t="s">
        <v>373</v>
      </c>
      <c r="O286" s="21" t="s">
        <v>1844</v>
      </c>
    </row>
    <row r="287" spans="1:15" x14ac:dyDescent="0.25">
      <c r="A287" s="21" t="s">
        <v>1845</v>
      </c>
      <c r="B287" s="21" t="s">
        <v>1846</v>
      </c>
      <c r="C287" s="21" t="s">
        <v>1847</v>
      </c>
      <c r="D287" s="21" t="s">
        <v>1848</v>
      </c>
      <c r="E287" s="21" t="s">
        <v>1849</v>
      </c>
      <c r="F287" s="21" t="s">
        <v>1850</v>
      </c>
      <c r="G287" s="21" t="s">
        <v>1851</v>
      </c>
      <c r="H287" s="21">
        <v>2</v>
      </c>
      <c r="I287" s="21">
        <v>2</v>
      </c>
      <c r="J287" s="21">
        <v>4</v>
      </c>
      <c r="K287" s="21">
        <v>2023</v>
      </c>
      <c r="L287" s="21" t="s">
        <v>372</v>
      </c>
      <c r="M287" s="21" t="s">
        <v>372</v>
      </c>
      <c r="N287" s="21" t="s">
        <v>373</v>
      </c>
      <c r="O287" s="21" t="s">
        <v>1852</v>
      </c>
    </row>
    <row r="288" spans="1:15" x14ac:dyDescent="0.25">
      <c r="A288" s="21" t="s">
        <v>93</v>
      </c>
      <c r="B288" s="21" t="s">
        <v>1853</v>
      </c>
      <c r="C288" s="21" t="s">
        <v>1854</v>
      </c>
      <c r="D288" s="21" t="s">
        <v>1855</v>
      </c>
      <c r="E288" s="21">
        <v>63565</v>
      </c>
      <c r="F288" s="21">
        <v>138822</v>
      </c>
      <c r="G288" s="21" t="s">
        <v>1856</v>
      </c>
      <c r="H288" s="21">
        <v>2</v>
      </c>
      <c r="I288" s="21">
        <v>2</v>
      </c>
      <c r="J288" s="21">
        <v>4</v>
      </c>
      <c r="K288" s="21">
        <v>2023</v>
      </c>
      <c r="L288" s="21" t="s">
        <v>372</v>
      </c>
      <c r="M288" s="21" t="s">
        <v>372</v>
      </c>
      <c r="N288" s="21" t="s">
        <v>373</v>
      </c>
      <c r="O288" s="21" t="s">
        <v>218</v>
      </c>
    </row>
    <row r="289" spans="1:15" x14ac:dyDescent="0.25">
      <c r="A289" s="21" t="s">
        <v>1857</v>
      </c>
      <c r="B289" s="21" t="s">
        <v>1858</v>
      </c>
      <c r="C289" s="21" t="s">
        <v>1859</v>
      </c>
      <c r="D289" s="21" t="s">
        <v>1860</v>
      </c>
      <c r="E289" s="21">
        <v>407</v>
      </c>
      <c r="F289" s="21">
        <v>5824</v>
      </c>
      <c r="G289" s="21" t="s">
        <v>1861</v>
      </c>
      <c r="H289" s="21">
        <v>1</v>
      </c>
      <c r="I289" s="21">
        <v>1</v>
      </c>
      <c r="J289" s="21">
        <v>4</v>
      </c>
      <c r="K289" s="21">
        <v>2023</v>
      </c>
      <c r="L289" s="21" t="s">
        <v>372</v>
      </c>
      <c r="M289" s="21" t="s">
        <v>372</v>
      </c>
      <c r="N289" s="21" t="s">
        <v>373</v>
      </c>
      <c r="O289" s="21" t="s">
        <v>1862</v>
      </c>
    </row>
    <row r="290" spans="1:15" x14ac:dyDescent="0.25">
      <c r="A290" s="21" t="s">
        <v>1863</v>
      </c>
      <c r="B290" s="21" t="s">
        <v>1864</v>
      </c>
      <c r="C290" s="21" t="s">
        <v>1865</v>
      </c>
      <c r="D290" s="21" t="s">
        <v>1866</v>
      </c>
      <c r="E290" s="21">
        <v>171093</v>
      </c>
      <c r="F290" s="21">
        <v>467253</v>
      </c>
      <c r="G290" s="21" t="s">
        <v>1867</v>
      </c>
      <c r="H290" s="21">
        <v>1</v>
      </c>
      <c r="I290" s="21">
        <v>2</v>
      </c>
      <c r="J290" s="21">
        <v>4</v>
      </c>
      <c r="K290" s="21">
        <v>2023</v>
      </c>
      <c r="L290" s="21" t="s">
        <v>372</v>
      </c>
      <c r="M290" s="21" t="s">
        <v>372</v>
      </c>
      <c r="N290" s="21" t="s">
        <v>373</v>
      </c>
      <c r="O290" s="21" t="s">
        <v>1868</v>
      </c>
    </row>
    <row r="291" spans="1:15" x14ac:dyDescent="0.25">
      <c r="A291" s="21" t="s">
        <v>1869</v>
      </c>
      <c r="B291" s="21" t="s">
        <v>1870</v>
      </c>
      <c r="C291" s="21" t="s">
        <v>1871</v>
      </c>
      <c r="D291" s="21" t="s">
        <v>1872</v>
      </c>
      <c r="E291" s="21">
        <v>4141141</v>
      </c>
      <c r="F291" s="21">
        <v>1980304</v>
      </c>
      <c r="G291" s="21" t="s">
        <v>1873</v>
      </c>
      <c r="H291" s="21">
        <v>1</v>
      </c>
      <c r="I291" s="21">
        <v>1</v>
      </c>
      <c r="J291" s="21">
        <v>4</v>
      </c>
      <c r="K291" s="21">
        <v>2023</v>
      </c>
      <c r="L291" s="21" t="s">
        <v>372</v>
      </c>
      <c r="M291" s="21" t="s">
        <v>372</v>
      </c>
      <c r="N291" s="21" t="s">
        <v>373</v>
      </c>
      <c r="O291" s="21">
        <v>12881</v>
      </c>
    </row>
    <row r="292" spans="1:15" x14ac:dyDescent="0.25">
      <c r="A292" s="21" t="s">
        <v>1874</v>
      </c>
      <c r="B292" s="21" t="s">
        <v>1875</v>
      </c>
      <c r="C292" s="21" t="s">
        <v>1876</v>
      </c>
      <c r="D292" s="21" t="s">
        <v>1877</v>
      </c>
      <c r="E292" s="21">
        <v>452011</v>
      </c>
      <c r="F292" s="21">
        <v>4855103</v>
      </c>
      <c r="G292" s="21">
        <v>85075273</v>
      </c>
      <c r="H292" s="21">
        <v>1</v>
      </c>
      <c r="I292" s="21">
        <v>1</v>
      </c>
      <c r="J292" s="21">
        <v>4</v>
      </c>
      <c r="K292" s="21">
        <v>2023</v>
      </c>
      <c r="L292" s="21" t="s">
        <v>372</v>
      </c>
      <c r="M292" s="21" t="s">
        <v>372</v>
      </c>
      <c r="N292" s="21" t="s">
        <v>373</v>
      </c>
      <c r="O292" s="21" t="s">
        <v>1878</v>
      </c>
    </row>
    <row r="293" spans="1:15" x14ac:dyDescent="0.25">
      <c r="A293" s="21" t="s">
        <v>1879</v>
      </c>
      <c r="B293" s="21" t="s">
        <v>1880</v>
      </c>
      <c r="C293" s="21" t="s">
        <v>1881</v>
      </c>
      <c r="E293" s="21">
        <v>3178</v>
      </c>
      <c r="F293" s="21">
        <v>14269</v>
      </c>
      <c r="G293" s="21">
        <v>690311</v>
      </c>
      <c r="H293" s="21">
        <v>1</v>
      </c>
      <c r="I293" s="21">
        <v>1</v>
      </c>
      <c r="J293" s="21">
        <v>4</v>
      </c>
      <c r="K293" s="21">
        <v>2023</v>
      </c>
      <c r="L293" s="21" t="s">
        <v>372</v>
      </c>
      <c r="M293" s="21" t="s">
        <v>372</v>
      </c>
      <c r="N293" s="21" t="s">
        <v>373</v>
      </c>
      <c r="O293" s="21" t="s">
        <v>1882</v>
      </c>
    </row>
    <row r="294" spans="1:15" x14ac:dyDescent="0.25">
      <c r="A294" s="21" t="s">
        <v>1883</v>
      </c>
      <c r="B294" s="21" t="s">
        <v>1884</v>
      </c>
      <c r="C294" s="21" t="s">
        <v>1885</v>
      </c>
      <c r="D294" s="21" t="s">
        <v>1886</v>
      </c>
      <c r="E294" s="21">
        <v>2813</v>
      </c>
      <c r="F294" s="21">
        <v>18363</v>
      </c>
      <c r="G294" s="21" t="s">
        <v>1887</v>
      </c>
      <c r="H294" s="21">
        <v>4</v>
      </c>
      <c r="I294" s="21">
        <v>1</v>
      </c>
      <c r="J294" s="21">
        <v>4</v>
      </c>
      <c r="K294" s="21">
        <v>2023</v>
      </c>
      <c r="L294" s="21" t="s">
        <v>373</v>
      </c>
      <c r="M294" s="21" t="s">
        <v>372</v>
      </c>
      <c r="N294" s="21" t="s">
        <v>373</v>
      </c>
      <c r="O294" s="21" t="s">
        <v>1888</v>
      </c>
    </row>
    <row r="295" spans="1:15" x14ac:dyDescent="0.25">
      <c r="A295" s="21" t="s">
        <v>1889</v>
      </c>
      <c r="B295" s="21" t="s">
        <v>1890</v>
      </c>
      <c r="C295" s="21" t="s">
        <v>1891</v>
      </c>
      <c r="D295" s="21" t="s">
        <v>1892</v>
      </c>
      <c r="E295" s="21">
        <v>122892</v>
      </c>
      <c r="F295" s="21">
        <v>180145</v>
      </c>
      <c r="G295" s="21" t="s">
        <v>1893</v>
      </c>
      <c r="H295" s="21">
        <v>1</v>
      </c>
      <c r="I295" s="21">
        <v>1</v>
      </c>
      <c r="J295" s="21">
        <v>4</v>
      </c>
      <c r="K295" s="21">
        <v>2023</v>
      </c>
      <c r="L295" s="21" t="s">
        <v>372</v>
      </c>
      <c r="M295" s="21" t="s">
        <v>372</v>
      </c>
      <c r="N295" s="21" t="s">
        <v>373</v>
      </c>
      <c r="O295" s="21" t="s">
        <v>1894</v>
      </c>
    </row>
    <row r="296" spans="1:15" x14ac:dyDescent="0.25">
      <c r="A296" s="21" t="s">
        <v>94</v>
      </c>
      <c r="B296" s="21" t="s">
        <v>1895</v>
      </c>
      <c r="C296" s="21" t="s">
        <v>1896</v>
      </c>
      <c r="D296" s="21" t="s">
        <v>1897</v>
      </c>
      <c r="E296" s="21">
        <v>17113617</v>
      </c>
      <c r="F296" s="21">
        <v>1112035</v>
      </c>
      <c r="G296" s="21" t="s">
        <v>1898</v>
      </c>
      <c r="H296" s="21">
        <v>1</v>
      </c>
      <c r="I296" s="21">
        <v>2</v>
      </c>
      <c r="J296" s="21">
        <v>4</v>
      </c>
      <c r="K296" s="21">
        <v>2023</v>
      </c>
      <c r="L296" s="21" t="s">
        <v>372</v>
      </c>
      <c r="M296" s="21" t="s">
        <v>372</v>
      </c>
      <c r="N296" s="21" t="s">
        <v>373</v>
      </c>
      <c r="O296" s="21" t="s">
        <v>219</v>
      </c>
    </row>
    <row r="297" spans="1:15" x14ac:dyDescent="0.25">
      <c r="A297" s="21" t="s">
        <v>1899</v>
      </c>
      <c r="B297" s="21" t="s">
        <v>1900</v>
      </c>
      <c r="C297" s="21" t="s">
        <v>1901</v>
      </c>
      <c r="D297" s="21" t="s">
        <v>1902</v>
      </c>
      <c r="E297" s="21">
        <v>1017510</v>
      </c>
      <c r="F297" s="21">
        <v>1218807</v>
      </c>
      <c r="G297" s="21">
        <v>21089916</v>
      </c>
      <c r="H297" s="21">
        <v>2</v>
      </c>
      <c r="I297" s="21">
        <v>2</v>
      </c>
      <c r="J297" s="21">
        <v>4</v>
      </c>
      <c r="K297" s="21">
        <v>2023</v>
      </c>
      <c r="L297" s="21" t="s">
        <v>372</v>
      </c>
      <c r="M297" s="21" t="s">
        <v>372</v>
      </c>
      <c r="N297" s="21" t="s">
        <v>373</v>
      </c>
      <c r="O297" s="21" t="s">
        <v>1903</v>
      </c>
    </row>
    <row r="298" spans="1:15" x14ac:dyDescent="0.25">
      <c r="A298" s="21" t="s">
        <v>1904</v>
      </c>
      <c r="B298" s="21" t="s">
        <v>1905</v>
      </c>
      <c r="C298" s="21" t="s">
        <v>1906</v>
      </c>
      <c r="D298" s="21" t="s">
        <v>1907</v>
      </c>
      <c r="E298" s="21">
        <v>81668</v>
      </c>
      <c r="F298" s="21">
        <v>17252</v>
      </c>
      <c r="G298" s="21" t="s">
        <v>1908</v>
      </c>
      <c r="H298" s="21">
        <v>1</v>
      </c>
      <c r="I298" s="21">
        <v>1</v>
      </c>
      <c r="J298" s="21">
        <v>4</v>
      </c>
      <c r="K298" s="21">
        <v>2023</v>
      </c>
      <c r="L298" s="21" t="s">
        <v>372</v>
      </c>
      <c r="M298" s="21" t="s">
        <v>372</v>
      </c>
      <c r="N298" s="21" t="s">
        <v>373</v>
      </c>
      <c r="O298" s="21" t="s">
        <v>1909</v>
      </c>
    </row>
    <row r="299" spans="1:15" x14ac:dyDescent="0.25">
      <c r="A299" s="21" t="s">
        <v>1910</v>
      </c>
      <c r="B299" s="21" t="s">
        <v>1911</v>
      </c>
      <c r="C299" s="21" t="s">
        <v>1912</v>
      </c>
      <c r="D299" s="21" t="s">
        <v>1913</v>
      </c>
      <c r="E299" s="21">
        <v>6362</v>
      </c>
      <c r="F299" s="21">
        <v>2611</v>
      </c>
      <c r="G299" s="21" t="s">
        <v>1914</v>
      </c>
      <c r="H299" s="21">
        <v>1</v>
      </c>
      <c r="I299" s="21">
        <v>1</v>
      </c>
      <c r="J299" s="21">
        <v>4</v>
      </c>
      <c r="K299" s="21">
        <v>2023</v>
      </c>
      <c r="L299" s="21" t="s">
        <v>372</v>
      </c>
      <c r="M299" s="21" t="s">
        <v>372</v>
      </c>
      <c r="N299" s="21" t="s">
        <v>373</v>
      </c>
      <c r="O299" s="21" t="s">
        <v>1915</v>
      </c>
    </row>
    <row r="300" spans="1:15" x14ac:dyDescent="0.25">
      <c r="A300" s="21" t="s">
        <v>114</v>
      </c>
      <c r="B300" s="21" t="s">
        <v>1916</v>
      </c>
      <c r="C300" s="21" t="s">
        <v>1917</v>
      </c>
      <c r="D300" s="21" t="s">
        <v>1918</v>
      </c>
      <c r="E300" s="21">
        <v>381341</v>
      </c>
      <c r="F300" s="21">
        <v>71411</v>
      </c>
      <c r="G300" s="21" t="s">
        <v>1919</v>
      </c>
      <c r="H300" s="21">
        <v>1</v>
      </c>
      <c r="I300" s="21">
        <v>1</v>
      </c>
      <c r="J300" s="21">
        <v>4</v>
      </c>
      <c r="K300" s="21">
        <v>2023</v>
      </c>
      <c r="L300" s="21" t="s">
        <v>372</v>
      </c>
      <c r="M300" s="21" t="s">
        <v>372</v>
      </c>
      <c r="N300" s="21" t="s">
        <v>373</v>
      </c>
      <c r="O300" s="21">
        <v>19714</v>
      </c>
    </row>
    <row r="301" spans="1:15" x14ac:dyDescent="0.25">
      <c r="A301" s="21" t="s">
        <v>1920</v>
      </c>
      <c r="B301" s="21" t="s">
        <v>1921</v>
      </c>
      <c r="D301" s="21" t="s">
        <v>1922</v>
      </c>
      <c r="E301" s="21">
        <v>511252</v>
      </c>
      <c r="F301" s="21">
        <v>1499414</v>
      </c>
      <c r="G301" s="21" t="s">
        <v>1923</v>
      </c>
      <c r="H301" s="21">
        <v>1</v>
      </c>
      <c r="I301" s="21">
        <v>1</v>
      </c>
      <c r="J301" s="21">
        <v>4</v>
      </c>
      <c r="K301" s="21">
        <v>2023</v>
      </c>
      <c r="L301" s="21" t="s">
        <v>372</v>
      </c>
      <c r="M301" s="21" t="s">
        <v>372</v>
      </c>
      <c r="N301" s="21" t="s">
        <v>373</v>
      </c>
      <c r="O301" s="21">
        <v>58398</v>
      </c>
    </row>
    <row r="302" spans="1:15" x14ac:dyDescent="0.25">
      <c r="A302" s="21" t="s">
        <v>1924</v>
      </c>
      <c r="B302" s="21" t="s">
        <v>1925</v>
      </c>
      <c r="C302" s="21" t="s">
        <v>1926</v>
      </c>
      <c r="E302" s="21">
        <v>2480</v>
      </c>
      <c r="F302" s="21">
        <v>49798</v>
      </c>
      <c r="G302" s="21" t="s">
        <v>1927</v>
      </c>
      <c r="H302" s="21">
        <v>1</v>
      </c>
      <c r="I302" s="21">
        <v>1</v>
      </c>
      <c r="J302" s="21">
        <v>4</v>
      </c>
      <c r="K302" s="21">
        <v>2023</v>
      </c>
      <c r="L302" s="21" t="s">
        <v>372</v>
      </c>
      <c r="M302" s="21" t="s">
        <v>372</v>
      </c>
      <c r="N302" s="21" t="s">
        <v>373</v>
      </c>
      <c r="O302" s="21" t="s">
        <v>1928</v>
      </c>
    </row>
    <row r="303" spans="1:15" x14ac:dyDescent="0.25">
      <c r="A303" s="21" t="s">
        <v>1929</v>
      </c>
      <c r="B303" s="21" t="s">
        <v>1930</v>
      </c>
      <c r="C303" s="21" t="s">
        <v>1931</v>
      </c>
      <c r="E303" s="21">
        <v>68</v>
      </c>
      <c r="F303" s="21">
        <v>20157</v>
      </c>
      <c r="G303" s="21" t="s">
        <v>1932</v>
      </c>
      <c r="H303" s="21">
        <v>1</v>
      </c>
      <c r="I303" s="21">
        <v>1</v>
      </c>
      <c r="J303" s="21">
        <v>4</v>
      </c>
      <c r="K303" s="21">
        <v>2023</v>
      </c>
      <c r="L303" s="21" t="s">
        <v>372</v>
      </c>
      <c r="M303" s="21" t="s">
        <v>372</v>
      </c>
      <c r="N303" s="21" t="s">
        <v>373</v>
      </c>
      <c r="O303" s="21" t="s">
        <v>1933</v>
      </c>
    </row>
    <row r="304" spans="1:15" x14ac:dyDescent="0.25">
      <c r="A304" s="21" t="s">
        <v>1934</v>
      </c>
      <c r="B304" s="21" t="s">
        <v>1935</v>
      </c>
      <c r="C304" s="21" t="s">
        <v>1936</v>
      </c>
      <c r="E304" s="21">
        <v>15816</v>
      </c>
      <c r="F304" s="21">
        <v>34021</v>
      </c>
      <c r="G304" s="21">
        <v>216425</v>
      </c>
      <c r="H304" s="21">
        <v>4</v>
      </c>
      <c r="I304" s="21">
        <v>2</v>
      </c>
      <c r="J304" s="21">
        <v>4</v>
      </c>
      <c r="K304" s="21">
        <v>2023</v>
      </c>
      <c r="L304" s="21" t="s">
        <v>373</v>
      </c>
      <c r="M304" s="21" t="s">
        <v>372</v>
      </c>
      <c r="N304" s="21" t="s">
        <v>373</v>
      </c>
      <c r="O304" s="21" t="s">
        <v>1937</v>
      </c>
    </row>
    <row r="305" spans="1:15" x14ac:dyDescent="0.25">
      <c r="A305" s="21" t="s">
        <v>1938</v>
      </c>
      <c r="B305" s="21" t="s">
        <v>1939</v>
      </c>
      <c r="E305" s="21">
        <v>3347</v>
      </c>
      <c r="F305" s="21">
        <v>17199</v>
      </c>
      <c r="G305" s="21">
        <v>25444</v>
      </c>
      <c r="H305" s="21">
        <v>4</v>
      </c>
      <c r="I305" s="21">
        <v>2</v>
      </c>
      <c r="J305" s="21">
        <v>4</v>
      </c>
      <c r="K305" s="21">
        <v>2023</v>
      </c>
      <c r="L305" s="21" t="s">
        <v>373</v>
      </c>
      <c r="M305" s="21" t="s">
        <v>372</v>
      </c>
      <c r="N305" s="21" t="s">
        <v>373</v>
      </c>
      <c r="O305" s="21" t="s">
        <v>1940</v>
      </c>
    </row>
    <row r="306" spans="1:15" x14ac:dyDescent="0.25">
      <c r="A306" s="21" t="s">
        <v>1941</v>
      </c>
      <c r="B306" s="21" t="s">
        <v>1942</v>
      </c>
      <c r="C306" s="21" t="s">
        <v>1943</v>
      </c>
      <c r="E306" s="21">
        <v>800</v>
      </c>
      <c r="F306" s="21">
        <v>66755</v>
      </c>
      <c r="G306" s="21" t="s">
        <v>1944</v>
      </c>
      <c r="H306" s="21">
        <v>1</v>
      </c>
      <c r="I306" s="21">
        <v>1</v>
      </c>
      <c r="J306" s="21">
        <v>1</v>
      </c>
      <c r="K306" s="21">
        <v>2023</v>
      </c>
      <c r="L306" s="21" t="s">
        <v>372</v>
      </c>
      <c r="M306" s="21" t="s">
        <v>372</v>
      </c>
      <c r="N306" s="21" t="s">
        <v>372</v>
      </c>
      <c r="O306" s="21" t="s">
        <v>1945</v>
      </c>
    </row>
    <row r="307" spans="1:15" x14ac:dyDescent="0.25">
      <c r="A307" s="21" t="s">
        <v>1946</v>
      </c>
      <c r="B307" s="21" t="s">
        <v>1947</v>
      </c>
      <c r="C307" s="21" t="s">
        <v>1948</v>
      </c>
      <c r="D307" s="21" t="s">
        <v>1949</v>
      </c>
      <c r="E307" s="21">
        <v>70120</v>
      </c>
      <c r="F307" s="21">
        <v>27712</v>
      </c>
      <c r="G307" s="21" t="s">
        <v>1950</v>
      </c>
      <c r="H307" s="21">
        <v>1</v>
      </c>
      <c r="I307" s="21">
        <v>1</v>
      </c>
      <c r="J307" s="21">
        <v>4</v>
      </c>
      <c r="K307" s="21">
        <v>2023</v>
      </c>
      <c r="L307" s="21" t="s">
        <v>372</v>
      </c>
      <c r="M307" s="21" t="s">
        <v>372</v>
      </c>
      <c r="N307" s="21" t="s">
        <v>373</v>
      </c>
      <c r="O307" s="21" t="s">
        <v>1951</v>
      </c>
    </row>
    <row r="308" spans="1:15" x14ac:dyDescent="0.25">
      <c r="A308" s="21" t="s">
        <v>1952</v>
      </c>
      <c r="B308" s="21" t="s">
        <v>1953</v>
      </c>
      <c r="C308" s="21" t="s">
        <v>1954</v>
      </c>
      <c r="D308" s="21" t="s">
        <v>1955</v>
      </c>
      <c r="E308" s="21">
        <v>86991</v>
      </c>
      <c r="F308" s="21">
        <v>660906</v>
      </c>
      <c r="G308" s="21" t="s">
        <v>1956</v>
      </c>
      <c r="H308" s="21">
        <v>1</v>
      </c>
      <c r="I308" s="21">
        <v>1</v>
      </c>
      <c r="J308" s="21">
        <v>4</v>
      </c>
      <c r="K308" s="21">
        <v>2023</v>
      </c>
      <c r="L308" s="21" t="s">
        <v>372</v>
      </c>
      <c r="M308" s="21" t="s">
        <v>372</v>
      </c>
      <c r="N308" s="21" t="s">
        <v>373</v>
      </c>
      <c r="O308" s="21" t="s">
        <v>1957</v>
      </c>
    </row>
    <row r="309" spans="1:15" x14ac:dyDescent="0.25">
      <c r="A309" s="21" t="s">
        <v>1958</v>
      </c>
      <c r="B309" s="21" t="s">
        <v>1959</v>
      </c>
      <c r="C309" s="21" t="s">
        <v>1960</v>
      </c>
      <c r="D309" s="21" t="s">
        <v>1961</v>
      </c>
      <c r="E309" s="21">
        <v>10211</v>
      </c>
      <c r="F309" s="21">
        <v>26297</v>
      </c>
      <c r="G309" s="21" t="s">
        <v>1962</v>
      </c>
      <c r="H309" s="21">
        <v>1</v>
      </c>
      <c r="I309" s="21">
        <v>1</v>
      </c>
      <c r="J309" s="21">
        <v>4</v>
      </c>
      <c r="K309" s="21">
        <v>2023</v>
      </c>
      <c r="L309" s="21" t="s">
        <v>372</v>
      </c>
      <c r="M309" s="21" t="s">
        <v>372</v>
      </c>
      <c r="N309" s="21" t="s">
        <v>373</v>
      </c>
      <c r="O309" s="21" t="s">
        <v>1963</v>
      </c>
    </row>
    <row r="310" spans="1:15" x14ac:dyDescent="0.25">
      <c r="A310" s="21" t="s">
        <v>1964</v>
      </c>
      <c r="B310" s="21" t="s">
        <v>1965</v>
      </c>
      <c r="C310" s="21" t="s">
        <v>1966</v>
      </c>
      <c r="D310" s="21" t="s">
        <v>1967</v>
      </c>
      <c r="E310" s="21">
        <v>121420</v>
      </c>
      <c r="F310" s="21">
        <v>1347</v>
      </c>
      <c r="G310" s="21" t="s">
        <v>1968</v>
      </c>
      <c r="H310" s="21">
        <v>4</v>
      </c>
      <c r="I310" s="21">
        <v>2</v>
      </c>
      <c r="J310" s="21">
        <v>4</v>
      </c>
      <c r="K310" s="21">
        <v>2023</v>
      </c>
      <c r="L310" s="21" t="s">
        <v>373</v>
      </c>
      <c r="M310" s="21" t="s">
        <v>372</v>
      </c>
      <c r="N310" s="21" t="s">
        <v>373</v>
      </c>
      <c r="O310" s="21" t="s">
        <v>1969</v>
      </c>
    </row>
    <row r="311" spans="1:15" x14ac:dyDescent="0.25">
      <c r="A311" s="21" t="s">
        <v>1970</v>
      </c>
      <c r="B311" s="21" t="s">
        <v>1971</v>
      </c>
      <c r="C311" s="21" t="s">
        <v>1972</v>
      </c>
      <c r="D311" s="21" t="s">
        <v>1973</v>
      </c>
      <c r="E311" s="21">
        <v>1196</v>
      </c>
      <c r="F311" s="21">
        <v>11467</v>
      </c>
      <c r="G311" s="21">
        <v>896340</v>
      </c>
      <c r="H311" s="21">
        <v>1</v>
      </c>
      <c r="I311" s="21">
        <v>1</v>
      </c>
      <c r="J311" s="21">
        <v>4</v>
      </c>
      <c r="K311" s="21">
        <v>2023</v>
      </c>
      <c r="L311" s="21" t="s">
        <v>372</v>
      </c>
      <c r="M311" s="21" t="s">
        <v>372</v>
      </c>
      <c r="N311" s="21" t="s">
        <v>373</v>
      </c>
      <c r="O311" s="21">
        <v>17869</v>
      </c>
    </row>
    <row r="312" spans="1:15" x14ac:dyDescent="0.25">
      <c r="A312" s="21" t="s">
        <v>1974</v>
      </c>
      <c r="B312" s="21" t="s">
        <v>1975</v>
      </c>
      <c r="C312" s="21" t="s">
        <v>1976</v>
      </c>
      <c r="D312" s="21" t="s">
        <v>1977</v>
      </c>
      <c r="E312" s="21">
        <v>352682</v>
      </c>
      <c r="F312" s="21">
        <v>48273</v>
      </c>
      <c r="G312" s="21" t="s">
        <v>1978</v>
      </c>
      <c r="H312" s="21">
        <v>1</v>
      </c>
      <c r="I312" s="21">
        <v>2</v>
      </c>
      <c r="J312" s="21">
        <v>4</v>
      </c>
      <c r="K312" s="21">
        <v>2023</v>
      </c>
      <c r="L312" s="21" t="s">
        <v>372</v>
      </c>
      <c r="M312" s="21" t="s">
        <v>372</v>
      </c>
      <c r="N312" s="21" t="s">
        <v>373</v>
      </c>
      <c r="O312" s="21" t="s">
        <v>1979</v>
      </c>
    </row>
    <row r="313" spans="1:15" x14ac:dyDescent="0.25">
      <c r="A313" s="21" t="s">
        <v>1980</v>
      </c>
      <c r="B313" s="21" t="s">
        <v>1981</v>
      </c>
      <c r="C313" s="21" t="s">
        <v>1982</v>
      </c>
      <c r="D313" s="21" t="s">
        <v>1983</v>
      </c>
      <c r="E313" s="21">
        <v>88000</v>
      </c>
      <c r="F313" s="21">
        <v>67000</v>
      </c>
      <c r="G313" s="21" t="s">
        <v>1984</v>
      </c>
      <c r="H313" s="21">
        <v>1</v>
      </c>
      <c r="I313" s="21">
        <v>1</v>
      </c>
      <c r="J313" s="21">
        <v>4</v>
      </c>
      <c r="K313" s="21">
        <v>2023</v>
      </c>
      <c r="L313" s="21" t="s">
        <v>372</v>
      </c>
      <c r="M313" s="21" t="s">
        <v>372</v>
      </c>
      <c r="N313" s="21" t="s">
        <v>373</v>
      </c>
      <c r="O313" s="21" t="s">
        <v>1985</v>
      </c>
    </row>
    <row r="314" spans="1:15" x14ac:dyDescent="0.25">
      <c r="A314" s="21" t="s">
        <v>1986</v>
      </c>
      <c r="B314" s="21" t="s">
        <v>1987</v>
      </c>
      <c r="C314" s="21" t="s">
        <v>1988</v>
      </c>
      <c r="D314" s="21" t="s">
        <v>1989</v>
      </c>
      <c r="E314" s="21">
        <v>17027400</v>
      </c>
      <c r="F314" s="21">
        <v>38800</v>
      </c>
      <c r="G314" s="21" t="s">
        <v>1990</v>
      </c>
      <c r="H314" s="21">
        <v>1</v>
      </c>
      <c r="I314" s="21">
        <v>1</v>
      </c>
      <c r="J314" s="21">
        <v>4</v>
      </c>
      <c r="K314" s="21">
        <v>2023</v>
      </c>
      <c r="L314" s="21" t="s">
        <v>372</v>
      </c>
      <c r="M314" s="21" t="s">
        <v>372</v>
      </c>
      <c r="N314" s="21" t="s">
        <v>373</v>
      </c>
      <c r="O314" s="21">
        <v>14069</v>
      </c>
    </row>
    <row r="315" spans="1:15" x14ac:dyDescent="0.25">
      <c r="A315" s="21" t="s">
        <v>139</v>
      </c>
      <c r="B315" s="21" t="s">
        <v>1991</v>
      </c>
      <c r="C315" s="21" t="s">
        <v>1992</v>
      </c>
      <c r="D315" s="21" t="s">
        <v>1993</v>
      </c>
      <c r="E315" s="21">
        <v>170000</v>
      </c>
      <c r="F315" s="21">
        <v>680954</v>
      </c>
      <c r="G315" s="21" t="s">
        <v>1994</v>
      </c>
      <c r="H315" s="21">
        <v>1</v>
      </c>
      <c r="I315" s="21">
        <v>1</v>
      </c>
      <c r="J315" s="21">
        <v>4</v>
      </c>
      <c r="K315" s="21">
        <v>2023</v>
      </c>
      <c r="L315" s="21" t="s">
        <v>372</v>
      </c>
      <c r="M315" s="21" t="s">
        <v>372</v>
      </c>
      <c r="N315" s="21" t="s">
        <v>373</v>
      </c>
      <c r="O315" s="21" t="s">
        <v>244</v>
      </c>
    </row>
    <row r="316" spans="1:15" x14ac:dyDescent="0.25">
      <c r="A316" s="21" t="s">
        <v>1995</v>
      </c>
      <c r="B316" s="21" t="s">
        <v>1996</v>
      </c>
      <c r="C316" s="21" t="s">
        <v>1997</v>
      </c>
      <c r="D316" s="21" t="s">
        <v>1998</v>
      </c>
      <c r="E316" s="21">
        <v>329837</v>
      </c>
      <c r="F316" s="21">
        <v>64830</v>
      </c>
      <c r="G316" s="21" t="s">
        <v>1999</v>
      </c>
      <c r="H316" s="21">
        <v>4</v>
      </c>
      <c r="I316" s="21">
        <v>2</v>
      </c>
      <c r="J316" s="21">
        <v>4</v>
      </c>
      <c r="K316" s="21">
        <v>2023</v>
      </c>
      <c r="L316" s="21" t="s">
        <v>373</v>
      </c>
      <c r="M316" s="21" t="s">
        <v>372</v>
      </c>
      <c r="N316" s="21" t="s">
        <v>373</v>
      </c>
      <c r="O316" s="21" t="s">
        <v>2000</v>
      </c>
    </row>
    <row r="317" spans="1:15" x14ac:dyDescent="0.25">
      <c r="A317" s="21" t="s">
        <v>192</v>
      </c>
      <c r="B317" s="21" t="s">
        <v>2001</v>
      </c>
      <c r="C317" s="21" t="s">
        <v>2002</v>
      </c>
      <c r="D317" s="21" t="s">
        <v>2003</v>
      </c>
      <c r="E317" s="21">
        <v>562605</v>
      </c>
      <c r="F317" s="21">
        <v>898519</v>
      </c>
      <c r="G317" s="21" t="s">
        <v>2004</v>
      </c>
      <c r="H317" s="21">
        <v>1</v>
      </c>
      <c r="I317" s="21">
        <v>1</v>
      </c>
      <c r="J317" s="21">
        <v>4</v>
      </c>
      <c r="K317" s="21">
        <v>2023</v>
      </c>
      <c r="L317" s="21" t="s">
        <v>372</v>
      </c>
      <c r="M317" s="21" t="s">
        <v>372</v>
      </c>
      <c r="N317" s="21" t="s">
        <v>373</v>
      </c>
      <c r="O317" s="21">
        <v>33867</v>
      </c>
    </row>
    <row r="318" spans="1:15" x14ac:dyDescent="0.25">
      <c r="A318" s="21" t="s">
        <v>2005</v>
      </c>
      <c r="B318" s="21" t="s">
        <v>2006</v>
      </c>
      <c r="C318" s="21" t="s">
        <v>2007</v>
      </c>
      <c r="E318" s="21">
        <v>90</v>
      </c>
      <c r="F318" s="21">
        <v>48</v>
      </c>
      <c r="G318" s="21" t="s">
        <v>2008</v>
      </c>
      <c r="H318" s="21">
        <v>2</v>
      </c>
      <c r="I318" s="21">
        <v>2</v>
      </c>
      <c r="J318" s="21">
        <v>4</v>
      </c>
      <c r="K318" s="21">
        <v>2023</v>
      </c>
      <c r="L318" s="21" t="s">
        <v>372</v>
      </c>
      <c r="M318" s="21" t="s">
        <v>372</v>
      </c>
      <c r="N318" s="21" t="s">
        <v>373</v>
      </c>
      <c r="O318" s="21" t="s">
        <v>2009</v>
      </c>
    </row>
    <row r="319" spans="1:15" x14ac:dyDescent="0.25">
      <c r="A319" s="21" t="s">
        <v>2010</v>
      </c>
      <c r="B319" s="21" t="s">
        <v>2011</v>
      </c>
      <c r="C319" s="21" t="s">
        <v>2012</v>
      </c>
      <c r="D319" s="21" t="s">
        <v>2013</v>
      </c>
      <c r="E319" s="21">
        <v>10598</v>
      </c>
      <c r="F319" s="21">
        <v>1069</v>
      </c>
      <c r="G319" s="21">
        <v>1040131</v>
      </c>
      <c r="H319" s="21">
        <v>1</v>
      </c>
      <c r="I319" s="21">
        <v>1</v>
      </c>
      <c r="J319" s="21">
        <v>4</v>
      </c>
      <c r="K319" s="21">
        <v>2023</v>
      </c>
      <c r="L319" s="21" t="s">
        <v>372</v>
      </c>
      <c r="M319" s="21" t="s">
        <v>372</v>
      </c>
      <c r="N319" s="21" t="s">
        <v>373</v>
      </c>
      <c r="O319" s="21" t="s">
        <v>2014</v>
      </c>
    </row>
    <row r="320" spans="1:15" x14ac:dyDescent="0.25">
      <c r="A320" s="21" t="s">
        <v>2015</v>
      </c>
      <c r="B320" s="21" t="s">
        <v>2016</v>
      </c>
      <c r="C320" s="21" t="s">
        <v>2017</v>
      </c>
      <c r="D320" s="21" t="s">
        <v>2018</v>
      </c>
      <c r="E320" s="21">
        <v>400792</v>
      </c>
      <c r="F320" s="21">
        <v>639222</v>
      </c>
      <c r="G320" s="21" t="s">
        <v>2019</v>
      </c>
      <c r="H320" s="21">
        <v>2</v>
      </c>
      <c r="I320" s="21">
        <v>2</v>
      </c>
      <c r="J320" s="21">
        <v>4</v>
      </c>
      <c r="K320" s="21">
        <v>2023</v>
      </c>
      <c r="L320" s="21" t="s">
        <v>372</v>
      </c>
      <c r="M320" s="21" t="s">
        <v>372</v>
      </c>
      <c r="N320" s="21" t="s">
        <v>373</v>
      </c>
      <c r="O320" s="21" t="s">
        <v>2020</v>
      </c>
    </row>
    <row r="321" spans="1:15" x14ac:dyDescent="0.25">
      <c r="A321" s="21" t="s">
        <v>2021</v>
      </c>
      <c r="B321" s="21" t="s">
        <v>2022</v>
      </c>
      <c r="C321" s="21" t="s">
        <v>2023</v>
      </c>
      <c r="D321" s="21" t="s">
        <v>2024</v>
      </c>
      <c r="E321" s="21">
        <v>2818</v>
      </c>
      <c r="F321" s="21">
        <v>9182</v>
      </c>
      <c r="G321" s="21" t="s">
        <v>2025</v>
      </c>
      <c r="H321" s="21">
        <v>4</v>
      </c>
      <c r="I321" s="21">
        <v>1</v>
      </c>
      <c r="J321" s="21">
        <v>4</v>
      </c>
      <c r="K321" s="21">
        <v>2023</v>
      </c>
      <c r="L321" s="21" t="s">
        <v>373</v>
      </c>
      <c r="M321" s="21" t="s">
        <v>372</v>
      </c>
      <c r="N321" s="21" t="s">
        <v>373</v>
      </c>
      <c r="O321" s="21" t="s">
        <v>2026</v>
      </c>
    </row>
    <row r="322" spans="1:15" x14ac:dyDescent="0.25">
      <c r="A322" s="21" t="s">
        <v>2027</v>
      </c>
      <c r="B322" s="21" t="s">
        <v>2028</v>
      </c>
      <c r="C322" s="21" t="s">
        <v>2029</v>
      </c>
      <c r="D322" s="21" t="s">
        <v>2030</v>
      </c>
      <c r="E322" s="21">
        <v>307359</v>
      </c>
      <c r="F322" s="21">
        <v>408822</v>
      </c>
      <c r="G322" s="21" t="s">
        <v>2031</v>
      </c>
      <c r="H322" s="21">
        <v>1</v>
      </c>
      <c r="I322" s="21">
        <v>1</v>
      </c>
      <c r="J322" s="21">
        <v>4</v>
      </c>
      <c r="K322" s="21">
        <v>2023</v>
      </c>
      <c r="L322" s="21" t="s">
        <v>372</v>
      </c>
      <c r="M322" s="21" t="s">
        <v>372</v>
      </c>
      <c r="N322" s="21" t="s">
        <v>373</v>
      </c>
      <c r="O322" s="21" t="s">
        <v>2032</v>
      </c>
    </row>
    <row r="323" spans="1:15" x14ac:dyDescent="0.25">
      <c r="A323" s="21" t="s">
        <v>180</v>
      </c>
      <c r="B323" s="21" t="s">
        <v>2033</v>
      </c>
      <c r="C323" s="21" t="s">
        <v>2034</v>
      </c>
      <c r="D323" s="21" t="s">
        <v>2035</v>
      </c>
      <c r="E323" s="21">
        <v>666127</v>
      </c>
      <c r="F323" s="21">
        <v>1003759</v>
      </c>
      <c r="G323" s="21" t="s">
        <v>2036</v>
      </c>
      <c r="H323" s="21">
        <v>2</v>
      </c>
      <c r="I323" s="21">
        <v>2</v>
      </c>
      <c r="J323" s="21">
        <v>4</v>
      </c>
      <c r="K323" s="21">
        <v>2023</v>
      </c>
      <c r="L323" s="21" t="s">
        <v>372</v>
      </c>
      <c r="M323" s="21" t="s">
        <v>372</v>
      </c>
      <c r="N323" s="21" t="s">
        <v>373</v>
      </c>
      <c r="O323" s="21" t="s">
        <v>270</v>
      </c>
    </row>
    <row r="324" spans="1:15" x14ac:dyDescent="0.25">
      <c r="A324" s="21" t="s">
        <v>2037</v>
      </c>
      <c r="B324" s="21" t="s">
        <v>2038</v>
      </c>
      <c r="C324" s="21" t="s">
        <v>2039</v>
      </c>
      <c r="E324" s="21">
        <v>2788</v>
      </c>
      <c r="F324" s="21">
        <v>4583</v>
      </c>
      <c r="G324" s="21" t="s">
        <v>2040</v>
      </c>
      <c r="H324" s="21">
        <v>1</v>
      </c>
      <c r="I324" s="21">
        <v>1</v>
      </c>
      <c r="J324" s="21">
        <v>4</v>
      </c>
      <c r="K324" s="21">
        <v>2023</v>
      </c>
      <c r="L324" s="21" t="s">
        <v>372</v>
      </c>
      <c r="M324" s="21" t="s">
        <v>372</v>
      </c>
      <c r="N324" s="21" t="s">
        <v>373</v>
      </c>
      <c r="O324" s="21" t="s">
        <v>2041</v>
      </c>
    </row>
    <row r="325" spans="1:15" x14ac:dyDescent="0.25">
      <c r="A325" s="21" t="s">
        <v>2042</v>
      </c>
      <c r="B325" s="21" t="s">
        <v>2043</v>
      </c>
      <c r="C325" s="21" t="s">
        <v>2044</v>
      </c>
      <c r="D325" s="21" t="s">
        <v>2045</v>
      </c>
      <c r="E325" s="21">
        <v>702781</v>
      </c>
      <c r="F325" s="21">
        <v>283711</v>
      </c>
      <c r="G325" s="21" t="s">
        <v>2046</v>
      </c>
      <c r="H325" s="21">
        <v>4</v>
      </c>
      <c r="I325" s="21">
        <v>2</v>
      </c>
      <c r="J325" s="21">
        <v>4</v>
      </c>
      <c r="K325" s="21">
        <v>2023</v>
      </c>
      <c r="L325" s="21" t="s">
        <v>373</v>
      </c>
      <c r="M325" s="21" t="s">
        <v>372</v>
      </c>
      <c r="N325" s="21" t="s">
        <v>373</v>
      </c>
      <c r="O325" s="21" t="s">
        <v>2047</v>
      </c>
    </row>
    <row r="326" spans="1:15" x14ac:dyDescent="0.25">
      <c r="A326" s="21" t="s">
        <v>2048</v>
      </c>
      <c r="B326" s="21" t="s">
        <v>2049</v>
      </c>
      <c r="C326" s="21" t="s">
        <v>2050</v>
      </c>
      <c r="D326" s="21" t="s">
        <v>2051</v>
      </c>
      <c r="E326" s="21">
        <v>9636232</v>
      </c>
      <c r="F326" s="21">
        <v>1612919</v>
      </c>
      <c r="G326" s="21" t="s">
        <v>2052</v>
      </c>
      <c r="H326" s="21">
        <v>1</v>
      </c>
      <c r="I326" s="21">
        <v>1</v>
      </c>
      <c r="J326" s="21">
        <v>4</v>
      </c>
      <c r="K326" s="21">
        <v>2023</v>
      </c>
      <c r="L326" s="21" t="s">
        <v>372</v>
      </c>
      <c r="M326" s="21" t="s">
        <v>372</v>
      </c>
      <c r="N326" s="21" t="s">
        <v>373</v>
      </c>
      <c r="O326" s="21" t="s">
        <v>2053</v>
      </c>
    </row>
    <row r="327" spans="1:15" x14ac:dyDescent="0.25">
      <c r="A327" s="21" t="s">
        <v>2054</v>
      </c>
      <c r="B327" s="21" t="s">
        <v>2055</v>
      </c>
      <c r="C327" s="21" t="s">
        <v>2056</v>
      </c>
      <c r="D327" s="21" t="s">
        <v>2057</v>
      </c>
      <c r="E327" s="21">
        <v>37704</v>
      </c>
      <c r="F327" s="21">
        <v>26882</v>
      </c>
      <c r="G327" s="21">
        <v>313091</v>
      </c>
      <c r="H327" s="21">
        <v>1</v>
      </c>
      <c r="I327" s="21">
        <v>1</v>
      </c>
      <c r="J327" s="21">
        <v>4</v>
      </c>
      <c r="K327" s="21">
        <v>2023</v>
      </c>
      <c r="L327" s="21" t="s">
        <v>372</v>
      </c>
      <c r="M327" s="21" t="s">
        <v>372</v>
      </c>
      <c r="N327" s="21" t="s">
        <v>373</v>
      </c>
      <c r="O327" s="21">
        <v>8318</v>
      </c>
    </row>
    <row r="328" spans="1:15" x14ac:dyDescent="0.25">
      <c r="A328" s="21" t="s">
        <v>115</v>
      </c>
      <c r="B328" s="21" t="s">
        <v>2058</v>
      </c>
      <c r="C328" s="21" t="s">
        <v>2059</v>
      </c>
      <c r="D328" s="21" t="s">
        <v>2060</v>
      </c>
      <c r="E328" s="21">
        <v>635846</v>
      </c>
      <c r="F328" s="21">
        <v>251038</v>
      </c>
      <c r="G328" s="21" t="s">
        <v>2061</v>
      </c>
      <c r="H328" s="21">
        <v>1</v>
      </c>
      <c r="I328" s="21">
        <v>1</v>
      </c>
      <c r="J328" s="21">
        <v>4</v>
      </c>
      <c r="K328" s="21">
        <v>2023</v>
      </c>
      <c r="L328" s="21" t="s">
        <v>372</v>
      </c>
      <c r="M328" s="21" t="s">
        <v>372</v>
      </c>
      <c r="N328" s="21" t="s">
        <v>373</v>
      </c>
      <c r="O328" s="21" t="s">
        <v>229</v>
      </c>
    </row>
    <row r="329" spans="1:15" x14ac:dyDescent="0.25">
      <c r="A329" s="21" t="s">
        <v>2062</v>
      </c>
      <c r="B329" s="21" t="s">
        <v>2063</v>
      </c>
      <c r="C329" s="21" t="s">
        <v>2064</v>
      </c>
      <c r="D329" s="21" t="s">
        <v>2065</v>
      </c>
      <c r="E329" s="21">
        <v>67812912</v>
      </c>
      <c r="F329" s="21">
        <v>29388354</v>
      </c>
      <c r="G329" s="21" t="s">
        <v>2066</v>
      </c>
      <c r="H329" s="21">
        <v>4</v>
      </c>
      <c r="I329" s="21">
        <v>2</v>
      </c>
      <c r="J329" s="21">
        <v>4</v>
      </c>
      <c r="K329" s="21">
        <v>2023</v>
      </c>
      <c r="L329" s="21" t="s">
        <v>373</v>
      </c>
      <c r="M329" s="21" t="s">
        <v>372</v>
      </c>
      <c r="N329" s="21" t="s">
        <v>373</v>
      </c>
      <c r="O329" s="21" t="s">
        <v>2067</v>
      </c>
    </row>
    <row r="330" spans="1:15" x14ac:dyDescent="0.25">
      <c r="A330" s="21" t="s">
        <v>2068</v>
      </c>
      <c r="B330" s="21" t="s">
        <v>2069</v>
      </c>
      <c r="C330" s="21" t="s">
        <v>2070</v>
      </c>
      <c r="D330" s="21" t="s">
        <v>2071</v>
      </c>
      <c r="E330" s="21">
        <v>116</v>
      </c>
      <c r="F330" s="21">
        <v>2725</v>
      </c>
      <c r="G330" s="21" t="s">
        <v>2072</v>
      </c>
      <c r="H330" s="21">
        <v>1</v>
      </c>
      <c r="I330" s="21">
        <v>1</v>
      </c>
      <c r="J330" s="21">
        <v>4</v>
      </c>
      <c r="K330" s="21">
        <v>2023</v>
      </c>
      <c r="L330" s="21" t="s">
        <v>372</v>
      </c>
      <c r="M330" s="21" t="s">
        <v>372</v>
      </c>
      <c r="N330" s="21" t="s">
        <v>373</v>
      </c>
      <c r="O330" s="21" t="s">
        <v>2073</v>
      </c>
    </row>
    <row r="331" spans="1:15" x14ac:dyDescent="0.25">
      <c r="A331" s="21" t="s">
        <v>2074</v>
      </c>
      <c r="B331" s="21" t="s">
        <v>2075</v>
      </c>
      <c r="C331" s="21" t="s">
        <v>2076</v>
      </c>
      <c r="D331" s="21" t="s">
        <v>2077</v>
      </c>
      <c r="E331" s="21">
        <v>2736384</v>
      </c>
      <c r="F331" s="21">
        <v>502</v>
      </c>
      <c r="G331" s="21" t="s">
        <v>2078</v>
      </c>
      <c r="H331" s="21">
        <v>1</v>
      </c>
      <c r="I331" s="21">
        <v>1</v>
      </c>
      <c r="J331" s="21">
        <v>4</v>
      </c>
      <c r="K331" s="21">
        <v>2023</v>
      </c>
      <c r="L331" s="21" t="s">
        <v>372</v>
      </c>
      <c r="M331" s="21" t="s">
        <v>372</v>
      </c>
      <c r="N331" s="21" t="s">
        <v>373</v>
      </c>
      <c r="O331" s="21" t="s">
        <v>2079</v>
      </c>
    </row>
    <row r="332" spans="1:15" x14ac:dyDescent="0.25">
      <c r="A332" s="21" t="s">
        <v>2080</v>
      </c>
      <c r="B332" s="21" t="s">
        <v>2081</v>
      </c>
      <c r="C332" s="21" t="s">
        <v>2082</v>
      </c>
      <c r="D332" s="21" t="s">
        <v>2083</v>
      </c>
      <c r="E332" s="21">
        <v>17631</v>
      </c>
      <c r="F332" s="21" t="s">
        <v>2084</v>
      </c>
      <c r="G332" s="21" t="s">
        <v>2085</v>
      </c>
      <c r="H332" s="21">
        <v>4</v>
      </c>
      <c r="I332" s="21">
        <v>4</v>
      </c>
      <c r="J332" s="21">
        <v>4</v>
      </c>
      <c r="K332" s="21">
        <v>2023</v>
      </c>
      <c r="L332" s="21" t="s">
        <v>373</v>
      </c>
      <c r="M332" s="21" t="s">
        <v>373</v>
      </c>
      <c r="N332" s="21" t="s">
        <v>373</v>
      </c>
      <c r="O332" s="21" t="s">
        <v>2086</v>
      </c>
    </row>
    <row r="333" spans="1:15" x14ac:dyDescent="0.25">
      <c r="A333" s="21" t="s">
        <v>2087</v>
      </c>
      <c r="B333" s="21" t="s">
        <v>2088</v>
      </c>
      <c r="C333" s="21" t="s">
        <v>2089</v>
      </c>
      <c r="D333" s="21" t="s">
        <v>2090</v>
      </c>
      <c r="E333" s="21">
        <v>18746</v>
      </c>
      <c r="F333" s="21">
        <v>184984</v>
      </c>
      <c r="G333" s="21" t="s">
        <v>2091</v>
      </c>
      <c r="H333" s="21">
        <v>1</v>
      </c>
      <c r="I333" s="21">
        <v>1</v>
      </c>
      <c r="J333" s="21">
        <v>4</v>
      </c>
      <c r="K333" s="21">
        <v>2023</v>
      </c>
      <c r="L333" s="21" t="s">
        <v>372</v>
      </c>
      <c r="M333" s="21" t="s">
        <v>372</v>
      </c>
      <c r="N333" s="21" t="s">
        <v>373</v>
      </c>
      <c r="O333" s="21" t="s">
        <v>2092</v>
      </c>
    </row>
    <row r="334" spans="1:15" x14ac:dyDescent="0.25">
      <c r="A334" s="21" t="s">
        <v>2093</v>
      </c>
      <c r="B334" s="21" t="s">
        <v>2094</v>
      </c>
      <c r="C334" s="21" t="s">
        <v>2095</v>
      </c>
      <c r="D334" s="21" t="s">
        <v>2096</v>
      </c>
      <c r="E334" s="21">
        <v>447062</v>
      </c>
      <c r="F334" s="21">
        <v>68315</v>
      </c>
      <c r="G334" s="21" t="s">
        <v>2097</v>
      </c>
      <c r="H334" s="21">
        <v>1</v>
      </c>
      <c r="I334" s="21">
        <v>1</v>
      </c>
      <c r="J334" s="21">
        <v>4</v>
      </c>
      <c r="K334" s="21">
        <v>2023</v>
      </c>
      <c r="L334" s="21" t="s">
        <v>372</v>
      </c>
      <c r="M334" s="21" t="s">
        <v>372</v>
      </c>
      <c r="N334" s="21" t="s">
        <v>373</v>
      </c>
      <c r="O334" s="21" t="s">
        <v>2098</v>
      </c>
    </row>
    <row r="335" spans="1:15" x14ac:dyDescent="0.25">
      <c r="A335" s="21" t="s">
        <v>2099</v>
      </c>
      <c r="B335" s="21" t="s">
        <v>2100</v>
      </c>
      <c r="C335" s="21" t="s">
        <v>2101</v>
      </c>
      <c r="D335" s="21" t="s">
        <v>2102</v>
      </c>
      <c r="E335" s="21">
        <v>1556</v>
      </c>
      <c r="F335" s="21">
        <v>2221</v>
      </c>
      <c r="G335" s="21">
        <v>30334</v>
      </c>
      <c r="H335" s="21">
        <v>1</v>
      </c>
      <c r="I335" s="21">
        <v>2</v>
      </c>
      <c r="J335" s="21">
        <v>4</v>
      </c>
      <c r="K335" s="21">
        <v>2023</v>
      </c>
      <c r="L335" s="21" t="s">
        <v>372</v>
      </c>
      <c r="M335" s="21" t="s">
        <v>372</v>
      </c>
      <c r="N335" s="21" t="s">
        <v>373</v>
      </c>
      <c r="O335" s="21" t="s">
        <v>2103</v>
      </c>
    </row>
    <row r="336" spans="1:15" x14ac:dyDescent="0.25">
      <c r="A336" s="21" t="s">
        <v>2104</v>
      </c>
      <c r="B336" s="21" t="s">
        <v>2105</v>
      </c>
      <c r="C336" s="21" t="s">
        <v>2106</v>
      </c>
      <c r="D336" s="21" t="s">
        <v>2107</v>
      </c>
      <c r="E336" s="21">
        <v>179707</v>
      </c>
      <c r="F336" s="21">
        <v>439252</v>
      </c>
      <c r="G336" s="21" t="s">
        <v>2108</v>
      </c>
      <c r="H336" s="21">
        <v>4</v>
      </c>
      <c r="I336" s="21">
        <v>2</v>
      </c>
      <c r="J336" s="21">
        <v>4</v>
      </c>
      <c r="K336" s="21">
        <v>2023</v>
      </c>
      <c r="L336" s="21" t="s">
        <v>373</v>
      </c>
      <c r="M336" s="21" t="s">
        <v>372</v>
      </c>
      <c r="N336" s="21" t="s">
        <v>373</v>
      </c>
      <c r="O336" s="21" t="s">
        <v>2109</v>
      </c>
    </row>
    <row r="337" spans="1:15" x14ac:dyDescent="0.25">
      <c r="A337" s="21" t="s">
        <v>2110</v>
      </c>
      <c r="B337" s="21" t="s">
        <v>2111</v>
      </c>
      <c r="C337" s="21" t="s">
        <v>2112</v>
      </c>
      <c r="D337" s="21" t="s">
        <v>2113</v>
      </c>
      <c r="E337" s="21">
        <v>574</v>
      </c>
      <c r="F337" s="21">
        <v>5526</v>
      </c>
      <c r="G337" s="21" t="s">
        <v>2114</v>
      </c>
      <c r="H337" s="21">
        <v>4</v>
      </c>
      <c r="I337" s="21">
        <v>2</v>
      </c>
      <c r="J337" s="21">
        <v>4</v>
      </c>
      <c r="K337" s="21">
        <v>2023</v>
      </c>
      <c r="L337" s="21" t="s">
        <v>373</v>
      </c>
      <c r="M337" s="21" t="s">
        <v>372</v>
      </c>
      <c r="N337" s="21" t="s">
        <v>373</v>
      </c>
      <c r="O337" s="21" t="s">
        <v>2115</v>
      </c>
    </row>
    <row r="338" spans="1:15" x14ac:dyDescent="0.25">
      <c r="A338" s="21" t="s">
        <v>152</v>
      </c>
      <c r="B338" s="21" t="s">
        <v>2116</v>
      </c>
      <c r="C338" s="21" t="s">
        <v>2117</v>
      </c>
      <c r="D338" s="21" t="s">
        <v>2118</v>
      </c>
      <c r="E338" s="21">
        <v>95242</v>
      </c>
      <c r="F338" s="21">
        <v>105068</v>
      </c>
      <c r="G338" s="21" t="s">
        <v>2119</v>
      </c>
      <c r="H338" s="21">
        <v>1</v>
      </c>
      <c r="I338" s="21">
        <v>1</v>
      </c>
      <c r="J338" s="21">
        <v>4</v>
      </c>
      <c r="K338" s="21">
        <v>2023</v>
      </c>
      <c r="L338" s="21" t="s">
        <v>372</v>
      </c>
      <c r="M338" s="21" t="s">
        <v>372</v>
      </c>
      <c r="N338" s="21" t="s">
        <v>373</v>
      </c>
      <c r="O338" s="21" t="s">
        <v>254</v>
      </c>
    </row>
    <row r="339" spans="1:15" x14ac:dyDescent="0.25">
      <c r="A339" s="21" t="s">
        <v>64</v>
      </c>
      <c r="B339" s="21" t="s">
        <v>2120</v>
      </c>
      <c r="E339" s="21">
        <v>1502871</v>
      </c>
      <c r="F339" s="21">
        <v>648622</v>
      </c>
      <c r="G339" s="21">
        <v>42237308</v>
      </c>
      <c r="H339" s="21">
        <v>1</v>
      </c>
      <c r="I339" s="21">
        <v>1</v>
      </c>
      <c r="J339" s="21">
        <v>1</v>
      </c>
      <c r="K339" s="21">
        <v>2023</v>
      </c>
      <c r="L339" s="21" t="s">
        <v>372</v>
      </c>
      <c r="M339" s="21" t="s">
        <v>372</v>
      </c>
      <c r="N339" s="21" t="s">
        <v>372</v>
      </c>
      <c r="O339" s="21" t="s">
        <v>204</v>
      </c>
    </row>
    <row r="340" spans="1:15" x14ac:dyDescent="0.25">
      <c r="A340" s="21" t="s">
        <v>2121</v>
      </c>
      <c r="B340" s="21" t="s">
        <v>2122</v>
      </c>
      <c r="C340" s="21" t="s">
        <v>2123</v>
      </c>
      <c r="D340" s="21" t="s">
        <v>2124</v>
      </c>
      <c r="E340" s="21">
        <v>749468</v>
      </c>
      <c r="F340" s="21">
        <v>303367</v>
      </c>
      <c r="G340" s="21" t="s">
        <v>2125</v>
      </c>
      <c r="H340" s="21">
        <v>2</v>
      </c>
      <c r="I340" s="21">
        <v>2</v>
      </c>
      <c r="J340" s="21">
        <v>4</v>
      </c>
      <c r="K340" s="21">
        <v>2023</v>
      </c>
      <c r="L340" s="21" t="s">
        <v>372</v>
      </c>
      <c r="M340" s="21" t="s">
        <v>372</v>
      </c>
      <c r="N340" s="21" t="s">
        <v>373</v>
      </c>
      <c r="O340" s="21" t="s">
        <v>2126</v>
      </c>
    </row>
    <row r="341" spans="1:15" x14ac:dyDescent="0.25">
      <c r="A341" s="21" t="s">
        <v>2127</v>
      </c>
      <c r="B341" s="21" t="s">
        <v>2128</v>
      </c>
      <c r="C341" s="21" t="s">
        <v>2129</v>
      </c>
      <c r="D341" s="21" t="s">
        <v>2130</v>
      </c>
      <c r="E341" s="21" t="s">
        <v>2131</v>
      </c>
      <c r="F341" s="21" t="s">
        <v>2132</v>
      </c>
      <c r="G341" s="21" t="s">
        <v>2133</v>
      </c>
      <c r="H341" s="21">
        <v>1</v>
      </c>
      <c r="I341" s="21">
        <v>1</v>
      </c>
      <c r="J341" s="21">
        <v>4</v>
      </c>
      <c r="K341" s="21">
        <v>2023</v>
      </c>
      <c r="L341" s="21" t="s">
        <v>372</v>
      </c>
      <c r="M341" s="21" t="s">
        <v>372</v>
      </c>
      <c r="N341" s="21" t="s">
        <v>373</v>
      </c>
      <c r="O341" s="21" t="s">
        <v>2134</v>
      </c>
    </row>
    <row r="342" spans="1:15" x14ac:dyDescent="0.25">
      <c r="A342" s="21" t="s">
        <v>183</v>
      </c>
      <c r="B342" s="21" t="s">
        <v>2135</v>
      </c>
      <c r="C342" s="21" t="s">
        <v>2136</v>
      </c>
      <c r="D342" s="21" t="s">
        <v>2137</v>
      </c>
      <c r="E342" s="21">
        <v>30589</v>
      </c>
      <c r="F342" s="21">
        <v>24373</v>
      </c>
      <c r="G342" s="21" t="s">
        <v>2138</v>
      </c>
      <c r="H342" s="21">
        <v>1</v>
      </c>
      <c r="I342" s="21">
        <v>1</v>
      </c>
      <c r="J342" s="21">
        <v>4</v>
      </c>
      <c r="K342" s="21">
        <v>2023</v>
      </c>
      <c r="L342" s="21" t="s">
        <v>372</v>
      </c>
      <c r="M342" s="21" t="s">
        <v>372</v>
      </c>
      <c r="N342" s="21" t="s">
        <v>373</v>
      </c>
      <c r="O342" s="21">
        <v>7145</v>
      </c>
    </row>
    <row r="343" spans="1:15" x14ac:dyDescent="0.25">
      <c r="A343" s="21" t="s">
        <v>2139</v>
      </c>
      <c r="B343" s="21" t="s">
        <v>2140</v>
      </c>
      <c r="E343" s="21">
        <v>118305</v>
      </c>
      <c r="F343" s="21">
        <v>121995</v>
      </c>
      <c r="G343" s="21" t="s">
        <v>2141</v>
      </c>
      <c r="H343" s="21">
        <v>1</v>
      </c>
      <c r="I343" s="21">
        <v>1</v>
      </c>
      <c r="J343" s="21">
        <v>4</v>
      </c>
      <c r="K343" s="21">
        <v>2023</v>
      </c>
      <c r="L343" s="21" t="s">
        <v>372</v>
      </c>
      <c r="M343" s="21" t="s">
        <v>372</v>
      </c>
      <c r="N343" s="21" t="s">
        <v>373</v>
      </c>
      <c r="O343" s="21" t="s">
        <v>2142</v>
      </c>
    </row>
    <row r="344" spans="1:15" x14ac:dyDescent="0.25">
      <c r="A344" s="21" t="s">
        <v>2143</v>
      </c>
      <c r="B344" s="21" t="s">
        <v>2144</v>
      </c>
      <c r="C344" s="21" t="s">
        <v>2145</v>
      </c>
      <c r="D344" s="21" t="s">
        <v>2146</v>
      </c>
      <c r="E344" s="21">
        <v>26966432</v>
      </c>
      <c r="F344" s="21" t="s">
        <v>2147</v>
      </c>
      <c r="G344" s="21" t="s">
        <v>2148</v>
      </c>
      <c r="H344" s="21">
        <v>4</v>
      </c>
      <c r="I344" s="21">
        <v>4</v>
      </c>
      <c r="J344" s="21">
        <v>4</v>
      </c>
      <c r="K344" s="21">
        <v>2023</v>
      </c>
      <c r="L344" s="21" t="s">
        <v>373</v>
      </c>
      <c r="M344" s="21" t="s">
        <v>373</v>
      </c>
      <c r="N344" s="21" t="s">
        <v>373</v>
      </c>
      <c r="O344" s="21" t="s">
        <v>2149</v>
      </c>
    </row>
    <row r="345" spans="1:15" x14ac:dyDescent="0.25">
      <c r="A345" s="21" t="s">
        <v>2150</v>
      </c>
      <c r="B345" s="21" t="s">
        <v>2151</v>
      </c>
      <c r="C345" s="21" t="s">
        <v>2152</v>
      </c>
      <c r="E345" s="21">
        <v>85337</v>
      </c>
      <c r="F345" s="21">
        <v>29651</v>
      </c>
      <c r="G345" s="21" t="s">
        <v>2153</v>
      </c>
      <c r="H345" s="21">
        <v>1</v>
      </c>
      <c r="I345" s="21">
        <v>1</v>
      </c>
      <c r="J345" s="21">
        <v>4</v>
      </c>
      <c r="K345" s="21">
        <v>2023</v>
      </c>
      <c r="L345" s="21" t="s">
        <v>372</v>
      </c>
      <c r="M345" s="21" t="s">
        <v>372</v>
      </c>
      <c r="N345" s="21" t="s">
        <v>373</v>
      </c>
      <c r="O345" s="21" t="s">
        <v>2154</v>
      </c>
    </row>
    <row r="346" spans="1:15" x14ac:dyDescent="0.25">
      <c r="A346" s="21" t="s">
        <v>2155</v>
      </c>
      <c r="B346" s="21" t="s">
        <v>2156</v>
      </c>
      <c r="C346" s="21" t="s">
        <v>2157</v>
      </c>
      <c r="E346" s="21">
        <v>2024</v>
      </c>
      <c r="F346" s="21">
        <v>2023</v>
      </c>
      <c r="G346" s="21">
        <v>68709</v>
      </c>
      <c r="H346" s="21">
        <v>2</v>
      </c>
      <c r="I346" s="21">
        <v>2</v>
      </c>
      <c r="J346" s="21">
        <v>4</v>
      </c>
      <c r="K346" s="21">
        <v>2023</v>
      </c>
      <c r="L346" s="21" t="s">
        <v>372</v>
      </c>
      <c r="M346" s="21" t="s">
        <v>372</v>
      </c>
      <c r="N346" s="21" t="s">
        <v>373</v>
      </c>
      <c r="O346" s="21" t="s">
        <v>2158</v>
      </c>
    </row>
    <row r="347" spans="1:15" x14ac:dyDescent="0.25">
      <c r="A347" s="21" t="s">
        <v>2159</v>
      </c>
      <c r="B347" s="21" t="s">
        <v>2160</v>
      </c>
      <c r="C347" s="21" t="s">
        <v>2161</v>
      </c>
      <c r="D347" s="21" t="s">
        <v>2162</v>
      </c>
      <c r="E347" s="21">
        <v>484596</v>
      </c>
      <c r="F347" s="21">
        <v>178885</v>
      </c>
      <c r="G347" s="21" t="s">
        <v>2163</v>
      </c>
      <c r="H347" s="21">
        <v>4</v>
      </c>
      <c r="I347" s="21">
        <v>2</v>
      </c>
      <c r="J347" s="21">
        <v>4</v>
      </c>
      <c r="K347" s="21">
        <v>2023</v>
      </c>
      <c r="L347" s="21" t="s">
        <v>373</v>
      </c>
      <c r="M347" s="21" t="s">
        <v>372</v>
      </c>
      <c r="N347" s="21" t="s">
        <v>373</v>
      </c>
      <c r="O347" s="21" t="s">
        <v>2164</v>
      </c>
    </row>
    <row r="348" spans="1:15" x14ac:dyDescent="0.25">
      <c r="A348" s="21" t="s">
        <v>2165</v>
      </c>
      <c r="B348" s="21" t="s">
        <v>2166</v>
      </c>
      <c r="C348" s="21" t="s">
        <v>2167</v>
      </c>
      <c r="D348" s="21" t="s">
        <v>2168</v>
      </c>
      <c r="E348" s="21">
        <v>1741</v>
      </c>
      <c r="F348" s="21">
        <v>8015</v>
      </c>
      <c r="G348" s="21" t="s">
        <v>2169</v>
      </c>
      <c r="H348" s="21">
        <v>4</v>
      </c>
      <c r="I348" s="21">
        <v>2</v>
      </c>
      <c r="J348" s="21">
        <v>4</v>
      </c>
      <c r="K348" s="21">
        <v>2023</v>
      </c>
      <c r="L348" s="21" t="s">
        <v>373</v>
      </c>
      <c r="M348" s="21" t="s">
        <v>372</v>
      </c>
      <c r="N348" s="21" t="s">
        <v>373</v>
      </c>
      <c r="O348" s="21" t="s">
        <v>2170</v>
      </c>
    </row>
    <row r="349" spans="1:15" x14ac:dyDescent="0.25">
      <c r="A349" s="21" t="s">
        <v>2171</v>
      </c>
      <c r="B349" s="21" t="s">
        <v>2172</v>
      </c>
      <c r="C349" s="21" t="s">
        <v>2173</v>
      </c>
      <c r="D349" s="21" t="s">
        <v>2174</v>
      </c>
      <c r="E349" s="21">
        <v>118461</v>
      </c>
      <c r="F349" s="21">
        <v>112204</v>
      </c>
      <c r="G349" s="21">
        <v>22459569</v>
      </c>
      <c r="H349" s="21">
        <v>1</v>
      </c>
      <c r="I349" s="21">
        <v>1</v>
      </c>
      <c r="J349" s="21">
        <v>4</v>
      </c>
      <c r="K349" s="21">
        <v>2023</v>
      </c>
      <c r="L349" s="21" t="s">
        <v>372</v>
      </c>
      <c r="M349" s="21" t="s">
        <v>372</v>
      </c>
      <c r="N349" s="21" t="s">
        <v>373</v>
      </c>
      <c r="O349" s="21" t="s">
        <v>2175</v>
      </c>
    </row>
    <row r="350" spans="1:15" x14ac:dyDescent="0.25">
      <c r="A350" s="21" t="s">
        <v>2176</v>
      </c>
      <c r="B350" s="21" t="s">
        <v>2177</v>
      </c>
      <c r="C350" s="21" t="s">
        <v>2178</v>
      </c>
      <c r="D350" s="21" t="s">
        <v>2179</v>
      </c>
      <c r="E350" s="21">
        <v>23000</v>
      </c>
      <c r="F350" s="21">
        <v>30864</v>
      </c>
      <c r="G350" s="21" t="s">
        <v>2180</v>
      </c>
      <c r="H350" s="21">
        <v>4</v>
      </c>
      <c r="I350" s="21">
        <v>2</v>
      </c>
      <c r="J350" s="21">
        <v>4</v>
      </c>
      <c r="K350" s="21">
        <v>2023</v>
      </c>
      <c r="L350" s="21" t="s">
        <v>373</v>
      </c>
      <c r="M350" s="21" t="s">
        <v>372</v>
      </c>
      <c r="N350" s="21" t="s">
        <v>373</v>
      </c>
      <c r="O350" s="21" t="s">
        <v>2181</v>
      </c>
    </row>
    <row r="351" spans="1:15" x14ac:dyDescent="0.25">
      <c r="A351" s="21" t="s">
        <v>2182</v>
      </c>
      <c r="B351" s="21" t="s">
        <v>2183</v>
      </c>
      <c r="C351" s="21" t="s">
        <v>2184</v>
      </c>
      <c r="D351" s="21" t="s">
        <v>2185</v>
      </c>
      <c r="E351" s="21">
        <v>11846</v>
      </c>
      <c r="F351" s="21">
        <v>44299</v>
      </c>
      <c r="G351" s="21" t="s">
        <v>2186</v>
      </c>
      <c r="H351" s="21">
        <v>4</v>
      </c>
      <c r="I351" s="21">
        <v>2</v>
      </c>
      <c r="J351" s="21">
        <v>4</v>
      </c>
      <c r="K351" s="21">
        <v>2023</v>
      </c>
      <c r="L351" s="21" t="s">
        <v>373</v>
      </c>
      <c r="M351" s="21" t="s">
        <v>372</v>
      </c>
      <c r="N351" s="21" t="s">
        <v>373</v>
      </c>
      <c r="O351" s="21" t="s">
        <v>2187</v>
      </c>
    </row>
    <row r="352" spans="1:15" x14ac:dyDescent="0.25">
      <c r="A352" s="21" t="s">
        <v>2188</v>
      </c>
      <c r="B352" s="21" t="s">
        <v>2189</v>
      </c>
      <c r="C352" s="21" t="s">
        <v>2190</v>
      </c>
      <c r="D352" s="21" t="s">
        <v>2191</v>
      </c>
      <c r="E352" s="21">
        <v>48814</v>
      </c>
      <c r="F352" s="21">
        <v>11302</v>
      </c>
      <c r="G352" s="21" t="s">
        <v>2192</v>
      </c>
      <c r="H352" s="21">
        <v>1</v>
      </c>
      <c r="I352" s="21">
        <v>1</v>
      </c>
      <c r="J352" s="21">
        <v>4</v>
      </c>
      <c r="K352" s="21">
        <v>2023</v>
      </c>
      <c r="L352" s="21" t="s">
        <v>372</v>
      </c>
      <c r="M352" s="21" t="s">
        <v>372</v>
      </c>
      <c r="N352" s="21" t="s">
        <v>373</v>
      </c>
      <c r="O352" s="21" t="s">
        <v>2193</v>
      </c>
    </row>
    <row r="353" spans="1:15" x14ac:dyDescent="0.25">
      <c r="A353" s="21" t="s">
        <v>2194</v>
      </c>
      <c r="B353" s="21" t="s">
        <v>2195</v>
      </c>
      <c r="C353" s="21" t="s">
        <v>2196</v>
      </c>
      <c r="D353" s="21" t="s">
        <v>2197</v>
      </c>
      <c r="E353" s="21">
        <v>1133655</v>
      </c>
      <c r="F353" s="21">
        <v>353431</v>
      </c>
      <c r="G353" s="21" t="s">
        <v>2198</v>
      </c>
      <c r="H353" s="21">
        <v>4</v>
      </c>
      <c r="I353" s="21">
        <v>2</v>
      </c>
      <c r="J353" s="21">
        <v>4</v>
      </c>
      <c r="K353" s="21">
        <v>2023</v>
      </c>
      <c r="L353" s="21" t="s">
        <v>373</v>
      </c>
      <c r="M353" s="21" t="s">
        <v>372</v>
      </c>
      <c r="N353" s="21" t="s">
        <v>373</v>
      </c>
      <c r="O353" s="21" t="s">
        <v>2199</v>
      </c>
    </row>
    <row r="354" spans="1:15" x14ac:dyDescent="0.25">
      <c r="A354" s="21" t="s">
        <v>2200</v>
      </c>
      <c r="B354" s="21" t="s">
        <v>2201</v>
      </c>
      <c r="C354" s="21" t="s">
        <v>2202</v>
      </c>
      <c r="D354" s="21" t="s">
        <v>2203</v>
      </c>
      <c r="E354" s="21">
        <v>1288052</v>
      </c>
      <c r="F354" s="21">
        <v>1912062</v>
      </c>
      <c r="G354" s="21" t="s">
        <v>2204</v>
      </c>
      <c r="H354" s="21">
        <v>1</v>
      </c>
      <c r="I354" s="21">
        <v>2</v>
      </c>
      <c r="J354" s="21">
        <v>4</v>
      </c>
      <c r="K354" s="21">
        <v>2023</v>
      </c>
      <c r="L354" s="21" t="s">
        <v>372</v>
      </c>
      <c r="M354" s="21" t="s">
        <v>372</v>
      </c>
      <c r="N354" s="21" t="s">
        <v>373</v>
      </c>
      <c r="O354" s="21" t="s">
        <v>2205</v>
      </c>
    </row>
    <row r="355" spans="1:15" x14ac:dyDescent="0.25">
      <c r="A355" s="21" t="s">
        <v>2206</v>
      </c>
      <c r="B355" s="21" t="s">
        <v>2207</v>
      </c>
      <c r="C355" s="21" t="s">
        <v>2208</v>
      </c>
      <c r="D355" s="21" t="s">
        <v>2209</v>
      </c>
      <c r="E355" s="21">
        <v>276658</v>
      </c>
      <c r="F355" s="21">
        <v>458659</v>
      </c>
      <c r="G355" s="21" t="s">
        <v>2210</v>
      </c>
      <c r="H355" s="21">
        <v>2</v>
      </c>
      <c r="I355" s="21">
        <v>2</v>
      </c>
      <c r="J355" s="21">
        <v>4</v>
      </c>
      <c r="K355" s="21">
        <v>2023</v>
      </c>
      <c r="L355" s="21" t="s">
        <v>372</v>
      </c>
      <c r="M355" s="21" t="s">
        <v>372</v>
      </c>
      <c r="N355" s="21" t="s">
        <v>373</v>
      </c>
      <c r="O355" s="21" t="s">
        <v>2211</v>
      </c>
    </row>
    <row r="356" spans="1:15" x14ac:dyDescent="0.25">
      <c r="A356" s="21" t="s">
        <v>2212</v>
      </c>
      <c r="B356" s="21" t="s">
        <v>2213</v>
      </c>
      <c r="C356" s="21" t="s">
        <v>2214</v>
      </c>
      <c r="D356" s="21" t="s">
        <v>2215</v>
      </c>
      <c r="E356" s="21">
        <v>71029</v>
      </c>
      <c r="F356" s="21">
        <v>292169</v>
      </c>
      <c r="G356" s="21">
        <v>457257</v>
      </c>
      <c r="H356" s="21">
        <v>1</v>
      </c>
      <c r="I356" s="21">
        <v>1</v>
      </c>
      <c r="J356" s="21">
        <v>4</v>
      </c>
      <c r="K356" s="21">
        <v>2023</v>
      </c>
      <c r="L356" s="21" t="s">
        <v>372</v>
      </c>
      <c r="M356" s="21" t="s">
        <v>372</v>
      </c>
      <c r="N356" s="21" t="s">
        <v>373</v>
      </c>
      <c r="O356" s="21" t="s">
        <v>2216</v>
      </c>
    </row>
    <row r="357" spans="1:15" x14ac:dyDescent="0.25">
      <c r="A357" s="21" t="s">
        <v>2217</v>
      </c>
      <c r="B357" s="21" t="s">
        <v>2218</v>
      </c>
      <c r="C357" s="21" t="s">
        <v>2219</v>
      </c>
      <c r="D357" s="21" t="s">
        <v>2220</v>
      </c>
      <c r="E357" s="21">
        <v>4971831</v>
      </c>
      <c r="F357" s="21">
        <v>1993793</v>
      </c>
      <c r="G357" s="21" t="s">
        <v>2221</v>
      </c>
      <c r="H357" s="21">
        <v>1</v>
      </c>
      <c r="I357" s="21">
        <v>1</v>
      </c>
      <c r="J357" s="21">
        <v>4</v>
      </c>
      <c r="K357" s="21">
        <v>2023</v>
      </c>
      <c r="L357" s="21" t="s">
        <v>372</v>
      </c>
      <c r="M357" s="21" t="s">
        <v>372</v>
      </c>
      <c r="N357" s="21" t="s">
        <v>373</v>
      </c>
      <c r="O357" s="21" t="s">
        <v>2222</v>
      </c>
    </row>
    <row r="358" spans="1:15" x14ac:dyDescent="0.25">
      <c r="A358" s="21" t="s">
        <v>2223</v>
      </c>
      <c r="B358" s="21" t="s">
        <v>2224</v>
      </c>
      <c r="C358" s="21" t="s">
        <v>2225</v>
      </c>
      <c r="D358" s="21" t="s">
        <v>2226</v>
      </c>
      <c r="E358" s="21">
        <v>581864</v>
      </c>
      <c r="F358" s="21">
        <v>1154334</v>
      </c>
      <c r="G358" s="21" t="s">
        <v>2227</v>
      </c>
      <c r="H358" s="21">
        <v>1</v>
      </c>
      <c r="I358" s="21">
        <v>1</v>
      </c>
      <c r="J358" s="21">
        <v>4</v>
      </c>
      <c r="K358" s="21">
        <v>2023</v>
      </c>
      <c r="L358" s="21" t="s">
        <v>372</v>
      </c>
      <c r="M358" s="21" t="s">
        <v>372</v>
      </c>
      <c r="N358" s="21" t="s">
        <v>373</v>
      </c>
      <c r="O358" s="21" t="s">
        <v>2228</v>
      </c>
    </row>
    <row r="359" spans="1:15" x14ac:dyDescent="0.25">
      <c r="A359" s="21" t="s">
        <v>166</v>
      </c>
      <c r="B359" s="21" t="s">
        <v>2229</v>
      </c>
      <c r="C359" s="21" t="s">
        <v>2230</v>
      </c>
      <c r="E359" s="21" t="s">
        <v>2231</v>
      </c>
      <c r="F359" s="21" t="s">
        <v>2232</v>
      </c>
      <c r="G359" s="21" t="s">
        <v>2233</v>
      </c>
      <c r="H359" s="21">
        <v>2</v>
      </c>
      <c r="I359" s="21">
        <v>2</v>
      </c>
      <c r="J359" s="21">
        <v>4</v>
      </c>
      <c r="K359" s="21">
        <v>2023</v>
      </c>
      <c r="L359" s="21" t="s">
        <v>372</v>
      </c>
      <c r="M359" s="21" t="s">
        <v>372</v>
      </c>
      <c r="N359" s="21" t="s">
        <v>373</v>
      </c>
      <c r="O359" s="21" t="s">
        <v>261</v>
      </c>
    </row>
    <row r="360" spans="1:15" x14ac:dyDescent="0.25">
      <c r="A360" s="21" t="s">
        <v>2234</v>
      </c>
      <c r="B360" s="21" t="s">
        <v>2235</v>
      </c>
      <c r="E360" s="21" t="s">
        <v>2236</v>
      </c>
      <c r="F360" s="21" t="s">
        <v>2237</v>
      </c>
      <c r="G360" s="21">
        <v>1854</v>
      </c>
      <c r="H360" s="21">
        <v>1</v>
      </c>
      <c r="I360" s="21">
        <v>1</v>
      </c>
      <c r="J360" s="21">
        <v>1</v>
      </c>
      <c r="K360" s="21">
        <v>2023</v>
      </c>
      <c r="L360" s="21" t="s">
        <v>372</v>
      </c>
      <c r="M360" s="21" t="s">
        <v>372</v>
      </c>
      <c r="N360" s="21" t="s">
        <v>372</v>
      </c>
      <c r="O360" s="21" t="s">
        <v>2238</v>
      </c>
    </row>
    <row r="361" spans="1:15" x14ac:dyDescent="0.25">
      <c r="A361" s="21" t="s">
        <v>109</v>
      </c>
      <c r="B361" s="21" t="s">
        <v>2239</v>
      </c>
      <c r="C361" s="21" t="s">
        <v>2240</v>
      </c>
      <c r="D361" s="21" t="s">
        <v>2241</v>
      </c>
      <c r="E361" s="21">
        <v>107546</v>
      </c>
      <c r="F361" s="21">
        <v>175272</v>
      </c>
      <c r="G361" s="21" t="s">
        <v>2242</v>
      </c>
      <c r="H361" s="21">
        <v>1</v>
      </c>
      <c r="I361" s="21">
        <v>1</v>
      </c>
      <c r="J361" s="21">
        <v>4</v>
      </c>
      <c r="K361" s="21">
        <v>2023</v>
      </c>
      <c r="L361" s="21" t="s">
        <v>372</v>
      </c>
      <c r="M361" s="21" t="s">
        <v>372</v>
      </c>
      <c r="N361" s="21" t="s">
        <v>373</v>
      </c>
      <c r="O361" s="21">
        <v>56459</v>
      </c>
    </row>
    <row r="362" spans="1:15" x14ac:dyDescent="0.25">
      <c r="A362" s="21" t="s">
        <v>2243</v>
      </c>
      <c r="B362" s="21" t="s">
        <v>2244</v>
      </c>
      <c r="C362" s="21" t="s">
        <v>2245</v>
      </c>
      <c r="D362" s="21" t="s">
        <v>2246</v>
      </c>
      <c r="E362" s="21">
        <v>4414</v>
      </c>
      <c r="F362" s="21">
        <v>26846</v>
      </c>
      <c r="G362" s="21" t="s">
        <v>2247</v>
      </c>
      <c r="H362" s="21">
        <v>1</v>
      </c>
      <c r="I362" s="21">
        <v>1</v>
      </c>
      <c r="J362" s="21">
        <v>4</v>
      </c>
      <c r="K362" s="21">
        <v>2023</v>
      </c>
      <c r="L362" s="21" t="s">
        <v>372</v>
      </c>
      <c r="M362" s="21" t="s">
        <v>372</v>
      </c>
      <c r="N362" s="21" t="s">
        <v>373</v>
      </c>
      <c r="O362" s="21" t="s">
        <v>2248</v>
      </c>
    </row>
    <row r="363" spans="1:15" x14ac:dyDescent="0.25">
      <c r="A363" s="21" t="s">
        <v>102</v>
      </c>
      <c r="B363" s="21" t="s">
        <v>2249</v>
      </c>
      <c r="C363" s="21" t="s">
        <v>2250</v>
      </c>
      <c r="D363" s="21" t="s">
        <v>2251</v>
      </c>
      <c r="E363" s="21">
        <v>359803</v>
      </c>
      <c r="F363" s="21" t="s">
        <v>2252</v>
      </c>
      <c r="G363" s="21" t="s">
        <v>2253</v>
      </c>
      <c r="H363" s="21">
        <v>4</v>
      </c>
      <c r="I363" s="21">
        <v>4</v>
      </c>
      <c r="J363" s="21">
        <v>4</v>
      </c>
      <c r="K363" s="21">
        <v>2023</v>
      </c>
      <c r="L363" s="21" t="s">
        <v>373</v>
      </c>
      <c r="M363" s="21" t="s">
        <v>373</v>
      </c>
      <c r="N363" s="21" t="s">
        <v>373</v>
      </c>
      <c r="O363" s="21" t="s">
        <v>223</v>
      </c>
    </row>
    <row r="364" spans="1:15" x14ac:dyDescent="0.25">
      <c r="A364" s="21" t="s">
        <v>2254</v>
      </c>
      <c r="B364" s="21" t="s">
        <v>2255</v>
      </c>
      <c r="C364" s="21" t="s">
        <v>2256</v>
      </c>
      <c r="D364" s="21" t="s">
        <v>2257</v>
      </c>
      <c r="E364" s="21">
        <v>54933</v>
      </c>
      <c r="F364" s="21">
        <v>136560</v>
      </c>
      <c r="G364" s="21" t="s">
        <v>2258</v>
      </c>
      <c r="H364" s="21">
        <v>1</v>
      </c>
      <c r="I364" s="21">
        <v>1</v>
      </c>
      <c r="J364" s="21">
        <v>4</v>
      </c>
      <c r="K364" s="21">
        <v>2023</v>
      </c>
      <c r="L364" s="21" t="s">
        <v>372</v>
      </c>
      <c r="M364" s="21" t="s">
        <v>372</v>
      </c>
      <c r="N364" s="21" t="s">
        <v>373</v>
      </c>
      <c r="O364" s="21" t="s">
        <v>2259</v>
      </c>
    </row>
    <row r="365" spans="1:15" x14ac:dyDescent="0.25">
      <c r="A365" s="21" t="s">
        <v>2260</v>
      </c>
      <c r="B365" s="21" t="s">
        <v>2261</v>
      </c>
      <c r="C365" s="21" t="s">
        <v>2262</v>
      </c>
      <c r="D365" s="21" t="s">
        <v>2263</v>
      </c>
      <c r="E365" s="21">
        <v>15195</v>
      </c>
      <c r="F365" s="21">
        <v>8095</v>
      </c>
      <c r="G365" s="21" t="s">
        <v>2264</v>
      </c>
      <c r="H365" s="21">
        <v>2</v>
      </c>
      <c r="I365" s="21">
        <v>2</v>
      </c>
      <c r="J365" s="21">
        <v>4</v>
      </c>
      <c r="K365" s="21">
        <v>2023</v>
      </c>
      <c r="L365" s="21" t="s">
        <v>372</v>
      </c>
      <c r="M365" s="21" t="s">
        <v>372</v>
      </c>
      <c r="N365" s="21" t="s">
        <v>373</v>
      </c>
      <c r="O365" s="21" t="s">
        <v>2265</v>
      </c>
    </row>
    <row r="366" spans="1:15" x14ac:dyDescent="0.25">
      <c r="A366" s="21" t="s">
        <v>2266</v>
      </c>
      <c r="B366" s="21" t="s">
        <v>2267</v>
      </c>
      <c r="C366" s="21" t="s">
        <v>2268</v>
      </c>
      <c r="D366" s="21" t="s">
        <v>2269</v>
      </c>
      <c r="E366" s="21">
        <v>3320350</v>
      </c>
      <c r="F366" s="21">
        <v>406684</v>
      </c>
      <c r="G366" s="21" t="s">
        <v>2270</v>
      </c>
      <c r="H366" s="21">
        <v>1</v>
      </c>
      <c r="I366" s="21">
        <v>1</v>
      </c>
      <c r="J366" s="21">
        <v>4</v>
      </c>
      <c r="K366" s="21">
        <v>2023</v>
      </c>
      <c r="L366" s="21" t="s">
        <v>372</v>
      </c>
      <c r="M366" s="21" t="s">
        <v>372</v>
      </c>
      <c r="N366" s="21" t="s">
        <v>373</v>
      </c>
      <c r="O366" s="21" t="s">
        <v>2271</v>
      </c>
    </row>
    <row r="367" spans="1:15" x14ac:dyDescent="0.25">
      <c r="A367" s="21" t="s">
        <v>2272</v>
      </c>
      <c r="B367" s="21" t="s">
        <v>2273</v>
      </c>
      <c r="C367" s="21" t="s">
        <v>2274</v>
      </c>
      <c r="D367" s="21" t="s">
        <v>2275</v>
      </c>
      <c r="E367" s="21">
        <v>6357</v>
      </c>
      <c r="F367" s="21">
        <v>15958</v>
      </c>
      <c r="G367" s="21" t="s">
        <v>2276</v>
      </c>
      <c r="H367" s="21">
        <v>4</v>
      </c>
      <c r="I367" s="21">
        <v>2</v>
      </c>
      <c r="J367" s="21">
        <v>4</v>
      </c>
      <c r="K367" s="21">
        <v>2023</v>
      </c>
      <c r="L367" s="21" t="s">
        <v>373</v>
      </c>
      <c r="M367" s="21" t="s">
        <v>372</v>
      </c>
      <c r="N367" s="21" t="s">
        <v>373</v>
      </c>
      <c r="O367" s="21" t="s">
        <v>2277</v>
      </c>
    </row>
    <row r="368" spans="1:15" x14ac:dyDescent="0.25">
      <c r="A368" s="21" t="s">
        <v>2278</v>
      </c>
      <c r="B368" s="21" t="s">
        <v>2279</v>
      </c>
      <c r="C368" s="21" t="s">
        <v>2280</v>
      </c>
      <c r="D368" s="21" t="s">
        <v>2281</v>
      </c>
      <c r="E368" s="21">
        <v>20368</v>
      </c>
      <c r="F368" s="21">
        <v>43895</v>
      </c>
      <c r="G368" s="21" t="s">
        <v>2282</v>
      </c>
      <c r="H368" s="21">
        <v>1</v>
      </c>
      <c r="I368" s="21">
        <v>1</v>
      </c>
      <c r="J368" s="21">
        <v>4</v>
      </c>
      <c r="K368" s="21">
        <v>2023</v>
      </c>
      <c r="L368" s="21" t="s">
        <v>372</v>
      </c>
      <c r="M368" s="21" t="s">
        <v>372</v>
      </c>
      <c r="N368" s="21" t="s">
        <v>373</v>
      </c>
      <c r="O368" s="21" t="s">
        <v>2283</v>
      </c>
    </row>
    <row r="369" spans="1:15" x14ac:dyDescent="0.25">
      <c r="A369" s="21" t="s">
        <v>2284</v>
      </c>
      <c r="B369" s="21" t="s">
        <v>2285</v>
      </c>
      <c r="C369" s="21" t="s">
        <v>2286</v>
      </c>
      <c r="D369" s="21" t="s">
        <v>2287</v>
      </c>
      <c r="E369" s="21">
        <v>13643000</v>
      </c>
      <c r="F369" s="21">
        <v>9000</v>
      </c>
      <c r="G369" s="21" t="s">
        <v>2288</v>
      </c>
      <c r="H369" s="21">
        <v>1</v>
      </c>
      <c r="I369" s="21">
        <v>2</v>
      </c>
      <c r="J369" s="21">
        <v>4</v>
      </c>
      <c r="K369" s="21">
        <v>2023</v>
      </c>
      <c r="L369" s="21" t="s">
        <v>372</v>
      </c>
      <c r="M369" s="21" t="s">
        <v>372</v>
      </c>
      <c r="N369" s="21" t="s">
        <v>373</v>
      </c>
      <c r="O369" s="21" t="s">
        <v>2289</v>
      </c>
    </row>
    <row r="370" spans="1:15" x14ac:dyDescent="0.25">
      <c r="A370" s="21" t="s">
        <v>2290</v>
      </c>
      <c r="B370" s="21" t="s">
        <v>2291</v>
      </c>
      <c r="C370" s="21" t="s">
        <v>2292</v>
      </c>
      <c r="D370" s="21" t="s">
        <v>2293</v>
      </c>
      <c r="E370" s="21">
        <v>52564</v>
      </c>
      <c r="F370" s="21">
        <v>197334</v>
      </c>
      <c r="G370" s="21" t="s">
        <v>2294</v>
      </c>
      <c r="H370" s="21">
        <v>1</v>
      </c>
      <c r="I370" s="21">
        <v>1</v>
      </c>
      <c r="J370" s="21">
        <v>4</v>
      </c>
      <c r="K370" s="21">
        <v>2023</v>
      </c>
      <c r="L370" s="21" t="s">
        <v>372</v>
      </c>
      <c r="M370" s="21" t="s">
        <v>372</v>
      </c>
      <c r="N370" s="21" t="s">
        <v>373</v>
      </c>
      <c r="O370" s="21" t="s">
        <v>2295</v>
      </c>
    </row>
    <row r="371" spans="1:15" x14ac:dyDescent="0.25">
      <c r="A371" s="21" t="s">
        <v>112</v>
      </c>
      <c r="B371" s="21" t="s">
        <v>2296</v>
      </c>
      <c r="C371" s="21" t="s">
        <v>2297</v>
      </c>
      <c r="D371" s="21" t="s">
        <v>2298</v>
      </c>
      <c r="E371" s="21">
        <v>1075317</v>
      </c>
      <c r="F371" s="21">
        <v>828395</v>
      </c>
      <c r="G371" s="21" t="s">
        <v>2299</v>
      </c>
      <c r="H371" s="21">
        <v>1</v>
      </c>
      <c r="I371" s="21">
        <v>1</v>
      </c>
      <c r="J371" s="21">
        <v>4</v>
      </c>
      <c r="K371" s="21">
        <v>2023</v>
      </c>
      <c r="L371" s="21" t="s">
        <v>372</v>
      </c>
      <c r="M371" s="21" t="s">
        <v>372</v>
      </c>
      <c r="N371" s="21" t="s">
        <v>373</v>
      </c>
      <c r="O371" s="21">
        <v>39451</v>
      </c>
    </row>
    <row r="372" spans="1:15" x14ac:dyDescent="0.25">
      <c r="A372" s="21" t="s">
        <v>2300</v>
      </c>
      <c r="B372" s="21" t="s">
        <v>2301</v>
      </c>
      <c r="C372" s="21" t="s">
        <v>2302</v>
      </c>
      <c r="D372" s="21" t="s">
        <v>2303</v>
      </c>
      <c r="E372" s="21" t="s">
        <v>2304</v>
      </c>
      <c r="F372" s="21" t="s">
        <v>2305</v>
      </c>
      <c r="G372" s="21" t="s">
        <v>2306</v>
      </c>
      <c r="H372" s="21">
        <v>4</v>
      </c>
      <c r="I372" s="21">
        <v>4</v>
      </c>
      <c r="J372" s="21">
        <v>4</v>
      </c>
      <c r="K372" s="21">
        <v>2023</v>
      </c>
      <c r="L372" s="21" t="s">
        <v>373</v>
      </c>
      <c r="M372" s="21" t="s">
        <v>373</v>
      </c>
      <c r="N372" s="21" t="s">
        <v>373</v>
      </c>
      <c r="O372" s="21" t="s">
        <v>2307</v>
      </c>
    </row>
    <row r="373" spans="1:15" x14ac:dyDescent="0.25">
      <c r="A373" s="21" t="s">
        <v>134</v>
      </c>
      <c r="B373" s="21" t="s">
        <v>2308</v>
      </c>
      <c r="C373" s="21" t="s">
        <v>2309</v>
      </c>
      <c r="D373" s="21" t="s">
        <v>2310</v>
      </c>
      <c r="E373" s="21">
        <v>284000</v>
      </c>
      <c r="F373" s="21">
        <v>302000</v>
      </c>
      <c r="G373" s="21" t="s">
        <v>2311</v>
      </c>
      <c r="H373" s="21">
        <v>1</v>
      </c>
      <c r="I373" s="21">
        <v>1</v>
      </c>
      <c r="J373" s="21">
        <v>4</v>
      </c>
      <c r="K373" s="21">
        <v>2023</v>
      </c>
      <c r="L373" s="21" t="s">
        <v>372</v>
      </c>
      <c r="M373" s="21" t="s">
        <v>372</v>
      </c>
      <c r="N373" s="21" t="s">
        <v>373</v>
      </c>
      <c r="O373" s="21">
        <v>26111</v>
      </c>
    </row>
    <row r="374" spans="1:15" x14ac:dyDescent="0.25">
      <c r="A374" s="21" t="s">
        <v>2312</v>
      </c>
      <c r="B374" s="21" t="s">
        <v>2313</v>
      </c>
      <c r="C374" s="21" t="s">
        <v>2314</v>
      </c>
      <c r="D374" s="21" t="s">
        <v>2315</v>
      </c>
      <c r="E374" s="21">
        <v>936590</v>
      </c>
      <c r="F374" s="21">
        <v>141627</v>
      </c>
      <c r="G374" s="21" t="s">
        <v>2316</v>
      </c>
      <c r="H374" s="21">
        <v>1</v>
      </c>
      <c r="I374" s="21">
        <v>1</v>
      </c>
      <c r="J374" s="21">
        <v>4</v>
      </c>
      <c r="K374" s="21">
        <v>2023</v>
      </c>
      <c r="L374" s="21" t="s">
        <v>372</v>
      </c>
      <c r="M374" s="21" t="s">
        <v>372</v>
      </c>
      <c r="N374" s="21" t="s">
        <v>373</v>
      </c>
      <c r="O374" s="21" t="s">
        <v>2317</v>
      </c>
    </row>
    <row r="375" spans="1:15" x14ac:dyDescent="0.25">
      <c r="A375" s="21" t="s">
        <v>2318</v>
      </c>
      <c r="B375" s="21" t="s">
        <v>2319</v>
      </c>
      <c r="C375" s="21" t="s">
        <v>2320</v>
      </c>
      <c r="D375" s="21" t="s">
        <v>2321</v>
      </c>
      <c r="E375" s="21">
        <v>19866</v>
      </c>
      <c r="F375" s="21">
        <v>37342</v>
      </c>
      <c r="G375" s="21">
        <v>593670</v>
      </c>
      <c r="H375" s="21">
        <v>1</v>
      </c>
      <c r="I375" s="21">
        <v>1</v>
      </c>
      <c r="J375" s="21">
        <v>1</v>
      </c>
      <c r="K375" s="21">
        <v>2023</v>
      </c>
      <c r="L375" s="21" t="s">
        <v>372</v>
      </c>
      <c r="M375" s="21" t="s">
        <v>372</v>
      </c>
      <c r="N375" s="21" t="s">
        <v>372</v>
      </c>
      <c r="O375" s="21">
        <v>19508</v>
      </c>
    </row>
    <row r="376" spans="1:15" x14ac:dyDescent="0.25">
      <c r="A376" s="21" t="s">
        <v>190</v>
      </c>
      <c r="B376" s="21" t="s">
        <v>2322</v>
      </c>
      <c r="C376" s="21" t="s">
        <v>2323</v>
      </c>
      <c r="D376" s="21" t="s">
        <v>2324</v>
      </c>
      <c r="E376" s="21">
        <v>33362</v>
      </c>
      <c r="F376" s="21">
        <v>272054</v>
      </c>
      <c r="G376" s="21">
        <v>9726612</v>
      </c>
      <c r="H376" s="21">
        <v>1</v>
      </c>
      <c r="I376" s="21">
        <v>1</v>
      </c>
      <c r="J376" s="21">
        <v>4</v>
      </c>
      <c r="K376" s="21">
        <v>2023</v>
      </c>
      <c r="L376" s="21" t="s">
        <v>372</v>
      </c>
      <c r="M376" s="21" t="s">
        <v>372</v>
      </c>
      <c r="N376" s="21" t="s">
        <v>373</v>
      </c>
      <c r="O376" s="21" t="s">
        <v>276</v>
      </c>
    </row>
    <row r="377" spans="1:15" x14ac:dyDescent="0.25">
      <c r="A377" s="21" t="s">
        <v>77</v>
      </c>
      <c r="B377" s="21" t="s">
        <v>2325</v>
      </c>
      <c r="D377" s="21" t="s">
        <v>2326</v>
      </c>
      <c r="E377" s="21">
        <v>486059</v>
      </c>
      <c r="F377" s="21">
        <v>1107707</v>
      </c>
      <c r="G377" s="21" t="s">
        <v>2327</v>
      </c>
      <c r="H377" s="21">
        <v>1</v>
      </c>
      <c r="I377" s="21">
        <v>1</v>
      </c>
      <c r="J377" s="21">
        <v>4</v>
      </c>
      <c r="K377" s="21">
        <v>2023</v>
      </c>
      <c r="L377" s="21" t="s">
        <v>372</v>
      </c>
      <c r="M377" s="21" t="s">
        <v>372</v>
      </c>
      <c r="N377" s="21" t="s">
        <v>373</v>
      </c>
      <c r="O377" s="21" t="s">
        <v>209</v>
      </c>
    </row>
    <row r="378" spans="1:15" x14ac:dyDescent="0.25">
      <c r="A378" s="21" t="s">
        <v>2328</v>
      </c>
      <c r="B378" s="21" t="s">
        <v>2329</v>
      </c>
      <c r="C378" s="21" t="s">
        <v>2330</v>
      </c>
      <c r="D378" s="21" t="s">
        <v>2331</v>
      </c>
      <c r="E378" s="21">
        <v>45374</v>
      </c>
      <c r="F378" s="21">
        <v>68116</v>
      </c>
      <c r="G378" s="21" t="s">
        <v>2332</v>
      </c>
      <c r="H378" s="21">
        <v>1</v>
      </c>
      <c r="I378" s="21">
        <v>1</v>
      </c>
      <c r="J378" s="21">
        <v>4</v>
      </c>
      <c r="K378" s="21">
        <v>2023</v>
      </c>
      <c r="L378" s="21" t="s">
        <v>372</v>
      </c>
      <c r="M378" s="21" t="s">
        <v>372</v>
      </c>
      <c r="N378" s="21" t="s">
        <v>373</v>
      </c>
      <c r="O378" s="21" t="s">
        <v>2333</v>
      </c>
    </row>
    <row r="379" spans="1:15" x14ac:dyDescent="0.25">
      <c r="A379" s="21" t="s">
        <v>2334</v>
      </c>
      <c r="B379" s="21" t="s">
        <v>2335</v>
      </c>
      <c r="C379" s="21" t="s">
        <v>2336</v>
      </c>
      <c r="D379" s="21" t="s">
        <v>2337</v>
      </c>
      <c r="E379" s="21">
        <v>78216665</v>
      </c>
      <c r="F379" s="21">
        <v>4859798</v>
      </c>
      <c r="G379" s="21" t="s">
        <v>2338</v>
      </c>
      <c r="H379" s="21">
        <v>1</v>
      </c>
      <c r="I379" s="21">
        <v>1</v>
      </c>
      <c r="J379" s="21">
        <v>1</v>
      </c>
      <c r="K379" s="21">
        <v>2023</v>
      </c>
      <c r="L379" s="21" t="s">
        <v>372</v>
      </c>
      <c r="M379" s="21" t="s">
        <v>372</v>
      </c>
      <c r="N379" s="21" t="s">
        <v>372</v>
      </c>
      <c r="O379" s="21" t="s">
        <v>2339</v>
      </c>
    </row>
    <row r="380" spans="1:15" x14ac:dyDescent="0.25">
      <c r="A380" s="21" t="s">
        <v>2340</v>
      </c>
      <c r="B380" s="21" t="s">
        <v>2341</v>
      </c>
      <c r="C380" s="21" t="s">
        <v>2342</v>
      </c>
      <c r="D380" s="21" t="s">
        <v>2343</v>
      </c>
      <c r="E380" s="21">
        <v>222295</v>
      </c>
      <c r="F380" s="21">
        <v>6211576</v>
      </c>
      <c r="G380" s="21" t="s">
        <v>2344</v>
      </c>
      <c r="H380" s="21">
        <v>1</v>
      </c>
      <c r="I380" s="21">
        <v>1</v>
      </c>
      <c r="J380" s="21">
        <v>4</v>
      </c>
      <c r="K380" s="21">
        <v>2023</v>
      </c>
      <c r="L380" s="21" t="s">
        <v>372</v>
      </c>
      <c r="M380" s="21" t="s">
        <v>372</v>
      </c>
      <c r="N380" s="21" t="s">
        <v>373</v>
      </c>
      <c r="O380" s="21" t="s">
        <v>2345</v>
      </c>
    </row>
    <row r="381" spans="1:15" x14ac:dyDescent="0.25">
      <c r="A381" s="21" t="s">
        <v>2346</v>
      </c>
      <c r="B381" s="21" t="s">
        <v>2347</v>
      </c>
      <c r="C381" s="21" t="s">
        <v>2348</v>
      </c>
      <c r="D381" s="21" t="s">
        <v>2349</v>
      </c>
      <c r="E381" s="21">
        <v>1059105</v>
      </c>
      <c r="F381" s="21">
        <v>697090</v>
      </c>
      <c r="G381" s="21" t="s">
        <v>2350</v>
      </c>
      <c r="H381" s="21">
        <v>1</v>
      </c>
      <c r="I381" s="21">
        <v>1</v>
      </c>
      <c r="J381" s="21">
        <v>4</v>
      </c>
      <c r="K381" s="21">
        <v>2023</v>
      </c>
      <c r="L381" s="21" t="s">
        <v>372</v>
      </c>
      <c r="M381" s="21" t="s">
        <v>372</v>
      </c>
      <c r="N381" s="21" t="s">
        <v>373</v>
      </c>
      <c r="O381" s="21" t="s">
        <v>2351</v>
      </c>
    </row>
    <row r="382" spans="1:15" x14ac:dyDescent="0.25">
      <c r="A382" s="21" t="s">
        <v>2352</v>
      </c>
      <c r="B382" s="21" t="s">
        <v>2353</v>
      </c>
      <c r="C382" s="21" t="s">
        <v>2354</v>
      </c>
      <c r="D382" s="21" t="s">
        <v>2355</v>
      </c>
      <c r="E382" s="21">
        <v>14836</v>
      </c>
      <c r="F382" s="21">
        <v>16919</v>
      </c>
      <c r="G382" s="21" t="s">
        <v>2356</v>
      </c>
      <c r="H382" s="21">
        <v>4</v>
      </c>
      <c r="I382" s="21">
        <v>2</v>
      </c>
      <c r="J382" s="21">
        <v>4</v>
      </c>
      <c r="K382" s="21">
        <v>2023</v>
      </c>
      <c r="L382" s="21" t="s">
        <v>373</v>
      </c>
      <c r="M382" s="21" t="s">
        <v>372</v>
      </c>
      <c r="N382" s="21" t="s">
        <v>373</v>
      </c>
      <c r="O382" s="21" t="s">
        <v>2357</v>
      </c>
    </row>
    <row r="383" spans="1:15" x14ac:dyDescent="0.25">
      <c r="A383" s="21" t="s">
        <v>116</v>
      </c>
      <c r="B383" s="21" t="s">
        <v>2358</v>
      </c>
      <c r="C383" s="21" t="s">
        <v>2359</v>
      </c>
      <c r="D383" s="21" t="s">
        <v>2360</v>
      </c>
      <c r="E383" s="21">
        <v>46800</v>
      </c>
      <c r="F383" s="21">
        <v>196300</v>
      </c>
      <c r="G383" s="21">
        <v>27084916</v>
      </c>
      <c r="H383" s="21">
        <v>1</v>
      </c>
      <c r="I383" s="21">
        <v>1</v>
      </c>
      <c r="J383" s="21">
        <v>4</v>
      </c>
      <c r="K383" s="21">
        <v>2023</v>
      </c>
      <c r="L383" s="21" t="s">
        <v>372</v>
      </c>
      <c r="M383" s="21" t="s">
        <v>372</v>
      </c>
      <c r="N383" s="21" t="s">
        <v>373</v>
      </c>
      <c r="O383" s="21" t="s">
        <v>230</v>
      </c>
    </row>
    <row r="384" spans="1:15" x14ac:dyDescent="0.25">
      <c r="A384" s="21" t="s">
        <v>2361</v>
      </c>
      <c r="B384" s="21" t="s">
        <v>2362</v>
      </c>
      <c r="D384" s="21" t="s">
        <v>2363</v>
      </c>
      <c r="E384" s="21">
        <v>73907</v>
      </c>
      <c r="F384" s="21">
        <v>4018860</v>
      </c>
      <c r="G384" s="21">
        <v>71921919</v>
      </c>
      <c r="H384" s="21">
        <v>1</v>
      </c>
      <c r="I384" s="21">
        <v>1</v>
      </c>
      <c r="J384" s="21">
        <v>4</v>
      </c>
      <c r="K384" s="21">
        <v>2023</v>
      </c>
      <c r="L384" s="21" t="s">
        <v>372</v>
      </c>
      <c r="M384" s="21" t="s">
        <v>372</v>
      </c>
      <c r="N384" s="21" t="s">
        <v>373</v>
      </c>
      <c r="O384" s="21" t="s">
        <v>2364</v>
      </c>
    </row>
    <row r="385" spans="1:15" x14ac:dyDescent="0.25">
      <c r="A385" s="21" t="s">
        <v>2365</v>
      </c>
      <c r="B385" s="21" t="s">
        <v>2366</v>
      </c>
      <c r="C385" s="21" t="s">
        <v>2367</v>
      </c>
      <c r="D385" s="21" t="s">
        <v>2368</v>
      </c>
      <c r="E385" s="21">
        <v>409798</v>
      </c>
      <c r="F385" s="21">
        <v>1623401</v>
      </c>
      <c r="G385" s="21" t="s">
        <v>2369</v>
      </c>
      <c r="H385" s="21">
        <v>2</v>
      </c>
      <c r="I385" s="21">
        <v>2</v>
      </c>
      <c r="J385" s="21">
        <v>4</v>
      </c>
      <c r="K385" s="21">
        <v>2023</v>
      </c>
      <c r="L385" s="21" t="s">
        <v>372</v>
      </c>
      <c r="M385" s="21" t="s">
        <v>372</v>
      </c>
      <c r="N385" s="21" t="s">
        <v>373</v>
      </c>
      <c r="O385" s="21" t="s">
        <v>2370</v>
      </c>
    </row>
    <row r="386" spans="1:15" x14ac:dyDescent="0.25">
      <c r="A386" s="21" t="s">
        <v>2371</v>
      </c>
      <c r="B386" s="21" t="s">
        <v>2372</v>
      </c>
      <c r="E386" s="21">
        <v>33035</v>
      </c>
      <c r="F386" s="21">
        <v>3420</v>
      </c>
      <c r="G386" s="21" t="s">
        <v>2373</v>
      </c>
      <c r="H386" s="21">
        <v>1</v>
      </c>
      <c r="I386" s="21">
        <v>1</v>
      </c>
      <c r="J386" s="21">
        <v>4</v>
      </c>
      <c r="K386" s="21">
        <v>2023</v>
      </c>
      <c r="L386" s="21" t="s">
        <v>372</v>
      </c>
      <c r="M386" s="21" t="s">
        <v>372</v>
      </c>
      <c r="N386" s="21" t="s">
        <v>373</v>
      </c>
      <c r="O386" s="21" t="s">
        <v>2374</v>
      </c>
    </row>
    <row r="387" spans="1:15" x14ac:dyDescent="0.25">
      <c r="A387" s="21" t="s">
        <v>2375</v>
      </c>
      <c r="B387" s="21" t="s">
        <v>2376</v>
      </c>
      <c r="E387" s="21">
        <v>309762</v>
      </c>
      <c r="F387" s="21">
        <v>75074</v>
      </c>
      <c r="G387" s="21">
        <v>6736349</v>
      </c>
      <c r="H387" s="21">
        <v>1</v>
      </c>
      <c r="I387" s="21">
        <v>1</v>
      </c>
      <c r="J387" s="21">
        <v>4</v>
      </c>
      <c r="K387" s="21">
        <v>2023</v>
      </c>
      <c r="L387" s="21" t="s">
        <v>372</v>
      </c>
      <c r="M387" s="21" t="s">
        <v>372</v>
      </c>
      <c r="N387" s="21" t="s">
        <v>373</v>
      </c>
      <c r="O387" s="21" t="s">
        <v>2377</v>
      </c>
    </row>
    <row r="388" spans="1:15" x14ac:dyDescent="0.25">
      <c r="A388" s="21" t="s">
        <v>23</v>
      </c>
      <c r="B388" s="21" t="s">
        <v>2378</v>
      </c>
      <c r="C388" s="21" t="s">
        <v>2379</v>
      </c>
      <c r="D388" s="21" t="s">
        <v>2380</v>
      </c>
      <c r="E388" s="21">
        <v>11270639</v>
      </c>
      <c r="F388" s="21">
        <v>1893116</v>
      </c>
      <c r="G388" s="21" t="s">
        <v>2381</v>
      </c>
      <c r="H388" s="21">
        <v>1</v>
      </c>
      <c r="I388" s="21">
        <v>1</v>
      </c>
      <c r="J388" s="21">
        <v>4</v>
      </c>
      <c r="K388" s="21">
        <v>2023</v>
      </c>
      <c r="L388" s="21" t="s">
        <v>372</v>
      </c>
      <c r="M388" s="21" t="s">
        <v>372</v>
      </c>
      <c r="N388" s="21" t="s">
        <v>373</v>
      </c>
      <c r="O388" s="21">
        <v>121004</v>
      </c>
    </row>
    <row r="389" spans="1:15" x14ac:dyDescent="0.25">
      <c r="A389" s="21" t="s">
        <v>2382</v>
      </c>
      <c r="B389" s="21" t="s">
        <v>2383</v>
      </c>
      <c r="C389" s="21" t="s">
        <v>2384</v>
      </c>
      <c r="D389" s="21" t="s">
        <v>2385</v>
      </c>
      <c r="E389" s="21">
        <v>79000</v>
      </c>
      <c r="F389" s="21">
        <v>330000</v>
      </c>
      <c r="G389" s="21" t="s">
        <v>2386</v>
      </c>
      <c r="H389" s="21">
        <v>1</v>
      </c>
      <c r="I389" s="21">
        <v>1</v>
      </c>
      <c r="J389" s="21">
        <v>4</v>
      </c>
      <c r="K389" s="21">
        <v>2023</v>
      </c>
      <c r="L389" s="21" t="s">
        <v>372</v>
      </c>
      <c r="M389" s="21" t="s">
        <v>372</v>
      </c>
      <c r="N389" s="21" t="s">
        <v>373</v>
      </c>
      <c r="O389" s="21" t="s">
        <v>2387</v>
      </c>
    </row>
    <row r="390" spans="1:15" x14ac:dyDescent="0.25">
      <c r="A390" s="21" t="s">
        <v>2388</v>
      </c>
      <c r="B390" s="21" t="s">
        <v>2389</v>
      </c>
      <c r="C390" s="21" t="s">
        <v>2390</v>
      </c>
      <c r="D390" s="21" t="s">
        <v>2391</v>
      </c>
      <c r="E390" s="21">
        <v>2211</v>
      </c>
      <c r="F390" s="21">
        <v>13573</v>
      </c>
      <c r="G390" s="21">
        <v>1139126</v>
      </c>
      <c r="H390" s="21">
        <v>1</v>
      </c>
      <c r="I390" s="21">
        <v>1</v>
      </c>
      <c r="J390" s="21">
        <v>4</v>
      </c>
      <c r="K390" s="21">
        <v>2023</v>
      </c>
      <c r="L390" s="21" t="s">
        <v>372</v>
      </c>
      <c r="M390" s="21" t="s">
        <v>372</v>
      </c>
      <c r="N390" s="21" t="s">
        <v>373</v>
      </c>
      <c r="O390" s="21" t="s">
        <v>2392</v>
      </c>
    </row>
    <row r="391" spans="1:15" x14ac:dyDescent="0.25">
      <c r="A391" s="21" t="s">
        <v>2393</v>
      </c>
      <c r="B391" s="21" t="s">
        <v>2393</v>
      </c>
      <c r="C391" s="21" t="s">
        <v>2394</v>
      </c>
      <c r="D391" s="21" t="s">
        <v>2395</v>
      </c>
      <c r="E391" s="21">
        <v>24093</v>
      </c>
      <c r="F391" s="21">
        <v>320392</v>
      </c>
      <c r="G391" s="21">
        <v>1176214</v>
      </c>
      <c r="H391" s="21">
        <v>1</v>
      </c>
      <c r="I391" s="21">
        <v>1</v>
      </c>
      <c r="J391" s="21">
        <v>1</v>
      </c>
      <c r="K391" s="21">
        <v>2023</v>
      </c>
      <c r="L391" s="21" t="s">
        <v>372</v>
      </c>
      <c r="M391" s="21" t="s">
        <v>372</v>
      </c>
      <c r="N391" s="21" t="s">
        <v>372</v>
      </c>
      <c r="O391" s="21">
        <v>21793</v>
      </c>
    </row>
    <row r="392" spans="1:15" x14ac:dyDescent="0.25">
      <c r="A392" s="21" t="s">
        <v>2396</v>
      </c>
      <c r="B392" s="21" t="s">
        <v>2397</v>
      </c>
      <c r="C392" s="21" t="s">
        <v>2398</v>
      </c>
      <c r="D392" s="21" t="s">
        <v>2399</v>
      </c>
      <c r="E392" s="21">
        <v>5589</v>
      </c>
      <c r="F392" s="21">
        <v>6273</v>
      </c>
      <c r="G392" s="21" t="s">
        <v>2400</v>
      </c>
      <c r="H392" s="21">
        <v>1</v>
      </c>
      <c r="I392" s="21">
        <v>1</v>
      </c>
      <c r="J392" s="21">
        <v>4</v>
      </c>
      <c r="K392" s="21">
        <v>2023</v>
      </c>
      <c r="L392" s="21" t="s">
        <v>372</v>
      </c>
      <c r="M392" s="21" t="s">
        <v>372</v>
      </c>
      <c r="N392" s="21" t="s">
        <v>373</v>
      </c>
      <c r="O392" s="21" t="s">
        <v>2401</v>
      </c>
    </row>
    <row r="393" spans="1:15" x14ac:dyDescent="0.25">
      <c r="A393" s="21" t="s">
        <v>2402</v>
      </c>
      <c r="B393" s="21" t="s">
        <v>2403</v>
      </c>
      <c r="C393" s="21" t="s">
        <v>2404</v>
      </c>
      <c r="D393" s="21" t="s">
        <v>2405</v>
      </c>
      <c r="E393" s="21">
        <v>11826</v>
      </c>
      <c r="F393" s="21">
        <v>28654</v>
      </c>
      <c r="G393" s="21" t="s">
        <v>2406</v>
      </c>
      <c r="H393" s="21">
        <v>1</v>
      </c>
      <c r="I393" s="21">
        <v>1</v>
      </c>
      <c r="J393" s="21">
        <v>4</v>
      </c>
      <c r="K393" s="21">
        <v>2023</v>
      </c>
      <c r="L393" s="21" t="s">
        <v>372</v>
      </c>
      <c r="M393" s="21" t="s">
        <v>372</v>
      </c>
      <c r="N393" s="21" t="s">
        <v>373</v>
      </c>
      <c r="O393" s="21" t="s">
        <v>2407</v>
      </c>
    </row>
    <row r="394" spans="1:15" x14ac:dyDescent="0.25">
      <c r="A394" s="21" t="s">
        <v>67</v>
      </c>
      <c r="B394" s="21" t="s">
        <v>2408</v>
      </c>
      <c r="C394" s="21" t="s">
        <v>2409</v>
      </c>
      <c r="D394" s="21" t="s">
        <v>2410</v>
      </c>
      <c r="E394" s="21">
        <v>83729</v>
      </c>
      <c r="F394" s="21">
        <v>119509</v>
      </c>
      <c r="G394" s="21" t="s">
        <v>2411</v>
      </c>
      <c r="H394" s="21">
        <v>1</v>
      </c>
      <c r="I394" s="21">
        <v>1</v>
      </c>
      <c r="J394" s="21">
        <v>4</v>
      </c>
      <c r="K394" s="21">
        <v>2023</v>
      </c>
      <c r="L394" s="21" t="s">
        <v>372</v>
      </c>
      <c r="M394" s="21" t="s">
        <v>372</v>
      </c>
      <c r="N394" s="21" t="s">
        <v>373</v>
      </c>
      <c r="O394" s="21" t="s">
        <v>206</v>
      </c>
    </row>
    <row r="395" spans="1:15" x14ac:dyDescent="0.25">
      <c r="A395" s="21" t="s">
        <v>2412</v>
      </c>
      <c r="B395" s="21" t="s">
        <v>2413</v>
      </c>
      <c r="C395" s="21" t="s">
        <v>2414</v>
      </c>
      <c r="D395" s="21" t="s">
        <v>2415</v>
      </c>
      <c r="E395" s="21">
        <v>2843883</v>
      </c>
      <c r="F395" s="21">
        <v>2029211</v>
      </c>
      <c r="G395" s="21">
        <v>24611737</v>
      </c>
      <c r="H395" s="21">
        <v>1</v>
      </c>
      <c r="I395" s="21">
        <v>1</v>
      </c>
      <c r="J395" s="21">
        <v>4</v>
      </c>
      <c r="K395" s="21">
        <v>2023</v>
      </c>
      <c r="L395" s="21" t="s">
        <v>372</v>
      </c>
      <c r="M395" s="21" t="s">
        <v>372</v>
      </c>
      <c r="N395" s="21" t="s">
        <v>373</v>
      </c>
      <c r="O395" s="21" t="s">
        <v>2416</v>
      </c>
    </row>
    <row r="396" spans="1:15" x14ac:dyDescent="0.25">
      <c r="A396" s="21" t="s">
        <v>2417</v>
      </c>
      <c r="B396" s="21" t="s">
        <v>2418</v>
      </c>
      <c r="C396" s="21" t="s">
        <v>2419</v>
      </c>
      <c r="D396" s="21" t="s">
        <v>2420</v>
      </c>
      <c r="E396" s="21">
        <v>17002</v>
      </c>
      <c r="F396" s="21">
        <v>23865</v>
      </c>
      <c r="G396" s="21">
        <v>3786512</v>
      </c>
      <c r="H396" s="21">
        <v>2</v>
      </c>
      <c r="I396" s="21">
        <v>2</v>
      </c>
      <c r="J396" s="21">
        <v>4</v>
      </c>
      <c r="K396" s="21">
        <v>2023</v>
      </c>
      <c r="L396" s="21" t="s">
        <v>372</v>
      </c>
      <c r="M396" s="21" t="s">
        <v>372</v>
      </c>
      <c r="N396" s="21" t="s">
        <v>373</v>
      </c>
      <c r="O396" s="21" t="s">
        <v>2421</v>
      </c>
    </row>
    <row r="397" spans="1:15" x14ac:dyDescent="0.25">
      <c r="A397" s="21" t="s">
        <v>2422</v>
      </c>
      <c r="B397" s="21" t="s">
        <v>2423</v>
      </c>
      <c r="D397" s="21" t="s">
        <v>2424</v>
      </c>
      <c r="E397" s="21">
        <v>12350</v>
      </c>
      <c r="F397" s="21">
        <v>10823</v>
      </c>
      <c r="G397" s="21" t="s">
        <v>2425</v>
      </c>
      <c r="H397" s="21">
        <v>4</v>
      </c>
      <c r="I397" s="21">
        <v>2</v>
      </c>
      <c r="J397" s="21">
        <v>4</v>
      </c>
      <c r="K397" s="21">
        <v>2023</v>
      </c>
      <c r="L397" s="21" t="s">
        <v>373</v>
      </c>
      <c r="M397" s="21" t="s">
        <v>372</v>
      </c>
      <c r="N397" s="21" t="s">
        <v>373</v>
      </c>
      <c r="O397" s="21" t="s">
        <v>2426</v>
      </c>
    </row>
    <row r="398" spans="1:15" x14ac:dyDescent="0.25">
      <c r="A398" s="21" t="s">
        <v>2427</v>
      </c>
      <c r="B398" s="21" t="s">
        <v>2428</v>
      </c>
      <c r="C398" s="21" t="s">
        <v>2429</v>
      </c>
      <c r="D398" s="21" t="s">
        <v>2430</v>
      </c>
      <c r="E398" s="21">
        <v>11232</v>
      </c>
      <c r="F398" s="21">
        <v>451430</v>
      </c>
      <c r="G398" s="21">
        <v>18027004</v>
      </c>
      <c r="H398" s="21">
        <v>1</v>
      </c>
      <c r="I398" s="21">
        <v>1</v>
      </c>
      <c r="J398" s="21">
        <v>4</v>
      </c>
      <c r="K398" s="21">
        <v>2023</v>
      </c>
      <c r="L398" s="21" t="s">
        <v>372</v>
      </c>
      <c r="M398" s="21" t="s">
        <v>372</v>
      </c>
      <c r="N398" s="21" t="s">
        <v>373</v>
      </c>
      <c r="O398" s="21">
        <v>25405</v>
      </c>
    </row>
    <row r="399" spans="1:15" x14ac:dyDescent="0.25">
      <c r="A399" s="21" t="s">
        <v>130</v>
      </c>
      <c r="B399" s="21" t="s">
        <v>2431</v>
      </c>
      <c r="C399" s="21" t="s">
        <v>2432</v>
      </c>
      <c r="E399" s="21">
        <v>7195277</v>
      </c>
      <c r="F399" s="21">
        <v>2606124</v>
      </c>
      <c r="G399" s="21" t="s">
        <v>2433</v>
      </c>
      <c r="H399" s="21">
        <v>1</v>
      </c>
      <c r="I399" s="21">
        <v>1</v>
      </c>
      <c r="J399" s="21">
        <v>4</v>
      </c>
      <c r="K399" s="21">
        <v>2023</v>
      </c>
      <c r="L399" s="21" t="s">
        <v>372</v>
      </c>
      <c r="M399" s="21" t="s">
        <v>372</v>
      </c>
      <c r="N399" s="21" t="s">
        <v>373</v>
      </c>
      <c r="O399" s="21" t="s">
        <v>238</v>
      </c>
    </row>
    <row r="400" spans="1:15" x14ac:dyDescent="0.25">
      <c r="A400" s="21" t="s">
        <v>155</v>
      </c>
      <c r="B400" s="21" t="s">
        <v>2434</v>
      </c>
      <c r="C400" s="21" t="s">
        <v>2435</v>
      </c>
      <c r="D400" s="21" t="s">
        <v>2436</v>
      </c>
      <c r="E400" s="21">
        <v>1681</v>
      </c>
      <c r="F400" s="21">
        <v>7211</v>
      </c>
      <c r="G400" s="21">
        <v>387901</v>
      </c>
      <c r="H400" s="21">
        <v>1</v>
      </c>
      <c r="I400" s="21">
        <v>1</v>
      </c>
      <c r="J400" s="21">
        <v>1</v>
      </c>
      <c r="K400" s="21">
        <v>2023</v>
      </c>
      <c r="L400" s="21" t="s">
        <v>372</v>
      </c>
      <c r="M400" s="21" t="s">
        <v>372</v>
      </c>
      <c r="N400" s="21" t="s">
        <v>372</v>
      </c>
      <c r="O400" s="21" t="s">
        <v>256</v>
      </c>
    </row>
    <row r="401" spans="1:15" x14ac:dyDescent="0.25">
      <c r="A401" s="21" t="s">
        <v>2437</v>
      </c>
      <c r="B401" s="21" t="s">
        <v>2438</v>
      </c>
      <c r="C401" s="21" t="s">
        <v>2439</v>
      </c>
      <c r="D401" s="21" t="s">
        <v>2440</v>
      </c>
      <c r="E401" s="21">
        <v>40418</v>
      </c>
      <c r="F401" s="21">
        <v>218046</v>
      </c>
      <c r="G401" s="21" t="s">
        <v>2441</v>
      </c>
      <c r="H401" s="21">
        <v>1</v>
      </c>
      <c r="I401" s="21">
        <v>2</v>
      </c>
      <c r="J401" s="21">
        <v>4</v>
      </c>
      <c r="K401" s="21">
        <v>2023</v>
      </c>
      <c r="L401" s="21" t="s">
        <v>372</v>
      </c>
      <c r="M401" s="21" t="s">
        <v>372</v>
      </c>
      <c r="N401" s="21" t="s">
        <v>373</v>
      </c>
      <c r="O401" s="21" t="s">
        <v>2442</v>
      </c>
    </row>
    <row r="402" spans="1:15" x14ac:dyDescent="0.25">
      <c r="A402" s="21" t="s">
        <v>2443</v>
      </c>
      <c r="B402" s="21" t="s">
        <v>2444</v>
      </c>
      <c r="C402" s="21" t="s">
        <v>2445</v>
      </c>
      <c r="D402" s="21" t="s">
        <v>2446</v>
      </c>
      <c r="E402" s="21">
        <v>309</v>
      </c>
      <c r="F402" s="21">
        <v>224</v>
      </c>
      <c r="G402" s="21" t="s">
        <v>2447</v>
      </c>
      <c r="H402" s="21">
        <v>2</v>
      </c>
      <c r="I402" s="21">
        <v>2</v>
      </c>
      <c r="J402" s="21">
        <v>4</v>
      </c>
      <c r="K402" s="21">
        <v>2023</v>
      </c>
      <c r="L402" s="21" t="s">
        <v>372</v>
      </c>
      <c r="M402" s="21" t="s">
        <v>372</v>
      </c>
      <c r="N402" s="21" t="s">
        <v>373</v>
      </c>
      <c r="O402" s="21" t="s">
        <v>2448</v>
      </c>
    </row>
    <row r="403" spans="1:15" x14ac:dyDescent="0.25">
      <c r="A403" s="21" t="s">
        <v>2449</v>
      </c>
      <c r="B403" s="21" t="s">
        <v>2450</v>
      </c>
      <c r="C403" s="21" t="s">
        <v>2451</v>
      </c>
      <c r="D403" s="21" t="s">
        <v>2452</v>
      </c>
      <c r="E403" s="21">
        <v>1343921</v>
      </c>
      <c r="F403" s="21">
        <v>1391854</v>
      </c>
      <c r="G403" s="21" t="s">
        <v>2453</v>
      </c>
      <c r="H403" s="21">
        <v>1</v>
      </c>
      <c r="I403" s="21">
        <v>1</v>
      </c>
      <c r="J403" s="21">
        <v>4</v>
      </c>
      <c r="K403" s="21">
        <v>2023</v>
      </c>
      <c r="L403" s="21" t="s">
        <v>372</v>
      </c>
      <c r="M403" s="21" t="s">
        <v>372</v>
      </c>
      <c r="N403" s="21" t="s">
        <v>373</v>
      </c>
      <c r="O403" s="21" t="s">
        <v>2454</v>
      </c>
    </row>
    <row r="404" spans="1:15" x14ac:dyDescent="0.25">
      <c r="A404" s="21" t="s">
        <v>2455</v>
      </c>
      <c r="B404" s="21" t="s">
        <v>2456</v>
      </c>
      <c r="D404" s="21" t="s">
        <v>2457</v>
      </c>
      <c r="E404" s="21">
        <v>15109229</v>
      </c>
      <c r="F404" s="21">
        <v>4529981</v>
      </c>
      <c r="G404" s="21">
        <v>81581719</v>
      </c>
      <c r="H404" s="21">
        <v>1</v>
      </c>
      <c r="I404" s="21">
        <v>1</v>
      </c>
      <c r="J404" s="21">
        <v>1</v>
      </c>
      <c r="K404" s="21">
        <v>2023</v>
      </c>
      <c r="L404" s="21" t="s">
        <v>372</v>
      </c>
      <c r="M404" s="21" t="s">
        <v>372</v>
      </c>
      <c r="N404" s="21" t="s">
        <v>372</v>
      </c>
      <c r="O404" s="21" t="s">
        <v>2458</v>
      </c>
    </row>
    <row r="405" spans="1:15" x14ac:dyDescent="0.25">
      <c r="A405" s="21" t="s">
        <v>2459</v>
      </c>
      <c r="B405" s="21" t="s">
        <v>2460</v>
      </c>
      <c r="C405" s="21" t="s">
        <v>2461</v>
      </c>
      <c r="D405" s="21" t="s">
        <v>2462</v>
      </c>
      <c r="E405" s="21">
        <v>2347</v>
      </c>
      <c r="F405" s="21">
        <v>4063</v>
      </c>
      <c r="G405" s="21">
        <v>490677</v>
      </c>
      <c r="H405" s="21">
        <v>1</v>
      </c>
      <c r="I405" s="21">
        <v>1</v>
      </c>
      <c r="J405" s="21">
        <v>4</v>
      </c>
      <c r="K405" s="21">
        <v>2023</v>
      </c>
      <c r="L405" s="21" t="s">
        <v>372</v>
      </c>
      <c r="M405" s="21" t="s">
        <v>372</v>
      </c>
      <c r="N405" s="21" t="s">
        <v>373</v>
      </c>
      <c r="O405" s="21" t="s">
        <v>2463</v>
      </c>
    </row>
    <row r="406" spans="1:15" x14ac:dyDescent="0.25">
      <c r="A406" s="21" t="s">
        <v>2464</v>
      </c>
      <c r="B406" s="21" t="s">
        <v>2465</v>
      </c>
      <c r="D406" s="21" t="s">
        <v>2466</v>
      </c>
      <c r="E406" s="21">
        <v>11823</v>
      </c>
      <c r="F406" s="21">
        <v>30190</v>
      </c>
      <c r="G406" s="21">
        <v>93722795</v>
      </c>
      <c r="H406" s="21">
        <v>2</v>
      </c>
      <c r="I406" s="21">
        <v>2</v>
      </c>
      <c r="J406" s="21">
        <v>1</v>
      </c>
      <c r="K406" s="21">
        <v>2023</v>
      </c>
      <c r="L406" s="21" t="s">
        <v>372</v>
      </c>
      <c r="M406" s="21" t="s">
        <v>372</v>
      </c>
      <c r="N406" s="21" t="s">
        <v>372</v>
      </c>
      <c r="O406" s="21" t="s">
        <v>2467</v>
      </c>
    </row>
    <row r="407" spans="1:15" x14ac:dyDescent="0.25">
      <c r="A407" s="21" t="s">
        <v>2468</v>
      </c>
      <c r="B407" s="21" t="s">
        <v>2469</v>
      </c>
      <c r="C407" s="21" t="s">
        <v>2470</v>
      </c>
      <c r="D407" s="21" t="s">
        <v>2471</v>
      </c>
      <c r="E407" s="21">
        <v>2198870</v>
      </c>
      <c r="F407" s="21">
        <v>841801</v>
      </c>
      <c r="G407" s="21">
        <v>10246344</v>
      </c>
      <c r="H407" s="21">
        <v>1</v>
      </c>
      <c r="I407" s="21">
        <v>1</v>
      </c>
      <c r="J407" s="21">
        <v>4</v>
      </c>
      <c r="K407" s="21">
        <v>2023</v>
      </c>
      <c r="L407" s="21" t="s">
        <v>372</v>
      </c>
      <c r="M407" s="21" t="s">
        <v>372</v>
      </c>
      <c r="N407" s="21" t="s">
        <v>373</v>
      </c>
      <c r="O407" s="21" t="s">
        <v>2472</v>
      </c>
    </row>
    <row r="408" spans="1:15" x14ac:dyDescent="0.25">
      <c r="A408" s="21" t="s">
        <v>2473</v>
      </c>
      <c r="B408" s="21" t="s">
        <v>2474</v>
      </c>
      <c r="C408" s="21" t="s">
        <v>2475</v>
      </c>
      <c r="D408" s="21" t="s">
        <v>2476</v>
      </c>
      <c r="E408" s="21">
        <v>1292</v>
      </c>
      <c r="F408" s="21">
        <v>6743</v>
      </c>
      <c r="G408" s="21" t="s">
        <v>2477</v>
      </c>
      <c r="H408" s="21">
        <v>2</v>
      </c>
      <c r="I408" s="21">
        <v>2</v>
      </c>
      <c r="J408" s="21">
        <v>4</v>
      </c>
      <c r="K408" s="21">
        <v>2023</v>
      </c>
      <c r="L408" s="21" t="s">
        <v>372</v>
      </c>
      <c r="M408" s="21" t="s">
        <v>372</v>
      </c>
      <c r="N408" s="21" t="s">
        <v>373</v>
      </c>
      <c r="O408" s="21" t="s">
        <v>2478</v>
      </c>
    </row>
    <row r="409" spans="1:15" x14ac:dyDescent="0.25">
      <c r="A409" s="21" t="s">
        <v>2479</v>
      </c>
      <c r="B409" s="21" t="s">
        <v>2480</v>
      </c>
      <c r="C409" s="21" t="s">
        <v>2481</v>
      </c>
      <c r="D409" s="21" t="s">
        <v>2482</v>
      </c>
      <c r="E409" s="21">
        <v>6666</v>
      </c>
      <c r="F409" s="21">
        <v>31878</v>
      </c>
      <c r="G409" s="21">
        <v>661928</v>
      </c>
      <c r="H409" s="21">
        <v>1</v>
      </c>
      <c r="I409" s="21">
        <v>1</v>
      </c>
      <c r="J409" s="21">
        <v>4</v>
      </c>
      <c r="K409" s="21">
        <v>2023</v>
      </c>
      <c r="L409" s="21" t="s">
        <v>372</v>
      </c>
      <c r="M409" s="21" t="s">
        <v>372</v>
      </c>
      <c r="N409" s="21" t="s">
        <v>373</v>
      </c>
      <c r="O409" s="21" t="s">
        <v>2483</v>
      </c>
    </row>
    <row r="410" spans="1:15" x14ac:dyDescent="0.25">
      <c r="A410" s="21" t="s">
        <v>2484</v>
      </c>
      <c r="B410" s="21" t="s">
        <v>2485</v>
      </c>
      <c r="C410" s="21" t="s">
        <v>2486</v>
      </c>
      <c r="D410" s="21" t="s">
        <v>2487</v>
      </c>
      <c r="E410" s="21">
        <v>1190900</v>
      </c>
      <c r="F410" s="21">
        <v>3303300</v>
      </c>
      <c r="G410" s="21" t="s">
        <v>2488</v>
      </c>
      <c r="H410" s="21">
        <v>1</v>
      </c>
      <c r="I410" s="21">
        <v>1</v>
      </c>
      <c r="J410" s="21">
        <v>4</v>
      </c>
      <c r="K410" s="21">
        <v>2023</v>
      </c>
      <c r="L410" s="21" t="s">
        <v>372</v>
      </c>
      <c r="M410" s="21" t="s">
        <v>372</v>
      </c>
      <c r="N410" s="21" t="s">
        <v>373</v>
      </c>
      <c r="O410" s="21" t="s">
        <v>2489</v>
      </c>
    </row>
    <row r="411" spans="1:15" x14ac:dyDescent="0.25">
      <c r="A411" s="21" t="s">
        <v>2490</v>
      </c>
      <c r="B411" s="21" t="s">
        <v>2491</v>
      </c>
      <c r="C411" s="21" t="s">
        <v>2492</v>
      </c>
      <c r="D411" s="21" t="s">
        <v>2493</v>
      </c>
      <c r="E411" s="21">
        <v>291256</v>
      </c>
      <c r="F411" s="21">
        <v>48689</v>
      </c>
      <c r="G411" s="21" t="s">
        <v>2494</v>
      </c>
      <c r="H411" s="21">
        <v>4</v>
      </c>
      <c r="I411" s="21">
        <v>2</v>
      </c>
      <c r="J411" s="21">
        <v>4</v>
      </c>
      <c r="K411" s="21">
        <v>2023</v>
      </c>
      <c r="L411" s="21" t="s">
        <v>373</v>
      </c>
      <c r="M411" s="21" t="s">
        <v>372</v>
      </c>
      <c r="N411" s="21" t="s">
        <v>373</v>
      </c>
      <c r="O411" s="21" t="s">
        <v>2495</v>
      </c>
    </row>
    <row r="412" spans="1:15" x14ac:dyDescent="0.25">
      <c r="A412" s="21" t="s">
        <v>2496</v>
      </c>
      <c r="B412" s="21" t="s">
        <v>2497</v>
      </c>
      <c r="C412" s="21" t="s">
        <v>2498</v>
      </c>
      <c r="D412" s="21" t="s">
        <v>2499</v>
      </c>
      <c r="E412" s="21">
        <v>25828963</v>
      </c>
      <c r="F412" s="21">
        <v>56454</v>
      </c>
      <c r="G412" s="21" t="s">
        <v>2500</v>
      </c>
      <c r="H412" s="21">
        <v>1</v>
      </c>
      <c r="I412" s="21">
        <v>1</v>
      </c>
      <c r="J412" s="21">
        <v>1</v>
      </c>
      <c r="K412" s="21">
        <v>2023</v>
      </c>
      <c r="L412" s="21" t="s">
        <v>372</v>
      </c>
      <c r="M412" s="21" t="s">
        <v>372</v>
      </c>
      <c r="N412" s="21" t="s">
        <v>372</v>
      </c>
      <c r="O412" s="21">
        <v>23521</v>
      </c>
    </row>
    <row r="413" spans="1:15" x14ac:dyDescent="0.25">
      <c r="A413" s="21" t="s">
        <v>2501</v>
      </c>
      <c r="B413" s="21" t="s">
        <v>2502</v>
      </c>
      <c r="C413" s="21" t="s">
        <v>2503</v>
      </c>
      <c r="D413" s="21" t="s">
        <v>2504</v>
      </c>
      <c r="E413" s="21">
        <v>828178</v>
      </c>
      <c r="F413" s="21">
        <v>894124</v>
      </c>
      <c r="G413" s="21" t="s">
        <v>2505</v>
      </c>
      <c r="H413" s="21">
        <v>1</v>
      </c>
      <c r="I413" s="21">
        <v>1</v>
      </c>
      <c r="J413" s="21">
        <v>4</v>
      </c>
      <c r="K413" s="21">
        <v>2023</v>
      </c>
      <c r="L413" s="21" t="s">
        <v>372</v>
      </c>
      <c r="M413" s="21" t="s">
        <v>372</v>
      </c>
      <c r="N413" s="21" t="s">
        <v>373</v>
      </c>
      <c r="O413" s="21" t="s">
        <v>2506</v>
      </c>
    </row>
    <row r="414" spans="1:15" x14ac:dyDescent="0.25">
      <c r="A414" s="21" t="s">
        <v>2507</v>
      </c>
      <c r="B414" s="21" t="s">
        <v>2508</v>
      </c>
      <c r="E414" s="21">
        <v>30210</v>
      </c>
      <c r="F414" s="21">
        <v>27383</v>
      </c>
      <c r="G414" s="21">
        <v>1830425</v>
      </c>
      <c r="H414" s="21">
        <v>1</v>
      </c>
      <c r="I414" s="21">
        <v>1</v>
      </c>
      <c r="J414" s="21">
        <v>1</v>
      </c>
      <c r="K414" s="21">
        <v>2023</v>
      </c>
      <c r="L414" s="21" t="s">
        <v>372</v>
      </c>
      <c r="M414" s="21" t="s">
        <v>372</v>
      </c>
      <c r="N414" s="21" t="s">
        <v>372</v>
      </c>
      <c r="O414" s="21" t="s">
        <v>2509</v>
      </c>
    </row>
    <row r="415" spans="1:15" x14ac:dyDescent="0.25">
      <c r="A415" s="21" t="s">
        <v>2510</v>
      </c>
      <c r="B415" s="21" t="s">
        <v>2511</v>
      </c>
      <c r="C415" s="21" t="s">
        <v>2512</v>
      </c>
      <c r="D415" s="21" t="s">
        <v>2513</v>
      </c>
      <c r="E415" s="21">
        <v>6261399</v>
      </c>
      <c r="F415" s="21">
        <v>3305085</v>
      </c>
      <c r="G415" s="21" t="s">
        <v>2514</v>
      </c>
      <c r="H415" s="21">
        <v>2</v>
      </c>
      <c r="I415" s="21">
        <v>2</v>
      </c>
      <c r="J415" s="21">
        <v>4</v>
      </c>
      <c r="K415" s="21">
        <v>2023</v>
      </c>
      <c r="L415" s="21" t="s">
        <v>372</v>
      </c>
      <c r="M415" s="21" t="s">
        <v>372</v>
      </c>
      <c r="N415" s="21" t="s">
        <v>373</v>
      </c>
      <c r="O415" s="21" t="s">
        <v>2515</v>
      </c>
    </row>
    <row r="416" spans="1:15" x14ac:dyDescent="0.25">
      <c r="A416" s="21" t="s">
        <v>2516</v>
      </c>
      <c r="B416" s="21" t="s">
        <v>2517</v>
      </c>
      <c r="C416" s="21" t="s">
        <v>2518</v>
      </c>
      <c r="D416" s="21" t="s">
        <v>2519</v>
      </c>
      <c r="E416" s="21">
        <v>171034</v>
      </c>
      <c r="F416" s="21">
        <v>219481</v>
      </c>
      <c r="G416" s="21" t="s">
        <v>2520</v>
      </c>
      <c r="H416" s="21">
        <v>1</v>
      </c>
      <c r="I416" s="21">
        <v>1</v>
      </c>
      <c r="J416" s="21">
        <v>4</v>
      </c>
      <c r="K416" s="21">
        <v>2023</v>
      </c>
      <c r="L416" s="21" t="s">
        <v>372</v>
      </c>
      <c r="M416" s="21" t="s">
        <v>372</v>
      </c>
      <c r="N416" s="21" t="s">
        <v>373</v>
      </c>
      <c r="O416" s="21" t="s">
        <v>2521</v>
      </c>
    </row>
    <row r="417" spans="1:15" x14ac:dyDescent="0.25">
      <c r="A417" s="21" t="s">
        <v>2522</v>
      </c>
      <c r="B417" s="21" t="s">
        <v>2523</v>
      </c>
      <c r="C417" s="21" t="s">
        <v>2524</v>
      </c>
      <c r="D417" s="21" t="s">
        <v>2525</v>
      </c>
      <c r="E417" s="21">
        <v>571615</v>
      </c>
      <c r="F417" s="21">
        <v>935</v>
      </c>
      <c r="G417" s="21" t="s">
        <v>2526</v>
      </c>
      <c r="H417" s="21">
        <v>1</v>
      </c>
      <c r="I417" s="21">
        <v>1</v>
      </c>
      <c r="J417" s="21">
        <v>4</v>
      </c>
      <c r="K417" s="21">
        <v>2023</v>
      </c>
      <c r="L417" s="21" t="s">
        <v>372</v>
      </c>
      <c r="M417" s="21" t="s">
        <v>372</v>
      </c>
      <c r="N417" s="21" t="s">
        <v>373</v>
      </c>
      <c r="O417" s="21" t="s">
        <v>2527</v>
      </c>
    </row>
    <row r="418" spans="1:15" x14ac:dyDescent="0.25">
      <c r="A418" s="21" t="s">
        <v>2528</v>
      </c>
      <c r="B418" s="21" t="s">
        <v>2529</v>
      </c>
      <c r="C418" s="21" t="s">
        <v>2530</v>
      </c>
      <c r="D418" s="21" t="s">
        <v>2531</v>
      </c>
      <c r="E418" s="21">
        <v>710</v>
      </c>
      <c r="F418" s="21">
        <v>1478</v>
      </c>
      <c r="G418" s="21" t="s">
        <v>2532</v>
      </c>
      <c r="H418" s="21">
        <v>4</v>
      </c>
      <c r="I418" s="21">
        <v>2</v>
      </c>
      <c r="J418" s="21">
        <v>4</v>
      </c>
      <c r="K418" s="21">
        <v>2023</v>
      </c>
      <c r="L418" s="21" t="s">
        <v>373</v>
      </c>
      <c r="M418" s="21" t="s">
        <v>372</v>
      </c>
      <c r="N418" s="21" t="s">
        <v>373</v>
      </c>
      <c r="O418" s="21" t="s">
        <v>2533</v>
      </c>
    </row>
    <row r="419" spans="1:15" x14ac:dyDescent="0.25">
      <c r="A419" s="21" t="s">
        <v>2534</v>
      </c>
      <c r="B419" s="21" t="s">
        <v>2535</v>
      </c>
      <c r="C419" s="21" t="s">
        <v>2536</v>
      </c>
      <c r="D419" s="21" t="s">
        <v>2537</v>
      </c>
      <c r="E419" s="21">
        <v>69581</v>
      </c>
      <c r="F419" s="21">
        <v>10250</v>
      </c>
      <c r="G419" s="21" t="s">
        <v>2538</v>
      </c>
      <c r="H419" s="21">
        <v>1</v>
      </c>
      <c r="I419" s="21">
        <v>1</v>
      </c>
      <c r="J419" s="21">
        <v>4</v>
      </c>
      <c r="K419" s="21">
        <v>2023</v>
      </c>
      <c r="L419" s="21" t="s">
        <v>372</v>
      </c>
      <c r="M419" s="21" t="s">
        <v>372</v>
      </c>
      <c r="N419" s="21" t="s">
        <v>373</v>
      </c>
      <c r="O419" s="21" t="s">
        <v>2539</v>
      </c>
    </row>
    <row r="420" spans="1:15" x14ac:dyDescent="0.25">
      <c r="A420" s="21" t="s">
        <v>72</v>
      </c>
      <c r="B420" s="21" t="s">
        <v>2540</v>
      </c>
      <c r="C420" s="21" t="s">
        <v>2541</v>
      </c>
      <c r="D420" s="21" t="s">
        <v>2542</v>
      </c>
      <c r="E420" s="21">
        <v>60712</v>
      </c>
      <c r="F420" s="21">
        <v>132064</v>
      </c>
      <c r="G420" s="21">
        <v>47856075</v>
      </c>
      <c r="H420" s="21">
        <v>1</v>
      </c>
      <c r="I420" s="21">
        <v>1</v>
      </c>
      <c r="J420" s="21">
        <v>1</v>
      </c>
      <c r="K420" s="21">
        <v>2023</v>
      </c>
      <c r="L420" s="21" t="s">
        <v>372</v>
      </c>
      <c r="M420" s="21" t="s">
        <v>372</v>
      </c>
      <c r="N420" s="21" t="s">
        <v>372</v>
      </c>
      <c r="O420" s="21">
        <v>8905</v>
      </c>
    </row>
    <row r="421" spans="1:15" x14ac:dyDescent="0.25">
      <c r="A421" s="21" t="s">
        <v>2543</v>
      </c>
      <c r="B421" s="21" t="s">
        <v>2544</v>
      </c>
      <c r="C421" s="21" t="s">
        <v>2545</v>
      </c>
      <c r="D421" s="21" t="s">
        <v>2546</v>
      </c>
      <c r="E421" s="21">
        <v>87485</v>
      </c>
      <c r="F421" s="21">
        <v>140997</v>
      </c>
      <c r="G421" s="21" t="s">
        <v>2547</v>
      </c>
      <c r="H421" s="21">
        <v>1</v>
      </c>
      <c r="I421" s="21">
        <v>1</v>
      </c>
      <c r="J421" s="21">
        <v>4</v>
      </c>
      <c r="K421" s="21">
        <v>2023</v>
      </c>
      <c r="L421" s="21" t="s">
        <v>372</v>
      </c>
      <c r="M421" s="21" t="s">
        <v>372</v>
      </c>
      <c r="N421" s="21" t="s">
        <v>373</v>
      </c>
      <c r="O421" s="21" t="s">
        <v>2548</v>
      </c>
    </row>
    <row r="422" spans="1:15" x14ac:dyDescent="0.25">
      <c r="A422" s="21" t="s">
        <v>2549</v>
      </c>
      <c r="B422" s="21" t="s">
        <v>2550</v>
      </c>
      <c r="D422" s="21" t="s">
        <v>2551</v>
      </c>
      <c r="E422" s="21">
        <v>862</v>
      </c>
      <c r="F422" s="21">
        <v>978</v>
      </c>
      <c r="G422" s="21" t="s">
        <v>2552</v>
      </c>
      <c r="H422" s="21">
        <v>4</v>
      </c>
      <c r="I422" s="21">
        <v>2</v>
      </c>
      <c r="J422" s="21">
        <v>4</v>
      </c>
      <c r="K422" s="21">
        <v>2023</v>
      </c>
      <c r="L422" s="21" t="s">
        <v>373</v>
      </c>
      <c r="M422" s="21" t="s">
        <v>372</v>
      </c>
      <c r="N422" s="21" t="s">
        <v>373</v>
      </c>
      <c r="O422" s="21" t="s">
        <v>2553</v>
      </c>
    </row>
    <row r="423" spans="1:15" x14ac:dyDescent="0.25">
      <c r="A423" s="21" t="s">
        <v>2554</v>
      </c>
      <c r="B423" s="21" t="s">
        <v>2555</v>
      </c>
      <c r="C423" s="21" t="s">
        <v>2556</v>
      </c>
      <c r="D423" s="21" t="s">
        <v>2557</v>
      </c>
      <c r="E423" s="21">
        <v>53174</v>
      </c>
      <c r="F423" s="21">
        <v>1840808</v>
      </c>
      <c r="G423" s="21">
        <v>25877955</v>
      </c>
      <c r="H423" s="21">
        <v>1</v>
      </c>
      <c r="I423" s="21">
        <v>1</v>
      </c>
      <c r="J423" s="21">
        <v>4</v>
      </c>
      <c r="K423" s="21">
        <v>2023</v>
      </c>
      <c r="L423" s="21" t="s">
        <v>372</v>
      </c>
      <c r="M423" s="21" t="s">
        <v>372</v>
      </c>
      <c r="N423" s="21" t="s">
        <v>373</v>
      </c>
      <c r="O423" s="21" t="s">
        <v>2558</v>
      </c>
    </row>
    <row r="424" spans="1:15" x14ac:dyDescent="0.25">
      <c r="A424" s="21" t="s">
        <v>2559</v>
      </c>
      <c r="B424" s="21" t="s">
        <v>2560</v>
      </c>
      <c r="E424" s="21">
        <v>1238367</v>
      </c>
      <c r="F424" s="21">
        <v>3457</v>
      </c>
      <c r="G424" s="21">
        <v>783912</v>
      </c>
      <c r="H424" s="21">
        <v>1</v>
      </c>
      <c r="I424" s="21">
        <v>1</v>
      </c>
      <c r="J424" s="21">
        <v>1</v>
      </c>
      <c r="K424" s="21">
        <v>2023</v>
      </c>
      <c r="L424" s="21" t="s">
        <v>372</v>
      </c>
      <c r="M424" s="21" t="s">
        <v>372</v>
      </c>
      <c r="N424" s="21" t="s">
        <v>372</v>
      </c>
      <c r="O424" s="21" t="s">
        <v>2561</v>
      </c>
    </row>
    <row r="425" spans="1:15" x14ac:dyDescent="0.25">
      <c r="A425" s="21" t="s">
        <v>2562</v>
      </c>
      <c r="B425" s="21" t="s">
        <v>2563</v>
      </c>
      <c r="C425" s="21" t="s">
        <v>2564</v>
      </c>
      <c r="D425" s="21" t="s">
        <v>2565</v>
      </c>
      <c r="E425" s="21" t="s">
        <v>2566</v>
      </c>
      <c r="F425" s="21" t="s">
        <v>2567</v>
      </c>
      <c r="G425" s="21" t="s">
        <v>2568</v>
      </c>
      <c r="H425" s="21">
        <v>1</v>
      </c>
      <c r="I425" s="21">
        <v>1</v>
      </c>
      <c r="J425" s="21">
        <v>4</v>
      </c>
      <c r="K425" s="21">
        <v>2023</v>
      </c>
      <c r="L425" s="21" t="s">
        <v>372</v>
      </c>
      <c r="M425" s="21" t="s">
        <v>372</v>
      </c>
      <c r="N425" s="21" t="s">
        <v>373</v>
      </c>
      <c r="O425" s="21" t="s">
        <v>2569</v>
      </c>
    </row>
    <row r="426" spans="1:15" x14ac:dyDescent="0.25">
      <c r="A426" s="21" t="s">
        <v>2570</v>
      </c>
      <c r="B426" s="21" t="s">
        <v>2571</v>
      </c>
      <c r="C426" s="21" t="s">
        <v>2572</v>
      </c>
      <c r="D426" s="21" t="s">
        <v>2573</v>
      </c>
      <c r="E426" s="21">
        <v>46291</v>
      </c>
      <c r="F426" s="21">
        <v>47841</v>
      </c>
      <c r="G426" s="21">
        <v>1436489</v>
      </c>
      <c r="H426" s="21">
        <v>4</v>
      </c>
      <c r="I426" s="21">
        <v>2</v>
      </c>
      <c r="J426" s="21">
        <v>4</v>
      </c>
      <c r="K426" s="21">
        <v>2023</v>
      </c>
      <c r="L426" s="21" t="s">
        <v>373</v>
      </c>
      <c r="M426" s="21" t="s">
        <v>372</v>
      </c>
      <c r="N426" s="21" t="s">
        <v>373</v>
      </c>
      <c r="O426" s="21" t="s">
        <v>2574</v>
      </c>
    </row>
    <row r="427" spans="1:15" x14ac:dyDescent="0.25">
      <c r="A427" s="21" t="s">
        <v>2575</v>
      </c>
      <c r="B427" s="21" t="s">
        <v>2576</v>
      </c>
      <c r="C427" s="21" t="s">
        <v>2577</v>
      </c>
      <c r="D427" s="21" t="s">
        <v>2578</v>
      </c>
      <c r="E427" s="21" t="s">
        <v>2579</v>
      </c>
      <c r="F427" s="21" t="s">
        <v>2580</v>
      </c>
      <c r="G427" s="21" t="s">
        <v>2581</v>
      </c>
      <c r="H427" s="21">
        <v>2</v>
      </c>
      <c r="I427" s="21">
        <v>2</v>
      </c>
      <c r="J427" s="21">
        <v>4</v>
      </c>
      <c r="K427" s="21">
        <v>2023</v>
      </c>
      <c r="L427" s="21" t="s">
        <v>372</v>
      </c>
      <c r="M427" s="21" t="s">
        <v>372</v>
      </c>
      <c r="N427" s="21" t="s">
        <v>373</v>
      </c>
      <c r="O427" s="21" t="s">
        <v>2582</v>
      </c>
    </row>
    <row r="428" spans="1:15" x14ac:dyDescent="0.25">
      <c r="A428" s="21" t="s">
        <v>2583</v>
      </c>
      <c r="B428" s="21" t="s">
        <v>2584</v>
      </c>
      <c r="D428" s="21" t="s">
        <v>2585</v>
      </c>
      <c r="E428" s="21">
        <v>113756013</v>
      </c>
      <c r="F428" s="21">
        <v>77089</v>
      </c>
      <c r="G428" s="21" t="s">
        <v>2586</v>
      </c>
      <c r="H428" s="21">
        <v>1</v>
      </c>
      <c r="I428" s="21">
        <v>1</v>
      </c>
      <c r="J428" s="21">
        <v>4</v>
      </c>
      <c r="K428" s="21">
        <v>2023</v>
      </c>
      <c r="L428" s="21" t="s">
        <v>372</v>
      </c>
      <c r="M428" s="21" t="s">
        <v>372</v>
      </c>
      <c r="N428" s="21" t="s">
        <v>373</v>
      </c>
      <c r="O428" s="21" t="s">
        <v>2587</v>
      </c>
    </row>
    <row r="429" spans="1:15" x14ac:dyDescent="0.25">
      <c r="A429" s="21" t="s">
        <v>2588</v>
      </c>
      <c r="B429" s="21" t="s">
        <v>2589</v>
      </c>
      <c r="C429" s="21" t="s">
        <v>2590</v>
      </c>
      <c r="E429" s="21">
        <v>1033</v>
      </c>
      <c r="F429" s="21">
        <v>8713</v>
      </c>
      <c r="G429" s="21" t="s">
        <v>2591</v>
      </c>
      <c r="H429" s="21">
        <v>2</v>
      </c>
      <c r="I429" s="21">
        <v>2</v>
      </c>
      <c r="J429" s="21">
        <v>4</v>
      </c>
      <c r="K429" s="21">
        <v>2023</v>
      </c>
      <c r="L429" s="21" t="s">
        <v>372</v>
      </c>
      <c r="M429" s="21" t="s">
        <v>372</v>
      </c>
      <c r="N429" s="21" t="s">
        <v>373</v>
      </c>
      <c r="O429" s="21" t="s">
        <v>2592</v>
      </c>
    </row>
    <row r="430" spans="1:15" x14ac:dyDescent="0.25">
      <c r="A430" s="21" t="s">
        <v>165</v>
      </c>
      <c r="B430" s="21" t="s">
        <v>2593</v>
      </c>
      <c r="C430" s="21" t="s">
        <v>2594</v>
      </c>
      <c r="D430" s="21" t="s">
        <v>2595</v>
      </c>
      <c r="E430" s="21">
        <v>222921</v>
      </c>
      <c r="F430" s="21">
        <v>774415</v>
      </c>
      <c r="G430" s="21">
        <v>29242306</v>
      </c>
      <c r="H430" s="21">
        <v>1</v>
      </c>
      <c r="I430" s="21">
        <v>1</v>
      </c>
      <c r="J430" s="21">
        <v>4</v>
      </c>
      <c r="K430" s="21">
        <v>2023</v>
      </c>
      <c r="L430" s="21" t="s">
        <v>372</v>
      </c>
      <c r="M430" s="21" t="s">
        <v>372</v>
      </c>
      <c r="N430" s="21" t="s">
        <v>373</v>
      </c>
      <c r="O430" s="21">
        <v>8174</v>
      </c>
    </row>
    <row r="431" spans="1:15" x14ac:dyDescent="0.25">
      <c r="A431" s="21" t="s">
        <v>2596</v>
      </c>
      <c r="B431" s="21" t="s">
        <v>2597</v>
      </c>
      <c r="C431" s="21" t="s">
        <v>2598</v>
      </c>
      <c r="E431" s="21">
        <v>11684</v>
      </c>
      <c r="F431" s="21">
        <v>11955</v>
      </c>
      <c r="G431" s="21" t="s">
        <v>2599</v>
      </c>
      <c r="H431" s="21">
        <v>4</v>
      </c>
      <c r="I431" s="21">
        <v>2</v>
      </c>
      <c r="J431" s="21">
        <v>4</v>
      </c>
      <c r="K431" s="21">
        <v>2023</v>
      </c>
      <c r="L431" s="21" t="s">
        <v>373</v>
      </c>
      <c r="M431" s="21" t="s">
        <v>372</v>
      </c>
      <c r="N431" s="21" t="s">
        <v>373</v>
      </c>
      <c r="O431" s="21" t="s">
        <v>2600</v>
      </c>
    </row>
    <row r="432" spans="1:15" x14ac:dyDescent="0.25">
      <c r="A432" s="21" t="s">
        <v>2601</v>
      </c>
      <c r="B432" s="21" t="s">
        <v>2602</v>
      </c>
      <c r="C432" s="21" t="s">
        <v>2603</v>
      </c>
      <c r="D432" s="21" t="s">
        <v>2604</v>
      </c>
      <c r="E432" s="21">
        <v>898775</v>
      </c>
      <c r="F432" s="21">
        <v>1603399</v>
      </c>
      <c r="G432" s="21" t="s">
        <v>2605</v>
      </c>
      <c r="H432" s="21">
        <v>4</v>
      </c>
      <c r="I432" s="21">
        <v>2</v>
      </c>
      <c r="J432" s="21">
        <v>4</v>
      </c>
      <c r="K432" s="21">
        <v>2023</v>
      </c>
      <c r="L432" s="21" t="s">
        <v>373</v>
      </c>
      <c r="M432" s="21" t="s">
        <v>372</v>
      </c>
      <c r="N432" s="21" t="s">
        <v>373</v>
      </c>
      <c r="O432" s="21" t="s">
        <v>2606</v>
      </c>
    </row>
    <row r="433" spans="1:15" x14ac:dyDescent="0.25">
      <c r="A433" s="21" t="s">
        <v>140</v>
      </c>
      <c r="B433" s="21" t="s">
        <v>2607</v>
      </c>
      <c r="C433" s="21" t="s">
        <v>2608</v>
      </c>
      <c r="D433" s="21" t="s">
        <v>2609</v>
      </c>
      <c r="E433" s="21">
        <v>384622</v>
      </c>
      <c r="F433" s="21">
        <v>606096</v>
      </c>
      <c r="G433" s="21" t="s">
        <v>2610</v>
      </c>
      <c r="H433" s="21">
        <v>1</v>
      </c>
      <c r="I433" s="21">
        <v>1</v>
      </c>
      <c r="J433" s="21">
        <v>4</v>
      </c>
      <c r="K433" s="21">
        <v>2023</v>
      </c>
      <c r="L433" s="21" t="s">
        <v>372</v>
      </c>
      <c r="M433" s="21" t="s">
        <v>372</v>
      </c>
      <c r="N433" s="21" t="s">
        <v>373</v>
      </c>
      <c r="O433" s="21" t="s">
        <v>245</v>
      </c>
    </row>
    <row r="434" spans="1:15" x14ac:dyDescent="0.25">
      <c r="A434" s="21" t="s">
        <v>2611</v>
      </c>
      <c r="B434" s="21" t="s">
        <v>2612</v>
      </c>
      <c r="C434" s="21" t="s">
        <v>2613</v>
      </c>
      <c r="D434" s="21" t="s">
        <v>2614</v>
      </c>
      <c r="E434" s="21">
        <v>410102</v>
      </c>
      <c r="F434" s="21">
        <v>331839</v>
      </c>
      <c r="G434" s="21" t="s">
        <v>2615</v>
      </c>
      <c r="H434" s="21">
        <v>1</v>
      </c>
      <c r="I434" s="21">
        <v>1</v>
      </c>
      <c r="J434" s="21">
        <v>4</v>
      </c>
      <c r="K434" s="21">
        <v>2023</v>
      </c>
      <c r="L434" s="21" t="s">
        <v>372</v>
      </c>
      <c r="M434" s="21" t="s">
        <v>372</v>
      </c>
      <c r="N434" s="21" t="s">
        <v>373</v>
      </c>
      <c r="O434" s="21" t="s">
        <v>2616</v>
      </c>
    </row>
    <row r="435" spans="1:15" x14ac:dyDescent="0.25">
      <c r="A435" s="21" t="s">
        <v>2617</v>
      </c>
      <c r="B435" s="21" t="s">
        <v>2618</v>
      </c>
      <c r="C435" s="21" t="s">
        <v>2619</v>
      </c>
      <c r="D435" s="21" t="s">
        <v>2620</v>
      </c>
      <c r="E435" s="21">
        <v>233300</v>
      </c>
      <c r="F435" s="21">
        <v>204848</v>
      </c>
      <c r="G435" s="21">
        <v>2850244</v>
      </c>
      <c r="H435" s="21">
        <v>1</v>
      </c>
      <c r="I435" s="21">
        <v>1</v>
      </c>
      <c r="J435" s="21">
        <v>1</v>
      </c>
      <c r="K435" s="21">
        <v>2023</v>
      </c>
      <c r="L435" s="21" t="s">
        <v>372</v>
      </c>
      <c r="M435" s="21" t="s">
        <v>372</v>
      </c>
      <c r="N435" s="21" t="s">
        <v>372</v>
      </c>
      <c r="O435" s="21" t="s">
        <v>2621</v>
      </c>
    </row>
    <row r="436" spans="1:15" x14ac:dyDescent="0.25">
      <c r="A436" s="21" t="s">
        <v>118</v>
      </c>
      <c r="B436" s="21" t="s">
        <v>2622</v>
      </c>
      <c r="C436" s="21" t="s">
        <v>2623</v>
      </c>
      <c r="E436" s="21">
        <v>243760</v>
      </c>
      <c r="F436" s="21">
        <v>1411</v>
      </c>
      <c r="G436" s="21" t="s">
        <v>2624</v>
      </c>
      <c r="H436" s="21">
        <v>1</v>
      </c>
      <c r="I436" s="21">
        <v>2</v>
      </c>
      <c r="J436" s="21">
        <v>4</v>
      </c>
      <c r="K436" s="21">
        <v>2023</v>
      </c>
      <c r="L436" s="21" t="s">
        <v>372</v>
      </c>
      <c r="M436" s="21" t="s">
        <v>372</v>
      </c>
      <c r="N436" s="21" t="s">
        <v>373</v>
      </c>
      <c r="O436" s="21" t="s">
        <v>231</v>
      </c>
    </row>
    <row r="437" spans="1:15" x14ac:dyDescent="0.25">
      <c r="A437" s="21" t="s">
        <v>2625</v>
      </c>
      <c r="B437" s="21" t="s">
        <v>2626</v>
      </c>
      <c r="C437" s="21" t="s">
        <v>2627</v>
      </c>
      <c r="E437" s="21">
        <v>178976</v>
      </c>
      <c r="F437" s="21">
        <v>52412</v>
      </c>
      <c r="G437" s="21">
        <v>11436569</v>
      </c>
      <c r="H437" s="21">
        <v>1</v>
      </c>
      <c r="I437" s="21">
        <v>1</v>
      </c>
      <c r="J437" s="21">
        <v>1</v>
      </c>
      <c r="K437" s="21">
        <v>2023</v>
      </c>
      <c r="L437" s="21" t="s">
        <v>372</v>
      </c>
      <c r="M437" s="21" t="s">
        <v>372</v>
      </c>
      <c r="N437" s="21" t="s">
        <v>372</v>
      </c>
      <c r="O437" s="21" t="s">
        <v>2628</v>
      </c>
    </row>
    <row r="438" spans="1:15" x14ac:dyDescent="0.25">
      <c r="A438" s="21" t="s">
        <v>2629</v>
      </c>
      <c r="B438" s="21" t="s">
        <v>2630</v>
      </c>
      <c r="C438" s="21" t="s">
        <v>2631</v>
      </c>
      <c r="D438" s="21" t="s">
        <v>2632</v>
      </c>
      <c r="E438" s="21">
        <v>497203</v>
      </c>
      <c r="F438" s="21">
        <v>553526</v>
      </c>
      <c r="G438" s="21" t="s">
        <v>2633</v>
      </c>
      <c r="H438" s="21">
        <v>1</v>
      </c>
      <c r="I438" s="21">
        <v>1</v>
      </c>
      <c r="J438" s="21">
        <v>4</v>
      </c>
      <c r="K438" s="21">
        <v>2023</v>
      </c>
      <c r="L438" s="21" t="s">
        <v>372</v>
      </c>
      <c r="M438" s="21" t="s">
        <v>372</v>
      </c>
      <c r="N438" s="21" t="s">
        <v>373</v>
      </c>
      <c r="O438" s="21" t="s">
        <v>2634</v>
      </c>
    </row>
    <row r="439" spans="1:15" x14ac:dyDescent="0.25">
      <c r="A439" s="21" t="s">
        <v>148</v>
      </c>
      <c r="B439" s="21" t="s">
        <v>2635</v>
      </c>
      <c r="E439" s="21">
        <v>62919</v>
      </c>
      <c r="F439" s="21">
        <v>146245</v>
      </c>
      <c r="G439" s="21" t="s">
        <v>2636</v>
      </c>
      <c r="H439" s="21">
        <v>1</v>
      </c>
      <c r="I439" s="21">
        <v>1</v>
      </c>
      <c r="J439" s="21">
        <v>4</v>
      </c>
      <c r="K439" s="21">
        <v>2023</v>
      </c>
      <c r="L439" s="21" t="s">
        <v>372</v>
      </c>
      <c r="M439" s="21" t="s">
        <v>372</v>
      </c>
      <c r="N439" s="21" t="s">
        <v>373</v>
      </c>
      <c r="O439" s="21" t="s">
        <v>251</v>
      </c>
    </row>
    <row r="440" spans="1:15" x14ac:dyDescent="0.25">
      <c r="A440" s="21" t="s">
        <v>2637</v>
      </c>
      <c r="B440" s="21" t="s">
        <v>2638</v>
      </c>
      <c r="C440" s="21" t="s">
        <v>2639</v>
      </c>
      <c r="D440" s="21" t="s">
        <v>2640</v>
      </c>
      <c r="E440" s="21">
        <v>29420</v>
      </c>
      <c r="F440" s="21">
        <v>117983</v>
      </c>
      <c r="G440" s="21" t="s">
        <v>2641</v>
      </c>
      <c r="H440" s="21">
        <v>1</v>
      </c>
      <c r="I440" s="21">
        <v>1</v>
      </c>
      <c r="J440" s="21">
        <v>4</v>
      </c>
      <c r="K440" s="21">
        <v>2023</v>
      </c>
      <c r="L440" s="21" t="s">
        <v>372</v>
      </c>
      <c r="M440" s="21" t="s">
        <v>372</v>
      </c>
      <c r="N440" s="21" t="s">
        <v>373</v>
      </c>
      <c r="O440" s="21" t="s">
        <v>2642</v>
      </c>
    </row>
    <row r="441" spans="1:15" x14ac:dyDescent="0.25">
      <c r="A441" s="21" t="s">
        <v>2643</v>
      </c>
      <c r="B441" s="21" t="s">
        <v>2644</v>
      </c>
      <c r="C441" s="21" t="s">
        <v>2645</v>
      </c>
      <c r="D441" s="21" t="s">
        <v>2646</v>
      </c>
      <c r="E441" s="21">
        <v>21660</v>
      </c>
      <c r="F441" s="21">
        <v>98360</v>
      </c>
      <c r="G441" s="21">
        <v>2727836</v>
      </c>
      <c r="H441" s="21">
        <v>1</v>
      </c>
      <c r="I441" s="21">
        <v>1</v>
      </c>
      <c r="J441" s="21">
        <v>1</v>
      </c>
      <c r="K441" s="21">
        <v>2023</v>
      </c>
      <c r="L441" s="21" t="s">
        <v>372</v>
      </c>
      <c r="M441" s="21" t="s">
        <v>372</v>
      </c>
      <c r="N441" s="21" t="s">
        <v>372</v>
      </c>
      <c r="O441" s="21">
        <v>35872</v>
      </c>
    </row>
    <row r="442" spans="1:15" x14ac:dyDescent="0.25">
      <c r="A442" s="21" t="s">
        <v>2647</v>
      </c>
      <c r="B442" s="21" t="s">
        <v>2648</v>
      </c>
      <c r="C442" s="21" t="s">
        <v>2649</v>
      </c>
      <c r="D442" s="21" t="s">
        <v>2650</v>
      </c>
      <c r="E442" s="21">
        <v>32177</v>
      </c>
      <c r="F442" s="21">
        <v>130967</v>
      </c>
      <c r="G442" s="21" t="s">
        <v>2651</v>
      </c>
      <c r="H442" s="21">
        <v>2</v>
      </c>
      <c r="I442" s="21">
        <v>2</v>
      </c>
      <c r="J442" s="21">
        <v>4</v>
      </c>
      <c r="K442" s="21">
        <v>2023</v>
      </c>
      <c r="L442" s="21" t="s">
        <v>372</v>
      </c>
      <c r="M442" s="21" t="s">
        <v>372</v>
      </c>
      <c r="N442" s="21" t="s">
        <v>373</v>
      </c>
      <c r="O442" s="21" t="s">
        <v>2652</v>
      </c>
    </row>
    <row r="443" spans="1:15" x14ac:dyDescent="0.25">
      <c r="A443" s="21" t="s">
        <v>2653</v>
      </c>
      <c r="B443" s="21" t="s">
        <v>2654</v>
      </c>
      <c r="E443" s="21">
        <v>33825</v>
      </c>
      <c r="F443" s="21">
        <v>3600</v>
      </c>
      <c r="G443" s="21">
        <v>1057370</v>
      </c>
      <c r="H443" s="21">
        <v>2</v>
      </c>
      <c r="I443" s="21">
        <v>2</v>
      </c>
      <c r="J443" s="21">
        <v>4</v>
      </c>
      <c r="K443" s="21">
        <v>2023</v>
      </c>
      <c r="L443" s="21" t="s">
        <v>372</v>
      </c>
      <c r="M443" s="21" t="s">
        <v>372</v>
      </c>
      <c r="N443" s="21" t="s">
        <v>373</v>
      </c>
      <c r="O443" s="21" t="s">
        <v>2655</v>
      </c>
    </row>
    <row r="444" spans="1:15" x14ac:dyDescent="0.25">
      <c r="A444" s="21" t="s">
        <v>2656</v>
      </c>
      <c r="B444" s="21" t="s">
        <v>2657</v>
      </c>
      <c r="C444" s="21" t="s">
        <v>2658</v>
      </c>
      <c r="D444" s="21" t="s">
        <v>2659</v>
      </c>
      <c r="E444" s="21">
        <v>1782909</v>
      </c>
      <c r="F444" s="21">
        <v>1534180</v>
      </c>
      <c r="G444" s="21" t="s">
        <v>2660</v>
      </c>
      <c r="H444" s="21">
        <v>1</v>
      </c>
      <c r="I444" s="21">
        <v>1</v>
      </c>
      <c r="J444" s="21">
        <v>4</v>
      </c>
      <c r="K444" s="21">
        <v>2023</v>
      </c>
      <c r="L444" s="21" t="s">
        <v>372</v>
      </c>
      <c r="M444" s="21" t="s">
        <v>372</v>
      </c>
      <c r="N444" s="21" t="s">
        <v>373</v>
      </c>
      <c r="O444" s="21" t="s">
        <v>2661</v>
      </c>
    </row>
    <row r="445" spans="1:15" x14ac:dyDescent="0.25">
      <c r="A445" s="21" t="s">
        <v>2662</v>
      </c>
      <c r="B445" s="21" t="s">
        <v>2663</v>
      </c>
      <c r="C445" s="21" t="s">
        <v>2664</v>
      </c>
      <c r="D445" s="21" t="s">
        <v>2665</v>
      </c>
      <c r="E445" s="21">
        <v>14900000</v>
      </c>
      <c r="F445" s="21">
        <v>3100000</v>
      </c>
      <c r="G445" s="21" t="s">
        <v>2666</v>
      </c>
      <c r="H445" s="21">
        <v>1</v>
      </c>
      <c r="I445" s="21">
        <v>1</v>
      </c>
      <c r="J445" s="21">
        <v>4</v>
      </c>
      <c r="K445" s="21">
        <v>2023</v>
      </c>
      <c r="L445" s="21" t="s">
        <v>372</v>
      </c>
      <c r="M445" s="21" t="s">
        <v>372</v>
      </c>
      <c r="N445" s="21" t="s">
        <v>373</v>
      </c>
      <c r="O445" s="21" t="s">
        <v>2667</v>
      </c>
    </row>
    <row r="446" spans="1:15" x14ac:dyDescent="0.25">
      <c r="A446" s="21" t="s">
        <v>164</v>
      </c>
      <c r="B446" s="21" t="s">
        <v>2668</v>
      </c>
      <c r="C446" s="21" t="s">
        <v>2669</v>
      </c>
      <c r="D446" s="21" t="s">
        <v>2670</v>
      </c>
      <c r="E446" s="21">
        <v>106154</v>
      </c>
      <c r="F446" s="21">
        <v>77132</v>
      </c>
      <c r="G446" s="21" t="s">
        <v>2671</v>
      </c>
      <c r="H446" s="21">
        <v>1</v>
      </c>
      <c r="I446" s="21">
        <v>1</v>
      </c>
      <c r="J446" s="21">
        <v>4</v>
      </c>
      <c r="K446" s="21">
        <v>2023</v>
      </c>
      <c r="L446" s="21" t="s">
        <v>372</v>
      </c>
      <c r="M446" s="21" t="s">
        <v>372</v>
      </c>
      <c r="N446" s="21" t="s">
        <v>373</v>
      </c>
      <c r="O446" s="21" t="s">
        <v>260</v>
      </c>
    </row>
    <row r="447" spans="1:15" x14ac:dyDescent="0.25">
      <c r="A447" s="21" t="s">
        <v>2672</v>
      </c>
      <c r="B447" s="21" t="s">
        <v>2673</v>
      </c>
      <c r="C447" s="21" t="s">
        <v>2674</v>
      </c>
      <c r="D447" s="21" t="s">
        <v>2675</v>
      </c>
      <c r="E447" s="21">
        <v>11473</v>
      </c>
      <c r="F447" s="21">
        <v>47761</v>
      </c>
      <c r="G447" s="21" t="s">
        <v>2676</v>
      </c>
      <c r="H447" s="21">
        <v>4</v>
      </c>
      <c r="I447" s="21">
        <v>2</v>
      </c>
      <c r="J447" s="21">
        <v>4</v>
      </c>
      <c r="K447" s="21">
        <v>2023</v>
      </c>
      <c r="L447" s="21" t="s">
        <v>373</v>
      </c>
      <c r="M447" s="21" t="s">
        <v>372</v>
      </c>
      <c r="N447" s="21" t="s">
        <v>373</v>
      </c>
      <c r="O447" s="21" t="s">
        <v>2677</v>
      </c>
    </row>
    <row r="448" spans="1:15" x14ac:dyDescent="0.25">
      <c r="A448" s="21" t="s">
        <v>2678</v>
      </c>
      <c r="B448" s="21" t="s">
        <v>2679</v>
      </c>
      <c r="C448" s="21" t="s">
        <v>2680</v>
      </c>
      <c r="E448" s="21">
        <v>773934</v>
      </c>
      <c r="F448" s="21">
        <v>137081</v>
      </c>
      <c r="G448" s="21" t="s">
        <v>2681</v>
      </c>
      <c r="H448" s="21">
        <v>1</v>
      </c>
      <c r="I448" s="21">
        <v>1</v>
      </c>
      <c r="J448" s="21">
        <v>4</v>
      </c>
      <c r="K448" s="21">
        <v>2023</v>
      </c>
      <c r="L448" s="21" t="s">
        <v>372</v>
      </c>
      <c r="M448" s="21" t="s">
        <v>372</v>
      </c>
      <c r="N448" s="21" t="s">
        <v>373</v>
      </c>
      <c r="O448" s="21" t="s">
        <v>2682</v>
      </c>
    </row>
    <row r="449" spans="1:15" x14ac:dyDescent="0.25">
      <c r="A449" s="21" t="s">
        <v>71</v>
      </c>
      <c r="B449" s="21" t="s">
        <v>2683</v>
      </c>
      <c r="C449" s="21" t="s">
        <v>2684</v>
      </c>
      <c r="D449" s="21" t="s">
        <v>2685</v>
      </c>
      <c r="E449" s="21">
        <v>9113</v>
      </c>
      <c r="F449" s="21">
        <v>58550</v>
      </c>
      <c r="G449" s="21" t="s">
        <v>2686</v>
      </c>
      <c r="H449" s="21">
        <v>1</v>
      </c>
      <c r="I449" s="21">
        <v>1</v>
      </c>
      <c r="J449" s="21">
        <v>4</v>
      </c>
      <c r="K449" s="21">
        <v>2023</v>
      </c>
      <c r="L449" s="21" t="s">
        <v>372</v>
      </c>
      <c r="M449" s="21" t="s">
        <v>372</v>
      </c>
      <c r="N449" s="21" t="s">
        <v>373</v>
      </c>
      <c r="O449" s="21" t="s">
        <v>208</v>
      </c>
    </row>
    <row r="450" spans="1:15" x14ac:dyDescent="0.25">
      <c r="A450" s="21" t="s">
        <v>2687</v>
      </c>
      <c r="B450" s="21" t="s">
        <v>2688</v>
      </c>
      <c r="C450" s="21" t="s">
        <v>2689</v>
      </c>
      <c r="D450" s="21" t="s">
        <v>2690</v>
      </c>
      <c r="E450" s="21">
        <v>127981</v>
      </c>
      <c r="F450" s="21">
        <v>395947</v>
      </c>
      <c r="G450" s="21" t="s">
        <v>2691</v>
      </c>
      <c r="H450" s="21">
        <v>1</v>
      </c>
      <c r="I450" s="21">
        <v>1</v>
      </c>
      <c r="J450" s="21">
        <v>4</v>
      </c>
      <c r="K450" s="21">
        <v>2023</v>
      </c>
      <c r="L450" s="21" t="s">
        <v>372</v>
      </c>
      <c r="M450" s="21" t="s">
        <v>372</v>
      </c>
      <c r="N450" s="21" t="s">
        <v>373</v>
      </c>
      <c r="O450" s="21" t="s">
        <v>2692</v>
      </c>
    </row>
    <row r="451" spans="1:15" x14ac:dyDescent="0.25">
      <c r="A451" s="21" t="s">
        <v>2693</v>
      </c>
      <c r="B451" s="21" t="s">
        <v>2694</v>
      </c>
      <c r="C451" s="21" t="s">
        <v>2695</v>
      </c>
      <c r="D451" s="21" t="s">
        <v>2696</v>
      </c>
      <c r="E451" s="21">
        <v>40100</v>
      </c>
      <c r="F451" s="21">
        <v>20200</v>
      </c>
      <c r="G451" s="21" t="s">
        <v>2697</v>
      </c>
      <c r="H451" s="21">
        <v>1</v>
      </c>
      <c r="I451" s="21">
        <v>1</v>
      </c>
      <c r="J451" s="21">
        <v>4</v>
      </c>
      <c r="K451" s="21">
        <v>2023</v>
      </c>
      <c r="L451" s="21" t="s">
        <v>372</v>
      </c>
      <c r="M451" s="21" t="s">
        <v>372</v>
      </c>
      <c r="N451" s="21" t="s">
        <v>373</v>
      </c>
      <c r="O451" s="21" t="s">
        <v>2698</v>
      </c>
    </row>
    <row r="452" spans="1:15" x14ac:dyDescent="0.25">
      <c r="A452" s="21" t="s">
        <v>2699</v>
      </c>
      <c r="B452" s="21" t="s">
        <v>2700</v>
      </c>
      <c r="C452" s="21" t="s">
        <v>2701</v>
      </c>
      <c r="D452" s="21" t="s">
        <v>2702</v>
      </c>
      <c r="E452" s="21">
        <v>58830</v>
      </c>
      <c r="F452" s="21">
        <v>206974</v>
      </c>
      <c r="G452" s="21" t="s">
        <v>2703</v>
      </c>
      <c r="H452" s="21">
        <v>1</v>
      </c>
      <c r="I452" s="21">
        <v>1</v>
      </c>
      <c r="J452" s="21">
        <v>4</v>
      </c>
      <c r="K452" s="21">
        <v>2023</v>
      </c>
      <c r="L452" s="21" t="s">
        <v>372</v>
      </c>
      <c r="M452" s="21" t="s">
        <v>372</v>
      </c>
      <c r="N452" s="21" t="s">
        <v>373</v>
      </c>
      <c r="O452" s="21">
        <v>10792</v>
      </c>
    </row>
    <row r="453" spans="1:15" x14ac:dyDescent="0.25">
      <c r="A453" s="21" t="s">
        <v>2704</v>
      </c>
      <c r="B453" s="21" t="s">
        <v>2705</v>
      </c>
      <c r="C453" s="21" t="s">
        <v>2706</v>
      </c>
      <c r="D453" s="21" t="s">
        <v>2707</v>
      </c>
      <c r="E453" s="21">
        <v>12345</v>
      </c>
      <c r="F453" s="21">
        <v>18907</v>
      </c>
      <c r="G453" s="21" t="s">
        <v>2708</v>
      </c>
      <c r="H453" s="21">
        <v>2</v>
      </c>
      <c r="I453" s="21">
        <v>2</v>
      </c>
      <c r="J453" s="21">
        <v>4</v>
      </c>
      <c r="K453" s="21">
        <v>2023</v>
      </c>
      <c r="L453" s="21" t="s">
        <v>372</v>
      </c>
      <c r="M453" s="21" t="s">
        <v>372</v>
      </c>
      <c r="N453" s="21" t="s">
        <v>373</v>
      </c>
      <c r="O453" s="21" t="s">
        <v>2709</v>
      </c>
    </row>
    <row r="454" spans="1:15" x14ac:dyDescent="0.25">
      <c r="A454" s="21" t="s">
        <v>2710</v>
      </c>
      <c r="B454" s="21" t="s">
        <v>2711</v>
      </c>
      <c r="C454" s="21" t="s">
        <v>2712</v>
      </c>
      <c r="D454" s="21" t="s">
        <v>2713</v>
      </c>
      <c r="E454" s="21">
        <v>37316</v>
      </c>
      <c r="F454" s="21">
        <v>399182</v>
      </c>
      <c r="G454" s="21" t="s">
        <v>2714</v>
      </c>
      <c r="H454" s="21">
        <v>1</v>
      </c>
      <c r="I454" s="21">
        <v>1</v>
      </c>
      <c r="J454" s="21">
        <v>4</v>
      </c>
      <c r="K454" s="21">
        <v>2023</v>
      </c>
      <c r="L454" s="21" t="s">
        <v>372</v>
      </c>
      <c r="M454" s="21" t="s">
        <v>372</v>
      </c>
      <c r="N454" s="21" t="s">
        <v>373</v>
      </c>
      <c r="O454" s="21" t="s">
        <v>2715</v>
      </c>
    </row>
    <row r="455" spans="1:15" x14ac:dyDescent="0.25">
      <c r="A455" s="21" t="s">
        <v>96</v>
      </c>
      <c r="B455" s="21" t="s">
        <v>2716</v>
      </c>
      <c r="C455" s="21" t="s">
        <v>2717</v>
      </c>
      <c r="D455" s="21" t="s">
        <v>2718</v>
      </c>
      <c r="E455" s="21">
        <v>19733</v>
      </c>
      <c r="F455" s="21">
        <v>146243</v>
      </c>
      <c r="G455" s="21" t="s">
        <v>2719</v>
      </c>
      <c r="H455" s="21">
        <v>1</v>
      </c>
      <c r="I455" s="21">
        <v>1</v>
      </c>
      <c r="J455" s="21">
        <v>4</v>
      </c>
      <c r="K455" s="21">
        <v>2023</v>
      </c>
      <c r="L455" s="21" t="s">
        <v>372</v>
      </c>
      <c r="M455" s="21" t="s">
        <v>372</v>
      </c>
      <c r="N455" s="21" t="s">
        <v>373</v>
      </c>
      <c r="O455" s="21" t="s">
        <v>220</v>
      </c>
    </row>
    <row r="456" spans="1:15" x14ac:dyDescent="0.25">
      <c r="A456" s="21" t="s">
        <v>2720</v>
      </c>
      <c r="B456" s="21" t="s">
        <v>2721</v>
      </c>
      <c r="C456" s="21" t="s">
        <v>2722</v>
      </c>
      <c r="D456" s="21" t="s">
        <v>2723</v>
      </c>
      <c r="E456" s="21">
        <v>6682</v>
      </c>
      <c r="F456" s="21">
        <v>16798</v>
      </c>
      <c r="G456" s="21">
        <v>197471</v>
      </c>
      <c r="H456" s="21">
        <v>1</v>
      </c>
      <c r="I456" s="21">
        <v>1</v>
      </c>
      <c r="J456" s="21">
        <v>4</v>
      </c>
      <c r="K456" s="21">
        <v>2023</v>
      </c>
      <c r="L456" s="21" t="s">
        <v>372</v>
      </c>
      <c r="M456" s="21" t="s">
        <v>372</v>
      </c>
      <c r="N456" s="21" t="s">
        <v>373</v>
      </c>
      <c r="O456" s="21" t="s">
        <v>2724</v>
      </c>
    </row>
    <row r="457" spans="1:15" x14ac:dyDescent="0.25">
      <c r="A457" s="21" t="s">
        <v>2725</v>
      </c>
      <c r="B457" s="21" t="s">
        <v>2726</v>
      </c>
      <c r="C457" s="21" t="s">
        <v>2727</v>
      </c>
      <c r="D457" s="21" t="s">
        <v>2728</v>
      </c>
      <c r="E457" s="21">
        <v>8350816</v>
      </c>
      <c r="F457" s="21">
        <v>14806</v>
      </c>
      <c r="G457" s="21" t="s">
        <v>2729</v>
      </c>
      <c r="H457" s="21">
        <v>4</v>
      </c>
      <c r="I457" s="21">
        <v>2</v>
      </c>
      <c r="J457" s="21">
        <v>4</v>
      </c>
      <c r="K457" s="21">
        <v>2023</v>
      </c>
      <c r="L457" s="21" t="s">
        <v>373</v>
      </c>
      <c r="M457" s="21" t="s">
        <v>372</v>
      </c>
      <c r="N457" s="21" t="s">
        <v>373</v>
      </c>
      <c r="O457" s="21" t="s">
        <v>2730</v>
      </c>
    </row>
    <row r="458" spans="1:15" x14ac:dyDescent="0.25">
      <c r="A458" s="21" t="s">
        <v>2731</v>
      </c>
      <c r="B458" s="21" t="s">
        <v>2732</v>
      </c>
      <c r="C458" s="21" t="s">
        <v>2733</v>
      </c>
      <c r="D458" s="21" t="s">
        <v>2734</v>
      </c>
      <c r="E458" s="21">
        <v>717852</v>
      </c>
      <c r="F458" s="21">
        <v>1914189</v>
      </c>
      <c r="G458" s="21" t="s">
        <v>2735</v>
      </c>
      <c r="H458" s="21">
        <v>4</v>
      </c>
      <c r="I458" s="21">
        <v>2</v>
      </c>
      <c r="J458" s="21">
        <v>4</v>
      </c>
      <c r="K458" s="21">
        <v>2023</v>
      </c>
      <c r="L458" s="21" t="s">
        <v>373</v>
      </c>
      <c r="M458" s="21" t="s">
        <v>372</v>
      </c>
      <c r="N458" s="21" t="s">
        <v>373</v>
      </c>
      <c r="O458" s="21" t="s">
        <v>2736</v>
      </c>
    </row>
    <row r="459" spans="1:15" x14ac:dyDescent="0.25">
      <c r="A459" s="21" t="s">
        <v>2737</v>
      </c>
      <c r="B459" s="21" t="s">
        <v>2738</v>
      </c>
      <c r="C459" s="21" t="s">
        <v>2739</v>
      </c>
      <c r="D459" s="21" t="s">
        <v>2740</v>
      </c>
      <c r="E459" s="21">
        <v>213107</v>
      </c>
      <c r="F459" s="21">
        <v>213040</v>
      </c>
      <c r="G459" s="21" t="s">
        <v>2741</v>
      </c>
      <c r="H459" s="21">
        <v>1</v>
      </c>
      <c r="I459" s="21">
        <v>1</v>
      </c>
      <c r="J459" s="21">
        <v>4</v>
      </c>
      <c r="K459" s="21">
        <v>2023</v>
      </c>
      <c r="L459" s="21" t="s">
        <v>372</v>
      </c>
      <c r="M459" s="21" t="s">
        <v>372</v>
      </c>
      <c r="N459" s="21" t="s">
        <v>373</v>
      </c>
      <c r="O459" s="21">
        <v>14900</v>
      </c>
    </row>
    <row r="460" spans="1:15" x14ac:dyDescent="0.25">
      <c r="A460" s="21" t="s">
        <v>2742</v>
      </c>
      <c r="B460" s="21" t="s">
        <v>2743</v>
      </c>
      <c r="C460" s="21" t="s">
        <v>2744</v>
      </c>
      <c r="D460" s="21" t="s">
        <v>2745</v>
      </c>
      <c r="E460" s="21">
        <v>5638667</v>
      </c>
      <c r="F460" s="21">
        <v>4404600</v>
      </c>
      <c r="G460" s="21" t="s">
        <v>2746</v>
      </c>
      <c r="H460" s="21">
        <v>1</v>
      </c>
      <c r="I460" s="21">
        <v>1</v>
      </c>
      <c r="J460" s="21">
        <v>4</v>
      </c>
      <c r="K460" s="21">
        <v>2023</v>
      </c>
      <c r="L460" s="21" t="s">
        <v>372</v>
      </c>
      <c r="M460" s="21" t="s">
        <v>372</v>
      </c>
      <c r="N460" s="21" t="s">
        <v>373</v>
      </c>
      <c r="O460" s="21" t="s">
        <v>2747</v>
      </c>
    </row>
    <row r="461" spans="1:15" x14ac:dyDescent="0.25">
      <c r="A461" s="21" t="s">
        <v>2748</v>
      </c>
      <c r="B461" s="21" t="s">
        <v>2749</v>
      </c>
      <c r="C461" s="21" t="s">
        <v>2750</v>
      </c>
      <c r="D461" s="21" t="s">
        <v>2751</v>
      </c>
      <c r="E461" s="21">
        <v>265249</v>
      </c>
      <c r="F461" s="21">
        <v>695932</v>
      </c>
      <c r="G461" s="21" t="s">
        <v>2752</v>
      </c>
      <c r="H461" s="21">
        <v>1</v>
      </c>
      <c r="I461" s="21">
        <v>1</v>
      </c>
      <c r="J461" s="21">
        <v>4</v>
      </c>
      <c r="K461" s="21">
        <v>2023</v>
      </c>
      <c r="L461" s="21" t="s">
        <v>372</v>
      </c>
      <c r="M461" s="21" t="s">
        <v>372</v>
      </c>
      <c r="N461" s="21" t="s">
        <v>373</v>
      </c>
      <c r="O461" s="21" t="s">
        <v>2753</v>
      </c>
    </row>
    <row r="462" spans="1:15" x14ac:dyDescent="0.25">
      <c r="A462" s="21" t="s">
        <v>2754</v>
      </c>
      <c r="B462" s="21" t="s">
        <v>2755</v>
      </c>
      <c r="C462" s="21" t="s">
        <v>2756</v>
      </c>
      <c r="D462" s="21" t="s">
        <v>2757</v>
      </c>
      <c r="E462" s="21">
        <v>16121</v>
      </c>
      <c r="F462" s="21">
        <v>53226</v>
      </c>
      <c r="G462" s="21">
        <v>608180</v>
      </c>
      <c r="H462" s="21">
        <v>1</v>
      </c>
      <c r="I462" s="21">
        <v>1</v>
      </c>
      <c r="J462" s="21">
        <v>4</v>
      </c>
      <c r="K462" s="21">
        <v>2023</v>
      </c>
      <c r="L462" s="21" t="s">
        <v>372</v>
      </c>
      <c r="M462" s="21" t="s">
        <v>372</v>
      </c>
      <c r="N462" s="21" t="s">
        <v>373</v>
      </c>
      <c r="O462" s="21" t="s">
        <v>2758</v>
      </c>
    </row>
    <row r="463" spans="1:15" x14ac:dyDescent="0.25">
      <c r="A463" s="21" t="s">
        <v>2759</v>
      </c>
      <c r="B463" s="21" t="s">
        <v>2760</v>
      </c>
      <c r="C463" s="21" t="s">
        <v>2761</v>
      </c>
      <c r="D463" s="21" t="s">
        <v>2762</v>
      </c>
      <c r="E463" s="21">
        <v>20598</v>
      </c>
      <c r="F463" s="21">
        <v>176155</v>
      </c>
      <c r="G463" s="21">
        <v>237801</v>
      </c>
      <c r="H463" s="21">
        <v>1</v>
      </c>
      <c r="I463" s="21">
        <v>1</v>
      </c>
      <c r="J463" s="21">
        <v>4</v>
      </c>
      <c r="K463" s="21">
        <v>2023</v>
      </c>
      <c r="L463" s="21" t="s">
        <v>372</v>
      </c>
      <c r="M463" s="21" t="s">
        <v>372</v>
      </c>
      <c r="N463" s="21" t="s">
        <v>373</v>
      </c>
      <c r="O463" s="21" t="s">
        <v>2763</v>
      </c>
    </row>
    <row r="464" spans="1:15" x14ac:dyDescent="0.25">
      <c r="A464" s="21" t="s">
        <v>2764</v>
      </c>
      <c r="B464" s="21" t="s">
        <v>2765</v>
      </c>
      <c r="C464" s="21" t="s">
        <v>2766</v>
      </c>
      <c r="E464" s="21" t="s">
        <v>2767</v>
      </c>
      <c r="F464" s="21" t="s">
        <v>2768</v>
      </c>
      <c r="G464" s="21" t="s">
        <v>2769</v>
      </c>
      <c r="H464" s="21">
        <v>2</v>
      </c>
      <c r="I464" s="21">
        <v>2</v>
      </c>
      <c r="J464" s="21">
        <v>4</v>
      </c>
      <c r="K464" s="21">
        <v>2023</v>
      </c>
      <c r="L464" s="21" t="s">
        <v>372</v>
      </c>
      <c r="M464" s="21" t="s">
        <v>372</v>
      </c>
      <c r="N464" s="21" t="s">
        <v>373</v>
      </c>
      <c r="O464" s="21" t="s">
        <v>2770</v>
      </c>
    </row>
    <row r="465" spans="1:15" x14ac:dyDescent="0.25">
      <c r="A465" s="21" t="s">
        <v>162</v>
      </c>
      <c r="B465" s="21" t="s">
        <v>2771</v>
      </c>
      <c r="C465" s="21" t="s">
        <v>2772</v>
      </c>
      <c r="D465" s="21" t="s">
        <v>2773</v>
      </c>
      <c r="E465" s="21">
        <v>16813000</v>
      </c>
      <c r="F465" s="21">
        <v>20903000</v>
      </c>
      <c r="G465" s="21">
        <v>25949701</v>
      </c>
      <c r="H465" s="21">
        <v>1</v>
      </c>
      <c r="I465" s="21">
        <v>1</v>
      </c>
      <c r="J465" s="21">
        <v>1</v>
      </c>
      <c r="K465" s="21">
        <v>2023</v>
      </c>
      <c r="L465" s="21" t="s">
        <v>372</v>
      </c>
      <c r="M465" s="21" t="s">
        <v>372</v>
      </c>
      <c r="N465" s="21" t="s">
        <v>372</v>
      </c>
      <c r="O465" s="21">
        <v>59769</v>
      </c>
    </row>
    <row r="466" spans="1:15" x14ac:dyDescent="0.25">
      <c r="A466" s="21" t="s">
        <v>2774</v>
      </c>
      <c r="B466" s="21" t="s">
        <v>2775</v>
      </c>
      <c r="C466" s="21" t="s">
        <v>2776</v>
      </c>
      <c r="E466" s="21" t="s">
        <v>2777</v>
      </c>
      <c r="F466" s="21" t="s">
        <v>2778</v>
      </c>
      <c r="G466" s="21" t="s">
        <v>2779</v>
      </c>
      <c r="H466" s="21">
        <v>1</v>
      </c>
      <c r="I466" s="21">
        <v>1</v>
      </c>
      <c r="J466" s="21">
        <v>4</v>
      </c>
      <c r="K466" s="21">
        <v>2023</v>
      </c>
      <c r="L466" s="21" t="s">
        <v>372</v>
      </c>
      <c r="M466" s="21" t="s">
        <v>372</v>
      </c>
      <c r="N466" s="21" t="s">
        <v>373</v>
      </c>
      <c r="O466" s="21" t="s">
        <v>2780</v>
      </c>
    </row>
    <row r="467" spans="1:15" x14ac:dyDescent="0.25">
      <c r="A467" s="21" t="s">
        <v>2781</v>
      </c>
      <c r="B467" s="21" t="s">
        <v>2782</v>
      </c>
      <c r="C467" s="21" t="s">
        <v>2783</v>
      </c>
      <c r="E467" s="21">
        <v>5334</v>
      </c>
      <c r="F467" s="21">
        <v>8868</v>
      </c>
      <c r="G467" s="21" t="s">
        <v>2784</v>
      </c>
      <c r="H467" s="21">
        <v>1</v>
      </c>
      <c r="I467" s="21">
        <v>1</v>
      </c>
      <c r="J467" s="21">
        <v>4</v>
      </c>
      <c r="K467" s="21">
        <v>2023</v>
      </c>
      <c r="L467" s="21" t="s">
        <v>372</v>
      </c>
      <c r="M467" s="21" t="s">
        <v>372</v>
      </c>
      <c r="N467" s="21" t="s">
        <v>373</v>
      </c>
      <c r="O467" s="21" t="s">
        <v>2785</v>
      </c>
    </row>
    <row r="468" spans="1:15" x14ac:dyDescent="0.25">
      <c r="A468" s="21" t="s">
        <v>2786</v>
      </c>
      <c r="B468" s="21" t="s">
        <v>2787</v>
      </c>
      <c r="C468" s="21" t="s">
        <v>2788</v>
      </c>
      <c r="D468" s="21" t="s">
        <v>2789</v>
      </c>
      <c r="E468" s="21">
        <v>1450</v>
      </c>
      <c r="F468" s="21">
        <v>69833</v>
      </c>
      <c r="G468" s="21" t="s">
        <v>2790</v>
      </c>
      <c r="H468" s="21">
        <v>1</v>
      </c>
      <c r="I468" s="21">
        <v>1</v>
      </c>
      <c r="J468" s="21">
        <v>4</v>
      </c>
      <c r="K468" s="21">
        <v>2023</v>
      </c>
      <c r="L468" s="21" t="s">
        <v>372</v>
      </c>
      <c r="M468" s="21" t="s">
        <v>372</v>
      </c>
      <c r="N468" s="21" t="s">
        <v>373</v>
      </c>
      <c r="O468" s="21" t="s">
        <v>2791</v>
      </c>
    </row>
    <row r="469" spans="1:15" x14ac:dyDescent="0.25">
      <c r="A469" s="21" t="s">
        <v>2792</v>
      </c>
      <c r="B469" s="21" t="s">
        <v>2793</v>
      </c>
      <c r="C469" s="21" t="s">
        <v>2794</v>
      </c>
      <c r="D469" s="21" t="s">
        <v>2795</v>
      </c>
      <c r="E469" s="21">
        <v>23</v>
      </c>
      <c r="F469" s="21">
        <v>88</v>
      </c>
      <c r="G469" s="21" t="s">
        <v>2796</v>
      </c>
      <c r="H469" s="21">
        <v>1</v>
      </c>
      <c r="I469" s="21">
        <v>1</v>
      </c>
      <c r="J469" s="21">
        <v>4</v>
      </c>
      <c r="K469" s="21">
        <v>2023</v>
      </c>
      <c r="L469" s="21" t="s">
        <v>372</v>
      </c>
      <c r="M469" s="21" t="s">
        <v>372</v>
      </c>
      <c r="N469" s="21" t="s">
        <v>373</v>
      </c>
      <c r="O469" s="21" t="s">
        <v>2797</v>
      </c>
    </row>
    <row r="470" spans="1:15" x14ac:dyDescent="0.25">
      <c r="A470" s="21" t="s">
        <v>2798</v>
      </c>
      <c r="B470" s="21" t="s">
        <v>2799</v>
      </c>
      <c r="C470" s="21" t="s">
        <v>2800</v>
      </c>
      <c r="D470" s="21" t="s">
        <v>2801</v>
      </c>
      <c r="E470" s="21">
        <v>4187489</v>
      </c>
      <c r="F470" s="21">
        <v>2027270</v>
      </c>
      <c r="G470" s="21" t="s">
        <v>2802</v>
      </c>
      <c r="H470" s="21">
        <v>1</v>
      </c>
      <c r="I470" s="21">
        <v>1</v>
      </c>
      <c r="J470" s="21">
        <v>4</v>
      </c>
      <c r="K470" s="21">
        <v>2023</v>
      </c>
      <c r="L470" s="21" t="s">
        <v>372</v>
      </c>
      <c r="M470" s="21" t="s">
        <v>372</v>
      </c>
      <c r="N470" s="21" t="s">
        <v>373</v>
      </c>
      <c r="O470" s="21" t="s">
        <v>2803</v>
      </c>
    </row>
    <row r="471" spans="1:15" x14ac:dyDescent="0.25">
      <c r="A471" s="21" t="s">
        <v>2804</v>
      </c>
      <c r="B471" s="21" t="s">
        <v>2805</v>
      </c>
      <c r="D471" s="21" t="s">
        <v>2806</v>
      </c>
      <c r="E471" s="21">
        <v>776529</v>
      </c>
      <c r="F471" s="21">
        <v>518631</v>
      </c>
      <c r="G471" s="21" t="s">
        <v>2807</v>
      </c>
      <c r="H471" s="21">
        <v>1</v>
      </c>
      <c r="I471" s="21">
        <v>1</v>
      </c>
      <c r="J471" s="21">
        <v>4</v>
      </c>
      <c r="K471" s="21">
        <v>2023</v>
      </c>
      <c r="L471" s="21" t="s">
        <v>372</v>
      </c>
      <c r="M471" s="21" t="s">
        <v>372</v>
      </c>
      <c r="N471" s="21" t="s">
        <v>373</v>
      </c>
      <c r="O471" s="21" t="s">
        <v>2808</v>
      </c>
    </row>
    <row r="472" spans="1:15" x14ac:dyDescent="0.25">
      <c r="A472" s="21" t="s">
        <v>2809</v>
      </c>
      <c r="B472" s="21" t="s">
        <v>2810</v>
      </c>
      <c r="C472" s="21" t="s">
        <v>2811</v>
      </c>
      <c r="D472" s="21" t="s">
        <v>2812</v>
      </c>
      <c r="E472" s="21">
        <v>13762</v>
      </c>
      <c r="F472" s="21">
        <v>12734</v>
      </c>
      <c r="G472" s="21" t="s">
        <v>2813</v>
      </c>
      <c r="H472" s="21">
        <v>1</v>
      </c>
      <c r="I472" s="21">
        <v>1</v>
      </c>
      <c r="J472" s="21">
        <v>4</v>
      </c>
      <c r="K472" s="21">
        <v>2023</v>
      </c>
      <c r="L472" s="21" t="s">
        <v>372</v>
      </c>
      <c r="M472" s="21" t="s">
        <v>372</v>
      </c>
      <c r="N472" s="21" t="s">
        <v>373</v>
      </c>
      <c r="O472" s="21" t="s">
        <v>2814</v>
      </c>
    </row>
    <row r="473" spans="1:15" x14ac:dyDescent="0.25">
      <c r="A473" s="21" t="s">
        <v>2815</v>
      </c>
      <c r="B473" s="21" t="s">
        <v>2816</v>
      </c>
      <c r="C473" s="21" t="s">
        <v>2817</v>
      </c>
      <c r="D473" s="21" t="s">
        <v>2818</v>
      </c>
      <c r="E473" s="21">
        <v>93646</v>
      </c>
      <c r="F473" s="21">
        <v>1755407</v>
      </c>
      <c r="G473" s="21" t="s">
        <v>2819</v>
      </c>
      <c r="H473" s="21">
        <v>1</v>
      </c>
      <c r="I473" s="21">
        <v>1</v>
      </c>
      <c r="J473" s="21">
        <v>4</v>
      </c>
      <c r="K473" s="21">
        <v>2023</v>
      </c>
      <c r="L473" s="21" t="s">
        <v>372</v>
      </c>
      <c r="M473" s="21" t="s">
        <v>372</v>
      </c>
      <c r="N473" s="21" t="s">
        <v>373</v>
      </c>
      <c r="O473" s="21" t="s">
        <v>2820</v>
      </c>
    </row>
    <row r="474" spans="1:15" x14ac:dyDescent="0.25">
      <c r="A474" s="21" t="s">
        <v>74</v>
      </c>
      <c r="B474" s="21" t="s">
        <v>2821</v>
      </c>
      <c r="C474" s="21" t="s">
        <v>2822</v>
      </c>
      <c r="D474" s="21" t="s">
        <v>2823</v>
      </c>
      <c r="E474" s="21">
        <v>67393</v>
      </c>
      <c r="F474" s="21">
        <v>392766</v>
      </c>
      <c r="G474" s="21" t="s">
        <v>2824</v>
      </c>
      <c r="H474" s="21">
        <v>1</v>
      </c>
      <c r="I474" s="21">
        <v>1</v>
      </c>
      <c r="J474" s="21">
        <v>4</v>
      </c>
      <c r="K474" s="21">
        <v>2023</v>
      </c>
      <c r="L474" s="21" t="s">
        <v>372</v>
      </c>
      <c r="M474" s="21" t="s">
        <v>372</v>
      </c>
      <c r="N474" s="21" t="s">
        <v>373</v>
      </c>
      <c r="O474" s="21">
        <v>110591</v>
      </c>
    </row>
    <row r="475" spans="1:15" x14ac:dyDescent="0.25">
      <c r="A475" s="21" t="s">
        <v>2825</v>
      </c>
      <c r="B475" s="21" t="s">
        <v>2826</v>
      </c>
      <c r="C475" s="21" t="s">
        <v>2827</v>
      </c>
      <c r="D475" s="21" t="s">
        <v>2828</v>
      </c>
      <c r="E475" s="21">
        <v>4379</v>
      </c>
      <c r="F475" s="21">
        <v>11617</v>
      </c>
      <c r="G475" s="21">
        <v>22905</v>
      </c>
      <c r="H475" s="21">
        <v>4</v>
      </c>
      <c r="I475" s="21">
        <v>2</v>
      </c>
      <c r="J475" s="21">
        <v>4</v>
      </c>
      <c r="K475" s="21">
        <v>2023</v>
      </c>
      <c r="L475" s="21" t="s">
        <v>373</v>
      </c>
      <c r="M475" s="21" t="s">
        <v>372</v>
      </c>
      <c r="N475" s="21" t="s">
        <v>373</v>
      </c>
      <c r="O475" s="21" t="s">
        <v>2829</v>
      </c>
    </row>
    <row r="476" spans="1:15" x14ac:dyDescent="0.25">
      <c r="A476" s="21" t="s">
        <v>2830</v>
      </c>
      <c r="B476" s="21" t="s">
        <v>2831</v>
      </c>
      <c r="C476" s="21" t="s">
        <v>2832</v>
      </c>
      <c r="D476" s="21" t="s">
        <v>2833</v>
      </c>
      <c r="E476" s="21">
        <v>14718006</v>
      </c>
      <c r="F476" s="21">
        <v>6939829</v>
      </c>
      <c r="G476" s="21" t="s">
        <v>2834</v>
      </c>
      <c r="H476" s="21">
        <v>1</v>
      </c>
      <c r="I476" s="21">
        <v>1</v>
      </c>
      <c r="J476" s="21">
        <v>4</v>
      </c>
      <c r="K476" s="21">
        <v>2023</v>
      </c>
      <c r="L476" s="21" t="s">
        <v>372</v>
      </c>
      <c r="M476" s="21" t="s">
        <v>372</v>
      </c>
      <c r="N476" s="21" t="s">
        <v>373</v>
      </c>
      <c r="O476" s="21" t="s">
        <v>2835</v>
      </c>
    </row>
    <row r="477" spans="1:15" x14ac:dyDescent="0.25">
      <c r="A477" s="21" t="s">
        <v>154</v>
      </c>
      <c r="B477" s="21" t="s">
        <v>2836</v>
      </c>
      <c r="C477" s="21" t="s">
        <v>2837</v>
      </c>
      <c r="D477" s="21" t="s">
        <v>2838</v>
      </c>
      <c r="E477" s="21">
        <v>34149590</v>
      </c>
      <c r="F477" s="21">
        <v>356538</v>
      </c>
      <c r="G477" s="21" t="s">
        <v>2839</v>
      </c>
      <c r="H477" s="21">
        <v>1</v>
      </c>
      <c r="I477" s="21">
        <v>1</v>
      </c>
      <c r="J477" s="21">
        <v>4</v>
      </c>
      <c r="K477" s="21">
        <v>2023</v>
      </c>
      <c r="L477" s="21" t="s">
        <v>372</v>
      </c>
      <c r="M477" s="21" t="s">
        <v>372</v>
      </c>
      <c r="N477" s="21" t="s">
        <v>373</v>
      </c>
      <c r="O477" s="21" t="s">
        <v>255</v>
      </c>
    </row>
    <row r="478" spans="1:15" x14ac:dyDescent="0.25">
      <c r="A478" s="21" t="s">
        <v>2840</v>
      </c>
      <c r="B478" s="21" t="s">
        <v>2841</v>
      </c>
      <c r="C478" s="21" t="s">
        <v>2842</v>
      </c>
      <c r="E478" s="21">
        <v>9751</v>
      </c>
      <c r="F478" s="21">
        <v>5650</v>
      </c>
      <c r="G478" s="21" t="s">
        <v>2843</v>
      </c>
      <c r="H478" s="21">
        <v>1</v>
      </c>
      <c r="I478" s="21">
        <v>1</v>
      </c>
      <c r="J478" s="21">
        <v>4</v>
      </c>
      <c r="K478" s="21">
        <v>2023</v>
      </c>
      <c r="L478" s="21" t="s">
        <v>372</v>
      </c>
      <c r="M478" s="21" t="s">
        <v>372</v>
      </c>
      <c r="N478" s="21" t="s">
        <v>373</v>
      </c>
      <c r="O478" s="21" t="s">
        <v>2844</v>
      </c>
    </row>
    <row r="479" spans="1:15" x14ac:dyDescent="0.25">
      <c r="A479" s="21" t="s">
        <v>2845</v>
      </c>
      <c r="B479" s="21" t="s">
        <v>2846</v>
      </c>
      <c r="C479" s="21" t="s">
        <v>2847</v>
      </c>
      <c r="D479" s="21" t="s">
        <v>2848</v>
      </c>
      <c r="E479" s="21">
        <v>8917</v>
      </c>
      <c r="F479" s="21">
        <v>8167</v>
      </c>
      <c r="G479" s="21" t="s">
        <v>2849</v>
      </c>
      <c r="H479" s="21">
        <v>1</v>
      </c>
      <c r="I479" s="21">
        <v>1</v>
      </c>
      <c r="J479" s="21">
        <v>4</v>
      </c>
      <c r="K479" s="21">
        <v>2023</v>
      </c>
      <c r="L479" s="21" t="s">
        <v>372</v>
      </c>
      <c r="M479" s="21" t="s">
        <v>372</v>
      </c>
      <c r="N479" s="21" t="s">
        <v>373</v>
      </c>
      <c r="O479" s="21" t="s">
        <v>2850</v>
      </c>
    </row>
    <row r="480" spans="1:15" x14ac:dyDescent="0.25">
      <c r="A480" s="21" t="s">
        <v>2851</v>
      </c>
      <c r="B480" s="21" t="s">
        <v>2852</v>
      </c>
      <c r="C480" s="21" t="s">
        <v>2853</v>
      </c>
      <c r="D480" s="21" t="s">
        <v>2854</v>
      </c>
      <c r="E480" s="21">
        <v>20528</v>
      </c>
      <c r="F480" s="21">
        <v>28721</v>
      </c>
      <c r="G480" s="21" t="s">
        <v>2855</v>
      </c>
      <c r="H480" s="21">
        <v>4</v>
      </c>
      <c r="I480" s="21">
        <v>2</v>
      </c>
      <c r="J480" s="21">
        <v>4</v>
      </c>
      <c r="K480" s="21">
        <v>2023</v>
      </c>
      <c r="L480" s="21" t="s">
        <v>373</v>
      </c>
      <c r="M480" s="21" t="s">
        <v>372</v>
      </c>
      <c r="N480" s="21" t="s">
        <v>373</v>
      </c>
      <c r="O480" s="21" t="s">
        <v>2856</v>
      </c>
    </row>
    <row r="481" spans="1:15" x14ac:dyDescent="0.25">
      <c r="A481" s="21" t="s">
        <v>2857</v>
      </c>
      <c r="B481" s="21" t="s">
        <v>2858</v>
      </c>
      <c r="C481" s="21" t="s">
        <v>2859</v>
      </c>
      <c r="D481" s="21" t="s">
        <v>2860</v>
      </c>
      <c r="E481" s="21">
        <v>330212</v>
      </c>
      <c r="F481" s="21">
        <v>188242</v>
      </c>
      <c r="G481" s="21" t="s">
        <v>2861</v>
      </c>
      <c r="H481" s="21">
        <v>1</v>
      </c>
      <c r="I481" s="21">
        <v>1</v>
      </c>
      <c r="J481" s="21">
        <v>4</v>
      </c>
      <c r="K481" s="21">
        <v>2023</v>
      </c>
      <c r="L481" s="21" t="s">
        <v>372</v>
      </c>
      <c r="M481" s="21" t="s">
        <v>372</v>
      </c>
      <c r="N481" s="21" t="s">
        <v>373</v>
      </c>
      <c r="O481" s="21" t="s">
        <v>2862</v>
      </c>
    </row>
    <row r="482" spans="1:15" x14ac:dyDescent="0.25">
      <c r="A482" s="21" t="s">
        <v>2863</v>
      </c>
      <c r="B482" s="21" t="s">
        <v>2864</v>
      </c>
      <c r="C482" s="21" t="s">
        <v>2865</v>
      </c>
      <c r="D482" s="21" t="s">
        <v>2866</v>
      </c>
      <c r="E482" s="21">
        <v>20368</v>
      </c>
      <c r="F482" s="21">
        <v>21050</v>
      </c>
      <c r="G482" s="21" t="s">
        <v>2867</v>
      </c>
      <c r="H482" s="21">
        <v>4</v>
      </c>
      <c r="I482" s="21">
        <v>2</v>
      </c>
      <c r="J482" s="21">
        <v>4</v>
      </c>
      <c r="K482" s="21">
        <v>2023</v>
      </c>
      <c r="L482" s="21" t="s">
        <v>373</v>
      </c>
      <c r="M482" s="21" t="s">
        <v>372</v>
      </c>
      <c r="N482" s="21" t="s">
        <v>373</v>
      </c>
      <c r="O482" s="21" t="s">
        <v>2868</v>
      </c>
    </row>
    <row r="483" spans="1:15" x14ac:dyDescent="0.25">
      <c r="A483" s="21" t="s">
        <v>2869</v>
      </c>
      <c r="B483" s="21" t="s">
        <v>2870</v>
      </c>
      <c r="C483" s="21" t="s">
        <v>2871</v>
      </c>
      <c r="D483" s="21" t="s">
        <v>2872</v>
      </c>
      <c r="E483" s="21">
        <v>1000124</v>
      </c>
      <c r="F483" s="21">
        <v>278314</v>
      </c>
      <c r="G483" s="21" t="s">
        <v>2873</v>
      </c>
      <c r="H483" s="21">
        <v>2</v>
      </c>
      <c r="I483" s="21">
        <v>2</v>
      </c>
      <c r="J483" s="21">
        <v>4</v>
      </c>
      <c r="K483" s="21">
        <v>2023</v>
      </c>
      <c r="L483" s="21" t="s">
        <v>372</v>
      </c>
      <c r="M483" s="21" t="s">
        <v>372</v>
      </c>
      <c r="N483" s="21" t="s">
        <v>373</v>
      </c>
      <c r="O483" s="21" t="s">
        <v>2874</v>
      </c>
    </row>
    <row r="484" spans="1:15" x14ac:dyDescent="0.25">
      <c r="A484" s="21" t="s">
        <v>2875</v>
      </c>
      <c r="B484" s="21" t="s">
        <v>2876</v>
      </c>
      <c r="C484" s="21" t="s">
        <v>2877</v>
      </c>
      <c r="D484" s="21" t="s">
        <v>2878</v>
      </c>
      <c r="E484" s="21">
        <v>4769</v>
      </c>
      <c r="F484" s="21">
        <v>51233</v>
      </c>
      <c r="G484" s="21" t="s">
        <v>2879</v>
      </c>
      <c r="H484" s="21">
        <v>1</v>
      </c>
      <c r="I484" s="21">
        <v>1</v>
      </c>
      <c r="J484" s="21">
        <v>4</v>
      </c>
      <c r="K484" s="21">
        <v>2023</v>
      </c>
      <c r="L484" s="21" t="s">
        <v>372</v>
      </c>
      <c r="M484" s="21" t="s">
        <v>372</v>
      </c>
      <c r="N484" s="21" t="s">
        <v>373</v>
      </c>
      <c r="O484" s="21" t="s">
        <v>2880</v>
      </c>
    </row>
    <row r="485" spans="1:15" x14ac:dyDescent="0.25">
      <c r="A485" s="21" t="s">
        <v>2881</v>
      </c>
      <c r="B485" s="21" t="s">
        <v>2882</v>
      </c>
      <c r="C485" s="21" t="s">
        <v>2883</v>
      </c>
      <c r="D485" s="21" t="s">
        <v>2884</v>
      </c>
      <c r="E485" s="21">
        <v>79292</v>
      </c>
      <c r="F485" s="21">
        <v>144820</v>
      </c>
      <c r="G485" s="21" t="s">
        <v>2885</v>
      </c>
      <c r="H485" s="21">
        <v>1</v>
      </c>
      <c r="I485" s="21">
        <v>1</v>
      </c>
      <c r="J485" s="21">
        <v>4</v>
      </c>
      <c r="K485" s="21">
        <v>2023</v>
      </c>
      <c r="L485" s="21" t="s">
        <v>372</v>
      </c>
      <c r="M485" s="21" t="s">
        <v>372</v>
      </c>
      <c r="N485" s="21" t="s">
        <v>373</v>
      </c>
      <c r="O485" s="21" t="s">
        <v>2886</v>
      </c>
    </row>
    <row r="486" spans="1:15" x14ac:dyDescent="0.25">
      <c r="A486" s="21" t="s">
        <v>2887</v>
      </c>
      <c r="B486" s="21" t="s">
        <v>2888</v>
      </c>
      <c r="C486" s="21" t="s">
        <v>2889</v>
      </c>
      <c r="D486" s="21" t="s">
        <v>2890</v>
      </c>
      <c r="E486" s="21">
        <v>673</v>
      </c>
      <c r="F486" s="21">
        <v>3812</v>
      </c>
      <c r="G486" s="21">
        <v>82377</v>
      </c>
      <c r="H486" s="21">
        <v>1</v>
      </c>
      <c r="I486" s="21">
        <v>1</v>
      </c>
      <c r="J486" s="21">
        <v>1</v>
      </c>
      <c r="K486" s="21">
        <v>2023</v>
      </c>
      <c r="L486" s="21" t="s">
        <v>372</v>
      </c>
      <c r="M486" s="21" t="s">
        <v>372</v>
      </c>
      <c r="N486" s="21" t="s">
        <v>372</v>
      </c>
      <c r="O486" s="21" t="s">
        <v>2891</v>
      </c>
    </row>
    <row r="487" spans="1:15" x14ac:dyDescent="0.25">
      <c r="A487" s="21" t="s">
        <v>2892</v>
      </c>
      <c r="B487" s="21" t="s">
        <v>2893</v>
      </c>
      <c r="C487" s="21" t="s">
        <v>2894</v>
      </c>
      <c r="D487" s="21" t="s">
        <v>2895</v>
      </c>
      <c r="E487" s="21">
        <v>131601</v>
      </c>
      <c r="F487" s="21">
        <v>208736</v>
      </c>
      <c r="G487" s="21">
        <v>5084071</v>
      </c>
      <c r="H487" s="21">
        <v>1</v>
      </c>
      <c r="I487" s="21">
        <v>1</v>
      </c>
      <c r="J487" s="21">
        <v>4</v>
      </c>
      <c r="K487" s="21">
        <v>2023</v>
      </c>
      <c r="L487" s="21" t="s">
        <v>372</v>
      </c>
      <c r="M487" s="21" t="s">
        <v>372</v>
      </c>
      <c r="N487" s="21" t="s">
        <v>373</v>
      </c>
      <c r="O487" s="21" t="s">
        <v>2896</v>
      </c>
    </row>
    <row r="488" spans="1:15" x14ac:dyDescent="0.25">
      <c r="A488" s="21" t="s">
        <v>2897</v>
      </c>
      <c r="B488" s="21" t="s">
        <v>2898</v>
      </c>
      <c r="C488" s="21" t="s">
        <v>2899</v>
      </c>
      <c r="E488" s="21" t="s">
        <v>2900</v>
      </c>
      <c r="F488" s="21" t="s">
        <v>2901</v>
      </c>
      <c r="G488" s="21" t="s">
        <v>2902</v>
      </c>
      <c r="H488" s="21">
        <v>2</v>
      </c>
      <c r="I488" s="21">
        <v>2</v>
      </c>
      <c r="J488" s="21">
        <v>4</v>
      </c>
      <c r="K488" s="21">
        <v>2023</v>
      </c>
      <c r="L488" s="21" t="s">
        <v>372</v>
      </c>
      <c r="M488" s="21" t="s">
        <v>372</v>
      </c>
      <c r="N488" s="21" t="s">
        <v>373</v>
      </c>
      <c r="O488" s="21" t="s">
        <v>2903</v>
      </c>
    </row>
    <row r="489" spans="1:15" x14ac:dyDescent="0.25">
      <c r="A489" s="21" t="s">
        <v>2904</v>
      </c>
      <c r="B489" s="21" t="s">
        <v>2905</v>
      </c>
      <c r="C489" s="21" t="s">
        <v>2906</v>
      </c>
      <c r="D489" s="21" t="s">
        <v>2907</v>
      </c>
      <c r="E489" s="21">
        <v>33107</v>
      </c>
      <c r="F489" s="21">
        <v>86298</v>
      </c>
      <c r="G489" s="21" t="s">
        <v>2908</v>
      </c>
      <c r="H489" s="21">
        <v>2</v>
      </c>
      <c r="I489" s="21">
        <v>2</v>
      </c>
      <c r="J489" s="21">
        <v>4</v>
      </c>
      <c r="K489" s="21">
        <v>2023</v>
      </c>
      <c r="L489" s="21" t="s">
        <v>372</v>
      </c>
      <c r="M489" s="21" t="s">
        <v>372</v>
      </c>
      <c r="N489" s="21" t="s">
        <v>373</v>
      </c>
      <c r="O489" s="21" t="s">
        <v>2909</v>
      </c>
    </row>
    <row r="490" spans="1:15" x14ac:dyDescent="0.25">
      <c r="A490" s="21" t="s">
        <v>2910</v>
      </c>
      <c r="B490" s="21" t="s">
        <v>2911</v>
      </c>
      <c r="C490" s="21" t="s">
        <v>2912</v>
      </c>
      <c r="D490" s="21" t="s">
        <v>2913</v>
      </c>
      <c r="E490" s="21">
        <v>359880</v>
      </c>
      <c r="F490" s="21">
        <v>17844</v>
      </c>
      <c r="G490" s="21" t="s">
        <v>2914</v>
      </c>
      <c r="H490" s="21">
        <v>1</v>
      </c>
      <c r="I490" s="21">
        <v>2</v>
      </c>
      <c r="J490" s="21">
        <v>4</v>
      </c>
      <c r="K490" s="21">
        <v>2023</v>
      </c>
      <c r="L490" s="21" t="s">
        <v>372</v>
      </c>
      <c r="M490" s="21" t="s">
        <v>372</v>
      </c>
      <c r="N490" s="21" t="s">
        <v>373</v>
      </c>
      <c r="O490" s="21" t="s">
        <v>2915</v>
      </c>
    </row>
    <row r="491" spans="1:15" x14ac:dyDescent="0.25">
      <c r="A491" s="21" t="s">
        <v>2916</v>
      </c>
      <c r="B491" s="21" t="s">
        <v>2917</v>
      </c>
      <c r="C491" s="21" t="s">
        <v>2918</v>
      </c>
      <c r="D491" s="21" t="s">
        <v>2919</v>
      </c>
      <c r="E491" s="21">
        <v>712400</v>
      </c>
      <c r="F491" s="21">
        <v>352000</v>
      </c>
      <c r="G491" s="21" t="s">
        <v>2920</v>
      </c>
      <c r="H491" s="21">
        <v>1</v>
      </c>
      <c r="I491" s="21">
        <v>1</v>
      </c>
      <c r="J491" s="21">
        <v>4</v>
      </c>
      <c r="K491" s="21">
        <v>2023</v>
      </c>
      <c r="L491" s="21" t="s">
        <v>372</v>
      </c>
      <c r="M491" s="21" t="s">
        <v>372</v>
      </c>
      <c r="N491" s="21" t="s">
        <v>373</v>
      </c>
      <c r="O491" s="21" t="s">
        <v>2921</v>
      </c>
    </row>
    <row r="492" spans="1:15" x14ac:dyDescent="0.25">
      <c r="A492" s="21" t="s">
        <v>169</v>
      </c>
      <c r="B492" s="21" t="s">
        <v>2922</v>
      </c>
      <c r="C492" s="21" t="s">
        <v>2923</v>
      </c>
      <c r="D492" s="21" t="s">
        <v>2924</v>
      </c>
      <c r="E492" s="21">
        <v>1424614</v>
      </c>
      <c r="F492" s="21">
        <v>377382</v>
      </c>
      <c r="G492" s="21" t="s">
        <v>2925</v>
      </c>
      <c r="H492" s="21">
        <v>1</v>
      </c>
      <c r="I492" s="21">
        <v>1</v>
      </c>
      <c r="J492" s="21">
        <v>4</v>
      </c>
      <c r="K492" s="21">
        <v>2023</v>
      </c>
      <c r="L492" s="21" t="s">
        <v>372</v>
      </c>
      <c r="M492" s="21" t="s">
        <v>372</v>
      </c>
      <c r="N492" s="21" t="s">
        <v>373</v>
      </c>
      <c r="O492" s="21">
        <v>40288</v>
      </c>
    </row>
    <row r="493" spans="1:15" x14ac:dyDescent="0.25">
      <c r="A493" s="21" t="s">
        <v>107</v>
      </c>
      <c r="B493" s="21" t="s">
        <v>2926</v>
      </c>
      <c r="C493" s="21" t="s">
        <v>2927</v>
      </c>
      <c r="D493" s="21" t="s">
        <v>2928</v>
      </c>
      <c r="E493" s="21">
        <v>2670</v>
      </c>
      <c r="F493" s="21">
        <v>14540</v>
      </c>
      <c r="G493" s="21">
        <v>146471</v>
      </c>
      <c r="H493" s="21">
        <v>1</v>
      </c>
      <c r="I493" s="21">
        <v>1</v>
      </c>
      <c r="J493" s="21">
        <v>4</v>
      </c>
      <c r="K493" s="21">
        <v>2023</v>
      </c>
      <c r="L493" s="21" t="s">
        <v>372</v>
      </c>
      <c r="M493" s="21" t="s">
        <v>372</v>
      </c>
      <c r="N493" s="21" t="s">
        <v>373</v>
      </c>
      <c r="O493" s="21" t="s">
        <v>227</v>
      </c>
    </row>
    <row r="494" spans="1:15" x14ac:dyDescent="0.25">
      <c r="A494" s="21" t="s">
        <v>81</v>
      </c>
      <c r="B494" s="21" t="s">
        <v>2929</v>
      </c>
      <c r="C494" s="21" t="s">
        <v>2930</v>
      </c>
      <c r="D494" s="21" t="s">
        <v>2931</v>
      </c>
      <c r="E494" s="21">
        <v>451140</v>
      </c>
      <c r="F494" s="21">
        <v>636016</v>
      </c>
      <c r="G494" s="21" t="s">
        <v>2932</v>
      </c>
      <c r="H494" s="21">
        <v>1</v>
      </c>
      <c r="I494" s="21">
        <v>1</v>
      </c>
      <c r="J494" s="21">
        <v>4</v>
      </c>
      <c r="K494" s="21">
        <v>2023</v>
      </c>
      <c r="L494" s="21" t="s">
        <v>372</v>
      </c>
      <c r="M494" s="21" t="s">
        <v>372</v>
      </c>
      <c r="N494" s="21" t="s">
        <v>373</v>
      </c>
      <c r="O494" s="21">
        <v>5688</v>
      </c>
    </row>
    <row r="495" spans="1:15" x14ac:dyDescent="0.25">
      <c r="A495" s="21" t="s">
        <v>2933</v>
      </c>
      <c r="B495" s="21" t="s">
        <v>2934</v>
      </c>
      <c r="C495" s="21" t="s">
        <v>2935</v>
      </c>
      <c r="D495" s="21" t="s">
        <v>2936</v>
      </c>
      <c r="E495" s="21">
        <v>8671</v>
      </c>
      <c r="F495" s="21">
        <v>21932</v>
      </c>
      <c r="G495" s="21" t="s">
        <v>2937</v>
      </c>
      <c r="H495" s="21">
        <v>4</v>
      </c>
      <c r="I495" s="21">
        <v>2</v>
      </c>
      <c r="J495" s="21">
        <v>4</v>
      </c>
      <c r="K495" s="21">
        <v>2023</v>
      </c>
      <c r="L495" s="21" t="s">
        <v>373</v>
      </c>
      <c r="M495" s="21" t="s">
        <v>372</v>
      </c>
      <c r="N495" s="21" t="s">
        <v>373</v>
      </c>
      <c r="O495" s="21" t="s">
        <v>2938</v>
      </c>
    </row>
    <row r="496" spans="1:15" x14ac:dyDescent="0.25">
      <c r="A496" s="21" t="s">
        <v>70</v>
      </c>
      <c r="B496" s="21" t="s">
        <v>2939</v>
      </c>
      <c r="C496" s="21" t="s">
        <v>2940</v>
      </c>
      <c r="D496" s="21" t="s">
        <v>2941</v>
      </c>
      <c r="E496" s="21">
        <v>1177326</v>
      </c>
      <c r="F496" s="21">
        <v>1824809</v>
      </c>
      <c r="G496" s="21">
        <v>145425095</v>
      </c>
      <c r="H496" s="21">
        <v>1</v>
      </c>
      <c r="I496" s="21">
        <v>1</v>
      </c>
      <c r="J496" s="21">
        <v>4</v>
      </c>
      <c r="K496" s="21">
        <v>2023</v>
      </c>
      <c r="L496" s="21" t="s">
        <v>372</v>
      </c>
      <c r="M496" s="21" t="s">
        <v>372</v>
      </c>
      <c r="N496" s="21" t="s">
        <v>373</v>
      </c>
      <c r="O496" s="21">
        <v>26073</v>
      </c>
    </row>
    <row r="497" spans="1:15" x14ac:dyDescent="0.25">
      <c r="A497" s="21" t="s">
        <v>2942</v>
      </c>
      <c r="B497" s="21" t="s">
        <v>2943</v>
      </c>
      <c r="C497" s="21" t="s">
        <v>2944</v>
      </c>
      <c r="D497" s="21" t="s">
        <v>2945</v>
      </c>
      <c r="E497" s="21">
        <v>2698572</v>
      </c>
      <c r="F497" s="21">
        <v>3936763</v>
      </c>
      <c r="G497" s="21">
        <v>3568568</v>
      </c>
      <c r="H497" s="21">
        <v>1</v>
      </c>
      <c r="I497" s="21">
        <v>1</v>
      </c>
      <c r="J497" s="21">
        <v>1</v>
      </c>
      <c r="K497" s="21">
        <v>2023</v>
      </c>
      <c r="L497" s="21" t="s">
        <v>372</v>
      </c>
      <c r="M497" s="21" t="s">
        <v>372</v>
      </c>
      <c r="N497" s="21" t="s">
        <v>372</v>
      </c>
      <c r="O497" s="21" t="s">
        <v>2946</v>
      </c>
    </row>
    <row r="498" spans="1:15" x14ac:dyDescent="0.25">
      <c r="A498" s="21" t="s">
        <v>2947</v>
      </c>
      <c r="B498" s="21" t="s">
        <v>2948</v>
      </c>
      <c r="C498" s="21" t="s">
        <v>2949</v>
      </c>
      <c r="D498" s="21" t="s">
        <v>2950</v>
      </c>
      <c r="E498" s="21">
        <v>139413</v>
      </c>
      <c r="F498" s="21">
        <v>6381250</v>
      </c>
      <c r="G498" s="21">
        <v>12102000</v>
      </c>
      <c r="H498" s="21">
        <v>1</v>
      </c>
      <c r="I498" s="21">
        <v>1</v>
      </c>
      <c r="J498" s="21">
        <v>1</v>
      </c>
      <c r="K498" s="21">
        <v>2023</v>
      </c>
      <c r="L498" s="21" t="s">
        <v>372</v>
      </c>
      <c r="M498" s="21" t="s">
        <v>372</v>
      </c>
      <c r="N498" s="21" t="s">
        <v>372</v>
      </c>
      <c r="O498" s="21" t="s">
        <v>2951</v>
      </c>
    </row>
    <row r="499" spans="1:15" x14ac:dyDescent="0.25">
      <c r="A499" s="21" t="s">
        <v>2952</v>
      </c>
      <c r="B499" s="21" t="s">
        <v>2953</v>
      </c>
      <c r="C499" s="21" t="s">
        <v>2954</v>
      </c>
      <c r="D499" s="21" t="s">
        <v>2955</v>
      </c>
      <c r="E499" s="21">
        <v>129400</v>
      </c>
      <c r="F499" s="21">
        <v>1376477</v>
      </c>
      <c r="G499" s="21" t="s">
        <v>2956</v>
      </c>
      <c r="H499" s="21">
        <v>2</v>
      </c>
      <c r="I499" s="21">
        <v>2</v>
      </c>
      <c r="J499" s="21">
        <v>4</v>
      </c>
      <c r="K499" s="21">
        <v>2023</v>
      </c>
      <c r="L499" s="21" t="s">
        <v>372</v>
      </c>
      <c r="M499" s="21" t="s">
        <v>372</v>
      </c>
      <c r="N499" s="21" t="s">
        <v>373</v>
      </c>
      <c r="O499" s="21" t="s">
        <v>2957</v>
      </c>
    </row>
    <row r="500" spans="1:15" x14ac:dyDescent="0.25">
      <c r="A500" s="21" t="s">
        <v>2958</v>
      </c>
      <c r="B500" s="21" t="s">
        <v>2959</v>
      </c>
      <c r="C500" s="21" t="s">
        <v>2960</v>
      </c>
      <c r="D500" s="21" t="s">
        <v>2961</v>
      </c>
      <c r="E500" s="21">
        <v>31942</v>
      </c>
      <c r="F500" s="21">
        <v>163438</v>
      </c>
      <c r="G500" s="21" t="s">
        <v>2962</v>
      </c>
      <c r="H500" s="21">
        <v>1</v>
      </c>
      <c r="I500" s="21">
        <v>1</v>
      </c>
      <c r="J500" s="21">
        <v>1</v>
      </c>
      <c r="K500" s="21">
        <v>2023</v>
      </c>
      <c r="L500" s="21" t="s">
        <v>372</v>
      </c>
      <c r="M500" s="21" t="s">
        <v>372</v>
      </c>
      <c r="N500" s="21" t="s">
        <v>372</v>
      </c>
      <c r="O500" s="21" t="s">
        <v>2963</v>
      </c>
    </row>
    <row r="501" spans="1:15" x14ac:dyDescent="0.25">
      <c r="A501" s="21" t="s">
        <v>2964</v>
      </c>
      <c r="B501" s="21" t="s">
        <v>2965</v>
      </c>
      <c r="C501" s="21" t="s">
        <v>2966</v>
      </c>
      <c r="D501" s="21" t="s">
        <v>2967</v>
      </c>
      <c r="E501" s="21">
        <v>201992</v>
      </c>
      <c r="F501" s="21">
        <v>98512</v>
      </c>
      <c r="G501" s="21">
        <v>295874</v>
      </c>
      <c r="H501" s="21">
        <v>4</v>
      </c>
      <c r="I501" s="21">
        <v>2</v>
      </c>
      <c r="J501" s="21">
        <v>4</v>
      </c>
      <c r="K501" s="21">
        <v>2023</v>
      </c>
      <c r="L501" s="21" t="s">
        <v>373</v>
      </c>
      <c r="M501" s="21" t="s">
        <v>372</v>
      </c>
      <c r="N501" s="21" t="s">
        <v>373</v>
      </c>
      <c r="O501" s="21" t="s">
        <v>2968</v>
      </c>
    </row>
    <row r="502" spans="1:15" x14ac:dyDescent="0.25">
      <c r="A502" s="21" t="s">
        <v>2969</v>
      </c>
      <c r="B502" s="21" t="s">
        <v>2970</v>
      </c>
      <c r="C502" s="21" t="s">
        <v>2971</v>
      </c>
      <c r="D502" s="21" t="s">
        <v>2972</v>
      </c>
      <c r="E502" s="21">
        <v>332446</v>
      </c>
      <c r="F502" s="21">
        <v>743377</v>
      </c>
      <c r="G502" s="21" t="s">
        <v>2973</v>
      </c>
      <c r="H502" s="21">
        <v>4</v>
      </c>
      <c r="I502" s="21">
        <v>2</v>
      </c>
      <c r="J502" s="21">
        <v>4</v>
      </c>
      <c r="K502" s="21">
        <v>2023</v>
      </c>
      <c r="L502" s="21" t="s">
        <v>373</v>
      </c>
      <c r="M502" s="21" t="s">
        <v>372</v>
      </c>
      <c r="N502" s="21" t="s">
        <v>373</v>
      </c>
      <c r="O502" s="21" t="s">
        <v>2974</v>
      </c>
    </row>
    <row r="503" spans="1:15" x14ac:dyDescent="0.25">
      <c r="A503" s="21" t="s">
        <v>2975</v>
      </c>
      <c r="B503" s="21" t="s">
        <v>2976</v>
      </c>
      <c r="C503" s="21" t="s">
        <v>2977</v>
      </c>
      <c r="E503" s="21">
        <v>87278</v>
      </c>
      <c r="F503" s="21">
        <v>65672</v>
      </c>
      <c r="G503" s="21">
        <v>861183</v>
      </c>
      <c r="H503" s="21">
        <v>1</v>
      </c>
      <c r="I503" s="21">
        <v>2</v>
      </c>
      <c r="J503" s="21">
        <v>1</v>
      </c>
      <c r="K503" s="21">
        <v>2023</v>
      </c>
      <c r="L503" s="21" t="s">
        <v>372</v>
      </c>
      <c r="M503" s="21" t="s">
        <v>372</v>
      </c>
      <c r="N503" s="21" t="s">
        <v>372</v>
      </c>
      <c r="O503" s="21" t="s">
        <v>2978</v>
      </c>
    </row>
    <row r="504" spans="1:15" x14ac:dyDescent="0.25">
      <c r="A504" s="21" t="s">
        <v>2979</v>
      </c>
      <c r="B504" s="21" t="s">
        <v>2980</v>
      </c>
      <c r="C504" s="21" t="s">
        <v>2981</v>
      </c>
      <c r="D504" s="21" t="s">
        <v>2982</v>
      </c>
      <c r="E504" s="21">
        <v>20530</v>
      </c>
      <c r="F504" s="21">
        <v>1909</v>
      </c>
      <c r="G504" s="21" t="s">
        <v>2983</v>
      </c>
      <c r="H504" s="21">
        <v>1</v>
      </c>
      <c r="I504" s="21">
        <v>1</v>
      </c>
      <c r="J504" s="21">
        <v>4</v>
      </c>
      <c r="K504" s="21">
        <v>2023</v>
      </c>
      <c r="L504" s="21" t="s">
        <v>372</v>
      </c>
      <c r="M504" s="21" t="s">
        <v>372</v>
      </c>
      <c r="N504" s="21" t="s">
        <v>373</v>
      </c>
      <c r="O504" s="21" t="s">
        <v>2984</v>
      </c>
    </row>
    <row r="505" spans="1:15" x14ac:dyDescent="0.25">
      <c r="A505" s="21" t="s">
        <v>2985</v>
      </c>
      <c r="B505" s="21" t="s">
        <v>2986</v>
      </c>
      <c r="C505" s="21" t="s">
        <v>2987</v>
      </c>
      <c r="D505" s="21" t="s">
        <v>2988</v>
      </c>
      <c r="E505" s="21">
        <v>19518478</v>
      </c>
      <c r="F505" s="21">
        <v>2006555</v>
      </c>
      <c r="G505" s="21" t="s">
        <v>2989</v>
      </c>
      <c r="H505" s="21">
        <v>1</v>
      </c>
      <c r="I505" s="21">
        <v>1</v>
      </c>
      <c r="J505" s="21">
        <v>4</v>
      </c>
      <c r="K505" s="21">
        <v>2023</v>
      </c>
      <c r="L505" s="21" t="s">
        <v>372</v>
      </c>
      <c r="M505" s="21" t="s">
        <v>372</v>
      </c>
      <c r="N505" s="21" t="s">
        <v>373</v>
      </c>
      <c r="O505" s="21" t="s">
        <v>2990</v>
      </c>
    </row>
    <row r="506" spans="1:15" x14ac:dyDescent="0.25">
      <c r="A506" s="21" t="s">
        <v>2991</v>
      </c>
      <c r="B506" s="21" t="s">
        <v>2992</v>
      </c>
      <c r="C506" s="21" t="s">
        <v>2993</v>
      </c>
      <c r="D506" s="21" t="s">
        <v>2994</v>
      </c>
      <c r="E506" s="21">
        <v>3006000</v>
      </c>
      <c r="F506" s="21">
        <v>402346</v>
      </c>
      <c r="G506" s="21" t="s">
        <v>2995</v>
      </c>
      <c r="H506" s="21">
        <v>1</v>
      </c>
      <c r="I506" s="21">
        <v>1</v>
      </c>
      <c r="J506" s="21">
        <v>4</v>
      </c>
      <c r="K506" s="21">
        <v>2023</v>
      </c>
      <c r="L506" s="21" t="s">
        <v>372</v>
      </c>
      <c r="M506" s="21" t="s">
        <v>372</v>
      </c>
      <c r="N506" s="21" t="s">
        <v>373</v>
      </c>
      <c r="O506" s="21" t="s">
        <v>2996</v>
      </c>
    </row>
    <row r="507" spans="1:15" x14ac:dyDescent="0.25">
      <c r="A507" s="21" t="s">
        <v>2997</v>
      </c>
      <c r="B507" s="21" t="s">
        <v>2998</v>
      </c>
      <c r="C507" s="21" t="s">
        <v>2999</v>
      </c>
      <c r="D507" s="21" t="s">
        <v>3000</v>
      </c>
      <c r="E507" s="21">
        <v>879703</v>
      </c>
      <c r="F507" s="21">
        <v>793176</v>
      </c>
      <c r="G507" s="21" t="s">
        <v>3001</v>
      </c>
      <c r="H507" s="21">
        <v>1</v>
      </c>
      <c r="I507" s="21">
        <v>1</v>
      </c>
      <c r="J507" s="21">
        <v>4</v>
      </c>
      <c r="K507" s="21">
        <v>2023</v>
      </c>
      <c r="L507" s="21" t="s">
        <v>372</v>
      </c>
      <c r="M507" s="21" t="s">
        <v>372</v>
      </c>
      <c r="N507" s="21" t="s">
        <v>373</v>
      </c>
      <c r="O507" s="21" t="s">
        <v>3002</v>
      </c>
    </row>
    <row r="508" spans="1:15" x14ac:dyDescent="0.25">
      <c r="A508" s="21" t="s">
        <v>3003</v>
      </c>
      <c r="B508" s="21" t="s">
        <v>3004</v>
      </c>
      <c r="C508" s="21" t="s">
        <v>3005</v>
      </c>
      <c r="D508" s="21" t="s">
        <v>3006</v>
      </c>
      <c r="E508" s="21">
        <v>11362</v>
      </c>
      <c r="F508" s="21">
        <v>60256</v>
      </c>
      <c r="G508" s="21">
        <v>2100136</v>
      </c>
      <c r="H508" s="21">
        <v>1</v>
      </c>
      <c r="I508" s="21">
        <v>1</v>
      </c>
      <c r="J508" s="21">
        <v>4</v>
      </c>
      <c r="K508" s="21">
        <v>2023</v>
      </c>
      <c r="L508" s="21" t="s">
        <v>372</v>
      </c>
      <c r="M508" s="21" t="s">
        <v>372</v>
      </c>
      <c r="N508" s="21" t="s">
        <v>373</v>
      </c>
      <c r="O508" s="21" t="s">
        <v>3007</v>
      </c>
    </row>
    <row r="509" spans="1:15" x14ac:dyDescent="0.25">
      <c r="A509" s="21" t="s">
        <v>3008</v>
      </c>
      <c r="B509" s="21" t="s">
        <v>3009</v>
      </c>
      <c r="C509" s="21" t="s">
        <v>3010</v>
      </c>
      <c r="D509" s="21" t="s">
        <v>3011</v>
      </c>
      <c r="E509" s="21">
        <v>7560</v>
      </c>
      <c r="F509" s="21">
        <v>15184</v>
      </c>
      <c r="G509" s="21" t="s">
        <v>3012</v>
      </c>
      <c r="H509" s="21">
        <v>4</v>
      </c>
      <c r="I509" s="21">
        <v>2</v>
      </c>
      <c r="J509" s="21">
        <v>4</v>
      </c>
      <c r="K509" s="21">
        <v>2023</v>
      </c>
      <c r="L509" s="21" t="s">
        <v>373</v>
      </c>
      <c r="M509" s="21" t="s">
        <v>372</v>
      </c>
      <c r="N509" s="21" t="s">
        <v>373</v>
      </c>
      <c r="O509" s="21" t="s">
        <v>3013</v>
      </c>
    </row>
    <row r="510" spans="1:15" x14ac:dyDescent="0.25">
      <c r="A510" s="21" t="s">
        <v>3014</v>
      </c>
      <c r="B510" s="21" t="s">
        <v>3015</v>
      </c>
      <c r="C510" s="21" t="s">
        <v>3016</v>
      </c>
      <c r="D510" s="21" t="s">
        <v>3017</v>
      </c>
      <c r="E510" s="21">
        <v>555769</v>
      </c>
      <c r="F510" s="21">
        <v>1508</v>
      </c>
      <c r="G510" s="21" t="s">
        <v>3018</v>
      </c>
      <c r="H510" s="21">
        <v>1</v>
      </c>
      <c r="I510" s="21">
        <v>1</v>
      </c>
      <c r="J510" s="21">
        <v>4</v>
      </c>
      <c r="K510" s="21">
        <v>2023</v>
      </c>
      <c r="L510" s="21" t="s">
        <v>372</v>
      </c>
      <c r="M510" s="21" t="s">
        <v>372</v>
      </c>
      <c r="N510" s="21" t="s">
        <v>373</v>
      </c>
      <c r="O510" s="21" t="s">
        <v>3019</v>
      </c>
    </row>
    <row r="511" spans="1:15" x14ac:dyDescent="0.25">
      <c r="A511" s="21" t="s">
        <v>3020</v>
      </c>
      <c r="B511" s="21" t="s">
        <v>3021</v>
      </c>
      <c r="C511" s="21" t="s">
        <v>3022</v>
      </c>
      <c r="E511" s="21">
        <v>4449</v>
      </c>
      <c r="F511" s="21">
        <v>1265</v>
      </c>
      <c r="G511" s="21" t="s">
        <v>3023</v>
      </c>
      <c r="H511" s="21">
        <v>1</v>
      </c>
      <c r="I511" s="21">
        <v>1</v>
      </c>
      <c r="J511" s="21">
        <v>4</v>
      </c>
      <c r="K511" s="21">
        <v>2023</v>
      </c>
      <c r="L511" s="21" t="s">
        <v>372</v>
      </c>
      <c r="M511" s="21" t="s">
        <v>372</v>
      </c>
      <c r="N511" s="21" t="s">
        <v>373</v>
      </c>
      <c r="O511" s="21" t="s">
        <v>3024</v>
      </c>
    </row>
    <row r="512" spans="1:15" x14ac:dyDescent="0.25">
      <c r="A512" s="21" t="s">
        <v>3025</v>
      </c>
      <c r="B512" s="21" t="s">
        <v>3026</v>
      </c>
      <c r="C512" s="21" t="s">
        <v>3027</v>
      </c>
      <c r="D512" s="21" t="s">
        <v>3028</v>
      </c>
      <c r="E512" s="21" t="s">
        <v>3029</v>
      </c>
      <c r="F512" s="21">
        <v>10851</v>
      </c>
      <c r="G512" s="21" t="s">
        <v>3030</v>
      </c>
      <c r="H512" s="21">
        <v>2</v>
      </c>
      <c r="I512" s="21">
        <v>2</v>
      </c>
      <c r="J512" s="21">
        <v>4</v>
      </c>
      <c r="K512" s="21">
        <v>2023</v>
      </c>
      <c r="L512" s="21" t="s">
        <v>372</v>
      </c>
      <c r="M512" s="21" t="s">
        <v>372</v>
      </c>
      <c r="N512" s="21" t="s">
        <v>373</v>
      </c>
      <c r="O512" s="21" t="s">
        <v>3031</v>
      </c>
    </row>
    <row r="513" spans="1:15" x14ac:dyDescent="0.25">
      <c r="A513" s="21" t="s">
        <v>3032</v>
      </c>
      <c r="B513" s="21" t="s">
        <v>3033</v>
      </c>
      <c r="C513" s="21" t="s">
        <v>3034</v>
      </c>
      <c r="D513" s="21" t="s">
        <v>3035</v>
      </c>
      <c r="E513" s="21">
        <v>4369413</v>
      </c>
      <c r="F513" s="21">
        <v>2876199</v>
      </c>
      <c r="G513" s="21" t="s">
        <v>3036</v>
      </c>
      <c r="H513" s="21">
        <v>1</v>
      </c>
      <c r="I513" s="21">
        <v>1</v>
      </c>
      <c r="J513" s="21">
        <v>4</v>
      </c>
      <c r="K513" s="21">
        <v>2023</v>
      </c>
      <c r="L513" s="21" t="s">
        <v>372</v>
      </c>
      <c r="M513" s="21" t="s">
        <v>372</v>
      </c>
      <c r="N513" s="21" t="s">
        <v>373</v>
      </c>
      <c r="O513" s="21" t="s">
        <v>3037</v>
      </c>
    </row>
    <row r="514" spans="1:15" x14ac:dyDescent="0.25">
      <c r="A514" s="21" t="s">
        <v>3038</v>
      </c>
      <c r="B514" s="21" t="s">
        <v>3039</v>
      </c>
      <c r="C514" s="21" t="s">
        <v>3040</v>
      </c>
      <c r="E514" s="21">
        <v>35543</v>
      </c>
      <c r="F514" s="21">
        <v>77200</v>
      </c>
      <c r="G514" s="21" t="s">
        <v>3041</v>
      </c>
      <c r="H514" s="21">
        <v>4</v>
      </c>
      <c r="I514" s="21">
        <v>2</v>
      </c>
      <c r="J514" s="21">
        <v>4</v>
      </c>
      <c r="K514" s="21">
        <v>2023</v>
      </c>
      <c r="L514" s="21" t="s">
        <v>373</v>
      </c>
      <c r="M514" s="21" t="s">
        <v>372</v>
      </c>
      <c r="N514" s="21" t="s">
        <v>373</v>
      </c>
      <c r="O514" s="21" t="s">
        <v>3042</v>
      </c>
    </row>
    <row r="515" spans="1:15" x14ac:dyDescent="0.25">
      <c r="A515" s="21" t="s">
        <v>172</v>
      </c>
      <c r="B515" s="21" t="s">
        <v>3043</v>
      </c>
      <c r="C515" s="21" t="s">
        <v>3044</v>
      </c>
      <c r="D515" s="21" t="s">
        <v>3045</v>
      </c>
      <c r="E515" s="21">
        <v>14741483</v>
      </c>
      <c r="F515" s="21">
        <v>363489</v>
      </c>
      <c r="G515" s="21">
        <v>109341012</v>
      </c>
      <c r="H515" s="21">
        <v>1</v>
      </c>
      <c r="I515" s="21">
        <v>1</v>
      </c>
      <c r="J515" s="21">
        <v>4</v>
      </c>
      <c r="K515" s="21">
        <v>2023</v>
      </c>
      <c r="L515" s="21" t="s">
        <v>372</v>
      </c>
      <c r="M515" s="21" t="s">
        <v>372</v>
      </c>
      <c r="N515" s="21" t="s">
        <v>373</v>
      </c>
      <c r="O515" s="21">
        <v>29675</v>
      </c>
    </row>
    <row r="516" spans="1:15" x14ac:dyDescent="0.25">
      <c r="A516" s="21" t="s">
        <v>3046</v>
      </c>
      <c r="B516" s="21" t="s">
        <v>3047</v>
      </c>
      <c r="C516" s="21" t="s">
        <v>3048</v>
      </c>
      <c r="E516" s="21">
        <v>630313</v>
      </c>
      <c r="F516" s="21">
        <v>493904</v>
      </c>
      <c r="G516" s="21">
        <v>16925030</v>
      </c>
      <c r="H516" s="21">
        <v>1</v>
      </c>
      <c r="I516" s="21">
        <v>1</v>
      </c>
      <c r="J516" s="21">
        <v>4</v>
      </c>
      <c r="K516" s="21">
        <v>2023</v>
      </c>
      <c r="L516" s="21" t="s">
        <v>372</v>
      </c>
      <c r="M516" s="21" t="s">
        <v>372</v>
      </c>
      <c r="N516" s="21" t="s">
        <v>373</v>
      </c>
      <c r="O516" s="21" t="s">
        <v>3049</v>
      </c>
    </row>
    <row r="517" spans="1:15" x14ac:dyDescent="0.25">
      <c r="A517" s="21" t="s">
        <v>136</v>
      </c>
      <c r="B517" s="21" t="s">
        <v>3050</v>
      </c>
      <c r="C517" s="21" t="s">
        <v>3051</v>
      </c>
      <c r="D517" s="21" t="s">
        <v>3052</v>
      </c>
      <c r="E517" s="21">
        <v>3238985</v>
      </c>
      <c r="F517" s="21">
        <v>2612725</v>
      </c>
      <c r="G517" s="21">
        <v>94567230</v>
      </c>
      <c r="H517" s="21">
        <v>1</v>
      </c>
      <c r="I517" s="21">
        <v>1</v>
      </c>
      <c r="J517" s="21">
        <v>1</v>
      </c>
      <c r="K517" s="21">
        <v>2023</v>
      </c>
      <c r="L517" s="21" t="s">
        <v>372</v>
      </c>
      <c r="M517" s="21" t="s">
        <v>372</v>
      </c>
      <c r="N517" s="21" t="s">
        <v>372</v>
      </c>
      <c r="O517" s="21" t="s">
        <v>242</v>
      </c>
    </row>
    <row r="518" spans="1:15" x14ac:dyDescent="0.25">
      <c r="A518" s="21" t="s">
        <v>3053</v>
      </c>
      <c r="B518" s="21" t="s">
        <v>3054</v>
      </c>
      <c r="C518" s="21" t="s">
        <v>3055</v>
      </c>
      <c r="D518" s="21" t="s">
        <v>3056</v>
      </c>
      <c r="E518" s="21">
        <v>88735</v>
      </c>
      <c r="F518" s="21">
        <v>347543</v>
      </c>
      <c r="G518" s="21" t="s">
        <v>3057</v>
      </c>
      <c r="H518" s="21">
        <v>4</v>
      </c>
      <c r="I518" s="21">
        <v>2</v>
      </c>
      <c r="J518" s="21">
        <v>4</v>
      </c>
      <c r="K518" s="21">
        <v>2023</v>
      </c>
      <c r="L518" s="21" t="s">
        <v>373</v>
      </c>
      <c r="M518" s="21" t="s">
        <v>372</v>
      </c>
      <c r="N518" s="21" t="s">
        <v>373</v>
      </c>
      <c r="O518" s="21" t="s">
        <v>3058</v>
      </c>
    </row>
    <row r="519" spans="1:15" x14ac:dyDescent="0.25">
      <c r="A519" s="21" t="s">
        <v>3059</v>
      </c>
      <c r="B519" s="21" t="s">
        <v>3060</v>
      </c>
      <c r="C519" s="21" t="s">
        <v>3061</v>
      </c>
      <c r="D519" s="21" t="s">
        <v>3062</v>
      </c>
      <c r="E519" s="21">
        <v>33728</v>
      </c>
      <c r="F519" s="21">
        <v>670766</v>
      </c>
      <c r="G519" s="21" t="s">
        <v>3063</v>
      </c>
      <c r="H519" s="21">
        <v>4</v>
      </c>
      <c r="I519" s="21">
        <v>2</v>
      </c>
      <c r="J519" s="21">
        <v>4</v>
      </c>
      <c r="K519" s="21">
        <v>2023</v>
      </c>
      <c r="L519" s="21" t="s">
        <v>373</v>
      </c>
      <c r="M519" s="21" t="s">
        <v>372</v>
      </c>
      <c r="N519" s="21" t="s">
        <v>373</v>
      </c>
      <c r="O519" s="21" t="s">
        <v>3064</v>
      </c>
    </row>
    <row r="520" spans="1:15" x14ac:dyDescent="0.25">
      <c r="A520" s="21" t="s">
        <v>3065</v>
      </c>
      <c r="B520" s="21" t="s">
        <v>3066</v>
      </c>
      <c r="C520" s="21" t="s">
        <v>3067</v>
      </c>
      <c r="D520" s="21" t="s">
        <v>3068</v>
      </c>
      <c r="E520" s="21">
        <v>463626</v>
      </c>
      <c r="F520" s="21">
        <v>127046</v>
      </c>
      <c r="G520" s="21" t="s">
        <v>3069</v>
      </c>
      <c r="H520" s="21">
        <v>4</v>
      </c>
      <c r="I520" s="21">
        <v>2</v>
      </c>
      <c r="J520" s="21">
        <v>4</v>
      </c>
      <c r="K520" s="21">
        <v>2023</v>
      </c>
      <c r="L520" s="21" t="s">
        <v>373</v>
      </c>
      <c r="M520" s="21" t="s">
        <v>372</v>
      </c>
      <c r="N520" s="21" t="s">
        <v>373</v>
      </c>
      <c r="O520" s="21" t="s">
        <v>3070</v>
      </c>
    </row>
    <row r="521" spans="1:15" x14ac:dyDescent="0.25">
      <c r="A521" s="21" t="s">
        <v>3071</v>
      </c>
      <c r="B521" s="21" t="s">
        <v>3072</v>
      </c>
      <c r="C521" s="21" t="s">
        <v>3073</v>
      </c>
      <c r="D521" s="21" t="s">
        <v>3074</v>
      </c>
      <c r="E521" s="21">
        <v>1730573</v>
      </c>
      <c r="F521" s="21">
        <v>1399806</v>
      </c>
      <c r="G521" s="21" t="s">
        <v>3075</v>
      </c>
      <c r="H521" s="21">
        <v>1</v>
      </c>
      <c r="I521" s="21">
        <v>1</v>
      </c>
      <c r="J521" s="21">
        <v>4</v>
      </c>
      <c r="K521" s="21">
        <v>2023</v>
      </c>
      <c r="L521" s="21" t="s">
        <v>372</v>
      </c>
      <c r="M521" s="21" t="s">
        <v>372</v>
      </c>
      <c r="N521" s="21" t="s">
        <v>373</v>
      </c>
      <c r="O521" s="21" t="s">
        <v>3076</v>
      </c>
    </row>
    <row r="522" spans="1:15" x14ac:dyDescent="0.25">
      <c r="A522" s="21" t="s">
        <v>3077</v>
      </c>
      <c r="B522" s="21" t="s">
        <v>3078</v>
      </c>
      <c r="C522" s="21" t="s">
        <v>3079</v>
      </c>
      <c r="D522" s="21" t="s">
        <v>3080</v>
      </c>
      <c r="E522" s="21">
        <v>122841</v>
      </c>
      <c r="F522" s="21">
        <v>136862</v>
      </c>
      <c r="G522" s="21" t="s">
        <v>3081</v>
      </c>
      <c r="H522" s="21">
        <v>1</v>
      </c>
      <c r="I522" s="21">
        <v>1</v>
      </c>
      <c r="J522" s="21">
        <v>4</v>
      </c>
      <c r="K522" s="21">
        <v>2023</v>
      </c>
      <c r="L522" s="21" t="s">
        <v>372</v>
      </c>
      <c r="M522" s="21" t="s">
        <v>372</v>
      </c>
      <c r="N522" s="21" t="s">
        <v>373</v>
      </c>
      <c r="O522" s="21">
        <v>3766</v>
      </c>
    </row>
    <row r="523" spans="1:15" x14ac:dyDescent="0.25">
      <c r="A523" s="21" t="s">
        <v>3082</v>
      </c>
      <c r="B523" s="21" t="s">
        <v>3083</v>
      </c>
      <c r="C523" s="21" t="s">
        <v>3084</v>
      </c>
      <c r="D523" s="21" t="s">
        <v>3085</v>
      </c>
      <c r="E523" s="21">
        <v>5257</v>
      </c>
      <c r="F523" s="21">
        <v>9703</v>
      </c>
      <c r="G523" s="21" t="s">
        <v>3086</v>
      </c>
      <c r="H523" s="21">
        <v>1</v>
      </c>
      <c r="I523" s="21">
        <v>1</v>
      </c>
      <c r="J523" s="21">
        <v>4</v>
      </c>
      <c r="K523" s="21">
        <v>2023</v>
      </c>
      <c r="L523" s="21" t="s">
        <v>372</v>
      </c>
      <c r="M523" s="21" t="s">
        <v>372</v>
      </c>
      <c r="N523" s="21" t="s">
        <v>373</v>
      </c>
      <c r="O523" s="21" t="s">
        <v>3087</v>
      </c>
    </row>
    <row r="524" spans="1:15" x14ac:dyDescent="0.25">
      <c r="A524" s="21" t="s">
        <v>3088</v>
      </c>
      <c r="B524" s="21" t="s">
        <v>3089</v>
      </c>
      <c r="C524" s="21" t="s">
        <v>3090</v>
      </c>
      <c r="D524" s="21" t="s">
        <v>3091</v>
      </c>
      <c r="E524" s="21">
        <v>42002456</v>
      </c>
      <c r="F524" s="21">
        <v>14409</v>
      </c>
      <c r="G524" s="21" t="s">
        <v>3092</v>
      </c>
      <c r="H524" s="21">
        <v>1</v>
      </c>
      <c r="I524" s="21">
        <v>1</v>
      </c>
      <c r="J524" s="21">
        <v>4</v>
      </c>
      <c r="K524" s="21">
        <v>2023</v>
      </c>
      <c r="L524" s="21" t="s">
        <v>372</v>
      </c>
      <c r="M524" s="21" t="s">
        <v>372</v>
      </c>
      <c r="N524" s="21" t="s">
        <v>373</v>
      </c>
      <c r="O524" s="21" t="s">
        <v>3093</v>
      </c>
    </row>
    <row r="525" spans="1:15" x14ac:dyDescent="0.25">
      <c r="A525" s="21" t="s">
        <v>3094</v>
      </c>
      <c r="B525" s="21" t="s">
        <v>3095</v>
      </c>
      <c r="C525" s="21" t="s">
        <v>3096</v>
      </c>
      <c r="E525" s="21" t="s">
        <v>3097</v>
      </c>
      <c r="F525" s="21" t="s">
        <v>3098</v>
      </c>
      <c r="G525" s="21" t="s">
        <v>3099</v>
      </c>
      <c r="H525" s="21">
        <v>1</v>
      </c>
      <c r="I525" s="21">
        <v>1</v>
      </c>
      <c r="J525" s="21">
        <v>4</v>
      </c>
      <c r="K525" s="21">
        <v>2023</v>
      </c>
      <c r="L525" s="21" t="s">
        <v>372</v>
      </c>
      <c r="M525" s="21" t="s">
        <v>372</v>
      </c>
      <c r="N525" s="21" t="s">
        <v>373</v>
      </c>
      <c r="O525" s="21" t="s">
        <v>3100</v>
      </c>
    </row>
    <row r="526" spans="1:15" x14ac:dyDescent="0.25">
      <c r="A526" s="21" t="s">
        <v>3101</v>
      </c>
      <c r="B526" s="21" t="s">
        <v>3102</v>
      </c>
      <c r="C526" s="21" t="s">
        <v>3103</v>
      </c>
      <c r="D526" s="21" t="s">
        <v>3104</v>
      </c>
      <c r="E526" s="21">
        <v>44329</v>
      </c>
      <c r="F526" s="21">
        <v>81569</v>
      </c>
      <c r="G526" s="21" t="s">
        <v>3105</v>
      </c>
      <c r="H526" s="21">
        <v>1</v>
      </c>
      <c r="I526" s="21">
        <v>1</v>
      </c>
      <c r="J526" s="21">
        <v>4</v>
      </c>
      <c r="K526" s="21">
        <v>2023</v>
      </c>
      <c r="L526" s="21" t="s">
        <v>372</v>
      </c>
      <c r="M526" s="21" t="s">
        <v>372</v>
      </c>
      <c r="N526" s="21" t="s">
        <v>373</v>
      </c>
      <c r="O526" s="21" t="s">
        <v>3106</v>
      </c>
    </row>
    <row r="527" spans="1:15" x14ac:dyDescent="0.25">
      <c r="A527" s="21" t="s">
        <v>133</v>
      </c>
      <c r="B527" s="21" t="s">
        <v>3107</v>
      </c>
      <c r="C527" s="21" t="s">
        <v>3108</v>
      </c>
      <c r="D527" s="21" t="s">
        <v>3109</v>
      </c>
      <c r="E527" s="21">
        <v>50868</v>
      </c>
      <c r="F527" s="21">
        <v>224035</v>
      </c>
      <c r="G527" s="21" t="s">
        <v>3110</v>
      </c>
      <c r="H527" s="21">
        <v>1</v>
      </c>
      <c r="I527" s="21">
        <v>1</v>
      </c>
      <c r="J527" s="21">
        <v>4</v>
      </c>
      <c r="K527" s="21">
        <v>2023</v>
      </c>
      <c r="L527" s="21" t="s">
        <v>372</v>
      </c>
      <c r="M527" s="21" t="s">
        <v>372</v>
      </c>
      <c r="N527" s="21" t="s">
        <v>373</v>
      </c>
      <c r="O527" s="21" t="s">
        <v>240</v>
      </c>
    </row>
    <row r="528" spans="1:15" x14ac:dyDescent="0.25">
      <c r="A528" s="21" t="s">
        <v>158</v>
      </c>
      <c r="B528" s="21" t="s">
        <v>3111</v>
      </c>
      <c r="C528" s="21" t="s">
        <v>3112</v>
      </c>
      <c r="D528" s="21" t="s">
        <v>3113</v>
      </c>
      <c r="E528" s="21">
        <v>124040</v>
      </c>
      <c r="F528" s="21">
        <v>354752</v>
      </c>
      <c r="G528" s="21" t="s">
        <v>3114</v>
      </c>
      <c r="H528" s="21">
        <v>4</v>
      </c>
      <c r="I528" s="21">
        <v>1</v>
      </c>
      <c r="J528" s="21">
        <v>4</v>
      </c>
      <c r="K528" s="21">
        <v>2023</v>
      </c>
      <c r="L528" s="21" t="s">
        <v>373</v>
      </c>
      <c r="M528" s="21" t="s">
        <v>372</v>
      </c>
      <c r="N528" s="21" t="s">
        <v>373</v>
      </c>
      <c r="O528" s="21">
        <v>25507</v>
      </c>
    </row>
    <row r="529" spans="1:15" x14ac:dyDescent="0.25">
      <c r="A529" s="21" t="s">
        <v>3115</v>
      </c>
      <c r="B529" s="21" t="s">
        <v>3116</v>
      </c>
      <c r="C529" s="21" t="s">
        <v>3117</v>
      </c>
      <c r="D529" s="21" t="s">
        <v>3118</v>
      </c>
      <c r="E529" s="21">
        <v>38068</v>
      </c>
      <c r="F529" s="21">
        <v>27406</v>
      </c>
      <c r="G529" s="21">
        <v>5272882</v>
      </c>
      <c r="H529" s="21">
        <v>4</v>
      </c>
      <c r="I529" s="21">
        <v>1</v>
      </c>
      <c r="J529" s="21">
        <v>1</v>
      </c>
      <c r="K529" s="21">
        <v>2023</v>
      </c>
      <c r="L529" s="21" t="s">
        <v>373</v>
      </c>
      <c r="M529" s="21" t="s">
        <v>372</v>
      </c>
      <c r="N529" s="21" t="s">
        <v>372</v>
      </c>
      <c r="O529" s="21" t="s">
        <v>3119</v>
      </c>
    </row>
    <row r="530" spans="1:15" x14ac:dyDescent="0.25">
      <c r="A530" s="21" t="s">
        <v>3120</v>
      </c>
      <c r="B530" s="21" t="s">
        <v>3121</v>
      </c>
      <c r="C530" s="21" t="s">
        <v>3122</v>
      </c>
      <c r="D530" s="21" t="s">
        <v>3123</v>
      </c>
      <c r="E530" s="21">
        <v>1285034</v>
      </c>
      <c r="F530" s="21">
        <v>27609</v>
      </c>
      <c r="G530" s="21">
        <v>499390</v>
      </c>
      <c r="H530" s="21">
        <v>1</v>
      </c>
      <c r="I530" s="21">
        <v>1</v>
      </c>
      <c r="J530" s="21">
        <v>1</v>
      </c>
      <c r="K530" s="21">
        <v>2023</v>
      </c>
      <c r="L530" s="21" t="s">
        <v>372</v>
      </c>
      <c r="M530" s="21" t="s">
        <v>372</v>
      </c>
      <c r="N530" s="21" t="s">
        <v>372</v>
      </c>
      <c r="O530" s="21" t="s">
        <v>3124</v>
      </c>
    </row>
    <row r="531" spans="1:15" x14ac:dyDescent="0.25">
      <c r="A531" s="21" t="s">
        <v>86</v>
      </c>
      <c r="B531" s="21" t="s">
        <v>3125</v>
      </c>
      <c r="C531" s="21" t="s">
        <v>3126</v>
      </c>
      <c r="D531" s="21" t="s">
        <v>3127</v>
      </c>
      <c r="E531" s="21">
        <v>4421</v>
      </c>
      <c r="F531" s="21">
        <v>43809</v>
      </c>
      <c r="G531" s="21" t="s">
        <v>3128</v>
      </c>
      <c r="H531" s="21">
        <v>1</v>
      </c>
      <c r="I531" s="21">
        <v>1</v>
      </c>
      <c r="J531" s="21">
        <v>4</v>
      </c>
      <c r="K531" s="21">
        <v>2023</v>
      </c>
      <c r="L531" s="21" t="s">
        <v>372</v>
      </c>
      <c r="M531" s="21" t="s">
        <v>372</v>
      </c>
      <c r="N531" s="21" t="s">
        <v>373</v>
      </c>
      <c r="O531" s="21" t="s">
        <v>214</v>
      </c>
    </row>
    <row r="532" spans="1:15" x14ac:dyDescent="0.25">
      <c r="A532" s="21" t="s">
        <v>3129</v>
      </c>
      <c r="B532" s="21" t="s">
        <v>3130</v>
      </c>
      <c r="E532" s="21">
        <v>563209</v>
      </c>
      <c r="F532" s="21">
        <v>1241080</v>
      </c>
      <c r="G532" s="21">
        <v>938055</v>
      </c>
      <c r="H532" s="21">
        <v>1</v>
      </c>
      <c r="I532" s="21">
        <v>1</v>
      </c>
      <c r="J532" s="21">
        <v>1</v>
      </c>
      <c r="K532" s="21">
        <v>2023</v>
      </c>
      <c r="L532" s="21" t="s">
        <v>372</v>
      </c>
      <c r="M532" s="21" t="s">
        <v>372</v>
      </c>
      <c r="N532" s="21" t="s">
        <v>372</v>
      </c>
      <c r="O532" s="21" t="s">
        <v>3131</v>
      </c>
    </row>
    <row r="533" spans="1:15" x14ac:dyDescent="0.25">
      <c r="A533" s="21" t="s">
        <v>78</v>
      </c>
      <c r="B533" s="21" t="s">
        <v>3132</v>
      </c>
      <c r="C533" s="21" t="s">
        <v>3133</v>
      </c>
      <c r="D533" s="21" t="s">
        <v>3134</v>
      </c>
      <c r="E533" s="21">
        <v>343149</v>
      </c>
      <c r="F533" s="21">
        <v>391454</v>
      </c>
      <c r="G533" s="21" t="s">
        <v>3135</v>
      </c>
      <c r="H533" s="21">
        <v>1</v>
      </c>
      <c r="I533" s="21">
        <v>1</v>
      </c>
      <c r="J533" s="21">
        <v>4</v>
      </c>
      <c r="K533" s="21">
        <v>2023</v>
      </c>
      <c r="L533" s="21" t="s">
        <v>372</v>
      </c>
      <c r="M533" s="21" t="s">
        <v>372</v>
      </c>
      <c r="N533" s="21" t="s">
        <v>373</v>
      </c>
      <c r="O533" s="21" t="s">
        <v>210</v>
      </c>
    </row>
    <row r="534" spans="1:15" x14ac:dyDescent="0.25">
      <c r="A534" s="21" t="s">
        <v>3136</v>
      </c>
      <c r="B534" s="21" t="s">
        <v>3137</v>
      </c>
      <c r="C534" s="21" t="s">
        <v>3138</v>
      </c>
      <c r="D534" s="21" t="s">
        <v>3139</v>
      </c>
      <c r="E534" s="21">
        <v>37417583</v>
      </c>
      <c r="F534" s="21">
        <v>141831</v>
      </c>
      <c r="G534" s="21" t="s">
        <v>3140</v>
      </c>
      <c r="H534" s="21">
        <v>1</v>
      </c>
      <c r="I534" s="21">
        <v>1</v>
      </c>
      <c r="J534" s="21">
        <v>4</v>
      </c>
      <c r="K534" s="21">
        <v>2023</v>
      </c>
      <c r="L534" s="21" t="s">
        <v>372</v>
      </c>
      <c r="M534" s="21" t="s">
        <v>372</v>
      </c>
      <c r="N534" s="21" t="s">
        <v>373</v>
      </c>
      <c r="O534" s="21" t="s">
        <v>3141</v>
      </c>
    </row>
    <row r="535" spans="1:15" x14ac:dyDescent="0.25">
      <c r="A535" s="21" t="s">
        <v>3142</v>
      </c>
      <c r="B535" s="21" t="s">
        <v>3143</v>
      </c>
      <c r="C535" s="21" t="s">
        <v>3144</v>
      </c>
      <c r="D535" s="21" t="s">
        <v>3145</v>
      </c>
      <c r="E535" s="21" t="s">
        <v>3146</v>
      </c>
      <c r="F535" s="21" t="s">
        <v>3147</v>
      </c>
      <c r="G535" s="21" t="s">
        <v>3148</v>
      </c>
      <c r="H535" s="21">
        <v>4</v>
      </c>
      <c r="I535" s="21">
        <v>4</v>
      </c>
      <c r="J535" s="21">
        <v>4</v>
      </c>
      <c r="K535" s="21">
        <v>2023</v>
      </c>
      <c r="L535" s="21" t="s">
        <v>373</v>
      </c>
      <c r="M535" s="21" t="s">
        <v>373</v>
      </c>
      <c r="N535" s="21" t="s">
        <v>373</v>
      </c>
      <c r="O535" s="21" t="s">
        <v>3149</v>
      </c>
    </row>
    <row r="536" spans="1:15" x14ac:dyDescent="0.25">
      <c r="A536" s="21" t="s">
        <v>3150</v>
      </c>
      <c r="B536" s="21" t="s">
        <v>3151</v>
      </c>
      <c r="C536" s="21" t="s">
        <v>3152</v>
      </c>
      <c r="E536" s="21">
        <v>129148</v>
      </c>
      <c r="F536" s="21">
        <v>52048</v>
      </c>
      <c r="G536" s="21" t="s">
        <v>3153</v>
      </c>
      <c r="H536" s="21">
        <v>1</v>
      </c>
      <c r="I536" s="21">
        <v>1</v>
      </c>
      <c r="J536" s="21">
        <v>4</v>
      </c>
      <c r="K536" s="21">
        <v>2023</v>
      </c>
      <c r="L536" s="21" t="s">
        <v>372</v>
      </c>
      <c r="M536" s="21" t="s">
        <v>372</v>
      </c>
      <c r="N536" s="21" t="s">
        <v>373</v>
      </c>
      <c r="O536" s="21" t="s">
        <v>3154</v>
      </c>
    </row>
    <row r="537" spans="1:15" x14ac:dyDescent="0.25">
      <c r="A537" s="21" t="s">
        <v>3155</v>
      </c>
      <c r="B537" s="21" t="s">
        <v>3156</v>
      </c>
      <c r="C537" s="21" t="s">
        <v>3157</v>
      </c>
      <c r="D537" s="21" t="s">
        <v>3158</v>
      </c>
      <c r="E537" s="21">
        <v>10269000</v>
      </c>
      <c r="F537" s="21">
        <v>2490000</v>
      </c>
      <c r="G537" s="21" t="s">
        <v>3159</v>
      </c>
      <c r="H537" s="21">
        <v>1</v>
      </c>
      <c r="I537" s="21">
        <v>1</v>
      </c>
      <c r="J537" s="21">
        <v>4</v>
      </c>
      <c r="K537" s="21">
        <v>2023</v>
      </c>
      <c r="L537" s="21" t="s">
        <v>372</v>
      </c>
      <c r="M537" s="21" t="s">
        <v>372</v>
      </c>
      <c r="N537" s="21" t="s">
        <v>373</v>
      </c>
      <c r="O537" s="21" t="s">
        <v>3160</v>
      </c>
    </row>
    <row r="538" spans="1:15" x14ac:dyDescent="0.25">
      <c r="A538" s="21" t="s">
        <v>3161</v>
      </c>
      <c r="B538" s="21" t="s">
        <v>3162</v>
      </c>
      <c r="C538" s="21" t="s">
        <v>3163</v>
      </c>
      <c r="D538" s="21" t="s">
        <v>3164</v>
      </c>
      <c r="E538" s="21">
        <v>291580</v>
      </c>
      <c r="F538" s="21">
        <v>209495</v>
      </c>
      <c r="G538" s="21">
        <v>3165942</v>
      </c>
      <c r="H538" s="21">
        <v>2</v>
      </c>
      <c r="I538" s="21">
        <v>2</v>
      </c>
      <c r="J538" s="21">
        <v>4</v>
      </c>
      <c r="K538" s="21">
        <v>2023</v>
      </c>
      <c r="L538" s="21" t="s">
        <v>372</v>
      </c>
      <c r="M538" s="21" t="s">
        <v>372</v>
      </c>
      <c r="N538" s="21" t="s">
        <v>373</v>
      </c>
      <c r="O538" s="21" t="s">
        <v>3165</v>
      </c>
    </row>
    <row r="539" spans="1:15" x14ac:dyDescent="0.25">
      <c r="A539" s="21" t="s">
        <v>3166</v>
      </c>
      <c r="B539" s="21" t="s">
        <v>3167</v>
      </c>
      <c r="C539" s="21" t="s">
        <v>3168</v>
      </c>
      <c r="D539" s="21" t="s">
        <v>3169</v>
      </c>
      <c r="E539" s="21">
        <v>96386</v>
      </c>
      <c r="F539" s="21">
        <v>21098</v>
      </c>
      <c r="G539" s="21">
        <v>424413</v>
      </c>
      <c r="H539" s="21">
        <v>1</v>
      </c>
      <c r="I539" s="21">
        <v>1</v>
      </c>
      <c r="J539" s="21">
        <v>1</v>
      </c>
      <c r="K539" s="21">
        <v>2023</v>
      </c>
      <c r="L539" s="21" t="s">
        <v>372</v>
      </c>
      <c r="M539" s="21" t="s">
        <v>372</v>
      </c>
      <c r="N539" s="21" t="s">
        <v>372</v>
      </c>
      <c r="O539" s="21" t="s">
        <v>3170</v>
      </c>
    </row>
    <row r="540" spans="1:15" x14ac:dyDescent="0.25">
      <c r="A540" s="21" t="s">
        <v>3171</v>
      </c>
      <c r="B540" s="21" t="s">
        <v>3172</v>
      </c>
      <c r="E540" s="21">
        <v>10270566</v>
      </c>
      <c r="F540" s="21" t="s">
        <v>3173</v>
      </c>
      <c r="G540" s="21" t="s">
        <v>3174</v>
      </c>
      <c r="H540" s="21">
        <v>1</v>
      </c>
      <c r="I540" s="21">
        <v>1</v>
      </c>
      <c r="J540" s="21">
        <v>1</v>
      </c>
      <c r="K540" s="21">
        <v>2023</v>
      </c>
      <c r="L540" s="21" t="s">
        <v>372</v>
      </c>
      <c r="M540" s="21" t="s">
        <v>372</v>
      </c>
      <c r="N540" s="21" t="s">
        <v>372</v>
      </c>
      <c r="O540" s="21" t="s">
        <v>3175</v>
      </c>
    </row>
    <row r="541" spans="1:15" x14ac:dyDescent="0.25">
      <c r="A541" s="21" t="s">
        <v>3176</v>
      </c>
      <c r="B541" s="21" t="s">
        <v>3177</v>
      </c>
      <c r="C541" s="21" t="s">
        <v>3178</v>
      </c>
      <c r="D541" s="21" t="s">
        <v>3179</v>
      </c>
      <c r="E541" s="21">
        <v>206987</v>
      </c>
      <c r="F541" s="21">
        <v>47713</v>
      </c>
      <c r="G541" s="21" t="s">
        <v>3180</v>
      </c>
      <c r="H541" s="21">
        <v>4</v>
      </c>
      <c r="I541" s="21">
        <v>2</v>
      </c>
      <c r="J541" s="21">
        <v>4</v>
      </c>
      <c r="K541" s="21">
        <v>2023</v>
      </c>
      <c r="L541" s="21" t="s">
        <v>373</v>
      </c>
      <c r="M541" s="21" t="s">
        <v>372</v>
      </c>
      <c r="N541" s="21" t="s">
        <v>373</v>
      </c>
      <c r="O541" s="21" t="s">
        <v>3181</v>
      </c>
    </row>
    <row r="542" spans="1:15" x14ac:dyDescent="0.25">
      <c r="A542" s="21" t="s">
        <v>3182</v>
      </c>
      <c r="B542" s="21" t="s">
        <v>3183</v>
      </c>
      <c r="C542" s="21" t="s">
        <v>3184</v>
      </c>
      <c r="D542" s="21" t="s">
        <v>3185</v>
      </c>
      <c r="E542" s="21">
        <v>4015267</v>
      </c>
      <c r="F542" s="21">
        <v>259829</v>
      </c>
      <c r="G542" s="21" t="s">
        <v>3186</v>
      </c>
      <c r="H542" s="21">
        <v>4</v>
      </c>
      <c r="I542" s="21">
        <v>2</v>
      </c>
      <c r="J542" s="21">
        <v>4</v>
      </c>
      <c r="K542" s="21">
        <v>2023</v>
      </c>
      <c r="L542" s="21" t="s">
        <v>373</v>
      </c>
      <c r="M542" s="21" t="s">
        <v>372</v>
      </c>
      <c r="N542" s="21" t="s">
        <v>373</v>
      </c>
      <c r="O542" s="21" t="s">
        <v>3187</v>
      </c>
    </row>
    <row r="543" spans="1:15" x14ac:dyDescent="0.25">
      <c r="A543" s="21" t="s">
        <v>3188</v>
      </c>
      <c r="B543" s="21" t="s">
        <v>3189</v>
      </c>
      <c r="C543" s="21" t="s">
        <v>3190</v>
      </c>
      <c r="D543" s="21" t="s">
        <v>3191</v>
      </c>
      <c r="E543" s="21">
        <v>1674457</v>
      </c>
      <c r="F543" s="21">
        <v>1384566</v>
      </c>
      <c r="G543" s="21" t="s">
        <v>3192</v>
      </c>
      <c r="H543" s="21">
        <v>4</v>
      </c>
      <c r="I543" s="21">
        <v>2</v>
      </c>
      <c r="J543" s="21">
        <v>4</v>
      </c>
      <c r="K543" s="21">
        <v>2023</v>
      </c>
      <c r="L543" s="21" t="s">
        <v>373</v>
      </c>
      <c r="M543" s="21" t="s">
        <v>372</v>
      </c>
      <c r="N543" s="21" t="s">
        <v>373</v>
      </c>
      <c r="O543" s="21" t="s">
        <v>3193</v>
      </c>
    </row>
    <row r="544" spans="1:15" x14ac:dyDescent="0.25">
      <c r="A544" s="21" t="s">
        <v>3194</v>
      </c>
      <c r="B544" s="21" t="s">
        <v>3195</v>
      </c>
      <c r="C544" s="21" t="s">
        <v>3196</v>
      </c>
      <c r="D544" s="21" t="s">
        <v>3197</v>
      </c>
      <c r="E544" s="21">
        <v>10237</v>
      </c>
      <c r="F544" s="21">
        <v>787719</v>
      </c>
      <c r="G544" s="21" t="s">
        <v>3198</v>
      </c>
      <c r="H544" s="21">
        <v>1</v>
      </c>
      <c r="I544" s="21">
        <v>1</v>
      </c>
      <c r="J544" s="21">
        <v>4</v>
      </c>
      <c r="K544" s="21">
        <v>2023</v>
      </c>
      <c r="L544" s="21" t="s">
        <v>372</v>
      </c>
      <c r="M544" s="21" t="s">
        <v>372</v>
      </c>
      <c r="N544" s="21" t="s">
        <v>373</v>
      </c>
      <c r="O544" s="21" t="s">
        <v>3199</v>
      </c>
    </row>
    <row r="545" spans="1:15" x14ac:dyDescent="0.25">
      <c r="A545" s="21" t="s">
        <v>3200</v>
      </c>
      <c r="B545" s="21" t="s">
        <v>3201</v>
      </c>
      <c r="C545" s="21" t="s">
        <v>3202</v>
      </c>
      <c r="D545" s="21" t="s">
        <v>3203</v>
      </c>
      <c r="E545" s="21">
        <v>327578</v>
      </c>
      <c r="F545" s="21">
        <v>1091793</v>
      </c>
      <c r="G545" s="21" t="s">
        <v>3204</v>
      </c>
      <c r="H545" s="21">
        <v>1</v>
      </c>
      <c r="I545" s="21">
        <v>1</v>
      </c>
      <c r="J545" s="21">
        <v>4</v>
      </c>
      <c r="K545" s="21">
        <v>2023</v>
      </c>
      <c r="L545" s="21" t="s">
        <v>372</v>
      </c>
      <c r="M545" s="21" t="s">
        <v>372</v>
      </c>
      <c r="N545" s="21" t="s">
        <v>373</v>
      </c>
      <c r="O545" s="21">
        <v>77827</v>
      </c>
    </row>
    <row r="546" spans="1:15" x14ac:dyDescent="0.25">
      <c r="A546" s="21" t="s">
        <v>3205</v>
      </c>
      <c r="B546" s="21" t="s">
        <v>3206</v>
      </c>
      <c r="C546" s="21" t="s">
        <v>3207</v>
      </c>
      <c r="D546" s="21" t="s">
        <v>3208</v>
      </c>
      <c r="E546" s="21">
        <v>30360</v>
      </c>
      <c r="F546" s="21">
        <v>24479</v>
      </c>
      <c r="G546" s="21" t="s">
        <v>3209</v>
      </c>
      <c r="H546" s="21">
        <v>2</v>
      </c>
      <c r="I546" s="21">
        <v>2</v>
      </c>
      <c r="J546" s="21">
        <v>4</v>
      </c>
      <c r="K546" s="21">
        <v>2023</v>
      </c>
      <c r="L546" s="21" t="s">
        <v>372</v>
      </c>
      <c r="M546" s="21" t="s">
        <v>372</v>
      </c>
      <c r="N546" s="21" t="s">
        <v>373</v>
      </c>
      <c r="O546" s="21" t="s">
        <v>3210</v>
      </c>
    </row>
    <row r="547" spans="1:15" x14ac:dyDescent="0.25">
      <c r="A547" s="21" t="s">
        <v>92</v>
      </c>
      <c r="B547" s="21" t="s">
        <v>3211</v>
      </c>
      <c r="C547" s="21" t="s">
        <v>3212</v>
      </c>
      <c r="E547" s="21">
        <v>1679289</v>
      </c>
      <c r="F547" s="21">
        <v>264838</v>
      </c>
      <c r="G547" s="21" t="s">
        <v>3213</v>
      </c>
      <c r="H547" s="21">
        <v>1</v>
      </c>
      <c r="I547" s="21">
        <v>1</v>
      </c>
      <c r="J547" s="21">
        <v>4</v>
      </c>
      <c r="K547" s="21">
        <v>2023</v>
      </c>
      <c r="L547" s="21" t="s">
        <v>372</v>
      </c>
      <c r="M547" s="21" t="s">
        <v>372</v>
      </c>
      <c r="N547" s="21" t="s">
        <v>373</v>
      </c>
      <c r="O547" s="21" t="s">
        <v>217</v>
      </c>
    </row>
    <row r="548" spans="1:15" x14ac:dyDescent="0.25">
      <c r="A548" s="21" t="s">
        <v>3214</v>
      </c>
      <c r="B548" s="21" t="s">
        <v>3215</v>
      </c>
      <c r="C548" s="21" t="s">
        <v>3216</v>
      </c>
      <c r="D548" s="21" t="s">
        <v>3217</v>
      </c>
      <c r="E548" s="21">
        <v>15037950</v>
      </c>
      <c r="F548" s="21">
        <v>579751</v>
      </c>
      <c r="G548" s="21" t="s">
        <v>3218</v>
      </c>
      <c r="H548" s="21">
        <v>4</v>
      </c>
      <c r="I548" s="21">
        <v>2</v>
      </c>
      <c r="J548" s="21">
        <v>4</v>
      </c>
      <c r="K548" s="21">
        <v>2023</v>
      </c>
      <c r="L548" s="21" t="s">
        <v>373</v>
      </c>
      <c r="M548" s="21" t="s">
        <v>372</v>
      </c>
      <c r="N548" s="21" t="s">
        <v>373</v>
      </c>
      <c r="O548" s="21" t="s">
        <v>3219</v>
      </c>
    </row>
    <row r="549" spans="1:15" x14ac:dyDescent="0.25">
      <c r="A549" s="21" t="s">
        <v>3220</v>
      </c>
      <c r="B549" s="21" t="s">
        <v>3221</v>
      </c>
      <c r="C549" s="21" t="s">
        <v>3222</v>
      </c>
      <c r="D549" s="21" t="s">
        <v>3223</v>
      </c>
      <c r="E549" s="21">
        <v>1044892</v>
      </c>
      <c r="F549" s="21">
        <v>148045</v>
      </c>
      <c r="G549" s="21" t="s">
        <v>3224</v>
      </c>
      <c r="H549" s="21">
        <v>1</v>
      </c>
      <c r="I549" s="21">
        <v>1</v>
      </c>
      <c r="J549" s="21">
        <v>4</v>
      </c>
      <c r="K549" s="21">
        <v>2023</v>
      </c>
      <c r="L549" s="21" t="s">
        <v>372</v>
      </c>
      <c r="M549" s="21" t="s">
        <v>372</v>
      </c>
      <c r="N549" s="21" t="s">
        <v>373</v>
      </c>
      <c r="O549" s="21" t="s">
        <v>3225</v>
      </c>
    </row>
    <row r="550" spans="1:15" x14ac:dyDescent="0.25">
      <c r="A550" s="21" t="s">
        <v>3226</v>
      </c>
      <c r="B550" s="21" t="s">
        <v>3227</v>
      </c>
      <c r="C550" s="21" t="s">
        <v>3228</v>
      </c>
      <c r="D550" s="21" t="s">
        <v>3229</v>
      </c>
      <c r="E550" s="21">
        <v>2510000</v>
      </c>
      <c r="F550" s="21">
        <v>45000</v>
      </c>
      <c r="G550" s="21" t="s">
        <v>3230</v>
      </c>
      <c r="H550" s="21">
        <v>1</v>
      </c>
      <c r="I550" s="21">
        <v>1</v>
      </c>
      <c r="J550" s="21">
        <v>4</v>
      </c>
      <c r="K550" s="21">
        <v>2023</v>
      </c>
      <c r="L550" s="21" t="s">
        <v>372</v>
      </c>
      <c r="M550" s="21" t="s">
        <v>372</v>
      </c>
      <c r="N550" s="21" t="s">
        <v>373</v>
      </c>
      <c r="O550" s="21" t="s">
        <v>3231</v>
      </c>
    </row>
    <row r="551" spans="1:15" x14ac:dyDescent="0.25">
      <c r="A551" s="21" t="s">
        <v>110</v>
      </c>
      <c r="B551" s="21" t="s">
        <v>3232</v>
      </c>
      <c r="C551" s="21" t="s">
        <v>3233</v>
      </c>
      <c r="D551" s="21" t="s">
        <v>3234</v>
      </c>
      <c r="E551" s="21">
        <v>131732</v>
      </c>
      <c r="F551" s="21">
        <v>66807</v>
      </c>
      <c r="G551" s="21" t="s">
        <v>3235</v>
      </c>
      <c r="H551" s="21">
        <v>1</v>
      </c>
      <c r="I551" s="21">
        <v>1</v>
      </c>
      <c r="J551" s="21">
        <v>4</v>
      </c>
      <c r="K551" s="21">
        <v>2023</v>
      </c>
      <c r="L551" s="21" t="s">
        <v>372</v>
      </c>
      <c r="M551" s="21" t="s">
        <v>372</v>
      </c>
      <c r="N551" s="21" t="s">
        <v>373</v>
      </c>
      <c r="O551" s="21" t="s">
        <v>228</v>
      </c>
    </row>
    <row r="552" spans="1:15" x14ac:dyDescent="0.25">
      <c r="A552" s="21" t="s">
        <v>3236</v>
      </c>
      <c r="B552" s="21" t="s">
        <v>3237</v>
      </c>
      <c r="E552" s="21">
        <v>55304</v>
      </c>
      <c r="F552" s="21">
        <v>91359</v>
      </c>
      <c r="G552" s="21">
        <v>5476685</v>
      </c>
      <c r="H552" s="21">
        <v>1</v>
      </c>
      <c r="I552" s="21">
        <v>1</v>
      </c>
      <c r="J552" s="21">
        <v>1</v>
      </c>
      <c r="K552" s="21">
        <v>2023</v>
      </c>
      <c r="L552" s="21" t="s">
        <v>372</v>
      </c>
      <c r="M552" s="21" t="s">
        <v>372</v>
      </c>
      <c r="N552" s="21" t="s">
        <v>372</v>
      </c>
      <c r="O552" s="21">
        <v>8013</v>
      </c>
    </row>
    <row r="553" spans="1:15" x14ac:dyDescent="0.25">
      <c r="A553" s="21" t="s">
        <v>3238</v>
      </c>
      <c r="B553" s="21" t="s">
        <v>3239</v>
      </c>
      <c r="C553" s="21" t="s">
        <v>3240</v>
      </c>
      <c r="D553" s="21" t="s">
        <v>3241</v>
      </c>
      <c r="E553" s="21">
        <v>18661</v>
      </c>
      <c r="F553" s="21">
        <v>93130</v>
      </c>
      <c r="G553" s="21" t="s">
        <v>3242</v>
      </c>
      <c r="H553" s="21">
        <v>2</v>
      </c>
      <c r="I553" s="21">
        <v>2</v>
      </c>
      <c r="J553" s="21">
        <v>4</v>
      </c>
      <c r="K553" s="21">
        <v>2023</v>
      </c>
      <c r="L553" s="21" t="s">
        <v>372</v>
      </c>
      <c r="M553" s="21" t="s">
        <v>372</v>
      </c>
      <c r="N553" s="21" t="s">
        <v>373</v>
      </c>
      <c r="O553" s="21" t="s">
        <v>3243</v>
      </c>
    </row>
    <row r="554" spans="1:15" x14ac:dyDescent="0.25">
      <c r="A554" s="21" t="s">
        <v>3244</v>
      </c>
      <c r="B554" s="21" t="s">
        <v>3245</v>
      </c>
      <c r="C554" s="21" t="s">
        <v>3246</v>
      </c>
      <c r="D554" s="21" t="s">
        <v>3247</v>
      </c>
      <c r="E554" s="21" t="s">
        <v>3248</v>
      </c>
      <c r="F554" s="21" t="s">
        <v>3249</v>
      </c>
      <c r="G554" s="21" t="s">
        <v>3250</v>
      </c>
      <c r="H554" s="21">
        <v>4</v>
      </c>
      <c r="I554" s="21">
        <v>4</v>
      </c>
      <c r="J554" s="21">
        <v>4</v>
      </c>
      <c r="K554" s="21">
        <v>2023</v>
      </c>
      <c r="L554" s="21" t="s">
        <v>373</v>
      </c>
      <c r="M554" s="21" t="s">
        <v>373</v>
      </c>
      <c r="N554" s="21" t="s">
        <v>373</v>
      </c>
      <c r="O554" s="21" t="s">
        <v>3251</v>
      </c>
    </row>
    <row r="555" spans="1:15" x14ac:dyDescent="0.25">
      <c r="A555" s="21" t="s">
        <v>3252</v>
      </c>
      <c r="B555" s="21" t="s">
        <v>3253</v>
      </c>
      <c r="C555" s="21" t="s">
        <v>3254</v>
      </c>
      <c r="D555" s="21" t="s">
        <v>3255</v>
      </c>
      <c r="E555" s="21">
        <v>121140</v>
      </c>
      <c r="F555" s="21">
        <v>149503</v>
      </c>
      <c r="G555" s="21" t="s">
        <v>3256</v>
      </c>
      <c r="H555" s="21">
        <v>1</v>
      </c>
      <c r="I555" s="21">
        <v>1</v>
      </c>
      <c r="J555" s="21">
        <v>4</v>
      </c>
      <c r="K555" s="21">
        <v>2023</v>
      </c>
      <c r="L555" s="21" t="s">
        <v>372</v>
      </c>
      <c r="M555" s="21" t="s">
        <v>372</v>
      </c>
      <c r="N555" s="21" t="s">
        <v>373</v>
      </c>
      <c r="O555" s="21" t="s">
        <v>3257</v>
      </c>
    </row>
    <row r="556" spans="1:15" x14ac:dyDescent="0.25">
      <c r="A556" s="21" t="s">
        <v>3258</v>
      </c>
      <c r="B556" s="21" t="s">
        <v>3259</v>
      </c>
      <c r="C556" s="21" t="s">
        <v>3260</v>
      </c>
      <c r="D556" s="21" t="s">
        <v>3261</v>
      </c>
      <c r="E556" s="21">
        <v>9531</v>
      </c>
      <c r="F556" s="21">
        <v>40149</v>
      </c>
      <c r="G556" s="21" t="s">
        <v>3262</v>
      </c>
      <c r="H556" s="21">
        <v>4</v>
      </c>
      <c r="I556" s="21">
        <v>2</v>
      </c>
      <c r="J556" s="21">
        <v>4</v>
      </c>
      <c r="K556" s="21">
        <v>2023</v>
      </c>
      <c r="L556" s="21" t="s">
        <v>373</v>
      </c>
      <c r="M556" s="21" t="s">
        <v>372</v>
      </c>
      <c r="N556" s="21" t="s">
        <v>373</v>
      </c>
      <c r="O556" s="21" t="s">
        <v>3263</v>
      </c>
    </row>
    <row r="557" spans="1:15" x14ac:dyDescent="0.25">
      <c r="A557" s="21" t="s">
        <v>3264</v>
      </c>
      <c r="B557" s="21" t="s">
        <v>3265</v>
      </c>
      <c r="C557" s="21" t="s">
        <v>3266</v>
      </c>
      <c r="D557" s="21" t="s">
        <v>3267</v>
      </c>
      <c r="E557" s="21">
        <v>7795253</v>
      </c>
      <c r="F557" s="21">
        <v>14640</v>
      </c>
      <c r="G557" s="21" t="s">
        <v>3268</v>
      </c>
      <c r="H557" s="21">
        <v>1</v>
      </c>
      <c r="I557" s="21">
        <v>1</v>
      </c>
      <c r="J557" s="21">
        <v>4</v>
      </c>
      <c r="K557" s="21">
        <v>2023</v>
      </c>
      <c r="L557" s="21" t="s">
        <v>372</v>
      </c>
      <c r="M557" s="21" t="s">
        <v>372</v>
      </c>
      <c r="N557" s="21" t="s">
        <v>373</v>
      </c>
      <c r="O557" s="21" t="s">
        <v>3269</v>
      </c>
    </row>
    <row r="558" spans="1:15" x14ac:dyDescent="0.25">
      <c r="A558" s="21" t="s">
        <v>3270</v>
      </c>
      <c r="B558" s="21" t="s">
        <v>3271</v>
      </c>
      <c r="C558" s="21" t="s">
        <v>3272</v>
      </c>
      <c r="D558" s="21" t="s">
        <v>3273</v>
      </c>
      <c r="E558" s="21" t="s">
        <v>3274</v>
      </c>
      <c r="F558" s="21" t="s">
        <v>3275</v>
      </c>
      <c r="G558" s="21" t="s">
        <v>3276</v>
      </c>
      <c r="H558" s="21">
        <v>4</v>
      </c>
      <c r="I558" s="21">
        <v>4</v>
      </c>
      <c r="J558" s="21">
        <v>4</v>
      </c>
      <c r="K558" s="21">
        <v>2023</v>
      </c>
      <c r="L558" s="21" t="s">
        <v>373</v>
      </c>
      <c r="M558" s="21" t="s">
        <v>373</v>
      </c>
      <c r="N558" s="21" t="s">
        <v>373</v>
      </c>
      <c r="O558" s="21" t="s">
        <v>3277</v>
      </c>
    </row>
    <row r="559" spans="1:15" x14ac:dyDescent="0.25">
      <c r="A559" s="21" t="s">
        <v>3278</v>
      </c>
      <c r="B559" s="21" t="s">
        <v>3279</v>
      </c>
      <c r="C559" s="21" t="s">
        <v>3280</v>
      </c>
      <c r="D559" s="21" t="s">
        <v>3281</v>
      </c>
      <c r="E559" s="21">
        <v>137093</v>
      </c>
      <c r="F559" s="21">
        <v>488815</v>
      </c>
      <c r="G559" s="21" t="s">
        <v>3282</v>
      </c>
      <c r="H559" s="21">
        <v>2</v>
      </c>
      <c r="I559" s="21">
        <v>2</v>
      </c>
      <c r="J559" s="21">
        <v>4</v>
      </c>
      <c r="K559" s="21">
        <v>2023</v>
      </c>
      <c r="L559" s="21" t="s">
        <v>372</v>
      </c>
      <c r="M559" s="21" t="s">
        <v>372</v>
      </c>
      <c r="N559" s="21" t="s">
        <v>373</v>
      </c>
      <c r="O559" s="21" t="s">
        <v>3283</v>
      </c>
    </row>
    <row r="560" spans="1:15" x14ac:dyDescent="0.25">
      <c r="A560" s="21" t="s">
        <v>3284</v>
      </c>
      <c r="B560" s="21" t="s">
        <v>3285</v>
      </c>
      <c r="C560" s="21" t="s">
        <v>3286</v>
      </c>
      <c r="D560" s="21" t="s">
        <v>3287</v>
      </c>
      <c r="E560" s="21">
        <v>376</v>
      </c>
      <c r="F560" s="21">
        <v>14752</v>
      </c>
      <c r="G560" s="21" t="s">
        <v>3288</v>
      </c>
      <c r="H560" s="21">
        <v>2</v>
      </c>
      <c r="I560" s="21">
        <v>2</v>
      </c>
      <c r="J560" s="21">
        <v>4</v>
      </c>
      <c r="K560" s="21">
        <v>2023</v>
      </c>
      <c r="L560" s="21" t="s">
        <v>372</v>
      </c>
      <c r="M560" s="21" t="s">
        <v>372</v>
      </c>
      <c r="N560" s="21" t="s">
        <v>373</v>
      </c>
      <c r="O560" s="21" t="s">
        <v>3289</v>
      </c>
    </row>
    <row r="561" spans="1:15" x14ac:dyDescent="0.25">
      <c r="A561" s="21" t="s">
        <v>3290</v>
      </c>
      <c r="B561" s="21" t="s">
        <v>3291</v>
      </c>
      <c r="C561" s="21" t="s">
        <v>3292</v>
      </c>
      <c r="D561" s="21" t="s">
        <v>3293</v>
      </c>
      <c r="E561" s="21">
        <v>3859</v>
      </c>
      <c r="F561" s="21">
        <v>101454</v>
      </c>
      <c r="G561" s="21" t="s">
        <v>3294</v>
      </c>
      <c r="H561" s="21">
        <v>1</v>
      </c>
      <c r="I561" s="21">
        <v>1</v>
      </c>
      <c r="J561" s="21">
        <v>4</v>
      </c>
      <c r="K561" s="21">
        <v>2023</v>
      </c>
      <c r="L561" s="21" t="s">
        <v>372</v>
      </c>
      <c r="M561" s="21" t="s">
        <v>372</v>
      </c>
      <c r="N561" s="21" t="s">
        <v>373</v>
      </c>
      <c r="O561" s="21" t="s">
        <v>3295</v>
      </c>
    </row>
    <row r="562" spans="1:15" x14ac:dyDescent="0.25">
      <c r="A562" s="21" t="s">
        <v>3296</v>
      </c>
      <c r="B562" s="21" t="s">
        <v>3297</v>
      </c>
      <c r="C562" s="21" t="s">
        <v>3298</v>
      </c>
      <c r="D562" s="21" t="s">
        <v>3299</v>
      </c>
      <c r="E562" s="21">
        <v>223860</v>
      </c>
      <c r="F562" s="21">
        <v>359647</v>
      </c>
      <c r="G562" s="21" t="s">
        <v>3300</v>
      </c>
      <c r="H562" s="21">
        <v>4</v>
      </c>
      <c r="I562" s="21">
        <v>2</v>
      </c>
      <c r="J562" s="21">
        <v>4</v>
      </c>
      <c r="K562" s="21">
        <v>2023</v>
      </c>
      <c r="L562" s="21" t="s">
        <v>373</v>
      </c>
      <c r="M562" s="21" t="s">
        <v>372</v>
      </c>
      <c r="N562" s="21" t="s">
        <v>373</v>
      </c>
      <c r="O562" s="21" t="s">
        <v>3301</v>
      </c>
    </row>
    <row r="563" spans="1:15" x14ac:dyDescent="0.25">
      <c r="A563" s="21" t="s">
        <v>3302</v>
      </c>
      <c r="B563" s="21" t="s">
        <v>3303</v>
      </c>
      <c r="C563" s="21" t="s">
        <v>3304</v>
      </c>
      <c r="D563" s="21" t="s">
        <v>3305</v>
      </c>
      <c r="E563" s="21">
        <v>52353</v>
      </c>
      <c r="F563" s="21">
        <v>105562</v>
      </c>
      <c r="G563" s="21" t="s">
        <v>3306</v>
      </c>
      <c r="H563" s="21">
        <v>4</v>
      </c>
      <c r="I563" s="21">
        <v>2</v>
      </c>
      <c r="J563" s="21">
        <v>4</v>
      </c>
      <c r="K563" s="21">
        <v>2023</v>
      </c>
      <c r="L563" s="21" t="s">
        <v>373</v>
      </c>
      <c r="M563" s="21" t="s">
        <v>372</v>
      </c>
      <c r="N563" s="21" t="s">
        <v>373</v>
      </c>
      <c r="O563" s="21" t="s">
        <v>3307</v>
      </c>
    </row>
    <row r="564" spans="1:15" x14ac:dyDescent="0.25">
      <c r="A564" s="21" t="s">
        <v>3308</v>
      </c>
      <c r="B564" s="21" t="s">
        <v>3309</v>
      </c>
      <c r="C564" s="21" t="s">
        <v>3310</v>
      </c>
      <c r="D564" s="21" t="s">
        <v>3311</v>
      </c>
      <c r="E564" s="21">
        <v>273580</v>
      </c>
      <c r="F564" s="21">
        <v>68555</v>
      </c>
      <c r="G564" s="21">
        <v>4669245</v>
      </c>
      <c r="H564" s="21">
        <v>1</v>
      </c>
      <c r="I564" s="21">
        <v>1</v>
      </c>
      <c r="J564" s="21">
        <v>1</v>
      </c>
      <c r="K564" s="21">
        <v>2023</v>
      </c>
      <c r="L564" s="21" t="s">
        <v>372</v>
      </c>
      <c r="M564" s="21" t="s">
        <v>372</v>
      </c>
      <c r="N564" s="21" t="s">
        <v>372</v>
      </c>
      <c r="O564" s="21">
        <v>30431</v>
      </c>
    </row>
    <row r="565" spans="1:15" x14ac:dyDescent="0.25">
      <c r="A565" s="21" t="s">
        <v>3312</v>
      </c>
      <c r="B565" s="21" t="s">
        <v>3313</v>
      </c>
      <c r="C565" s="21" t="s">
        <v>3314</v>
      </c>
      <c r="D565" s="21" t="s">
        <v>3315</v>
      </c>
      <c r="E565" s="21">
        <v>1193204</v>
      </c>
      <c r="F565" s="21">
        <v>53360</v>
      </c>
      <c r="G565" s="21" t="s">
        <v>3316</v>
      </c>
      <c r="H565" s="21">
        <v>4</v>
      </c>
      <c r="I565" s="21">
        <v>2</v>
      </c>
      <c r="J565" s="21">
        <v>4</v>
      </c>
      <c r="K565" s="21">
        <v>2023</v>
      </c>
      <c r="L565" s="21" t="s">
        <v>373</v>
      </c>
      <c r="M565" s="21" t="s">
        <v>372</v>
      </c>
      <c r="N565" s="21" t="s">
        <v>373</v>
      </c>
      <c r="O565" s="21" t="s">
        <v>3317</v>
      </c>
    </row>
    <row r="566" spans="1:15" x14ac:dyDescent="0.25">
      <c r="A566" s="21" t="s">
        <v>157</v>
      </c>
      <c r="B566" s="21" t="s">
        <v>3318</v>
      </c>
      <c r="C566" s="21" t="s">
        <v>3319</v>
      </c>
      <c r="D566" s="21" t="s">
        <v>3320</v>
      </c>
      <c r="E566" s="21">
        <v>650587</v>
      </c>
      <c r="F566" s="21">
        <v>489611</v>
      </c>
      <c r="G566" s="21" t="s">
        <v>3321</v>
      </c>
      <c r="H566" s="21">
        <v>1</v>
      </c>
      <c r="I566" s="21">
        <v>1</v>
      </c>
      <c r="J566" s="21">
        <v>4</v>
      </c>
      <c r="K566" s="21">
        <v>2023</v>
      </c>
      <c r="L566" s="21" t="s">
        <v>372</v>
      </c>
      <c r="M566" s="21" t="s">
        <v>372</v>
      </c>
      <c r="N566" s="21" t="s">
        <v>373</v>
      </c>
      <c r="O566" s="21" t="s">
        <v>257</v>
      </c>
    </row>
    <row r="567" spans="1:15" x14ac:dyDescent="0.25">
      <c r="A567" s="21" t="s">
        <v>3322</v>
      </c>
      <c r="B567" s="21" t="s">
        <v>3323</v>
      </c>
      <c r="C567" s="21" t="s">
        <v>3324</v>
      </c>
      <c r="D567" s="21" t="s">
        <v>3325</v>
      </c>
      <c r="E567" s="21">
        <v>70389145</v>
      </c>
      <c r="F567" s="21">
        <v>2196976</v>
      </c>
      <c r="G567" s="21" t="s">
        <v>3326</v>
      </c>
      <c r="H567" s="21">
        <v>1</v>
      </c>
      <c r="I567" s="21">
        <v>2</v>
      </c>
      <c r="J567" s="21">
        <v>4</v>
      </c>
      <c r="K567" s="21">
        <v>2023</v>
      </c>
      <c r="L567" s="21" t="s">
        <v>372</v>
      </c>
      <c r="M567" s="21" t="s">
        <v>372</v>
      </c>
      <c r="N567" s="21" t="s">
        <v>373</v>
      </c>
      <c r="O567" s="21" t="s">
        <v>3327</v>
      </c>
    </row>
    <row r="568" spans="1:15" x14ac:dyDescent="0.25">
      <c r="A568" s="21" t="s">
        <v>171</v>
      </c>
      <c r="B568" s="21" t="s">
        <v>3328</v>
      </c>
      <c r="C568" s="21" t="s">
        <v>3329</v>
      </c>
      <c r="D568" s="21" t="s">
        <v>3330</v>
      </c>
      <c r="E568" s="21">
        <v>297602</v>
      </c>
      <c r="F568" s="21">
        <v>358475</v>
      </c>
      <c r="G568" s="21">
        <v>4314821</v>
      </c>
      <c r="H568" s="21">
        <v>1</v>
      </c>
      <c r="I568" s="21">
        <v>1</v>
      </c>
      <c r="J568" s="21">
        <v>1</v>
      </c>
      <c r="K568" s="21">
        <v>2023</v>
      </c>
      <c r="L568" s="21" t="s">
        <v>372</v>
      </c>
      <c r="M568" s="21" t="s">
        <v>372</v>
      </c>
      <c r="N568" s="21" t="s">
        <v>372</v>
      </c>
      <c r="O568" s="21" t="s">
        <v>264</v>
      </c>
    </row>
    <row r="569" spans="1:15" x14ac:dyDescent="0.25">
      <c r="A569" s="21" t="s">
        <v>3331</v>
      </c>
      <c r="B569" s="21" t="s">
        <v>3332</v>
      </c>
      <c r="C569" s="21" t="s">
        <v>3333</v>
      </c>
      <c r="D569" s="21" t="s">
        <v>3334</v>
      </c>
      <c r="E569" s="21">
        <v>22439</v>
      </c>
      <c r="F569" s="21">
        <v>167486</v>
      </c>
      <c r="G569" s="21" t="s">
        <v>3335</v>
      </c>
      <c r="H569" s="21">
        <v>1</v>
      </c>
      <c r="I569" s="21">
        <v>1</v>
      </c>
      <c r="J569" s="21">
        <v>4</v>
      </c>
      <c r="K569" s="21">
        <v>2023</v>
      </c>
      <c r="L569" s="21" t="s">
        <v>372</v>
      </c>
      <c r="M569" s="21" t="s">
        <v>372</v>
      </c>
      <c r="N569" s="21" t="s">
        <v>373</v>
      </c>
      <c r="O569" s="21">
        <v>19682</v>
      </c>
    </row>
    <row r="570" spans="1:15" x14ac:dyDescent="0.25">
      <c r="A570" s="21" t="s">
        <v>3336</v>
      </c>
      <c r="B570" s="21" t="s">
        <v>3337</v>
      </c>
      <c r="C570" s="21" t="s">
        <v>3338</v>
      </c>
      <c r="D570" s="21" t="s">
        <v>3339</v>
      </c>
      <c r="E570" s="21">
        <v>74942</v>
      </c>
      <c r="F570" s="21">
        <v>274478</v>
      </c>
      <c r="G570" s="21" t="s">
        <v>3340</v>
      </c>
      <c r="H570" s="21">
        <v>1</v>
      </c>
      <c r="I570" s="21">
        <v>1</v>
      </c>
      <c r="J570" s="21">
        <v>4</v>
      </c>
      <c r="K570" s="21">
        <v>2023</v>
      </c>
      <c r="L570" s="21" t="s">
        <v>372</v>
      </c>
      <c r="M570" s="21" t="s">
        <v>372</v>
      </c>
      <c r="N570" s="21" t="s">
        <v>373</v>
      </c>
      <c r="O570" s="21">
        <v>4449</v>
      </c>
    </row>
    <row r="571" spans="1:15" x14ac:dyDescent="0.25">
      <c r="A571" s="21" t="s">
        <v>3341</v>
      </c>
      <c r="B571" s="21" t="s">
        <v>3342</v>
      </c>
      <c r="C571" s="21" t="s">
        <v>3343</v>
      </c>
      <c r="D571" s="21" t="s">
        <v>3344</v>
      </c>
      <c r="E571" s="21">
        <v>1237</v>
      </c>
      <c r="F571" s="21">
        <v>5733</v>
      </c>
      <c r="G571" s="21" t="s">
        <v>3345</v>
      </c>
      <c r="H571" s="21">
        <v>1</v>
      </c>
      <c r="I571" s="21">
        <v>1</v>
      </c>
      <c r="J571" s="21">
        <v>4</v>
      </c>
      <c r="K571" s="21">
        <v>2023</v>
      </c>
      <c r="L571" s="21" t="s">
        <v>372</v>
      </c>
      <c r="M571" s="21" t="s">
        <v>372</v>
      </c>
      <c r="N571" s="21" t="s">
        <v>373</v>
      </c>
      <c r="O571" s="21" t="s">
        <v>3346</v>
      </c>
    </row>
    <row r="572" spans="1:15" x14ac:dyDescent="0.25">
      <c r="A572" s="21" t="s">
        <v>3347</v>
      </c>
      <c r="B572" s="21" t="s">
        <v>3348</v>
      </c>
      <c r="C572" s="21" t="s">
        <v>3349</v>
      </c>
      <c r="D572" s="21" t="s">
        <v>3350</v>
      </c>
      <c r="E572" s="21">
        <v>3616398</v>
      </c>
      <c r="F572" s="21">
        <v>62678</v>
      </c>
      <c r="G572" s="21" t="s">
        <v>3351</v>
      </c>
      <c r="H572" s="21">
        <v>4</v>
      </c>
      <c r="I572" s="21">
        <v>2</v>
      </c>
      <c r="J572" s="21">
        <v>4</v>
      </c>
      <c r="K572" s="21">
        <v>2023</v>
      </c>
      <c r="L572" s="21" t="s">
        <v>373</v>
      </c>
      <c r="M572" s="21" t="s">
        <v>372</v>
      </c>
      <c r="N572" s="21" t="s">
        <v>373</v>
      </c>
      <c r="O572" s="21" t="s">
        <v>3352</v>
      </c>
    </row>
    <row r="573" spans="1:15" x14ac:dyDescent="0.25">
      <c r="A573" s="21" t="s">
        <v>3353</v>
      </c>
      <c r="B573" s="21" t="s">
        <v>3354</v>
      </c>
      <c r="C573" s="21" t="s">
        <v>3355</v>
      </c>
      <c r="D573" s="21" t="s">
        <v>3356</v>
      </c>
      <c r="E573" s="21">
        <v>59580</v>
      </c>
      <c r="F573" s="21">
        <v>9912</v>
      </c>
      <c r="G573" s="21" t="s">
        <v>3357</v>
      </c>
      <c r="H573" s="21">
        <v>1</v>
      </c>
      <c r="I573" s="21">
        <v>2</v>
      </c>
      <c r="J573" s="21">
        <v>4</v>
      </c>
      <c r="K573" s="21">
        <v>2023</v>
      </c>
      <c r="L573" s="21" t="s">
        <v>372</v>
      </c>
      <c r="M573" s="21" t="s">
        <v>372</v>
      </c>
      <c r="N573" s="21" t="s">
        <v>373</v>
      </c>
      <c r="O573" s="21" t="s">
        <v>3358</v>
      </c>
    </row>
    <row r="574" spans="1:15" x14ac:dyDescent="0.25">
      <c r="A574" s="21" t="s">
        <v>3359</v>
      </c>
      <c r="B574" s="21" t="s">
        <v>3360</v>
      </c>
      <c r="D574" s="21" t="s">
        <v>3361</v>
      </c>
      <c r="E574" s="21" t="s">
        <v>3362</v>
      </c>
      <c r="F574" s="21" t="s">
        <v>3363</v>
      </c>
      <c r="G574" s="21" t="s">
        <v>3364</v>
      </c>
      <c r="H574" s="21">
        <v>4</v>
      </c>
      <c r="I574" s="21">
        <v>4</v>
      </c>
      <c r="J574" s="21">
        <v>4</v>
      </c>
      <c r="K574" s="21">
        <v>2023</v>
      </c>
      <c r="L574" s="21" t="s">
        <v>373</v>
      </c>
      <c r="M574" s="21" t="s">
        <v>373</v>
      </c>
      <c r="N574" s="21" t="s">
        <v>373</v>
      </c>
      <c r="O574" s="21" t="s">
        <v>3365</v>
      </c>
    </row>
    <row r="575" spans="1:15" x14ac:dyDescent="0.25">
      <c r="A575" s="21" t="s">
        <v>151</v>
      </c>
      <c r="B575" s="21" t="s">
        <v>3366</v>
      </c>
      <c r="C575" s="21" t="s">
        <v>3367</v>
      </c>
      <c r="D575" s="21" t="s">
        <v>3368</v>
      </c>
      <c r="E575" s="21">
        <v>390000</v>
      </c>
      <c r="F575" s="21">
        <v>490000</v>
      </c>
      <c r="G575" s="21" t="s">
        <v>3369</v>
      </c>
      <c r="H575" s="21">
        <v>1</v>
      </c>
      <c r="I575" s="21">
        <v>1</v>
      </c>
      <c r="J575" s="21">
        <v>4</v>
      </c>
      <c r="K575" s="21">
        <v>2023</v>
      </c>
      <c r="L575" s="21" t="s">
        <v>372</v>
      </c>
      <c r="M575" s="21" t="s">
        <v>372</v>
      </c>
      <c r="N575" s="21" t="s">
        <v>373</v>
      </c>
      <c r="O575" s="21" t="s">
        <v>253</v>
      </c>
    </row>
    <row r="576" spans="1:15" x14ac:dyDescent="0.25">
      <c r="A576" s="21" t="s">
        <v>3370</v>
      </c>
      <c r="B576" s="21" t="s">
        <v>3371</v>
      </c>
      <c r="C576" s="21" t="s">
        <v>3372</v>
      </c>
      <c r="D576" s="21" t="s">
        <v>3373</v>
      </c>
      <c r="E576" s="21">
        <v>27101051</v>
      </c>
      <c r="F576" s="21">
        <v>26020</v>
      </c>
      <c r="G576" s="21" t="s">
        <v>3374</v>
      </c>
      <c r="H576" s="21">
        <v>4</v>
      </c>
      <c r="I576" s="21">
        <v>2</v>
      </c>
      <c r="J576" s="21">
        <v>4</v>
      </c>
      <c r="K576" s="21">
        <v>2023</v>
      </c>
      <c r="L576" s="21" t="s">
        <v>373</v>
      </c>
      <c r="M576" s="21" t="s">
        <v>372</v>
      </c>
      <c r="N576" s="21" t="s">
        <v>373</v>
      </c>
      <c r="O576" s="21" t="s">
        <v>3375</v>
      </c>
    </row>
    <row r="577" spans="1:15" x14ac:dyDescent="0.25">
      <c r="A577" s="21" t="s">
        <v>3376</v>
      </c>
      <c r="B577" s="21" t="s">
        <v>3377</v>
      </c>
      <c r="C577" s="21" t="s">
        <v>3378</v>
      </c>
      <c r="D577" s="21" t="s">
        <v>3379</v>
      </c>
      <c r="E577" s="21">
        <v>169207</v>
      </c>
      <c r="F577" s="21">
        <v>12927</v>
      </c>
      <c r="G577" s="21" t="s">
        <v>3380</v>
      </c>
      <c r="H577" s="21">
        <v>1</v>
      </c>
      <c r="I577" s="21">
        <v>1</v>
      </c>
      <c r="J577" s="21">
        <v>4</v>
      </c>
      <c r="K577" s="21">
        <v>2023</v>
      </c>
      <c r="L577" s="21" t="s">
        <v>372</v>
      </c>
      <c r="M577" s="21" t="s">
        <v>372</v>
      </c>
      <c r="N577" s="21" t="s">
        <v>373</v>
      </c>
      <c r="O577" s="21" t="s">
        <v>3381</v>
      </c>
    </row>
    <row r="578" spans="1:15" x14ac:dyDescent="0.25">
      <c r="A578" s="21" t="s">
        <v>197</v>
      </c>
      <c r="B578" s="21" t="s">
        <v>3382</v>
      </c>
      <c r="C578" s="21" t="s">
        <v>3383</v>
      </c>
      <c r="D578" s="21" t="s">
        <v>3384</v>
      </c>
      <c r="E578" s="21">
        <v>150836</v>
      </c>
      <c r="F578" s="21" t="s">
        <v>3385</v>
      </c>
      <c r="G578" s="21" t="s">
        <v>3386</v>
      </c>
      <c r="H578" s="21">
        <v>1</v>
      </c>
      <c r="I578" s="21">
        <v>1</v>
      </c>
      <c r="J578" s="21">
        <v>4</v>
      </c>
      <c r="K578" s="21">
        <v>2023</v>
      </c>
      <c r="L578" s="21" t="s">
        <v>372</v>
      </c>
      <c r="M578" s="21" t="s">
        <v>372</v>
      </c>
      <c r="N578" s="21" t="s">
        <v>373</v>
      </c>
      <c r="O578" s="21" t="s">
        <v>282</v>
      </c>
    </row>
    <row r="579" spans="1:15" x14ac:dyDescent="0.25">
      <c r="A579" s="21" t="s">
        <v>3387</v>
      </c>
      <c r="B579" s="21" t="s">
        <v>3388</v>
      </c>
      <c r="C579" s="21" t="s">
        <v>3389</v>
      </c>
      <c r="D579" s="21" t="s">
        <v>3390</v>
      </c>
      <c r="E579" s="21">
        <v>297725</v>
      </c>
      <c r="F579" s="21">
        <v>501745</v>
      </c>
      <c r="G579" s="21">
        <v>267288212</v>
      </c>
      <c r="H579" s="21">
        <v>1</v>
      </c>
      <c r="I579" s="21">
        <v>1</v>
      </c>
      <c r="J579" s="21">
        <v>4</v>
      </c>
      <c r="K579" s="21">
        <v>2023</v>
      </c>
      <c r="L579" s="21" t="s">
        <v>372</v>
      </c>
      <c r="M579" s="21" t="s">
        <v>372</v>
      </c>
      <c r="N579" s="21" t="s">
        <v>373</v>
      </c>
      <c r="O579" s="21">
        <v>10722</v>
      </c>
    </row>
    <row r="580" spans="1:15" x14ac:dyDescent="0.25">
      <c r="A580" s="21" t="s">
        <v>341</v>
      </c>
      <c r="B580" s="21" t="s">
        <v>3391</v>
      </c>
      <c r="D580" s="21" t="s">
        <v>3392</v>
      </c>
      <c r="E580" s="21">
        <v>484986</v>
      </c>
      <c r="F580" s="21">
        <v>287070</v>
      </c>
      <c r="G580" s="21">
        <v>1652802</v>
      </c>
      <c r="H580" s="21">
        <v>1</v>
      </c>
      <c r="I580" s="21">
        <v>2</v>
      </c>
      <c r="J580" s="21">
        <v>1</v>
      </c>
      <c r="K580" s="21">
        <v>2023</v>
      </c>
      <c r="L580" s="21" t="s">
        <v>372</v>
      </c>
      <c r="M580" s="21" t="s">
        <v>372</v>
      </c>
      <c r="N580" s="21" t="s">
        <v>372</v>
      </c>
      <c r="O580" s="21" t="s">
        <v>3393</v>
      </c>
    </row>
    <row r="581" spans="1:15" x14ac:dyDescent="0.25">
      <c r="A581" s="21" t="s">
        <v>326</v>
      </c>
      <c r="B581" s="21" t="s">
        <v>3394</v>
      </c>
      <c r="C581" s="21" t="s">
        <v>3395</v>
      </c>
      <c r="D581" s="21" t="s">
        <v>3396</v>
      </c>
      <c r="E581" s="21">
        <v>7266</v>
      </c>
      <c r="F581" s="21">
        <v>42898</v>
      </c>
      <c r="G581" s="21">
        <v>232532</v>
      </c>
      <c r="H581" s="21">
        <v>1</v>
      </c>
      <c r="I581" s="21">
        <v>1</v>
      </c>
      <c r="J581" s="21">
        <v>4</v>
      </c>
      <c r="K581" s="21">
        <v>2023</v>
      </c>
      <c r="L581" s="21" t="s">
        <v>372</v>
      </c>
      <c r="M581" s="21" t="s">
        <v>372</v>
      </c>
      <c r="N581" s="21" t="s">
        <v>373</v>
      </c>
      <c r="O581" s="21">
        <v>16420</v>
      </c>
    </row>
    <row r="582" spans="1:15" x14ac:dyDescent="0.25">
      <c r="A582" s="21" t="s">
        <v>3397</v>
      </c>
      <c r="B582" s="21" t="s">
        <v>3398</v>
      </c>
      <c r="C582" s="21" t="s">
        <v>3399</v>
      </c>
      <c r="D582" s="21" t="s">
        <v>3400</v>
      </c>
      <c r="E582" s="21">
        <v>6206</v>
      </c>
      <c r="F582" s="21">
        <v>35528</v>
      </c>
      <c r="G582" s="21" t="s">
        <v>3401</v>
      </c>
      <c r="H582" s="21">
        <v>1</v>
      </c>
      <c r="I582" s="21">
        <v>1</v>
      </c>
      <c r="J582" s="21">
        <v>4</v>
      </c>
      <c r="K582" s="21">
        <v>2023</v>
      </c>
      <c r="L582" s="21" t="s">
        <v>372</v>
      </c>
      <c r="M582" s="21" t="s">
        <v>372</v>
      </c>
      <c r="N582" s="21" t="s">
        <v>373</v>
      </c>
      <c r="O582" s="21" t="s">
        <v>3402</v>
      </c>
    </row>
    <row r="583" spans="1:15" x14ac:dyDescent="0.25">
      <c r="A583" s="21" t="s">
        <v>3403</v>
      </c>
      <c r="B583" s="21" t="s">
        <v>3404</v>
      </c>
      <c r="C583" s="21" t="s">
        <v>3405</v>
      </c>
      <c r="D583" s="21" t="s">
        <v>3406</v>
      </c>
      <c r="E583" s="21" t="s">
        <v>3407</v>
      </c>
      <c r="F583" s="21" t="s">
        <v>3408</v>
      </c>
      <c r="G583" s="21" t="s">
        <v>3409</v>
      </c>
      <c r="H583" s="21">
        <v>4</v>
      </c>
      <c r="I583" s="21">
        <v>4</v>
      </c>
      <c r="J583" s="21">
        <v>4</v>
      </c>
      <c r="K583" s="21">
        <v>2023</v>
      </c>
      <c r="L583" s="21" t="s">
        <v>373</v>
      </c>
      <c r="M583" s="21" t="s">
        <v>373</v>
      </c>
      <c r="N583" s="21" t="s">
        <v>373</v>
      </c>
      <c r="O583" s="21" t="s">
        <v>3410</v>
      </c>
    </row>
    <row r="584" spans="1:15" x14ac:dyDescent="0.25">
      <c r="A584" s="21" t="s">
        <v>3411</v>
      </c>
      <c r="B584" s="21" t="s">
        <v>3412</v>
      </c>
      <c r="C584" s="21" t="s">
        <v>3413</v>
      </c>
      <c r="E584" s="21">
        <v>38275</v>
      </c>
      <c r="F584" s="21">
        <v>14347</v>
      </c>
      <c r="G584" s="21" t="s">
        <v>3414</v>
      </c>
      <c r="H584" s="21">
        <v>1</v>
      </c>
      <c r="I584" s="21">
        <v>1</v>
      </c>
      <c r="J584" s="21">
        <v>4</v>
      </c>
      <c r="K584" s="21">
        <v>2023</v>
      </c>
      <c r="L584" s="21" t="s">
        <v>372</v>
      </c>
      <c r="M584" s="21" t="s">
        <v>372</v>
      </c>
      <c r="N584" s="21" t="s">
        <v>373</v>
      </c>
      <c r="O584" s="21" t="s">
        <v>3415</v>
      </c>
    </row>
    <row r="585" spans="1:15" x14ac:dyDescent="0.25">
      <c r="A585" s="21" t="s">
        <v>3416</v>
      </c>
      <c r="B585" s="21" t="s">
        <v>3417</v>
      </c>
      <c r="C585" s="21" t="s">
        <v>3418</v>
      </c>
      <c r="D585" s="21" t="s">
        <v>3419</v>
      </c>
      <c r="E585" s="21">
        <v>10989</v>
      </c>
      <c r="F585" s="21">
        <v>11631</v>
      </c>
      <c r="G585" s="21" t="s">
        <v>3420</v>
      </c>
      <c r="H585" s="21">
        <v>2</v>
      </c>
      <c r="I585" s="21">
        <v>2</v>
      </c>
      <c r="J585" s="21">
        <v>4</v>
      </c>
      <c r="K585" s="21">
        <v>2023</v>
      </c>
      <c r="L585" s="21" t="s">
        <v>372</v>
      </c>
      <c r="M585" s="21" t="s">
        <v>372</v>
      </c>
      <c r="N585" s="21" t="s">
        <v>373</v>
      </c>
      <c r="O585" s="21" t="s">
        <v>3421</v>
      </c>
    </row>
    <row r="586" spans="1:15" x14ac:dyDescent="0.25">
      <c r="A586" s="21" t="s">
        <v>143</v>
      </c>
      <c r="B586" s="21" t="s">
        <v>3422</v>
      </c>
      <c r="C586" s="21" t="s">
        <v>3423</v>
      </c>
      <c r="D586" s="21" t="s">
        <v>3424</v>
      </c>
      <c r="E586" s="21">
        <v>121275</v>
      </c>
      <c r="F586" s="21">
        <v>237471</v>
      </c>
      <c r="G586" s="21" t="s">
        <v>3425</v>
      </c>
      <c r="H586" s="21">
        <v>1</v>
      </c>
      <c r="I586" s="21">
        <v>1</v>
      </c>
      <c r="J586" s="21">
        <v>4</v>
      </c>
      <c r="K586" s="21">
        <v>2023</v>
      </c>
      <c r="L586" s="21" t="s">
        <v>372</v>
      </c>
      <c r="M586" s="21" t="s">
        <v>372</v>
      </c>
      <c r="N586" s="21" t="s">
        <v>373</v>
      </c>
      <c r="O586" s="21" t="s">
        <v>248</v>
      </c>
    </row>
    <row r="587" spans="1:15" x14ac:dyDescent="0.25">
      <c r="A587" s="21" t="s">
        <v>3426</v>
      </c>
      <c r="B587" s="21" t="s">
        <v>3427</v>
      </c>
      <c r="C587" s="21" t="s">
        <v>3428</v>
      </c>
      <c r="D587" s="21" t="s">
        <v>3429</v>
      </c>
      <c r="E587" s="21">
        <v>20542</v>
      </c>
      <c r="F587" s="21">
        <v>730220</v>
      </c>
      <c r="G587" s="21">
        <v>646046</v>
      </c>
      <c r="H587" s="21">
        <v>1</v>
      </c>
      <c r="I587" s="21">
        <v>1</v>
      </c>
      <c r="J587" s="21">
        <v>1</v>
      </c>
      <c r="K587" s="21">
        <v>2023</v>
      </c>
      <c r="L587" s="21" t="s">
        <v>372</v>
      </c>
      <c r="M587" s="21" t="s">
        <v>372</v>
      </c>
      <c r="N587" s="21" t="s">
        <v>372</v>
      </c>
      <c r="O587" s="21" t="s">
        <v>3430</v>
      </c>
    </row>
    <row r="588" spans="1:15" x14ac:dyDescent="0.25">
      <c r="A588" s="21" t="s">
        <v>3431</v>
      </c>
      <c r="B588" s="21" t="s">
        <v>3432</v>
      </c>
      <c r="C588" s="21" t="s">
        <v>3433</v>
      </c>
      <c r="D588" s="21" t="s">
        <v>3434</v>
      </c>
      <c r="E588" s="21">
        <v>9558</v>
      </c>
      <c r="F588" s="21">
        <v>2591</v>
      </c>
      <c r="G588" s="21" t="s">
        <v>3435</v>
      </c>
      <c r="H588" s="21">
        <v>1</v>
      </c>
      <c r="I588" s="21">
        <v>1</v>
      </c>
      <c r="J588" s="21">
        <v>4</v>
      </c>
      <c r="K588" s="21">
        <v>2023</v>
      </c>
      <c r="L588" s="21" t="s">
        <v>372</v>
      </c>
      <c r="M588" s="21" t="s">
        <v>372</v>
      </c>
      <c r="N588" s="21" t="s">
        <v>373</v>
      </c>
      <c r="O588" s="21" t="s">
        <v>3436</v>
      </c>
    </row>
    <row r="589" spans="1:15" x14ac:dyDescent="0.25">
      <c r="A589" s="21" t="s">
        <v>3437</v>
      </c>
      <c r="B589" s="21" t="s">
        <v>3438</v>
      </c>
      <c r="C589" s="21" t="s">
        <v>3439</v>
      </c>
      <c r="D589" s="21" t="s">
        <v>3440</v>
      </c>
      <c r="E589" s="21">
        <v>35464748</v>
      </c>
      <c r="F589" s="21">
        <v>6130772</v>
      </c>
      <c r="G589" s="21" t="s">
        <v>3441</v>
      </c>
      <c r="H589" s="21">
        <v>4</v>
      </c>
      <c r="I589" s="21">
        <v>2</v>
      </c>
      <c r="J589" s="21">
        <v>4</v>
      </c>
      <c r="K589" s="21">
        <v>2023</v>
      </c>
      <c r="L589" s="21" t="s">
        <v>373</v>
      </c>
      <c r="M589" s="21" t="s">
        <v>372</v>
      </c>
      <c r="N589" s="21" t="s">
        <v>373</v>
      </c>
      <c r="O589" s="21" t="s">
        <v>3442</v>
      </c>
    </row>
    <row r="590" spans="1:15" x14ac:dyDescent="0.25">
      <c r="A590" s="21" t="s">
        <v>3443</v>
      </c>
      <c r="B590" s="21" t="s">
        <v>3444</v>
      </c>
      <c r="D590" s="21" t="s">
        <v>3445</v>
      </c>
      <c r="E590" s="21">
        <v>5211</v>
      </c>
      <c r="F590" s="21">
        <v>37270</v>
      </c>
      <c r="G590" s="21">
        <v>410158</v>
      </c>
      <c r="H590" s="21">
        <v>1</v>
      </c>
      <c r="I590" s="21">
        <v>1</v>
      </c>
      <c r="J590" s="21">
        <v>4</v>
      </c>
      <c r="K590" s="21">
        <v>2023</v>
      </c>
      <c r="L590" s="21" t="s">
        <v>372</v>
      </c>
      <c r="M590" s="21" t="s">
        <v>372</v>
      </c>
      <c r="N590" s="21" t="s">
        <v>373</v>
      </c>
      <c r="O590" s="21" t="s">
        <v>3446</v>
      </c>
    </row>
    <row r="591" spans="1:15" x14ac:dyDescent="0.25">
      <c r="A591" s="21" t="s">
        <v>128</v>
      </c>
      <c r="B591" s="21" t="s">
        <v>3447</v>
      </c>
      <c r="C591" s="21" t="s">
        <v>3448</v>
      </c>
      <c r="D591" s="21" t="s">
        <v>3449</v>
      </c>
      <c r="E591" s="21">
        <v>30389</v>
      </c>
      <c r="F591" s="21">
        <v>124974</v>
      </c>
      <c r="G591" s="21">
        <v>74524</v>
      </c>
      <c r="H591" s="21">
        <v>1</v>
      </c>
      <c r="I591" s="21">
        <v>2</v>
      </c>
      <c r="J591" s="21">
        <v>1</v>
      </c>
      <c r="K591" s="21">
        <v>2023</v>
      </c>
      <c r="L591" s="21" t="s">
        <v>372</v>
      </c>
      <c r="M591" s="21" t="s">
        <v>372</v>
      </c>
      <c r="N591" s="21" t="s">
        <v>372</v>
      </c>
      <c r="O591" s="21" t="s">
        <v>236</v>
      </c>
    </row>
    <row r="592" spans="1:15" x14ac:dyDescent="0.25">
      <c r="A592" s="21" t="s">
        <v>182</v>
      </c>
      <c r="B592" s="21" t="s">
        <v>3450</v>
      </c>
      <c r="C592" s="21" t="s">
        <v>3451</v>
      </c>
      <c r="D592" s="21" t="s">
        <v>3452</v>
      </c>
      <c r="E592" s="21">
        <v>219711</v>
      </c>
      <c r="F592" s="21">
        <v>17918</v>
      </c>
      <c r="G592" s="21" t="s">
        <v>3453</v>
      </c>
      <c r="H592" s="21">
        <v>2</v>
      </c>
      <c r="I592" s="21">
        <v>2</v>
      </c>
      <c r="J592" s="21">
        <v>4</v>
      </c>
      <c r="K592" s="21">
        <v>2023</v>
      </c>
      <c r="L592" s="21" t="s">
        <v>372</v>
      </c>
      <c r="M592" s="21" t="s">
        <v>372</v>
      </c>
      <c r="N592" s="21" t="s">
        <v>373</v>
      </c>
      <c r="O592" s="21" t="s">
        <v>272</v>
      </c>
    </row>
    <row r="593" spans="1:15" x14ac:dyDescent="0.25">
      <c r="A593" s="21" t="s">
        <v>3454</v>
      </c>
      <c r="B593" s="21" t="s">
        <v>3455</v>
      </c>
      <c r="C593" s="21" t="s">
        <v>3456</v>
      </c>
      <c r="D593" s="21" t="s">
        <v>3457</v>
      </c>
      <c r="E593" s="21">
        <v>115583</v>
      </c>
      <c r="F593" s="21">
        <v>205421</v>
      </c>
      <c r="G593" s="21" t="s">
        <v>3458</v>
      </c>
      <c r="H593" s="21">
        <v>1</v>
      </c>
      <c r="I593" s="21">
        <v>1</v>
      </c>
      <c r="J593" s="21">
        <v>4</v>
      </c>
      <c r="K593" s="21">
        <v>2023</v>
      </c>
      <c r="L593" s="21" t="s">
        <v>372</v>
      </c>
      <c r="M593" s="21" t="s">
        <v>372</v>
      </c>
      <c r="N593" s="21" t="s">
        <v>373</v>
      </c>
      <c r="O593" s="21">
        <v>6887</v>
      </c>
    </row>
    <row r="594" spans="1:15" x14ac:dyDescent="0.25">
      <c r="A594" s="21" t="s">
        <v>3459</v>
      </c>
      <c r="B594" s="21" t="s">
        <v>3460</v>
      </c>
      <c r="C594" s="21" t="s">
        <v>3461</v>
      </c>
      <c r="E594" s="21">
        <v>22800000</v>
      </c>
      <c r="F594" s="21">
        <v>7500000</v>
      </c>
      <c r="G594" s="21" t="s">
        <v>3462</v>
      </c>
      <c r="H594" s="21">
        <v>1</v>
      </c>
      <c r="I594" s="21">
        <v>1</v>
      </c>
      <c r="J594" s="21">
        <v>4</v>
      </c>
      <c r="K594" s="21">
        <v>2023</v>
      </c>
      <c r="L594" s="21" t="s">
        <v>372</v>
      </c>
      <c r="M594" s="21" t="s">
        <v>372</v>
      </c>
      <c r="N594" s="21" t="s">
        <v>373</v>
      </c>
      <c r="O594" s="21" t="s">
        <v>3463</v>
      </c>
    </row>
    <row r="595" spans="1:15" x14ac:dyDescent="0.25">
      <c r="A595" s="21" t="s">
        <v>185</v>
      </c>
      <c r="B595" s="21" t="s">
        <v>3464</v>
      </c>
      <c r="D595" s="21" t="s">
        <v>3465</v>
      </c>
      <c r="E595" s="21">
        <v>523408</v>
      </c>
      <c r="F595" s="21">
        <v>2192714</v>
      </c>
      <c r="G595" s="21">
        <v>356328539</v>
      </c>
      <c r="H595" s="21">
        <v>1</v>
      </c>
      <c r="I595" s="21">
        <v>1</v>
      </c>
      <c r="J595" s="21">
        <v>4</v>
      </c>
      <c r="K595" s="21">
        <v>2023</v>
      </c>
      <c r="L595" s="21" t="s">
        <v>372</v>
      </c>
      <c r="M595" s="21" t="s">
        <v>372</v>
      </c>
      <c r="N595" s="21" t="s">
        <v>373</v>
      </c>
      <c r="O595" s="21">
        <v>63891</v>
      </c>
    </row>
    <row r="596" spans="1:15" x14ac:dyDescent="0.25">
      <c r="A596" s="21" t="s">
        <v>68</v>
      </c>
      <c r="B596" s="21" t="s">
        <v>3466</v>
      </c>
      <c r="C596" s="21" t="s">
        <v>3467</v>
      </c>
      <c r="D596" s="21" t="s">
        <v>3468</v>
      </c>
      <c r="E596" s="21">
        <v>1138773</v>
      </c>
      <c r="F596" s="21">
        <v>1637330</v>
      </c>
      <c r="G596" s="21" t="s">
        <v>3469</v>
      </c>
      <c r="H596" s="21">
        <v>4</v>
      </c>
      <c r="I596" s="21">
        <v>2</v>
      </c>
      <c r="J596" s="21">
        <v>4</v>
      </c>
      <c r="K596" s="21">
        <v>2023</v>
      </c>
      <c r="L596" s="21" t="s">
        <v>373</v>
      </c>
      <c r="M596" s="21" t="s">
        <v>372</v>
      </c>
      <c r="N596" s="21" t="s">
        <v>373</v>
      </c>
      <c r="O596" s="21" t="s">
        <v>207</v>
      </c>
    </row>
    <row r="597" spans="1:15" x14ac:dyDescent="0.25">
      <c r="A597" s="21" t="s">
        <v>3470</v>
      </c>
      <c r="B597" s="21" t="s">
        <v>3471</v>
      </c>
      <c r="C597" s="21" t="s">
        <v>3472</v>
      </c>
      <c r="D597" s="21" t="s">
        <v>3473</v>
      </c>
      <c r="E597" s="21">
        <v>240353</v>
      </c>
      <c r="F597" s="21">
        <v>169572</v>
      </c>
      <c r="G597" s="21" t="s">
        <v>3474</v>
      </c>
      <c r="H597" s="21">
        <v>1</v>
      </c>
      <c r="I597" s="21">
        <v>1</v>
      </c>
      <c r="J597" s="21">
        <v>4</v>
      </c>
      <c r="K597" s="21">
        <v>2023</v>
      </c>
      <c r="L597" s="21" t="s">
        <v>372</v>
      </c>
      <c r="M597" s="21" t="s">
        <v>372</v>
      </c>
      <c r="N597" s="21" t="s">
        <v>373</v>
      </c>
      <c r="O597" s="21" t="s">
        <v>3475</v>
      </c>
    </row>
    <row r="598" spans="1:15" x14ac:dyDescent="0.25">
      <c r="A598" s="21" t="s">
        <v>3476</v>
      </c>
      <c r="B598" s="21" t="s">
        <v>3477</v>
      </c>
      <c r="C598" s="21" t="s">
        <v>3478</v>
      </c>
      <c r="D598" s="21" t="s">
        <v>3479</v>
      </c>
      <c r="E598" s="21">
        <v>3132</v>
      </c>
      <c r="F598" s="21">
        <v>4122</v>
      </c>
      <c r="G598" s="21">
        <v>439603</v>
      </c>
      <c r="H598" s="21">
        <v>1</v>
      </c>
      <c r="I598" s="21">
        <v>1</v>
      </c>
      <c r="J598" s="21">
        <v>4</v>
      </c>
      <c r="K598" s="21">
        <v>2023</v>
      </c>
      <c r="L598" s="21" t="s">
        <v>372</v>
      </c>
      <c r="M598" s="21" t="s">
        <v>372</v>
      </c>
      <c r="N598" s="21" t="s">
        <v>373</v>
      </c>
      <c r="O598" s="21" t="s">
        <v>3480</v>
      </c>
    </row>
    <row r="599" spans="1:15" x14ac:dyDescent="0.25">
      <c r="A599" s="21" t="s">
        <v>3481</v>
      </c>
      <c r="B599" s="21" t="s">
        <v>3482</v>
      </c>
      <c r="C599" s="21" t="s">
        <v>3483</v>
      </c>
      <c r="D599" s="21" t="s">
        <v>3484</v>
      </c>
      <c r="E599" s="21">
        <v>1190000</v>
      </c>
      <c r="F599" s="21">
        <v>2400</v>
      </c>
      <c r="G599" s="21">
        <v>1119592</v>
      </c>
      <c r="H599" s="21">
        <v>1</v>
      </c>
      <c r="I599" s="21">
        <v>2</v>
      </c>
      <c r="J599" s="21">
        <v>4</v>
      </c>
      <c r="K599" s="21">
        <v>2023</v>
      </c>
      <c r="L599" s="21" t="s">
        <v>372</v>
      </c>
      <c r="M599" s="21" t="s">
        <v>372</v>
      </c>
      <c r="N599" s="21" t="s">
        <v>373</v>
      </c>
      <c r="O599" s="21" t="s">
        <v>3485</v>
      </c>
    </row>
    <row r="600" spans="1:15" x14ac:dyDescent="0.25">
      <c r="A600" s="21" t="s">
        <v>3486</v>
      </c>
      <c r="B600" s="21" t="s">
        <v>3487</v>
      </c>
      <c r="C600" s="21" t="s">
        <v>3488</v>
      </c>
      <c r="D600" s="21" t="s">
        <v>3489</v>
      </c>
      <c r="E600" s="21">
        <v>4979842</v>
      </c>
      <c r="F600" s="21">
        <v>10100</v>
      </c>
      <c r="G600" s="21" t="s">
        <v>3490</v>
      </c>
      <c r="H600" s="21">
        <v>1</v>
      </c>
      <c r="I600" s="21">
        <v>1</v>
      </c>
      <c r="J600" s="21">
        <v>4</v>
      </c>
      <c r="K600" s="21">
        <v>2023</v>
      </c>
      <c r="L600" s="21" t="s">
        <v>372</v>
      </c>
      <c r="M600" s="21" t="s">
        <v>372</v>
      </c>
      <c r="N600" s="21" t="s">
        <v>373</v>
      </c>
      <c r="O600" s="21" t="s">
        <v>3491</v>
      </c>
    </row>
    <row r="601" spans="1:15" x14ac:dyDescent="0.25">
      <c r="A601" s="21" t="s">
        <v>3492</v>
      </c>
      <c r="B601" s="21" t="s">
        <v>3493</v>
      </c>
      <c r="C601" s="21" t="s">
        <v>3494</v>
      </c>
      <c r="D601" s="21" t="s">
        <v>3495</v>
      </c>
      <c r="E601" s="21">
        <v>89600000</v>
      </c>
      <c r="F601" s="21">
        <v>2800000</v>
      </c>
      <c r="G601" s="21" t="s">
        <v>3496</v>
      </c>
      <c r="H601" s="21">
        <v>1</v>
      </c>
      <c r="I601" s="21">
        <v>1</v>
      </c>
      <c r="J601" s="21">
        <v>1</v>
      </c>
      <c r="K601" s="21">
        <v>2023</v>
      </c>
      <c r="L601" s="21" t="s">
        <v>372</v>
      </c>
      <c r="M601" s="21" t="s">
        <v>372</v>
      </c>
      <c r="N601" s="21" t="s">
        <v>372</v>
      </c>
      <c r="O601" s="21">
        <v>52293</v>
      </c>
    </row>
    <row r="602" spans="1:15" x14ac:dyDescent="0.25">
      <c r="A602" s="21" t="s">
        <v>3497</v>
      </c>
      <c r="B602" s="21" t="s">
        <v>3498</v>
      </c>
      <c r="C602" s="21" t="s">
        <v>3499</v>
      </c>
      <c r="D602" s="21" t="s">
        <v>3500</v>
      </c>
      <c r="E602" s="21">
        <v>14266186</v>
      </c>
      <c r="F602" s="21">
        <v>3349</v>
      </c>
      <c r="G602" s="21">
        <v>4752041</v>
      </c>
      <c r="H602" s="21">
        <v>1</v>
      </c>
      <c r="I602" s="21">
        <v>1</v>
      </c>
      <c r="J602" s="21">
        <v>4</v>
      </c>
      <c r="K602" s="21">
        <v>2023</v>
      </c>
      <c r="L602" s="21" t="s">
        <v>372</v>
      </c>
      <c r="M602" s="21" t="s">
        <v>372</v>
      </c>
      <c r="N602" s="21" t="s">
        <v>373</v>
      </c>
      <c r="O602" s="21">
        <v>10361</v>
      </c>
    </row>
    <row r="603" spans="1:15" x14ac:dyDescent="0.25">
      <c r="A603" s="21" t="s">
        <v>3501</v>
      </c>
      <c r="B603" s="21" t="s">
        <v>3502</v>
      </c>
      <c r="C603" s="21" t="s">
        <v>3503</v>
      </c>
      <c r="D603" s="21" t="s">
        <v>3504</v>
      </c>
      <c r="E603" s="21" t="s">
        <v>3505</v>
      </c>
      <c r="F603" s="21" t="s">
        <v>3506</v>
      </c>
      <c r="G603" s="21" t="s">
        <v>3507</v>
      </c>
      <c r="H603" s="21">
        <v>1</v>
      </c>
      <c r="I603" s="21">
        <v>1</v>
      </c>
      <c r="J603" s="21">
        <v>4</v>
      </c>
      <c r="K603" s="21">
        <v>2023</v>
      </c>
      <c r="L603" s="21" t="s">
        <v>372</v>
      </c>
      <c r="M603" s="21" t="s">
        <v>372</v>
      </c>
      <c r="N603" s="21" t="s">
        <v>373</v>
      </c>
      <c r="O603" s="21" t="s">
        <v>3508</v>
      </c>
    </row>
    <row r="604" spans="1:15" x14ac:dyDescent="0.25">
      <c r="A604" s="21" t="s">
        <v>142</v>
      </c>
      <c r="B604" s="21" t="s">
        <v>3509</v>
      </c>
      <c r="C604" s="21" t="s">
        <v>3510</v>
      </c>
      <c r="D604" s="21" t="s">
        <v>3511</v>
      </c>
      <c r="E604" s="21">
        <v>120101</v>
      </c>
      <c r="F604" s="21">
        <v>472738</v>
      </c>
      <c r="G604" s="21" t="s">
        <v>3512</v>
      </c>
      <c r="H604" s="21">
        <v>1</v>
      </c>
      <c r="I604" s="21">
        <v>1</v>
      </c>
      <c r="J604" s="21">
        <v>4</v>
      </c>
      <c r="K604" s="21">
        <v>2023</v>
      </c>
      <c r="L604" s="21" t="s">
        <v>372</v>
      </c>
      <c r="M604" s="21" t="s">
        <v>372</v>
      </c>
      <c r="N604" s="21" t="s">
        <v>373</v>
      </c>
      <c r="O604" s="21" t="s">
        <v>247</v>
      </c>
    </row>
    <row r="605" spans="1:15" x14ac:dyDescent="0.25">
      <c r="A605" s="21" t="s">
        <v>3513</v>
      </c>
      <c r="B605" s="21" t="s">
        <v>3514</v>
      </c>
      <c r="C605" s="21" t="s">
        <v>3515</v>
      </c>
      <c r="D605" s="21" t="s">
        <v>3516</v>
      </c>
      <c r="E605" s="21">
        <v>177299</v>
      </c>
      <c r="F605" s="21">
        <v>264420</v>
      </c>
      <c r="G605" s="21" t="s">
        <v>3517</v>
      </c>
      <c r="H605" s="21">
        <v>1</v>
      </c>
      <c r="I605" s="21">
        <v>1</v>
      </c>
      <c r="J605" s="21">
        <v>4</v>
      </c>
      <c r="K605" s="21">
        <v>2023</v>
      </c>
      <c r="L605" s="21" t="s">
        <v>372</v>
      </c>
      <c r="M605" s="21" t="s">
        <v>372</v>
      </c>
      <c r="N605" s="21" t="s">
        <v>373</v>
      </c>
      <c r="O605" s="21">
        <v>15803</v>
      </c>
    </row>
    <row r="606" spans="1:15" x14ac:dyDescent="0.25">
      <c r="A606" s="21" t="s">
        <v>3518</v>
      </c>
      <c r="B606" s="21" t="s">
        <v>3519</v>
      </c>
      <c r="C606" s="21" t="s">
        <v>3520</v>
      </c>
      <c r="D606" s="21" t="s">
        <v>3521</v>
      </c>
      <c r="E606" s="21">
        <v>1157046</v>
      </c>
      <c r="F606" s="21">
        <v>3362228</v>
      </c>
      <c r="G606" s="21" t="s">
        <v>3522</v>
      </c>
      <c r="H606" s="21">
        <v>4</v>
      </c>
      <c r="I606" s="21">
        <v>2</v>
      </c>
      <c r="J606" s="21">
        <v>4</v>
      </c>
      <c r="K606" s="21">
        <v>2023</v>
      </c>
      <c r="L606" s="21" t="s">
        <v>373</v>
      </c>
      <c r="M606" s="21" t="s">
        <v>372</v>
      </c>
      <c r="N606" s="21" t="s">
        <v>373</v>
      </c>
      <c r="O606" s="21" t="s">
        <v>3523</v>
      </c>
    </row>
    <row r="607" spans="1:15" x14ac:dyDescent="0.25">
      <c r="A607" s="21" t="s">
        <v>3524</v>
      </c>
      <c r="B607" s="21" t="s">
        <v>3525</v>
      </c>
      <c r="C607" s="21" t="s">
        <v>3526</v>
      </c>
      <c r="D607" s="21" t="s">
        <v>3527</v>
      </c>
      <c r="E607" s="21">
        <v>53163</v>
      </c>
      <c r="F607" s="21">
        <v>62236</v>
      </c>
      <c r="G607" s="21" t="s">
        <v>3528</v>
      </c>
      <c r="H607" s="21">
        <v>1</v>
      </c>
      <c r="I607" s="21">
        <v>1</v>
      </c>
      <c r="J607" s="21">
        <v>4</v>
      </c>
      <c r="K607" s="21">
        <v>2023</v>
      </c>
      <c r="L607" s="21" t="s">
        <v>372</v>
      </c>
      <c r="M607" s="21" t="s">
        <v>372</v>
      </c>
      <c r="N607" s="21" t="s">
        <v>373</v>
      </c>
      <c r="O607" s="21" t="s">
        <v>3529</v>
      </c>
    </row>
    <row r="608" spans="1:15" x14ac:dyDescent="0.25">
      <c r="A608" s="21" t="s">
        <v>97</v>
      </c>
      <c r="B608" s="21" t="s">
        <v>3530</v>
      </c>
      <c r="C608" s="21" t="s">
        <v>3531</v>
      </c>
      <c r="D608" s="21" t="s">
        <v>3532</v>
      </c>
      <c r="E608" s="21">
        <v>8396326</v>
      </c>
      <c r="F608" s="21">
        <v>2597937</v>
      </c>
      <c r="G608" s="21">
        <v>76259666</v>
      </c>
      <c r="H608" s="21">
        <v>1</v>
      </c>
      <c r="I608" s="21">
        <v>1</v>
      </c>
      <c r="J608" s="21">
        <v>1</v>
      </c>
      <c r="K608" s="21">
        <v>2023</v>
      </c>
      <c r="L608" s="21" t="s">
        <v>372</v>
      </c>
      <c r="M608" s="21" t="s">
        <v>372</v>
      </c>
      <c r="N608" s="21" t="s">
        <v>372</v>
      </c>
      <c r="O608" s="21">
        <v>43886</v>
      </c>
    </row>
    <row r="609" spans="1:15" x14ac:dyDescent="0.25">
      <c r="A609" s="21" t="s">
        <v>3533</v>
      </c>
      <c r="B609" s="21" t="s">
        <v>3534</v>
      </c>
      <c r="C609" s="21" t="s">
        <v>3535</v>
      </c>
      <c r="D609" s="21" t="s">
        <v>3536</v>
      </c>
      <c r="E609" s="21">
        <v>4291</v>
      </c>
      <c r="F609" s="21">
        <v>280000</v>
      </c>
      <c r="G609" s="21" t="s">
        <v>3537</v>
      </c>
      <c r="H609" s="21">
        <v>4</v>
      </c>
      <c r="I609" s="21">
        <v>1</v>
      </c>
      <c r="J609" s="21">
        <v>4</v>
      </c>
      <c r="K609" s="21">
        <v>2023</v>
      </c>
      <c r="L609" s="21" t="s">
        <v>373</v>
      </c>
      <c r="M609" s="21" t="s">
        <v>372</v>
      </c>
      <c r="N609" s="21" t="s">
        <v>373</v>
      </c>
      <c r="O609" s="21" t="s">
        <v>3538</v>
      </c>
    </row>
    <row r="610" spans="1:15" x14ac:dyDescent="0.25">
      <c r="A610" s="21" t="s">
        <v>3539</v>
      </c>
      <c r="B610" s="21" t="s">
        <v>3540</v>
      </c>
      <c r="C610" s="21" t="s">
        <v>3541</v>
      </c>
      <c r="D610" s="21" t="s">
        <v>3542</v>
      </c>
      <c r="E610" s="21">
        <v>85655</v>
      </c>
      <c r="F610" s="21">
        <v>99833</v>
      </c>
      <c r="G610" s="21" t="s">
        <v>3543</v>
      </c>
      <c r="H610" s="21">
        <v>1</v>
      </c>
      <c r="I610" s="21">
        <v>1</v>
      </c>
      <c r="J610" s="21">
        <v>4</v>
      </c>
      <c r="K610" s="21">
        <v>2023</v>
      </c>
      <c r="L610" s="21" t="s">
        <v>372</v>
      </c>
      <c r="M610" s="21" t="s">
        <v>372</v>
      </c>
      <c r="N610" s="21" t="s">
        <v>373</v>
      </c>
      <c r="O610" s="21" t="s">
        <v>3544</v>
      </c>
    </row>
    <row r="611" spans="1:15" x14ac:dyDescent="0.25">
      <c r="A611" s="21" t="s">
        <v>3545</v>
      </c>
      <c r="B611" s="21" t="s">
        <v>3546</v>
      </c>
      <c r="C611" s="21" t="s">
        <v>3547</v>
      </c>
      <c r="D611" s="21" t="s">
        <v>3548</v>
      </c>
      <c r="E611" s="21">
        <v>5972000</v>
      </c>
      <c r="F611" s="21">
        <v>13920000</v>
      </c>
      <c r="G611" s="21">
        <v>119319000</v>
      </c>
      <c r="H611" s="21">
        <v>1</v>
      </c>
      <c r="I611" s="21">
        <v>1</v>
      </c>
      <c r="J611" s="21">
        <v>1</v>
      </c>
      <c r="K611" s="21">
        <v>2023</v>
      </c>
      <c r="L611" s="21" t="s">
        <v>372</v>
      </c>
      <c r="M611" s="21" t="s">
        <v>372</v>
      </c>
      <c r="N611" s="21" t="s">
        <v>372</v>
      </c>
      <c r="O611" s="21" t="s">
        <v>3549</v>
      </c>
    </row>
    <row r="612" spans="1:15" x14ac:dyDescent="0.25">
      <c r="A612" s="21" t="s">
        <v>3550</v>
      </c>
      <c r="B612" s="21" t="s">
        <v>3551</v>
      </c>
      <c r="C612" s="21" t="s">
        <v>3552</v>
      </c>
      <c r="D612" s="21" t="s">
        <v>3553</v>
      </c>
      <c r="E612" s="21">
        <v>34690</v>
      </c>
      <c r="F612" s="21">
        <v>19776</v>
      </c>
      <c r="G612" s="21" t="s">
        <v>3554</v>
      </c>
      <c r="H612" s="21">
        <v>1</v>
      </c>
      <c r="I612" s="21">
        <v>1</v>
      </c>
      <c r="J612" s="21">
        <v>4</v>
      </c>
      <c r="K612" s="21">
        <v>2023</v>
      </c>
      <c r="L612" s="21" t="s">
        <v>372</v>
      </c>
      <c r="M612" s="21" t="s">
        <v>372</v>
      </c>
      <c r="N612" s="21" t="s">
        <v>373</v>
      </c>
      <c r="O612" s="21" t="s">
        <v>3555</v>
      </c>
    </row>
    <row r="613" spans="1:15" x14ac:dyDescent="0.25">
      <c r="A613" s="21" t="s">
        <v>3556</v>
      </c>
      <c r="B613" s="21" t="s">
        <v>3557</v>
      </c>
      <c r="C613" s="21" t="s">
        <v>3558</v>
      </c>
      <c r="D613" s="21" t="s">
        <v>3559</v>
      </c>
      <c r="E613" s="21">
        <v>17485338</v>
      </c>
      <c r="F613" s="21">
        <v>728258</v>
      </c>
      <c r="G613" s="21" t="s">
        <v>3560</v>
      </c>
      <c r="H613" s="21">
        <v>2</v>
      </c>
      <c r="I613" s="21">
        <v>2</v>
      </c>
      <c r="J613" s="21">
        <v>4</v>
      </c>
      <c r="K613" s="21">
        <v>2023</v>
      </c>
      <c r="L613" s="21" t="s">
        <v>372</v>
      </c>
      <c r="M613" s="21" t="s">
        <v>372</v>
      </c>
      <c r="N613" s="21" t="s">
        <v>373</v>
      </c>
      <c r="O613" s="21" t="s">
        <v>3561</v>
      </c>
    </row>
    <row r="614" spans="1:15" x14ac:dyDescent="0.25">
      <c r="A614" s="21" t="s">
        <v>3562</v>
      </c>
      <c r="B614" s="21" t="s">
        <v>3563</v>
      </c>
      <c r="E614" s="21">
        <v>82850</v>
      </c>
      <c r="F614" s="21">
        <v>129260</v>
      </c>
      <c r="G614" s="21" t="s">
        <v>3564</v>
      </c>
      <c r="H614" s="21">
        <v>1</v>
      </c>
      <c r="I614" s="21">
        <v>1</v>
      </c>
      <c r="J614" s="21">
        <v>4</v>
      </c>
      <c r="K614" s="21">
        <v>2023</v>
      </c>
      <c r="L614" s="21" t="s">
        <v>372</v>
      </c>
      <c r="M614" s="21" t="s">
        <v>372</v>
      </c>
      <c r="N614" s="21" t="s">
        <v>373</v>
      </c>
      <c r="O614" s="21" t="s">
        <v>3565</v>
      </c>
    </row>
    <row r="615" spans="1:15" x14ac:dyDescent="0.25">
      <c r="A615" s="21" t="s">
        <v>105</v>
      </c>
      <c r="B615" s="21" t="s">
        <v>3566</v>
      </c>
      <c r="C615" s="21" t="s">
        <v>3567</v>
      </c>
      <c r="D615" s="21" t="s">
        <v>3568</v>
      </c>
      <c r="E615" s="21">
        <v>386375</v>
      </c>
      <c r="F615" s="21">
        <v>319606</v>
      </c>
      <c r="G615" s="21" t="s">
        <v>3569</v>
      </c>
      <c r="H615" s="21">
        <v>1</v>
      </c>
      <c r="I615" s="21">
        <v>1</v>
      </c>
      <c r="J615" s="21">
        <v>4</v>
      </c>
      <c r="K615" s="21">
        <v>2023</v>
      </c>
      <c r="L615" s="21" t="s">
        <v>372</v>
      </c>
      <c r="M615" s="21" t="s">
        <v>372</v>
      </c>
      <c r="N615" s="21" t="s">
        <v>373</v>
      </c>
      <c r="O615" s="21">
        <v>95770</v>
      </c>
    </row>
    <row r="616" spans="1:15" x14ac:dyDescent="0.25">
      <c r="A616" s="21" t="s">
        <v>3570</v>
      </c>
      <c r="B616" s="21" t="s">
        <v>3571</v>
      </c>
      <c r="C616" s="21" t="s">
        <v>3572</v>
      </c>
      <c r="D616" s="21" t="s">
        <v>3573</v>
      </c>
      <c r="E616" s="21">
        <v>53188408</v>
      </c>
      <c r="F616" s="21">
        <v>716767</v>
      </c>
      <c r="G616" s="21" t="s">
        <v>3574</v>
      </c>
      <c r="H616" s="21">
        <v>4</v>
      </c>
      <c r="I616" s="21">
        <v>2</v>
      </c>
      <c r="J616" s="21">
        <v>4</v>
      </c>
      <c r="K616" s="21">
        <v>2023</v>
      </c>
      <c r="L616" s="21" t="s">
        <v>373</v>
      </c>
      <c r="M616" s="21" t="s">
        <v>372</v>
      </c>
      <c r="N616" s="21" t="s">
        <v>373</v>
      </c>
      <c r="O616" s="21" t="s">
        <v>3575</v>
      </c>
    </row>
    <row r="617" spans="1:15" x14ac:dyDescent="0.25">
      <c r="A617" s="21" t="s">
        <v>3576</v>
      </c>
      <c r="B617" s="21" t="s">
        <v>3577</v>
      </c>
      <c r="C617" s="21" t="s">
        <v>3578</v>
      </c>
      <c r="D617" s="21" t="s">
        <v>3579</v>
      </c>
      <c r="E617" s="21">
        <v>172</v>
      </c>
      <c r="F617" s="21">
        <v>2140</v>
      </c>
      <c r="G617" s="21" t="s">
        <v>3580</v>
      </c>
      <c r="H617" s="21">
        <v>1</v>
      </c>
      <c r="I617" s="21">
        <v>1</v>
      </c>
      <c r="J617" s="21">
        <v>4</v>
      </c>
      <c r="K617" s="21">
        <v>2023</v>
      </c>
      <c r="L617" s="21" t="s">
        <v>372</v>
      </c>
      <c r="M617" s="21" t="s">
        <v>372</v>
      </c>
      <c r="N617" s="21" t="s">
        <v>373</v>
      </c>
      <c r="O617" s="21" t="s">
        <v>3581</v>
      </c>
    </row>
    <row r="618" spans="1:15" x14ac:dyDescent="0.25">
      <c r="A618" s="21" t="s">
        <v>3582</v>
      </c>
      <c r="B618" s="21" t="s">
        <v>3583</v>
      </c>
      <c r="D618" s="21" t="s">
        <v>3584</v>
      </c>
      <c r="E618" s="21">
        <v>70382</v>
      </c>
      <c r="F618" s="21">
        <v>139159</v>
      </c>
      <c r="G618" s="21">
        <v>3012668</v>
      </c>
      <c r="H618" s="21">
        <v>1</v>
      </c>
      <c r="I618" s="21">
        <v>1</v>
      </c>
      <c r="J618" s="21">
        <v>1</v>
      </c>
      <c r="K618" s="21">
        <v>2023</v>
      </c>
      <c r="L618" s="21" t="s">
        <v>372</v>
      </c>
      <c r="M618" s="21" t="s">
        <v>372</v>
      </c>
      <c r="N618" s="21" t="s">
        <v>372</v>
      </c>
      <c r="O618" s="21" t="s">
        <v>3585</v>
      </c>
    </row>
    <row r="619" spans="1:15" x14ac:dyDescent="0.25">
      <c r="A619" s="21" t="s">
        <v>63</v>
      </c>
      <c r="B619" s="21" t="s">
        <v>3586</v>
      </c>
      <c r="C619" s="21" t="s">
        <v>3587</v>
      </c>
      <c r="E619" s="21">
        <v>180130</v>
      </c>
      <c r="F619" s="21">
        <v>1082194</v>
      </c>
      <c r="G619" s="21">
        <v>39542231</v>
      </c>
      <c r="H619" s="21">
        <v>1</v>
      </c>
      <c r="I619" s="21">
        <v>1</v>
      </c>
      <c r="J619" s="21">
        <v>4</v>
      </c>
      <c r="K619" s="21">
        <v>2023</v>
      </c>
      <c r="L619" s="21" t="s">
        <v>372</v>
      </c>
      <c r="M619" s="21" t="s">
        <v>372</v>
      </c>
      <c r="N619" s="21" t="s">
        <v>373</v>
      </c>
      <c r="O619" s="21">
        <v>10580</v>
      </c>
    </row>
    <row r="620" spans="1:15" x14ac:dyDescent="0.25">
      <c r="A620" s="21" t="s">
        <v>161</v>
      </c>
      <c r="B620" s="21" t="s">
        <v>3588</v>
      </c>
      <c r="C620" s="21" t="s">
        <v>3589</v>
      </c>
      <c r="E620" s="21">
        <v>142163</v>
      </c>
      <c r="F620" s="21">
        <v>54709</v>
      </c>
      <c r="G620" s="21">
        <v>7922001</v>
      </c>
      <c r="H620" s="21">
        <v>1</v>
      </c>
      <c r="I620" s="21">
        <v>1</v>
      </c>
      <c r="J620" s="21">
        <v>4</v>
      </c>
      <c r="K620" s="21">
        <v>2023</v>
      </c>
      <c r="L620" s="21" t="s">
        <v>372</v>
      </c>
      <c r="M620" s="21" t="s">
        <v>372</v>
      </c>
      <c r="N620" s="21" t="s">
        <v>373</v>
      </c>
      <c r="O620" s="21" t="s">
        <v>259</v>
      </c>
    </row>
    <row r="621" spans="1:15" x14ac:dyDescent="0.25">
      <c r="A621" s="21" t="s">
        <v>3590</v>
      </c>
      <c r="B621" s="21" t="s">
        <v>3591</v>
      </c>
      <c r="C621" s="21" t="s">
        <v>3592</v>
      </c>
      <c r="D621" s="21" t="s">
        <v>3593</v>
      </c>
      <c r="E621" s="21">
        <v>1482881</v>
      </c>
      <c r="F621" s="21">
        <v>397341</v>
      </c>
      <c r="G621" s="21" t="s">
        <v>3594</v>
      </c>
      <c r="H621" s="21">
        <v>1</v>
      </c>
      <c r="I621" s="21">
        <v>1</v>
      </c>
      <c r="J621" s="21">
        <v>4</v>
      </c>
      <c r="K621" s="21">
        <v>2023</v>
      </c>
      <c r="L621" s="21" t="s">
        <v>372</v>
      </c>
      <c r="M621" s="21" t="s">
        <v>372</v>
      </c>
      <c r="N621" s="21" t="s">
        <v>373</v>
      </c>
      <c r="O621" s="21" t="s">
        <v>3595</v>
      </c>
    </row>
    <row r="622" spans="1:15" x14ac:dyDescent="0.25">
      <c r="A622" s="21" t="s">
        <v>167</v>
      </c>
      <c r="B622" s="21" t="s">
        <v>3596</v>
      </c>
      <c r="C622" s="21" t="s">
        <v>3597</v>
      </c>
      <c r="D622" s="21" t="s">
        <v>3598</v>
      </c>
      <c r="E622" s="21">
        <v>119617</v>
      </c>
      <c r="F622" s="21">
        <v>395030</v>
      </c>
      <c r="G622" s="21" t="s">
        <v>3599</v>
      </c>
      <c r="H622" s="21">
        <v>1</v>
      </c>
      <c r="I622" s="21">
        <v>1</v>
      </c>
      <c r="J622" s="21">
        <v>4</v>
      </c>
      <c r="K622" s="21">
        <v>2023</v>
      </c>
      <c r="L622" s="21" t="s">
        <v>372</v>
      </c>
      <c r="M622" s="21" t="s">
        <v>372</v>
      </c>
      <c r="N622" s="21" t="s">
        <v>373</v>
      </c>
      <c r="O622" s="21">
        <v>47593</v>
      </c>
    </row>
    <row r="623" spans="1:15" x14ac:dyDescent="0.25">
      <c r="A623" s="21" t="s">
        <v>3600</v>
      </c>
      <c r="B623" s="21" t="s">
        <v>3601</v>
      </c>
      <c r="C623" s="21" t="s">
        <v>3602</v>
      </c>
      <c r="D623" s="21" t="s">
        <v>3603</v>
      </c>
      <c r="E623" s="21">
        <v>6079172</v>
      </c>
      <c r="F623" s="21">
        <v>438580</v>
      </c>
      <c r="G623" s="21" t="s">
        <v>3604</v>
      </c>
      <c r="H623" s="21">
        <v>1</v>
      </c>
      <c r="I623" s="21">
        <v>1</v>
      </c>
      <c r="J623" s="21">
        <v>4</v>
      </c>
      <c r="K623" s="21">
        <v>2023</v>
      </c>
      <c r="L623" s="21" t="s">
        <v>372</v>
      </c>
      <c r="M623" s="21" t="s">
        <v>372</v>
      </c>
      <c r="N623" s="21" t="s">
        <v>373</v>
      </c>
      <c r="O623" s="21" t="s">
        <v>3605</v>
      </c>
    </row>
    <row r="624" spans="1:15" x14ac:dyDescent="0.25">
      <c r="A624" s="21" t="s">
        <v>3606</v>
      </c>
      <c r="B624" s="21" t="s">
        <v>3607</v>
      </c>
      <c r="C624" s="21" t="s">
        <v>3608</v>
      </c>
      <c r="D624" s="21" t="s">
        <v>3609</v>
      </c>
      <c r="E624" s="21">
        <v>109301</v>
      </c>
      <c r="F624" s="21">
        <v>275942</v>
      </c>
      <c r="G624" s="21" t="s">
        <v>3610</v>
      </c>
      <c r="H624" s="21">
        <v>1</v>
      </c>
      <c r="I624" s="21">
        <v>1</v>
      </c>
      <c r="J624" s="21">
        <v>4</v>
      </c>
      <c r="K624" s="21">
        <v>2023</v>
      </c>
      <c r="L624" s="21" t="s">
        <v>372</v>
      </c>
      <c r="M624" s="21" t="s">
        <v>372</v>
      </c>
      <c r="N624" s="21" t="s">
        <v>373</v>
      </c>
      <c r="O624" s="21" t="s">
        <v>3611</v>
      </c>
    </row>
    <row r="625" spans="1:15" x14ac:dyDescent="0.25">
      <c r="A625" s="21" t="s">
        <v>3612</v>
      </c>
      <c r="B625" s="21" t="s">
        <v>3613</v>
      </c>
      <c r="C625" s="21" t="s">
        <v>3614</v>
      </c>
      <c r="D625" s="21" t="s">
        <v>3615</v>
      </c>
      <c r="E625" s="21">
        <v>51730</v>
      </c>
      <c r="F625" s="21">
        <v>62453</v>
      </c>
      <c r="G625" s="21" t="s">
        <v>3616</v>
      </c>
      <c r="H625" s="21">
        <v>1</v>
      </c>
      <c r="I625" s="21">
        <v>1</v>
      </c>
      <c r="J625" s="21">
        <v>4</v>
      </c>
      <c r="K625" s="21">
        <v>2023</v>
      </c>
      <c r="L625" s="21" t="s">
        <v>372</v>
      </c>
      <c r="M625" s="21" t="s">
        <v>372</v>
      </c>
      <c r="N625" s="21" t="s">
        <v>373</v>
      </c>
      <c r="O625" s="21" t="s">
        <v>3617</v>
      </c>
    </row>
    <row r="626" spans="1:15" x14ac:dyDescent="0.25">
      <c r="A626" s="21" t="s">
        <v>3618</v>
      </c>
      <c r="B626" s="21" t="s">
        <v>3619</v>
      </c>
      <c r="C626" s="21" t="s">
        <v>3620</v>
      </c>
      <c r="D626" s="21" t="s">
        <v>3621</v>
      </c>
      <c r="E626" s="21">
        <v>183545</v>
      </c>
      <c r="F626" s="21">
        <v>23816</v>
      </c>
      <c r="G626" s="21" t="s">
        <v>3622</v>
      </c>
      <c r="H626" s="21">
        <v>2</v>
      </c>
      <c r="I626" s="21">
        <v>2</v>
      </c>
      <c r="J626" s="21">
        <v>4</v>
      </c>
      <c r="K626" s="21">
        <v>2023</v>
      </c>
      <c r="L626" s="21" t="s">
        <v>372</v>
      </c>
      <c r="M626" s="21" t="s">
        <v>372</v>
      </c>
      <c r="N626" s="21" t="s">
        <v>373</v>
      </c>
      <c r="O626" s="21" t="s">
        <v>3623</v>
      </c>
    </row>
    <row r="627" spans="1:15" x14ac:dyDescent="0.25">
      <c r="A627" s="21" t="s">
        <v>3624</v>
      </c>
      <c r="B627" s="21" t="s">
        <v>3625</v>
      </c>
      <c r="C627" s="21" t="s">
        <v>3626</v>
      </c>
      <c r="D627" s="21" t="s">
        <v>3627</v>
      </c>
      <c r="E627" s="21">
        <v>2329</v>
      </c>
      <c r="F627" s="21">
        <v>4835</v>
      </c>
      <c r="G627" s="21">
        <v>605517</v>
      </c>
      <c r="H627" s="21">
        <v>1</v>
      </c>
      <c r="I627" s="21">
        <v>1</v>
      </c>
      <c r="J627" s="21">
        <v>1</v>
      </c>
      <c r="K627" s="21">
        <v>2023</v>
      </c>
      <c r="L627" s="21" t="s">
        <v>372</v>
      </c>
      <c r="M627" s="21" t="s">
        <v>372</v>
      </c>
      <c r="N627" s="21" t="s">
        <v>372</v>
      </c>
      <c r="O627" s="21" t="s">
        <v>3628</v>
      </c>
    </row>
    <row r="628" spans="1:15" x14ac:dyDescent="0.25">
      <c r="A628" s="21" t="s">
        <v>193</v>
      </c>
      <c r="B628" s="21" t="s">
        <v>3629</v>
      </c>
      <c r="C628" s="21" t="s">
        <v>3630</v>
      </c>
      <c r="D628" s="21" t="s">
        <v>3631</v>
      </c>
      <c r="E628" s="21">
        <v>5716672</v>
      </c>
      <c r="F628" s="21">
        <v>733793</v>
      </c>
      <c r="G628" s="21" t="s">
        <v>3632</v>
      </c>
      <c r="H628" s="21">
        <v>4</v>
      </c>
      <c r="I628" s="21">
        <v>2</v>
      </c>
      <c r="J628" s="21">
        <v>4</v>
      </c>
      <c r="K628" s="21">
        <v>2023</v>
      </c>
      <c r="L628" s="21" t="s">
        <v>373</v>
      </c>
      <c r="M628" s="21" t="s">
        <v>372</v>
      </c>
      <c r="N628" s="21" t="s">
        <v>373</v>
      </c>
      <c r="O628" s="21" t="s">
        <v>278</v>
      </c>
    </row>
    <row r="629" spans="1:15" x14ac:dyDescent="0.25">
      <c r="A629" s="21" t="s">
        <v>3633</v>
      </c>
      <c r="B629" s="21" t="s">
        <v>3634</v>
      </c>
      <c r="C629" s="21" t="s">
        <v>3635</v>
      </c>
      <c r="D629" s="21" t="s">
        <v>3636</v>
      </c>
      <c r="E629" s="21">
        <v>25229876</v>
      </c>
      <c r="F629" s="21">
        <v>241285</v>
      </c>
      <c r="G629" s="21" t="s">
        <v>3637</v>
      </c>
      <c r="H629" s="21">
        <v>1</v>
      </c>
      <c r="I629" s="21">
        <v>1</v>
      </c>
      <c r="J629" s="21">
        <v>4</v>
      </c>
      <c r="K629" s="21">
        <v>2023</v>
      </c>
      <c r="L629" s="21" t="s">
        <v>372</v>
      </c>
      <c r="M629" s="21" t="s">
        <v>372</v>
      </c>
      <c r="N629" s="21" t="s">
        <v>373</v>
      </c>
      <c r="O629" s="21" t="s">
        <v>3638</v>
      </c>
    </row>
    <row r="630" spans="1:15" x14ac:dyDescent="0.25">
      <c r="A630" s="21" t="s">
        <v>3639</v>
      </c>
      <c r="B630" s="21" t="s">
        <v>3640</v>
      </c>
      <c r="C630" s="21" t="s">
        <v>3641</v>
      </c>
      <c r="D630" s="21" t="s">
        <v>3642</v>
      </c>
      <c r="E630" s="21">
        <v>7164579</v>
      </c>
      <c r="F630" s="21">
        <v>263829</v>
      </c>
      <c r="G630" s="21" t="s">
        <v>3643</v>
      </c>
      <c r="H630" s="21">
        <v>1</v>
      </c>
      <c r="I630" s="21">
        <v>1</v>
      </c>
      <c r="J630" s="21">
        <v>4</v>
      </c>
      <c r="K630" s="21">
        <v>2023</v>
      </c>
      <c r="L630" s="21" t="s">
        <v>372</v>
      </c>
      <c r="M630" s="21" t="s">
        <v>372</v>
      </c>
      <c r="N630" s="21" t="s">
        <v>373</v>
      </c>
      <c r="O630" s="21" t="s">
        <v>3644</v>
      </c>
    </row>
    <row r="631" spans="1:15" x14ac:dyDescent="0.25">
      <c r="A631" s="21" t="s">
        <v>3645</v>
      </c>
      <c r="B631" s="21" t="s">
        <v>3646</v>
      </c>
      <c r="C631" s="21" t="s">
        <v>3647</v>
      </c>
      <c r="E631" s="21">
        <v>14199</v>
      </c>
      <c r="F631" s="21">
        <v>15</v>
      </c>
      <c r="G631" s="21" t="s">
        <v>3648</v>
      </c>
      <c r="H631" s="21">
        <v>1</v>
      </c>
      <c r="I631" s="21">
        <v>1</v>
      </c>
      <c r="J631" s="21">
        <v>4</v>
      </c>
      <c r="K631" s="21">
        <v>2023</v>
      </c>
      <c r="L631" s="21" t="s">
        <v>372</v>
      </c>
      <c r="M631" s="21" t="s">
        <v>372</v>
      </c>
      <c r="N631" s="21" t="s">
        <v>373</v>
      </c>
      <c r="O631" s="21" t="s">
        <v>3649</v>
      </c>
    </row>
    <row r="632" spans="1:15" x14ac:dyDescent="0.25">
      <c r="A632" s="21" t="s">
        <v>3650</v>
      </c>
      <c r="B632" s="21" t="s">
        <v>3651</v>
      </c>
      <c r="C632" s="21" t="s">
        <v>3652</v>
      </c>
      <c r="D632" s="21" t="s">
        <v>3653</v>
      </c>
      <c r="E632" s="21">
        <v>417330</v>
      </c>
      <c r="F632" s="21">
        <v>149964</v>
      </c>
      <c r="G632" s="21">
        <v>603980</v>
      </c>
      <c r="H632" s="21">
        <v>1</v>
      </c>
      <c r="I632" s="21">
        <v>1</v>
      </c>
      <c r="J632" s="21">
        <v>1</v>
      </c>
      <c r="K632" s="21">
        <v>2023</v>
      </c>
      <c r="L632" s="21" t="s">
        <v>372</v>
      </c>
      <c r="M632" s="21" t="s">
        <v>372</v>
      </c>
      <c r="N632" s="21" t="s">
        <v>372</v>
      </c>
      <c r="O632" s="21" t="s">
        <v>3654</v>
      </c>
    </row>
    <row r="633" spans="1:15" x14ac:dyDescent="0.25">
      <c r="A633" s="21" t="s">
        <v>3655</v>
      </c>
      <c r="B633" s="21" t="s">
        <v>3656</v>
      </c>
      <c r="C633" s="21" t="s">
        <v>3657</v>
      </c>
      <c r="D633" s="21" t="s">
        <v>3658</v>
      </c>
      <c r="E633" s="21">
        <v>367294</v>
      </c>
      <c r="F633" s="21">
        <v>2013598</v>
      </c>
      <c r="G633" s="21" t="s">
        <v>3659</v>
      </c>
      <c r="H633" s="21">
        <v>4</v>
      </c>
      <c r="I633" s="21">
        <v>2</v>
      </c>
      <c r="J633" s="21">
        <v>4</v>
      </c>
      <c r="K633" s="21">
        <v>2023</v>
      </c>
      <c r="L633" s="21" t="s">
        <v>373</v>
      </c>
      <c r="M633" s="21" t="s">
        <v>372</v>
      </c>
      <c r="N633" s="21" t="s">
        <v>373</v>
      </c>
      <c r="O633" s="21" t="s">
        <v>3660</v>
      </c>
    </row>
    <row r="634" spans="1:15" x14ac:dyDescent="0.25">
      <c r="A634" s="21" t="s">
        <v>3661</v>
      </c>
      <c r="B634" s="21" t="s">
        <v>3662</v>
      </c>
      <c r="C634" s="21" t="s">
        <v>3663</v>
      </c>
      <c r="D634" s="21" t="s">
        <v>3664</v>
      </c>
      <c r="E634" s="21">
        <v>430114</v>
      </c>
      <c r="F634" s="21">
        <v>280152</v>
      </c>
      <c r="G634" s="21" t="s">
        <v>3665</v>
      </c>
      <c r="H634" s="21">
        <v>2</v>
      </c>
      <c r="I634" s="21">
        <v>2</v>
      </c>
      <c r="J634" s="21">
        <v>4</v>
      </c>
      <c r="K634" s="21">
        <v>2023</v>
      </c>
      <c r="L634" s="21" t="s">
        <v>372</v>
      </c>
      <c r="M634" s="21" t="s">
        <v>372</v>
      </c>
      <c r="N634" s="21" t="s">
        <v>373</v>
      </c>
      <c r="O634" s="21" t="s">
        <v>3666</v>
      </c>
    </row>
    <row r="635" spans="1:15" x14ac:dyDescent="0.25">
      <c r="A635" s="21" t="s">
        <v>3667</v>
      </c>
      <c r="B635" s="21" t="s">
        <v>3668</v>
      </c>
      <c r="C635" s="21" t="s">
        <v>3669</v>
      </c>
      <c r="E635" s="21" t="s">
        <v>3670</v>
      </c>
      <c r="F635" s="21" t="s">
        <v>3671</v>
      </c>
      <c r="G635" s="21" t="s">
        <v>3672</v>
      </c>
      <c r="H635" s="21">
        <v>4</v>
      </c>
      <c r="I635" s="21">
        <v>4</v>
      </c>
      <c r="J635" s="21">
        <v>4</v>
      </c>
      <c r="K635" s="21">
        <v>2023</v>
      </c>
      <c r="L635" s="21" t="s">
        <v>373</v>
      </c>
      <c r="M635" s="21" t="s">
        <v>373</v>
      </c>
      <c r="N635" s="21" t="s">
        <v>373</v>
      </c>
      <c r="O635" s="21" t="s">
        <v>3673</v>
      </c>
    </row>
    <row r="636" spans="1:15" x14ac:dyDescent="0.25">
      <c r="A636" s="21" t="s">
        <v>79</v>
      </c>
      <c r="B636" s="21" t="s">
        <v>3674</v>
      </c>
      <c r="C636" s="21" t="s">
        <v>3675</v>
      </c>
      <c r="D636" s="21" t="s">
        <v>3676</v>
      </c>
      <c r="E636" s="21">
        <v>393000</v>
      </c>
      <c r="F636" s="21">
        <v>670000</v>
      </c>
      <c r="G636" s="21" t="s">
        <v>3677</v>
      </c>
      <c r="H636" s="21">
        <v>1</v>
      </c>
      <c r="I636" s="21">
        <v>1</v>
      </c>
      <c r="J636" s="21">
        <v>4</v>
      </c>
      <c r="K636" s="21">
        <v>2023</v>
      </c>
      <c r="L636" s="21" t="s">
        <v>372</v>
      </c>
      <c r="M636" s="21" t="s">
        <v>372</v>
      </c>
      <c r="N636" s="21" t="s">
        <v>373</v>
      </c>
      <c r="O636" s="21">
        <v>104150</v>
      </c>
    </row>
    <row r="637" spans="1:15" x14ac:dyDescent="0.25">
      <c r="A637" s="21" t="s">
        <v>95</v>
      </c>
      <c r="B637" s="21" t="s">
        <v>3678</v>
      </c>
      <c r="C637" s="21" t="s">
        <v>3679</v>
      </c>
      <c r="D637" s="21" t="s">
        <v>3680</v>
      </c>
      <c r="E637" s="21">
        <v>187707</v>
      </c>
      <c r="F637" s="21">
        <v>221980</v>
      </c>
      <c r="G637" s="21" t="s">
        <v>3681</v>
      </c>
      <c r="H637" s="21">
        <v>1</v>
      </c>
      <c r="I637" s="21">
        <v>1</v>
      </c>
      <c r="J637" s="21">
        <v>4</v>
      </c>
      <c r="K637" s="21">
        <v>2023</v>
      </c>
      <c r="L637" s="21" t="s">
        <v>372</v>
      </c>
      <c r="M637" s="21" t="s">
        <v>372</v>
      </c>
      <c r="N637" s="21" t="s">
        <v>373</v>
      </c>
      <c r="O637" s="21">
        <v>13130</v>
      </c>
    </row>
    <row r="638" spans="1:15" x14ac:dyDescent="0.25">
      <c r="A638" s="21" t="s">
        <v>3682</v>
      </c>
      <c r="B638" s="21" t="s">
        <v>3683</v>
      </c>
      <c r="C638" s="21" t="s">
        <v>3684</v>
      </c>
      <c r="D638" s="21" t="s">
        <v>3685</v>
      </c>
      <c r="E638" s="21">
        <v>251156</v>
      </c>
      <c r="F638" s="21">
        <v>301553</v>
      </c>
      <c r="G638" s="21" t="s">
        <v>3686</v>
      </c>
      <c r="H638" s="21">
        <v>4</v>
      </c>
      <c r="I638" s="21">
        <v>2</v>
      </c>
      <c r="J638" s="21">
        <v>4</v>
      </c>
      <c r="K638" s="21">
        <v>2023</v>
      </c>
      <c r="L638" s="21" t="s">
        <v>373</v>
      </c>
      <c r="M638" s="21" t="s">
        <v>372</v>
      </c>
      <c r="N638" s="21" t="s">
        <v>373</v>
      </c>
      <c r="O638" s="21" t="s">
        <v>3687</v>
      </c>
    </row>
    <row r="639" spans="1:15" x14ac:dyDescent="0.25">
      <c r="A639" s="21" t="s">
        <v>3688</v>
      </c>
      <c r="B639" s="21" t="s">
        <v>3689</v>
      </c>
      <c r="C639" s="21" t="s">
        <v>3690</v>
      </c>
      <c r="D639" s="21" t="s">
        <v>3691</v>
      </c>
      <c r="E639" s="21">
        <v>142000</v>
      </c>
      <c r="F639" s="21">
        <v>140000</v>
      </c>
      <c r="G639" s="21" t="s">
        <v>3692</v>
      </c>
      <c r="H639" s="21">
        <v>1</v>
      </c>
      <c r="I639" s="21">
        <v>1</v>
      </c>
      <c r="J639" s="21">
        <v>4</v>
      </c>
      <c r="K639" s="21">
        <v>2023</v>
      </c>
      <c r="L639" s="21" t="s">
        <v>372</v>
      </c>
      <c r="M639" s="21" t="s">
        <v>372</v>
      </c>
      <c r="N639" s="21" t="s">
        <v>373</v>
      </c>
      <c r="O639" s="21">
        <v>4820</v>
      </c>
    </row>
    <row r="640" spans="1:15" x14ac:dyDescent="0.25">
      <c r="A640" s="21" t="s">
        <v>129</v>
      </c>
      <c r="B640" s="21" t="s">
        <v>3693</v>
      </c>
      <c r="C640" s="21" t="s">
        <v>3694</v>
      </c>
      <c r="D640" s="21" t="s">
        <v>3695</v>
      </c>
      <c r="E640" s="21">
        <v>156096</v>
      </c>
      <c r="F640" s="21">
        <v>160351</v>
      </c>
      <c r="G640" s="21" t="s">
        <v>3696</v>
      </c>
      <c r="H640" s="21">
        <v>1</v>
      </c>
      <c r="I640" s="21">
        <v>1</v>
      </c>
      <c r="J640" s="21">
        <v>4</v>
      </c>
      <c r="K640" s="21">
        <v>2023</v>
      </c>
      <c r="L640" s="21" t="s">
        <v>372</v>
      </c>
      <c r="M640" s="21" t="s">
        <v>372</v>
      </c>
      <c r="N640" s="21" t="s">
        <v>373</v>
      </c>
      <c r="O640" s="21" t="s">
        <v>237</v>
      </c>
    </row>
    <row r="641" spans="1:15" x14ac:dyDescent="0.25">
      <c r="A641" s="21" t="s">
        <v>3697</v>
      </c>
      <c r="B641" s="21" t="s">
        <v>3698</v>
      </c>
      <c r="C641" s="21" t="s">
        <v>3699</v>
      </c>
      <c r="D641" s="21" t="s">
        <v>3700</v>
      </c>
      <c r="E641" s="21">
        <v>18403</v>
      </c>
      <c r="F641" s="21">
        <v>177642</v>
      </c>
      <c r="G641" s="21">
        <v>1180013</v>
      </c>
      <c r="H641" s="21">
        <v>1</v>
      </c>
      <c r="I641" s="21">
        <v>1</v>
      </c>
      <c r="J641" s="21">
        <v>4</v>
      </c>
      <c r="K641" s="21">
        <v>2023</v>
      </c>
      <c r="L641" s="21" t="s">
        <v>372</v>
      </c>
      <c r="M641" s="21" t="s">
        <v>372</v>
      </c>
      <c r="N641" s="21" t="s">
        <v>373</v>
      </c>
      <c r="O641" s="21" t="s">
        <v>3701</v>
      </c>
    </row>
    <row r="642" spans="1:15" x14ac:dyDescent="0.25">
      <c r="A642" s="21" t="s">
        <v>3702</v>
      </c>
      <c r="B642" s="21" t="s">
        <v>3703</v>
      </c>
      <c r="C642" s="21" t="s">
        <v>3704</v>
      </c>
      <c r="D642" s="21" t="s">
        <v>3705</v>
      </c>
      <c r="E642" s="21">
        <v>12763291</v>
      </c>
      <c r="F642" s="21">
        <v>10007</v>
      </c>
      <c r="G642" s="21" t="s">
        <v>3706</v>
      </c>
      <c r="H642" s="21">
        <v>1</v>
      </c>
      <c r="I642" s="21">
        <v>2</v>
      </c>
      <c r="J642" s="21">
        <v>4</v>
      </c>
      <c r="K642" s="21">
        <v>2023</v>
      </c>
      <c r="L642" s="21" t="s">
        <v>372</v>
      </c>
      <c r="M642" s="21" t="s">
        <v>372</v>
      </c>
      <c r="N642" s="21" t="s">
        <v>373</v>
      </c>
      <c r="O642" s="21" t="s">
        <v>3707</v>
      </c>
    </row>
    <row r="643" spans="1:15" x14ac:dyDescent="0.25">
      <c r="A643" s="21" t="s">
        <v>3708</v>
      </c>
      <c r="B643" s="21" t="s">
        <v>3709</v>
      </c>
      <c r="D643" s="21" t="s">
        <v>3710</v>
      </c>
      <c r="E643" s="21">
        <v>514</v>
      </c>
      <c r="F643" s="21">
        <v>2550</v>
      </c>
      <c r="G643" s="21" t="s">
        <v>3711</v>
      </c>
      <c r="H643" s="21">
        <v>2</v>
      </c>
      <c r="I643" s="21">
        <v>2</v>
      </c>
      <c r="J643" s="21">
        <v>4</v>
      </c>
      <c r="K643" s="21">
        <v>2023</v>
      </c>
      <c r="L643" s="21" t="s">
        <v>372</v>
      </c>
      <c r="M643" s="21" t="s">
        <v>372</v>
      </c>
      <c r="N643" s="21" t="s">
        <v>373</v>
      </c>
      <c r="O643" s="21" t="s">
        <v>3712</v>
      </c>
    </row>
    <row r="644" spans="1:15" x14ac:dyDescent="0.25">
      <c r="A644" s="21" t="s">
        <v>3713</v>
      </c>
      <c r="B644" s="21" t="s">
        <v>3714</v>
      </c>
      <c r="C644" s="21" t="s">
        <v>3715</v>
      </c>
      <c r="D644" s="21" t="s">
        <v>3716</v>
      </c>
      <c r="E644" s="21">
        <v>122145</v>
      </c>
      <c r="F644" s="21">
        <v>7443</v>
      </c>
      <c r="G644" s="21" t="s">
        <v>3717</v>
      </c>
      <c r="H644" s="21">
        <v>4</v>
      </c>
      <c r="I644" s="21">
        <v>2</v>
      </c>
      <c r="J644" s="21">
        <v>4</v>
      </c>
      <c r="K644" s="21">
        <v>2023</v>
      </c>
      <c r="L644" s="21" t="s">
        <v>373</v>
      </c>
      <c r="M644" s="21" t="s">
        <v>372</v>
      </c>
      <c r="N644" s="21" t="s">
        <v>373</v>
      </c>
      <c r="O644" s="21" t="s">
        <v>3718</v>
      </c>
    </row>
    <row r="645" spans="1:15" x14ac:dyDescent="0.25">
      <c r="A645" s="21" t="s">
        <v>199</v>
      </c>
      <c r="B645" s="21" t="s">
        <v>3719</v>
      </c>
      <c r="C645" s="21" t="s">
        <v>3720</v>
      </c>
      <c r="D645" s="21" t="s">
        <v>3721</v>
      </c>
      <c r="E645" s="21">
        <v>2540979</v>
      </c>
      <c r="F645" s="21">
        <v>745156</v>
      </c>
      <c r="G645" s="21" t="s">
        <v>3722</v>
      </c>
      <c r="H645" s="21">
        <v>1</v>
      </c>
      <c r="I645" s="21">
        <v>1</v>
      </c>
      <c r="J645" s="21">
        <v>4</v>
      </c>
      <c r="K645" s="21">
        <v>2023</v>
      </c>
      <c r="L645" s="21" t="s">
        <v>372</v>
      </c>
      <c r="M645" s="21" t="s">
        <v>372</v>
      </c>
      <c r="N645" s="21" t="s">
        <v>373</v>
      </c>
      <c r="O645" s="21" t="s">
        <v>284</v>
      </c>
    </row>
    <row r="646" spans="1:15" x14ac:dyDescent="0.25">
      <c r="A646" s="21" t="s">
        <v>3723</v>
      </c>
      <c r="B646" s="21" t="s">
        <v>3724</v>
      </c>
      <c r="C646" s="21" t="s">
        <v>3725</v>
      </c>
      <c r="D646" s="21" t="s">
        <v>3726</v>
      </c>
      <c r="E646" s="21">
        <v>1484996</v>
      </c>
      <c r="F646" s="21">
        <v>38581</v>
      </c>
      <c r="G646" s="21" t="s">
        <v>3727</v>
      </c>
      <c r="H646" s="21">
        <v>1</v>
      </c>
      <c r="I646" s="21">
        <v>1</v>
      </c>
      <c r="J646" s="21">
        <v>4</v>
      </c>
      <c r="K646" s="21">
        <v>2023</v>
      </c>
      <c r="L646" s="21" t="s">
        <v>372</v>
      </c>
      <c r="M646" s="21" t="s">
        <v>372</v>
      </c>
      <c r="N646" s="21" t="s">
        <v>373</v>
      </c>
      <c r="O646" s="21">
        <v>27334</v>
      </c>
    </row>
    <row r="647" spans="1:15" x14ac:dyDescent="0.25">
      <c r="A647" s="21" t="s">
        <v>131</v>
      </c>
      <c r="B647" s="21" t="s">
        <v>3728</v>
      </c>
      <c r="D647" s="21" t="s">
        <v>3729</v>
      </c>
      <c r="E647" s="21">
        <v>1917607</v>
      </c>
      <c r="F647" s="21">
        <v>954359</v>
      </c>
      <c r="G647" s="21" t="s">
        <v>3730</v>
      </c>
      <c r="H647" s="21">
        <v>1</v>
      </c>
      <c r="I647" s="21">
        <v>1</v>
      </c>
      <c r="J647" s="21">
        <v>4</v>
      </c>
      <c r="K647" s="21">
        <v>2023</v>
      </c>
      <c r="L647" s="21" t="s">
        <v>372</v>
      </c>
      <c r="M647" s="21" t="s">
        <v>372</v>
      </c>
      <c r="N647" s="21" t="s">
        <v>373</v>
      </c>
      <c r="O647" s="21">
        <v>99931</v>
      </c>
    </row>
    <row r="648" spans="1:15" x14ac:dyDescent="0.25">
      <c r="A648" s="21" t="s">
        <v>117</v>
      </c>
      <c r="B648" s="21" t="s">
        <v>3731</v>
      </c>
      <c r="C648" s="21" t="s">
        <v>3732</v>
      </c>
      <c r="D648" s="21" t="s">
        <v>3733</v>
      </c>
      <c r="E648" s="21">
        <v>22807</v>
      </c>
      <c r="F648" s="21">
        <v>77645</v>
      </c>
      <c r="G648" s="21" t="s">
        <v>3734</v>
      </c>
      <c r="H648" s="21">
        <v>2</v>
      </c>
      <c r="I648" s="21">
        <v>2</v>
      </c>
      <c r="J648" s="21">
        <v>4</v>
      </c>
      <c r="K648" s="21">
        <v>2023</v>
      </c>
      <c r="L648" s="21" t="s">
        <v>372</v>
      </c>
      <c r="M648" s="21" t="s">
        <v>372</v>
      </c>
      <c r="N648" s="21" t="s">
        <v>373</v>
      </c>
      <c r="O648" s="21">
        <v>403520</v>
      </c>
    </row>
    <row r="649" spans="1:15" x14ac:dyDescent="0.25">
      <c r="A649" s="21" t="s">
        <v>3735</v>
      </c>
      <c r="B649" s="21" t="s">
        <v>3736</v>
      </c>
      <c r="C649" s="21" t="s">
        <v>3737</v>
      </c>
      <c r="D649" s="21" t="s">
        <v>3738</v>
      </c>
      <c r="E649" s="21">
        <v>85448</v>
      </c>
      <c r="F649" s="21">
        <v>22398</v>
      </c>
      <c r="G649" s="21" t="s">
        <v>3739</v>
      </c>
      <c r="H649" s="21">
        <v>1</v>
      </c>
      <c r="I649" s="21">
        <v>1</v>
      </c>
      <c r="J649" s="21">
        <v>4</v>
      </c>
      <c r="K649" s="21">
        <v>2023</v>
      </c>
      <c r="L649" s="21" t="s">
        <v>372</v>
      </c>
      <c r="M649" s="21" t="s">
        <v>372</v>
      </c>
      <c r="N649" s="21" t="s">
        <v>373</v>
      </c>
      <c r="O649" s="21">
        <v>9265</v>
      </c>
    </row>
    <row r="650" spans="1:15" x14ac:dyDescent="0.25">
      <c r="A650" s="21" t="s">
        <v>3740</v>
      </c>
      <c r="B650" s="21" t="s">
        <v>3741</v>
      </c>
      <c r="C650" s="21" t="s">
        <v>3742</v>
      </c>
      <c r="D650" s="21" t="s">
        <v>3743</v>
      </c>
      <c r="E650" s="21">
        <v>15127</v>
      </c>
      <c r="F650" s="21">
        <v>1016160</v>
      </c>
      <c r="G650" s="21" t="s">
        <v>3744</v>
      </c>
      <c r="H650" s="21">
        <v>1</v>
      </c>
      <c r="I650" s="21">
        <v>1</v>
      </c>
      <c r="J650" s="21">
        <v>4</v>
      </c>
      <c r="K650" s="21">
        <v>2023</v>
      </c>
      <c r="L650" s="21" t="s">
        <v>372</v>
      </c>
      <c r="M650" s="21" t="s">
        <v>372</v>
      </c>
      <c r="N650" s="21" t="s">
        <v>373</v>
      </c>
      <c r="O650" s="21" t="s">
        <v>3745</v>
      </c>
    </row>
    <row r="651" spans="1:15" x14ac:dyDescent="0.25">
      <c r="A651" s="21" t="s">
        <v>186</v>
      </c>
      <c r="B651" s="21" t="s">
        <v>3746</v>
      </c>
      <c r="C651" s="21" t="s">
        <v>3747</v>
      </c>
      <c r="D651" s="21" t="s">
        <v>3748</v>
      </c>
      <c r="E651" s="21">
        <v>67195</v>
      </c>
      <c r="F651" s="21">
        <v>152442</v>
      </c>
      <c r="G651" s="21">
        <v>7154167</v>
      </c>
      <c r="H651" s="21">
        <v>1</v>
      </c>
      <c r="I651" s="21">
        <v>1</v>
      </c>
      <c r="J651" s="21">
        <v>1</v>
      </c>
      <c r="K651" s="21">
        <v>2023</v>
      </c>
      <c r="L651" s="21" t="s">
        <v>372</v>
      </c>
      <c r="M651" s="21" t="s">
        <v>372</v>
      </c>
      <c r="N651" s="21" t="s">
        <v>372</v>
      </c>
      <c r="O651" s="21" t="s">
        <v>274</v>
      </c>
    </row>
    <row r="652" spans="1:15" x14ac:dyDescent="0.25">
      <c r="A652" s="21" t="s">
        <v>3749</v>
      </c>
      <c r="B652" s="21" t="s">
        <v>3750</v>
      </c>
      <c r="D652" s="21" t="s">
        <v>3751</v>
      </c>
      <c r="E652" s="21">
        <v>300299</v>
      </c>
      <c r="F652" s="21">
        <v>177384</v>
      </c>
      <c r="G652" s="21" t="s">
        <v>3752</v>
      </c>
      <c r="H652" s="21">
        <v>1</v>
      </c>
      <c r="I652" s="21">
        <v>1</v>
      </c>
      <c r="J652" s="21">
        <v>4</v>
      </c>
      <c r="K652" s="21">
        <v>2023</v>
      </c>
      <c r="L652" s="21" t="s">
        <v>372</v>
      </c>
      <c r="M652" s="21" t="s">
        <v>372</v>
      </c>
      <c r="N652" s="21" t="s">
        <v>373</v>
      </c>
      <c r="O652" s="21" t="s">
        <v>3753</v>
      </c>
    </row>
    <row r="653" spans="1:15" x14ac:dyDescent="0.25">
      <c r="A653" s="21" t="s">
        <v>3754</v>
      </c>
      <c r="B653" s="21" t="s">
        <v>3755</v>
      </c>
      <c r="C653" s="21" t="s">
        <v>3756</v>
      </c>
      <c r="D653" s="21" t="s">
        <v>3757</v>
      </c>
      <c r="E653" s="21">
        <v>149419</v>
      </c>
      <c r="F653" s="21">
        <v>276551</v>
      </c>
      <c r="G653" s="21" t="s">
        <v>3758</v>
      </c>
      <c r="H653" s="21">
        <v>4</v>
      </c>
      <c r="I653" s="21">
        <v>2</v>
      </c>
      <c r="J653" s="21">
        <v>4</v>
      </c>
      <c r="K653" s="21">
        <v>2023</v>
      </c>
      <c r="L653" s="21" t="s">
        <v>373</v>
      </c>
      <c r="M653" s="21" t="s">
        <v>372</v>
      </c>
      <c r="N653" s="21" t="s">
        <v>373</v>
      </c>
      <c r="O653" s="21" t="s">
        <v>3759</v>
      </c>
    </row>
    <row r="654" spans="1:15" x14ac:dyDescent="0.25">
      <c r="A654" s="21" t="s">
        <v>3760</v>
      </c>
      <c r="B654" s="21" t="s">
        <v>3761</v>
      </c>
      <c r="C654" s="21" t="s">
        <v>3762</v>
      </c>
      <c r="D654" s="21" t="s">
        <v>3763</v>
      </c>
      <c r="E654" s="21" t="s">
        <v>3764</v>
      </c>
      <c r="F654" s="21" t="s">
        <v>3765</v>
      </c>
      <c r="G654" s="21" t="s">
        <v>3766</v>
      </c>
      <c r="H654" s="21">
        <v>4</v>
      </c>
      <c r="I654" s="21">
        <v>4</v>
      </c>
      <c r="J654" s="21">
        <v>4</v>
      </c>
      <c r="K654" s="21">
        <v>2023</v>
      </c>
      <c r="L654" s="21" t="s">
        <v>373</v>
      </c>
      <c r="M654" s="21" t="s">
        <v>373</v>
      </c>
      <c r="N654" s="21" t="s">
        <v>373</v>
      </c>
      <c r="O654" s="21" t="s">
        <v>3767</v>
      </c>
    </row>
    <row r="655" spans="1:15" x14ac:dyDescent="0.25">
      <c r="A655" s="21" t="s">
        <v>3768</v>
      </c>
      <c r="B655" s="21" t="s">
        <v>3769</v>
      </c>
      <c r="C655" s="21" t="s">
        <v>3770</v>
      </c>
      <c r="D655" s="21" t="s">
        <v>3771</v>
      </c>
      <c r="E655" s="21">
        <v>84875100</v>
      </c>
      <c r="F655" s="21">
        <v>236359</v>
      </c>
      <c r="G655" s="21">
        <v>38801627</v>
      </c>
      <c r="H655" s="21">
        <v>1</v>
      </c>
      <c r="I655" s="21">
        <v>1</v>
      </c>
      <c r="J655" s="21">
        <v>1</v>
      </c>
      <c r="K655" s="21">
        <v>2023</v>
      </c>
      <c r="L655" s="21" t="s">
        <v>372</v>
      </c>
      <c r="M655" s="21" t="s">
        <v>372</v>
      </c>
      <c r="N655" s="21" t="s">
        <v>372</v>
      </c>
      <c r="O655" s="21" t="s">
        <v>3772</v>
      </c>
    </row>
    <row r="656" spans="1:15" x14ac:dyDescent="0.25">
      <c r="A656" s="21" t="s">
        <v>3773</v>
      </c>
      <c r="B656" s="21" t="s">
        <v>3774</v>
      </c>
      <c r="C656" s="21" t="s">
        <v>3775</v>
      </c>
      <c r="D656" s="21" t="s">
        <v>3776</v>
      </c>
      <c r="E656" s="21">
        <v>5523</v>
      </c>
      <c r="F656" s="21">
        <v>17177</v>
      </c>
      <c r="G656" s="21" t="s">
        <v>3777</v>
      </c>
      <c r="H656" s="21">
        <v>1</v>
      </c>
      <c r="I656" s="21">
        <v>1</v>
      </c>
      <c r="J656" s="21">
        <v>4</v>
      </c>
      <c r="K656" s="21">
        <v>2023</v>
      </c>
      <c r="L656" s="21" t="s">
        <v>372</v>
      </c>
      <c r="M656" s="21" t="s">
        <v>372</v>
      </c>
      <c r="N656" s="21" t="s">
        <v>373</v>
      </c>
      <c r="O656" s="21" t="s">
        <v>3778</v>
      </c>
    </row>
    <row r="657" spans="1:15" x14ac:dyDescent="0.25">
      <c r="A657" s="21" t="s">
        <v>3779</v>
      </c>
      <c r="B657" s="21" t="s">
        <v>3780</v>
      </c>
      <c r="C657" s="21" t="s">
        <v>3781</v>
      </c>
      <c r="D657" s="21" t="s">
        <v>3782</v>
      </c>
      <c r="E657" s="21">
        <v>35683</v>
      </c>
      <c r="F657" s="21">
        <v>64242</v>
      </c>
      <c r="G657" s="21" t="s">
        <v>3783</v>
      </c>
      <c r="H657" s="21">
        <v>4</v>
      </c>
      <c r="I657" s="21">
        <v>2</v>
      </c>
      <c r="J657" s="21">
        <v>4</v>
      </c>
      <c r="K657" s="21">
        <v>2023</v>
      </c>
      <c r="L657" s="21" t="s">
        <v>373</v>
      </c>
      <c r="M657" s="21" t="s">
        <v>372</v>
      </c>
      <c r="N657" s="21" t="s">
        <v>373</v>
      </c>
      <c r="O657" s="21" t="s">
        <v>3784</v>
      </c>
    </row>
    <row r="658" spans="1:15" x14ac:dyDescent="0.25">
      <c r="A658" s="21" t="s">
        <v>3785</v>
      </c>
      <c r="B658" s="21" t="s">
        <v>3786</v>
      </c>
      <c r="E658" s="21">
        <v>649</v>
      </c>
      <c r="F658" s="21">
        <v>1533</v>
      </c>
      <c r="G658" s="21">
        <v>41500</v>
      </c>
      <c r="H658" s="21">
        <v>2</v>
      </c>
      <c r="I658" s="21">
        <v>2</v>
      </c>
      <c r="J658" s="21">
        <v>4</v>
      </c>
      <c r="K658" s="21">
        <v>2023</v>
      </c>
      <c r="L658" s="21" t="s">
        <v>372</v>
      </c>
      <c r="M658" s="21" t="s">
        <v>372</v>
      </c>
      <c r="N658" s="21" t="s">
        <v>373</v>
      </c>
      <c r="O658" s="21" t="s">
        <v>3787</v>
      </c>
    </row>
    <row r="659" spans="1:15" x14ac:dyDescent="0.25">
      <c r="A659" s="21" t="s">
        <v>3788</v>
      </c>
      <c r="B659" s="21" t="s">
        <v>3789</v>
      </c>
      <c r="C659" s="21" t="s">
        <v>3790</v>
      </c>
      <c r="D659" s="21" t="s">
        <v>3791</v>
      </c>
      <c r="E659" s="21">
        <v>22692</v>
      </c>
      <c r="F659" s="21">
        <v>32156</v>
      </c>
      <c r="G659" s="21" t="s">
        <v>3792</v>
      </c>
      <c r="H659" s="21">
        <v>2</v>
      </c>
      <c r="I659" s="21">
        <v>2</v>
      </c>
      <c r="J659" s="21">
        <v>4</v>
      </c>
      <c r="K659" s="21">
        <v>2023</v>
      </c>
      <c r="L659" s="21" t="s">
        <v>372</v>
      </c>
      <c r="M659" s="21" t="s">
        <v>372</v>
      </c>
      <c r="N659" s="21" t="s">
        <v>373</v>
      </c>
      <c r="O659" s="21" t="s">
        <v>3793</v>
      </c>
    </row>
    <row r="660" spans="1:15" x14ac:dyDescent="0.25">
      <c r="A660" s="21" t="s">
        <v>3794</v>
      </c>
      <c r="B660" s="21" t="s">
        <v>3795</v>
      </c>
      <c r="D660" s="21" t="s">
        <v>3796</v>
      </c>
      <c r="E660" s="21">
        <v>113829676</v>
      </c>
      <c r="F660" s="21" t="s">
        <v>3797</v>
      </c>
      <c r="G660" s="21" t="s">
        <v>3798</v>
      </c>
      <c r="H660" s="21">
        <v>4</v>
      </c>
      <c r="I660" s="21">
        <v>4</v>
      </c>
      <c r="J660" s="21">
        <v>4</v>
      </c>
      <c r="K660" s="21">
        <v>2023</v>
      </c>
      <c r="L660" s="21" t="s">
        <v>373</v>
      </c>
      <c r="M660" s="21" t="s">
        <v>373</v>
      </c>
      <c r="N660" s="21" t="s">
        <v>373</v>
      </c>
      <c r="O660" s="21" t="s">
        <v>3799</v>
      </c>
    </row>
    <row r="661" spans="1:15" x14ac:dyDescent="0.25">
      <c r="A661" s="21" t="s">
        <v>3800</v>
      </c>
      <c r="B661" s="21" t="s">
        <v>3801</v>
      </c>
      <c r="D661" s="21" t="s">
        <v>3802</v>
      </c>
      <c r="E661" s="21">
        <v>653000</v>
      </c>
      <c r="F661" s="21">
        <v>117800</v>
      </c>
      <c r="G661" s="21" t="s">
        <v>3803</v>
      </c>
      <c r="H661" s="21">
        <v>1</v>
      </c>
      <c r="I661" s="21">
        <v>1</v>
      </c>
      <c r="J661" s="21">
        <v>4</v>
      </c>
      <c r="K661" s="21">
        <v>2023</v>
      </c>
      <c r="L661" s="21" t="s">
        <v>372</v>
      </c>
      <c r="M661" s="21" t="s">
        <v>372</v>
      </c>
      <c r="N661" s="21" t="s">
        <v>373</v>
      </c>
      <c r="O661" s="21" t="s">
        <v>3804</v>
      </c>
    </row>
    <row r="662" spans="1:15" x14ac:dyDescent="0.25">
      <c r="A662" s="21" t="s">
        <v>3805</v>
      </c>
      <c r="B662" s="21" t="s">
        <v>3806</v>
      </c>
      <c r="E662" s="21">
        <v>507040</v>
      </c>
      <c r="F662" s="21">
        <v>824269</v>
      </c>
      <c r="G662" s="21">
        <v>11949904</v>
      </c>
      <c r="H662" s="21">
        <v>1</v>
      </c>
      <c r="I662" s="21">
        <v>1</v>
      </c>
      <c r="J662" s="21">
        <v>4</v>
      </c>
      <c r="K662" s="21">
        <v>2023</v>
      </c>
      <c r="L662" s="21" t="s">
        <v>372</v>
      </c>
      <c r="M662" s="21" t="s">
        <v>372</v>
      </c>
      <c r="N662" s="21" t="s">
        <v>373</v>
      </c>
      <c r="O662" s="21" t="s">
        <v>3807</v>
      </c>
    </row>
    <row r="663" spans="1:15" x14ac:dyDescent="0.25">
      <c r="A663" s="21" t="s">
        <v>3808</v>
      </c>
      <c r="B663" s="21" t="s">
        <v>3809</v>
      </c>
      <c r="D663" s="21" t="s">
        <v>3810</v>
      </c>
      <c r="E663" s="21">
        <v>2673370</v>
      </c>
      <c r="F663" s="21">
        <v>1297034</v>
      </c>
      <c r="G663" s="21" t="s">
        <v>3811</v>
      </c>
      <c r="H663" s="21">
        <v>1</v>
      </c>
      <c r="I663" s="21">
        <v>1</v>
      </c>
      <c r="J663" s="21">
        <v>4</v>
      </c>
      <c r="K663" s="21">
        <v>2023</v>
      </c>
      <c r="L663" s="21" t="s">
        <v>372</v>
      </c>
      <c r="M663" s="21" t="s">
        <v>372</v>
      </c>
      <c r="N663" s="21" t="s">
        <v>373</v>
      </c>
      <c r="O663" s="21" t="s">
        <v>3812</v>
      </c>
    </row>
    <row r="664" spans="1:15" x14ac:dyDescent="0.25">
      <c r="A664" s="21" t="s">
        <v>3813</v>
      </c>
      <c r="B664" s="21" t="s">
        <v>3814</v>
      </c>
      <c r="C664" s="21" t="s">
        <v>3815</v>
      </c>
      <c r="D664" s="21" t="s">
        <v>3816</v>
      </c>
      <c r="E664" s="21">
        <v>1527715</v>
      </c>
      <c r="F664" s="21">
        <v>554818</v>
      </c>
      <c r="G664" s="21" t="s">
        <v>3817</v>
      </c>
      <c r="H664" s="21">
        <v>1</v>
      </c>
      <c r="I664" s="21">
        <v>1</v>
      </c>
      <c r="J664" s="21">
        <v>4</v>
      </c>
      <c r="K664" s="21">
        <v>2023</v>
      </c>
      <c r="L664" s="21" t="s">
        <v>372</v>
      </c>
      <c r="M664" s="21" t="s">
        <v>372</v>
      </c>
      <c r="N664" s="21" t="s">
        <v>373</v>
      </c>
      <c r="O664" s="21" t="s">
        <v>3818</v>
      </c>
    </row>
    <row r="665" spans="1:15" x14ac:dyDescent="0.25">
      <c r="A665" s="21" t="s">
        <v>3819</v>
      </c>
      <c r="B665" s="21" t="s">
        <v>3820</v>
      </c>
      <c r="C665" s="21" t="s">
        <v>3821</v>
      </c>
      <c r="D665" s="21" t="s">
        <v>3822</v>
      </c>
      <c r="E665" s="21">
        <v>2378304</v>
      </c>
      <c r="F665" s="21">
        <v>49217</v>
      </c>
      <c r="G665" s="21" t="s">
        <v>3823</v>
      </c>
      <c r="H665" s="21">
        <v>1</v>
      </c>
      <c r="I665" s="21">
        <v>1</v>
      </c>
      <c r="J665" s="21">
        <v>4</v>
      </c>
      <c r="K665" s="21">
        <v>2023</v>
      </c>
      <c r="L665" s="21" t="s">
        <v>372</v>
      </c>
      <c r="M665" s="21" t="s">
        <v>372</v>
      </c>
      <c r="N665" s="21" t="s">
        <v>373</v>
      </c>
      <c r="O665" s="21" t="s">
        <v>3824</v>
      </c>
    </row>
    <row r="666" spans="1:15" x14ac:dyDescent="0.25">
      <c r="A666" s="21" t="s">
        <v>3825</v>
      </c>
      <c r="B666" s="21" t="s">
        <v>3826</v>
      </c>
      <c r="C666" s="21" t="s">
        <v>3827</v>
      </c>
      <c r="D666" s="21" t="s">
        <v>3828</v>
      </c>
      <c r="E666" s="21">
        <v>12305</v>
      </c>
      <c r="F666" s="21">
        <v>46439</v>
      </c>
      <c r="G666" s="21">
        <v>306206</v>
      </c>
      <c r="H666" s="21">
        <v>1</v>
      </c>
      <c r="I666" s="21">
        <v>1</v>
      </c>
      <c r="J666" s="21">
        <v>1</v>
      </c>
      <c r="K666" s="21">
        <v>2023</v>
      </c>
      <c r="L666" s="21" t="s">
        <v>372</v>
      </c>
      <c r="M666" s="21" t="s">
        <v>372</v>
      </c>
      <c r="N666" s="21" t="s">
        <v>372</v>
      </c>
      <c r="O666" s="21" t="s">
        <v>3829</v>
      </c>
    </row>
    <row r="667" spans="1:15" x14ac:dyDescent="0.25">
      <c r="A667" s="21" t="s">
        <v>3830</v>
      </c>
      <c r="B667" s="21" t="s">
        <v>3831</v>
      </c>
      <c r="C667" s="21" t="s">
        <v>3832</v>
      </c>
      <c r="D667" s="21" t="s">
        <v>3833</v>
      </c>
      <c r="E667" s="21">
        <v>294392</v>
      </c>
      <c r="F667" s="21">
        <v>117283</v>
      </c>
      <c r="G667" s="21" t="s">
        <v>3834</v>
      </c>
      <c r="H667" s="21">
        <v>1</v>
      </c>
      <c r="I667" s="21">
        <v>1</v>
      </c>
      <c r="J667" s="21">
        <v>4</v>
      </c>
      <c r="K667" s="21">
        <v>2023</v>
      </c>
      <c r="L667" s="21" t="s">
        <v>372</v>
      </c>
      <c r="M667" s="21" t="s">
        <v>372</v>
      </c>
      <c r="N667" s="21" t="s">
        <v>373</v>
      </c>
      <c r="O667" s="21" t="s">
        <v>3835</v>
      </c>
    </row>
    <row r="668" spans="1:15" x14ac:dyDescent="0.25">
      <c r="A668" s="21" t="s">
        <v>3836</v>
      </c>
      <c r="B668" s="21" t="s">
        <v>3837</v>
      </c>
      <c r="C668" s="21" t="s">
        <v>3838</v>
      </c>
      <c r="D668" s="21" t="s">
        <v>3839</v>
      </c>
      <c r="E668" s="21" t="s">
        <v>3840</v>
      </c>
      <c r="F668" s="21" t="s">
        <v>3841</v>
      </c>
      <c r="G668" s="21" t="s">
        <v>3842</v>
      </c>
      <c r="H668" s="21">
        <v>4</v>
      </c>
      <c r="I668" s="21">
        <v>4</v>
      </c>
      <c r="J668" s="21">
        <v>4</v>
      </c>
      <c r="K668" s="21">
        <v>2023</v>
      </c>
      <c r="L668" s="21" t="s">
        <v>373</v>
      </c>
      <c r="M668" s="21" t="s">
        <v>373</v>
      </c>
      <c r="N668" s="21" t="s">
        <v>373</v>
      </c>
      <c r="O668" s="21" t="s">
        <v>3843</v>
      </c>
    </row>
    <row r="669" spans="1:15" x14ac:dyDescent="0.25">
      <c r="A669" s="21" t="s">
        <v>198</v>
      </c>
      <c r="B669" s="21" t="s">
        <v>3844</v>
      </c>
      <c r="C669" s="21" t="s">
        <v>3845</v>
      </c>
      <c r="D669" s="21" t="s">
        <v>3846</v>
      </c>
      <c r="E669" s="21">
        <v>242082</v>
      </c>
      <c r="F669" s="21">
        <v>223626</v>
      </c>
      <c r="G669" s="21" t="s">
        <v>3847</v>
      </c>
      <c r="H669" s="21">
        <v>1</v>
      </c>
      <c r="I669" s="21">
        <v>1</v>
      </c>
      <c r="J669" s="21">
        <v>4</v>
      </c>
      <c r="K669" s="21">
        <v>2023</v>
      </c>
      <c r="L669" s="21" t="s">
        <v>372</v>
      </c>
      <c r="M669" s="21" t="s">
        <v>372</v>
      </c>
      <c r="N669" s="21" t="s">
        <v>373</v>
      </c>
      <c r="O669" s="21" t="s">
        <v>283</v>
      </c>
    </row>
    <row r="670" spans="1:15" x14ac:dyDescent="0.25">
      <c r="A670" s="21" t="s">
        <v>3848</v>
      </c>
      <c r="B670" s="21" t="s">
        <v>3849</v>
      </c>
      <c r="C670" s="21" t="s">
        <v>3850</v>
      </c>
      <c r="D670" s="21" t="s">
        <v>3851</v>
      </c>
      <c r="E670" s="21">
        <v>1064620</v>
      </c>
      <c r="F670" s="21">
        <v>253056</v>
      </c>
      <c r="G670" s="21" t="s">
        <v>3852</v>
      </c>
      <c r="H670" s="21">
        <v>1</v>
      </c>
      <c r="I670" s="21">
        <v>1</v>
      </c>
      <c r="J670" s="21">
        <v>4</v>
      </c>
      <c r="K670" s="21">
        <v>2023</v>
      </c>
      <c r="L670" s="21" t="s">
        <v>372</v>
      </c>
      <c r="M670" s="21" t="s">
        <v>372</v>
      </c>
      <c r="N670" s="21" t="s">
        <v>373</v>
      </c>
      <c r="O670" s="21" t="s">
        <v>3853</v>
      </c>
    </row>
    <row r="671" spans="1:15" x14ac:dyDescent="0.25">
      <c r="A671" s="21" t="s">
        <v>3854</v>
      </c>
      <c r="B671" s="21" t="s">
        <v>3854</v>
      </c>
      <c r="C671" s="21" t="s">
        <v>3855</v>
      </c>
      <c r="E671" s="21">
        <v>178928</v>
      </c>
      <c r="F671" s="21">
        <v>8401</v>
      </c>
      <c r="G671" s="21" t="s">
        <v>3856</v>
      </c>
      <c r="H671" s="21">
        <v>4</v>
      </c>
      <c r="I671" s="21">
        <v>2</v>
      </c>
      <c r="J671" s="21">
        <v>4</v>
      </c>
      <c r="K671" s="21">
        <v>2023</v>
      </c>
      <c r="L671" s="21" t="s">
        <v>373</v>
      </c>
      <c r="M671" s="21" t="s">
        <v>372</v>
      </c>
      <c r="N671" s="21" t="s">
        <v>373</v>
      </c>
      <c r="O671" s="21" t="s">
        <v>3857</v>
      </c>
    </row>
    <row r="672" spans="1:15" x14ac:dyDescent="0.25">
      <c r="A672" s="21" t="s">
        <v>3858</v>
      </c>
      <c r="B672" s="21" t="s">
        <v>3859</v>
      </c>
      <c r="C672" s="21" t="s">
        <v>3860</v>
      </c>
      <c r="D672" s="21" t="s">
        <v>3861</v>
      </c>
      <c r="E672" s="21">
        <v>5831</v>
      </c>
      <c r="F672" s="21">
        <v>9480</v>
      </c>
      <c r="G672" s="21" t="s">
        <v>3862</v>
      </c>
      <c r="H672" s="21">
        <v>4</v>
      </c>
      <c r="I672" s="21">
        <v>2</v>
      </c>
      <c r="J672" s="21">
        <v>4</v>
      </c>
      <c r="K672" s="21">
        <v>2023</v>
      </c>
      <c r="L672" s="21" t="s">
        <v>373</v>
      </c>
      <c r="M672" s="21" t="s">
        <v>372</v>
      </c>
      <c r="N672" s="21" t="s">
        <v>373</v>
      </c>
      <c r="O672" s="21">
        <v>690</v>
      </c>
    </row>
    <row r="673" spans="1:15" x14ac:dyDescent="0.25">
      <c r="A673" s="21" t="s">
        <v>3863</v>
      </c>
      <c r="B673" s="21" t="s">
        <v>3864</v>
      </c>
      <c r="C673" s="21" t="s">
        <v>3865</v>
      </c>
      <c r="D673" s="21" t="s">
        <v>3866</v>
      </c>
      <c r="E673" s="21">
        <v>716</v>
      </c>
      <c r="F673" s="21">
        <v>4262</v>
      </c>
      <c r="G673" s="21">
        <v>269238</v>
      </c>
      <c r="H673" s="21">
        <v>2</v>
      </c>
      <c r="I673" s="21">
        <v>2</v>
      </c>
      <c r="J673" s="21">
        <v>4</v>
      </c>
      <c r="K673" s="21">
        <v>2023</v>
      </c>
      <c r="L673" s="21" t="s">
        <v>372</v>
      </c>
      <c r="M673" s="21" t="s">
        <v>372</v>
      </c>
      <c r="N673" s="21" t="s">
        <v>373</v>
      </c>
      <c r="O673" s="21" t="s">
        <v>3867</v>
      </c>
    </row>
    <row r="674" spans="1:15" x14ac:dyDescent="0.25">
      <c r="A674" s="21" t="s">
        <v>3868</v>
      </c>
      <c r="B674" s="21" t="s">
        <v>3869</v>
      </c>
      <c r="C674" s="21" t="s">
        <v>3870</v>
      </c>
      <c r="D674" s="21" t="s">
        <v>3871</v>
      </c>
      <c r="E674" s="21">
        <v>6600</v>
      </c>
      <c r="F674" s="21">
        <v>41674</v>
      </c>
      <c r="G674" s="21">
        <v>593429</v>
      </c>
      <c r="H674" s="21">
        <v>1</v>
      </c>
      <c r="I674" s="21">
        <v>1</v>
      </c>
      <c r="J674" s="21">
        <v>1</v>
      </c>
      <c r="K674" s="21">
        <v>2023</v>
      </c>
      <c r="L674" s="21" t="s">
        <v>372</v>
      </c>
      <c r="M674" s="21" t="s">
        <v>372</v>
      </c>
      <c r="N674" s="21" t="s">
        <v>372</v>
      </c>
      <c r="O674" s="21" t="s">
        <v>3872</v>
      </c>
    </row>
    <row r="675" spans="1:15" x14ac:dyDescent="0.25">
      <c r="A675" s="21" t="s">
        <v>3873</v>
      </c>
      <c r="B675" s="21" t="s">
        <v>3874</v>
      </c>
      <c r="C675" s="21" t="s">
        <v>3875</v>
      </c>
      <c r="D675" s="21" t="s">
        <v>3876</v>
      </c>
      <c r="E675" s="21">
        <v>13773702</v>
      </c>
      <c r="F675" s="21">
        <v>1655163</v>
      </c>
      <c r="G675" s="21" t="s">
        <v>3877</v>
      </c>
      <c r="H675" s="21">
        <v>1</v>
      </c>
      <c r="I675" s="21">
        <v>2</v>
      </c>
      <c r="J675" s="21">
        <v>4</v>
      </c>
      <c r="K675" s="21">
        <v>2023</v>
      </c>
      <c r="L675" s="21" t="s">
        <v>372</v>
      </c>
      <c r="M675" s="21" t="s">
        <v>372</v>
      </c>
      <c r="N675" s="21" t="s">
        <v>373</v>
      </c>
      <c r="O675" s="21" t="s">
        <v>3878</v>
      </c>
    </row>
    <row r="676" spans="1:15" x14ac:dyDescent="0.25">
      <c r="A676" s="21" t="s">
        <v>3879</v>
      </c>
      <c r="B676" s="21" t="s">
        <v>3880</v>
      </c>
      <c r="C676" s="21" t="s">
        <v>3881</v>
      </c>
      <c r="D676" s="21" t="s">
        <v>3882</v>
      </c>
      <c r="E676" s="21">
        <v>15975</v>
      </c>
      <c r="F676" s="21">
        <v>4279</v>
      </c>
      <c r="G676" s="21" t="s">
        <v>3883</v>
      </c>
      <c r="H676" s="21">
        <v>1</v>
      </c>
      <c r="I676" s="21">
        <v>1</v>
      </c>
      <c r="J676" s="21">
        <v>4</v>
      </c>
      <c r="K676" s="21">
        <v>2023</v>
      </c>
      <c r="L676" s="21" t="s">
        <v>372</v>
      </c>
      <c r="M676" s="21" t="s">
        <v>372</v>
      </c>
      <c r="N676" s="21" t="s">
        <v>373</v>
      </c>
      <c r="O676" s="21" t="s">
        <v>3884</v>
      </c>
    </row>
    <row r="677" spans="1:15" x14ac:dyDescent="0.25">
      <c r="A677" s="21" t="s">
        <v>3885</v>
      </c>
      <c r="B677" s="21" t="s">
        <v>3886</v>
      </c>
      <c r="C677" s="21" t="s">
        <v>3887</v>
      </c>
      <c r="D677" s="21" t="s">
        <v>3888</v>
      </c>
      <c r="E677" s="21">
        <v>1794706</v>
      </c>
      <c r="F677" s="21" t="s">
        <v>3889</v>
      </c>
      <c r="G677" s="21" t="s">
        <v>3890</v>
      </c>
      <c r="H677" s="21">
        <v>1</v>
      </c>
      <c r="I677" s="21">
        <v>1</v>
      </c>
      <c r="J677" s="21">
        <v>4</v>
      </c>
      <c r="K677" s="21">
        <v>2023</v>
      </c>
      <c r="L677" s="21" t="s">
        <v>372</v>
      </c>
      <c r="M677" s="21" t="s">
        <v>372</v>
      </c>
      <c r="N677" s="21" t="s">
        <v>373</v>
      </c>
      <c r="O677" s="21" t="s">
        <v>3891</v>
      </c>
    </row>
    <row r="678" spans="1:15" x14ac:dyDescent="0.25">
      <c r="A678" s="21" t="s">
        <v>3892</v>
      </c>
      <c r="B678" s="21" t="s">
        <v>3893</v>
      </c>
      <c r="C678" s="21" t="s">
        <v>3894</v>
      </c>
      <c r="D678" s="21" t="s">
        <v>3895</v>
      </c>
      <c r="E678" s="21">
        <v>14254</v>
      </c>
      <c r="F678" s="21">
        <v>38914</v>
      </c>
      <c r="G678" s="21">
        <v>19153333</v>
      </c>
      <c r="H678" s="21">
        <v>1</v>
      </c>
      <c r="I678" s="21">
        <v>1</v>
      </c>
      <c r="J678" s="21">
        <v>1</v>
      </c>
      <c r="K678" s="21">
        <v>2023</v>
      </c>
      <c r="L678" s="21" t="s">
        <v>372</v>
      </c>
      <c r="M678" s="21" t="s">
        <v>372</v>
      </c>
      <c r="N678" s="21" t="s">
        <v>372</v>
      </c>
      <c r="O678" s="21" t="s">
        <v>3896</v>
      </c>
    </row>
    <row r="679" spans="1:15" x14ac:dyDescent="0.25">
      <c r="A679" s="21" t="s">
        <v>3897</v>
      </c>
      <c r="B679" s="21" t="s">
        <v>3898</v>
      </c>
      <c r="E679" s="21">
        <v>58013</v>
      </c>
      <c r="F679" s="21">
        <v>466063</v>
      </c>
      <c r="G679" s="21">
        <v>20094967</v>
      </c>
      <c r="H679" s="21">
        <v>1</v>
      </c>
      <c r="I679" s="21">
        <v>1</v>
      </c>
      <c r="J679" s="21">
        <v>4</v>
      </c>
      <c r="K679" s="21">
        <v>2023</v>
      </c>
      <c r="L679" s="21" t="s">
        <v>372</v>
      </c>
      <c r="M679" s="21" t="s">
        <v>372</v>
      </c>
      <c r="N679" s="21" t="s">
        <v>373</v>
      </c>
      <c r="O679" s="21" t="s">
        <v>3899</v>
      </c>
    </row>
    <row r="680" spans="1:15" x14ac:dyDescent="0.25">
      <c r="A680" s="21" t="s">
        <v>104</v>
      </c>
      <c r="B680" s="21" t="s">
        <v>3900</v>
      </c>
      <c r="C680" s="21" t="s">
        <v>3901</v>
      </c>
      <c r="D680" s="21" t="s">
        <v>3902</v>
      </c>
      <c r="E680" s="21">
        <v>758300</v>
      </c>
      <c r="F680" s="21">
        <v>103834</v>
      </c>
      <c r="G680" s="21">
        <v>1362300</v>
      </c>
      <c r="H680" s="21">
        <v>4</v>
      </c>
      <c r="I680" s="21">
        <v>2</v>
      </c>
      <c r="J680" s="21">
        <v>4</v>
      </c>
      <c r="K680" s="21">
        <v>2023</v>
      </c>
      <c r="L680" s="21" t="s">
        <v>373</v>
      </c>
      <c r="M680" s="21" t="s">
        <v>372</v>
      </c>
      <c r="N680" s="21" t="s">
        <v>373</v>
      </c>
      <c r="O680" s="21" t="s">
        <v>225</v>
      </c>
    </row>
    <row r="681" spans="1:15" x14ac:dyDescent="0.25">
      <c r="A681" s="21" t="s">
        <v>3903</v>
      </c>
      <c r="B681" s="21" t="s">
        <v>3904</v>
      </c>
      <c r="C681" s="21" t="s">
        <v>3905</v>
      </c>
      <c r="D681" s="21" t="s">
        <v>3906</v>
      </c>
      <c r="E681" s="21">
        <v>863000</v>
      </c>
      <c r="F681" s="21">
        <v>318000</v>
      </c>
      <c r="G681" s="21" t="s">
        <v>3907</v>
      </c>
      <c r="H681" s="21">
        <v>2</v>
      </c>
      <c r="I681" s="21">
        <v>2</v>
      </c>
      <c r="J681" s="21">
        <v>4</v>
      </c>
      <c r="K681" s="21">
        <v>2023</v>
      </c>
      <c r="L681" s="21" t="s">
        <v>372</v>
      </c>
      <c r="M681" s="21" t="s">
        <v>372</v>
      </c>
      <c r="N681" s="21" t="s">
        <v>373</v>
      </c>
      <c r="O681" s="21" t="s">
        <v>3908</v>
      </c>
    </row>
    <row r="682" spans="1:15" x14ac:dyDescent="0.25">
      <c r="A682" s="21" t="s">
        <v>3909</v>
      </c>
      <c r="B682" s="21" t="s">
        <v>3910</v>
      </c>
      <c r="C682" s="21" t="s">
        <v>3911</v>
      </c>
      <c r="D682" s="21" t="s">
        <v>3912</v>
      </c>
      <c r="E682" s="21">
        <v>30537</v>
      </c>
      <c r="F682" s="21">
        <v>2121</v>
      </c>
      <c r="G682" s="21" t="s">
        <v>3913</v>
      </c>
      <c r="H682" s="21">
        <v>1</v>
      </c>
      <c r="I682" s="21">
        <v>1</v>
      </c>
      <c r="J682" s="21">
        <v>4</v>
      </c>
      <c r="K682" s="21">
        <v>2023</v>
      </c>
      <c r="L682" s="21" t="s">
        <v>372</v>
      </c>
      <c r="M682" s="21" t="s">
        <v>372</v>
      </c>
      <c r="N682" s="21" t="s">
        <v>373</v>
      </c>
      <c r="O682" s="21" t="s">
        <v>3914</v>
      </c>
    </row>
    <row r="683" spans="1:15" x14ac:dyDescent="0.25">
      <c r="A683" s="21" t="s">
        <v>3915</v>
      </c>
      <c r="B683" s="21" t="s">
        <v>3916</v>
      </c>
      <c r="E683" s="21">
        <v>37877</v>
      </c>
      <c r="F683" s="21">
        <v>168781</v>
      </c>
      <c r="G683" s="21" t="s">
        <v>3917</v>
      </c>
      <c r="H683" s="21">
        <v>1</v>
      </c>
      <c r="I683" s="21">
        <v>1</v>
      </c>
      <c r="J683" s="21">
        <v>4</v>
      </c>
      <c r="K683" s="21">
        <v>2023</v>
      </c>
      <c r="L683" s="21" t="s">
        <v>372</v>
      </c>
      <c r="M683" s="21" t="s">
        <v>372</v>
      </c>
      <c r="N683" s="21" t="s">
        <v>373</v>
      </c>
      <c r="O683" s="21" t="s">
        <v>3918</v>
      </c>
    </row>
    <row r="684" spans="1:15" x14ac:dyDescent="0.25">
      <c r="A684" s="21" t="s">
        <v>3919</v>
      </c>
      <c r="B684" s="21" t="s">
        <v>3920</v>
      </c>
      <c r="C684" s="21" t="s">
        <v>3921</v>
      </c>
      <c r="E684" s="21">
        <v>112989</v>
      </c>
      <c r="F684" s="21">
        <v>399188</v>
      </c>
      <c r="G684" s="21">
        <v>2207768</v>
      </c>
      <c r="H684" s="21">
        <v>1</v>
      </c>
      <c r="I684" s="21">
        <v>1</v>
      </c>
      <c r="J684" s="21">
        <v>4</v>
      </c>
      <c r="K684" s="21">
        <v>2023</v>
      </c>
      <c r="L684" s="21" t="s">
        <v>372</v>
      </c>
      <c r="M684" s="21" t="s">
        <v>372</v>
      </c>
      <c r="N684" s="21" t="s">
        <v>373</v>
      </c>
      <c r="O684" s="21">
        <v>28903</v>
      </c>
    </row>
    <row r="685" spans="1:15" x14ac:dyDescent="0.25">
      <c r="A685" s="21" t="s">
        <v>3922</v>
      </c>
      <c r="B685" s="21" t="s">
        <v>3923</v>
      </c>
      <c r="C685" s="21" t="s">
        <v>3924</v>
      </c>
      <c r="D685" s="21" t="s">
        <v>3925</v>
      </c>
      <c r="E685" s="21">
        <v>131809</v>
      </c>
      <c r="F685" s="21">
        <v>1002189</v>
      </c>
      <c r="G685" s="21" t="s">
        <v>3926</v>
      </c>
      <c r="H685" s="21">
        <v>1</v>
      </c>
      <c r="I685" s="21">
        <v>1</v>
      </c>
      <c r="J685" s="21">
        <v>4</v>
      </c>
      <c r="K685" s="21">
        <v>2023</v>
      </c>
      <c r="L685" s="21" t="s">
        <v>372</v>
      </c>
      <c r="M685" s="21" t="s">
        <v>372</v>
      </c>
      <c r="N685" s="21" t="s">
        <v>373</v>
      </c>
      <c r="O685" s="21">
        <v>69834</v>
      </c>
    </row>
    <row r="686" spans="1:15" x14ac:dyDescent="0.25">
      <c r="A686" s="21" t="s">
        <v>3927</v>
      </c>
      <c r="B686" s="21" t="s">
        <v>3928</v>
      </c>
      <c r="E686" s="21" t="s">
        <v>3929</v>
      </c>
      <c r="F686" s="21" t="s">
        <v>3930</v>
      </c>
      <c r="G686" s="21">
        <v>32635424</v>
      </c>
      <c r="H686" s="21">
        <v>2</v>
      </c>
      <c r="I686" s="21">
        <v>2</v>
      </c>
      <c r="J686" s="21">
        <v>1</v>
      </c>
      <c r="K686" s="21">
        <v>2023</v>
      </c>
      <c r="L686" s="21" t="s">
        <v>372</v>
      </c>
      <c r="M686" s="21" t="s">
        <v>372</v>
      </c>
      <c r="N686" s="21" t="s">
        <v>372</v>
      </c>
      <c r="O686" s="21" t="s">
        <v>3931</v>
      </c>
    </row>
    <row r="687" spans="1:15" x14ac:dyDescent="0.25">
      <c r="A687" s="21" t="s">
        <v>122</v>
      </c>
      <c r="B687" s="21" t="s">
        <v>3932</v>
      </c>
      <c r="C687" s="21" t="s">
        <v>3933</v>
      </c>
      <c r="D687" s="21" t="s">
        <v>3934</v>
      </c>
      <c r="E687" s="21">
        <v>17512</v>
      </c>
      <c r="F687" s="21">
        <v>124354</v>
      </c>
      <c r="G687" s="21">
        <v>327806</v>
      </c>
      <c r="H687" s="21">
        <v>1</v>
      </c>
      <c r="I687" s="21">
        <v>1</v>
      </c>
      <c r="J687" s="21">
        <v>4</v>
      </c>
      <c r="K687" s="21">
        <v>2023</v>
      </c>
      <c r="L687" s="21" t="s">
        <v>372</v>
      </c>
      <c r="M687" s="21" t="s">
        <v>372</v>
      </c>
      <c r="N687" s="21" t="s">
        <v>373</v>
      </c>
      <c r="O687" s="21">
        <v>9509</v>
      </c>
    </row>
    <row r="688" spans="1:15" x14ac:dyDescent="0.25">
      <c r="A688" s="21" t="s">
        <v>3935</v>
      </c>
      <c r="B688" s="21" t="s">
        <v>3936</v>
      </c>
      <c r="C688" s="21" t="s">
        <v>3937</v>
      </c>
      <c r="D688" s="21" t="s">
        <v>3938</v>
      </c>
      <c r="E688" s="21">
        <v>11328</v>
      </c>
      <c r="F688" s="21">
        <v>155129</v>
      </c>
      <c r="G688" s="21" t="s">
        <v>3939</v>
      </c>
      <c r="H688" s="21">
        <v>1</v>
      </c>
      <c r="I688" s="21">
        <v>1</v>
      </c>
      <c r="J688" s="21">
        <v>4</v>
      </c>
      <c r="K688" s="21">
        <v>2023</v>
      </c>
      <c r="L688" s="21" t="s">
        <v>372</v>
      </c>
      <c r="M688" s="21" t="s">
        <v>372</v>
      </c>
      <c r="N688" s="21" t="s">
        <v>373</v>
      </c>
      <c r="O688" s="21" t="s">
        <v>3940</v>
      </c>
    </row>
    <row r="689" spans="1:15" x14ac:dyDescent="0.25">
      <c r="A689" s="21" t="s">
        <v>3941</v>
      </c>
      <c r="B689" s="21" t="s">
        <v>3942</v>
      </c>
      <c r="C689" s="21" t="s">
        <v>3943</v>
      </c>
      <c r="D689" s="21" t="s">
        <v>3944</v>
      </c>
      <c r="E689" s="21">
        <v>1116681</v>
      </c>
      <c r="F689" s="21">
        <v>1392638</v>
      </c>
      <c r="G689" s="21" t="s">
        <v>3945</v>
      </c>
      <c r="H689" s="21">
        <v>1</v>
      </c>
      <c r="I689" s="21">
        <v>1</v>
      </c>
      <c r="J689" s="21">
        <v>4</v>
      </c>
      <c r="K689" s="21">
        <v>2023</v>
      </c>
      <c r="L689" s="21" t="s">
        <v>372</v>
      </c>
      <c r="M689" s="21" t="s">
        <v>372</v>
      </c>
      <c r="N689" s="21" t="s">
        <v>373</v>
      </c>
      <c r="O689" s="21" t="s">
        <v>3946</v>
      </c>
    </row>
    <row r="690" spans="1:15" x14ac:dyDescent="0.25">
      <c r="A690" s="21" t="s">
        <v>3947</v>
      </c>
      <c r="B690" s="21" t="s">
        <v>3948</v>
      </c>
      <c r="D690" s="21" t="s">
        <v>3949</v>
      </c>
      <c r="E690" s="21">
        <v>3082010</v>
      </c>
      <c r="F690" s="21">
        <v>336191</v>
      </c>
      <c r="G690" s="21" t="s">
        <v>3950</v>
      </c>
      <c r="H690" s="21">
        <v>4</v>
      </c>
      <c r="I690" s="21">
        <v>2</v>
      </c>
      <c r="J690" s="21">
        <v>4</v>
      </c>
      <c r="K690" s="21">
        <v>2023</v>
      </c>
      <c r="L690" s="21" t="s">
        <v>373</v>
      </c>
      <c r="M690" s="21" t="s">
        <v>372</v>
      </c>
      <c r="N690" s="21" t="s">
        <v>373</v>
      </c>
      <c r="O690" s="21">
        <v>44394</v>
      </c>
    </row>
    <row r="691" spans="1:15" x14ac:dyDescent="0.25">
      <c r="A691" s="21" t="s">
        <v>3951</v>
      </c>
      <c r="B691" s="21" t="s">
        <v>3951</v>
      </c>
      <c r="C691" s="21" t="s">
        <v>3952</v>
      </c>
      <c r="D691" s="21" t="s">
        <v>3953</v>
      </c>
      <c r="E691" s="21">
        <v>76506</v>
      </c>
      <c r="F691" s="21">
        <v>1739906</v>
      </c>
      <c r="G691" s="21" t="s">
        <v>3954</v>
      </c>
      <c r="H691" s="21">
        <v>1</v>
      </c>
      <c r="I691" s="21">
        <v>1</v>
      </c>
      <c r="J691" s="21">
        <v>4</v>
      </c>
      <c r="K691" s="21">
        <v>2023</v>
      </c>
      <c r="L691" s="21" t="s">
        <v>372</v>
      </c>
      <c r="M691" s="21" t="s">
        <v>372</v>
      </c>
      <c r="N691" s="21" t="s">
        <v>373</v>
      </c>
      <c r="O691" s="21" t="s">
        <v>3955</v>
      </c>
    </row>
    <row r="692" spans="1:15" x14ac:dyDescent="0.25">
      <c r="A692" s="21" t="s">
        <v>3956</v>
      </c>
      <c r="B692" s="21" t="s">
        <v>3957</v>
      </c>
      <c r="C692" s="21" t="s">
        <v>3958</v>
      </c>
      <c r="D692" s="21" t="s">
        <v>3959</v>
      </c>
      <c r="E692" s="21">
        <v>1039346</v>
      </c>
      <c r="F692" s="21">
        <v>575462</v>
      </c>
      <c r="G692" s="21" t="s">
        <v>3960</v>
      </c>
      <c r="H692" s="21">
        <v>1</v>
      </c>
      <c r="I692" s="21">
        <v>1</v>
      </c>
      <c r="J692" s="21">
        <v>4</v>
      </c>
      <c r="K692" s="21">
        <v>2023</v>
      </c>
      <c r="L692" s="21" t="s">
        <v>372</v>
      </c>
      <c r="M692" s="21" t="s">
        <v>372</v>
      </c>
      <c r="N692" s="21" t="s">
        <v>373</v>
      </c>
      <c r="O692" s="21" t="s">
        <v>3961</v>
      </c>
    </row>
    <row r="693" spans="1:15" x14ac:dyDescent="0.25">
      <c r="A693" s="21" t="s">
        <v>194</v>
      </c>
      <c r="B693" s="21" t="s">
        <v>3962</v>
      </c>
      <c r="C693" s="21" t="s">
        <v>3963</v>
      </c>
      <c r="D693" s="21" t="s">
        <v>3964</v>
      </c>
      <c r="E693" s="21">
        <v>68735</v>
      </c>
      <c r="F693" s="21">
        <v>144326</v>
      </c>
      <c r="G693" s="21" t="s">
        <v>3965</v>
      </c>
      <c r="H693" s="21">
        <v>1</v>
      </c>
      <c r="I693" s="21">
        <v>1</v>
      </c>
      <c r="J693" s="21">
        <v>4</v>
      </c>
      <c r="K693" s="21">
        <v>2023</v>
      </c>
      <c r="L693" s="21" t="s">
        <v>372</v>
      </c>
      <c r="M693" s="21" t="s">
        <v>372</v>
      </c>
      <c r="N693" s="21" t="s">
        <v>373</v>
      </c>
      <c r="O693" s="21" t="s">
        <v>279</v>
      </c>
    </row>
    <row r="694" spans="1:15" x14ac:dyDescent="0.25">
      <c r="A694" s="21" t="s">
        <v>3966</v>
      </c>
      <c r="B694" s="21" t="s">
        <v>3967</v>
      </c>
      <c r="C694" s="21" t="s">
        <v>3968</v>
      </c>
      <c r="D694" s="21" t="s">
        <v>3969</v>
      </c>
      <c r="E694" s="21">
        <v>713</v>
      </c>
      <c r="F694" s="21">
        <v>4510</v>
      </c>
      <c r="G694" s="21" t="s">
        <v>3970</v>
      </c>
      <c r="H694" s="21">
        <v>1</v>
      </c>
      <c r="I694" s="21">
        <v>1</v>
      </c>
      <c r="J694" s="21">
        <v>4</v>
      </c>
      <c r="K694" s="21">
        <v>2023</v>
      </c>
      <c r="L694" s="21" t="s">
        <v>372</v>
      </c>
      <c r="M694" s="21" t="s">
        <v>372</v>
      </c>
      <c r="N694" s="21" t="s">
        <v>373</v>
      </c>
      <c r="O694" s="21" t="s">
        <v>3971</v>
      </c>
    </row>
    <row r="695" spans="1:15" x14ac:dyDescent="0.25">
      <c r="A695" s="21" t="s">
        <v>3972</v>
      </c>
      <c r="B695" s="21" t="s">
        <v>3973</v>
      </c>
      <c r="C695" s="21" t="s">
        <v>3974</v>
      </c>
      <c r="D695" s="21" t="s">
        <v>3975</v>
      </c>
      <c r="E695" s="21">
        <v>19274</v>
      </c>
      <c r="F695" s="21">
        <v>27965</v>
      </c>
      <c r="G695" s="21" t="s">
        <v>3976</v>
      </c>
      <c r="H695" s="21">
        <v>4</v>
      </c>
      <c r="I695" s="21">
        <v>2</v>
      </c>
      <c r="J695" s="21">
        <v>4</v>
      </c>
      <c r="K695" s="21">
        <v>2023</v>
      </c>
      <c r="L695" s="21" t="s">
        <v>373</v>
      </c>
      <c r="M695" s="21" t="s">
        <v>372</v>
      </c>
      <c r="N695" s="21" t="s">
        <v>373</v>
      </c>
      <c r="O695" s="21" t="s">
        <v>3977</v>
      </c>
    </row>
    <row r="696" spans="1:15" x14ac:dyDescent="0.25">
      <c r="A696" s="21" t="s">
        <v>3978</v>
      </c>
      <c r="B696" s="21" t="s">
        <v>3979</v>
      </c>
      <c r="C696" s="21" t="s">
        <v>3980</v>
      </c>
      <c r="D696" s="21" t="s">
        <v>3981</v>
      </c>
      <c r="E696" s="21">
        <v>501786</v>
      </c>
      <c r="F696" s="21">
        <v>558444</v>
      </c>
      <c r="G696" s="21" t="s">
        <v>3982</v>
      </c>
      <c r="H696" s="21">
        <v>1</v>
      </c>
      <c r="I696" s="21">
        <v>1</v>
      </c>
      <c r="J696" s="21">
        <v>4</v>
      </c>
      <c r="K696" s="21">
        <v>2023</v>
      </c>
      <c r="L696" s="21" t="s">
        <v>372</v>
      </c>
      <c r="M696" s="21" t="s">
        <v>372</v>
      </c>
      <c r="N696" s="21" t="s">
        <v>373</v>
      </c>
      <c r="O696" s="21" t="s">
        <v>3983</v>
      </c>
    </row>
    <row r="697" spans="1:15" x14ac:dyDescent="0.25">
      <c r="A697" s="21" t="s">
        <v>3984</v>
      </c>
      <c r="B697" s="21" t="s">
        <v>3985</v>
      </c>
      <c r="C697" s="21" t="s">
        <v>3986</v>
      </c>
      <c r="D697" s="21" t="s">
        <v>3987</v>
      </c>
      <c r="E697" s="21">
        <v>2335900</v>
      </c>
      <c r="F697" s="21">
        <v>2695641</v>
      </c>
      <c r="G697" s="21" t="s">
        <v>3988</v>
      </c>
      <c r="H697" s="21">
        <v>2</v>
      </c>
      <c r="I697" s="21">
        <v>2</v>
      </c>
      <c r="J697" s="21">
        <v>4</v>
      </c>
      <c r="K697" s="21">
        <v>2023</v>
      </c>
      <c r="L697" s="21" t="s">
        <v>372</v>
      </c>
      <c r="M697" s="21" t="s">
        <v>372</v>
      </c>
      <c r="N697" s="21" t="s">
        <v>373</v>
      </c>
      <c r="O697" s="21" t="s">
        <v>3989</v>
      </c>
    </row>
    <row r="698" spans="1:15" x14ac:dyDescent="0.25">
      <c r="A698" s="21" t="s">
        <v>3990</v>
      </c>
      <c r="B698" s="21" t="s">
        <v>3991</v>
      </c>
      <c r="E698" s="21">
        <v>22074</v>
      </c>
      <c r="F698" s="21">
        <v>22813</v>
      </c>
      <c r="G698" s="21">
        <v>702341</v>
      </c>
      <c r="H698" s="21">
        <v>4</v>
      </c>
      <c r="I698" s="21">
        <v>2</v>
      </c>
      <c r="J698" s="21">
        <v>4</v>
      </c>
      <c r="K698" s="21">
        <v>2023</v>
      </c>
      <c r="L698" s="21" t="s">
        <v>373</v>
      </c>
      <c r="M698" s="21" t="s">
        <v>372</v>
      </c>
      <c r="N698" s="21" t="s">
        <v>373</v>
      </c>
      <c r="O698" s="21" t="s">
        <v>3992</v>
      </c>
    </row>
    <row r="699" spans="1:15" x14ac:dyDescent="0.25">
      <c r="A699" s="21" t="s">
        <v>99</v>
      </c>
      <c r="B699" s="21" t="s">
        <v>3993</v>
      </c>
      <c r="C699" s="21" t="s">
        <v>3994</v>
      </c>
      <c r="D699" s="21" t="s">
        <v>3995</v>
      </c>
      <c r="E699" s="21">
        <v>21400000</v>
      </c>
      <c r="F699" s="21">
        <v>800000</v>
      </c>
      <c r="G699" s="21" t="s">
        <v>3996</v>
      </c>
      <c r="H699" s="21">
        <v>1</v>
      </c>
      <c r="I699" s="21">
        <v>1</v>
      </c>
      <c r="J699" s="21">
        <v>4</v>
      </c>
      <c r="K699" s="21">
        <v>2023</v>
      </c>
      <c r="L699" s="21" t="s">
        <v>372</v>
      </c>
      <c r="M699" s="21" t="s">
        <v>372</v>
      </c>
      <c r="N699" s="21" t="s">
        <v>373</v>
      </c>
      <c r="O699" s="21">
        <v>11831</v>
      </c>
    </row>
    <row r="700" spans="1:15" x14ac:dyDescent="0.25">
      <c r="A700" s="21" t="s">
        <v>3997</v>
      </c>
      <c r="B700" s="21" t="s">
        <v>3998</v>
      </c>
      <c r="C700" s="21" t="s">
        <v>3999</v>
      </c>
      <c r="D700" s="21" t="s">
        <v>4000</v>
      </c>
      <c r="E700" s="21">
        <v>13362</v>
      </c>
      <c r="F700" s="21">
        <v>41516</v>
      </c>
      <c r="G700" s="21">
        <v>397501</v>
      </c>
      <c r="H700" s="21">
        <v>1</v>
      </c>
      <c r="I700" s="21">
        <v>1</v>
      </c>
      <c r="J700" s="21">
        <v>4</v>
      </c>
      <c r="K700" s="21">
        <v>2023</v>
      </c>
      <c r="L700" s="21" t="s">
        <v>372</v>
      </c>
      <c r="M700" s="21" t="s">
        <v>372</v>
      </c>
      <c r="N700" s="21" t="s">
        <v>373</v>
      </c>
      <c r="O700" s="21" t="s">
        <v>4001</v>
      </c>
    </row>
    <row r="701" spans="1:15" x14ac:dyDescent="0.25">
      <c r="A701" s="21" t="s">
        <v>4002</v>
      </c>
      <c r="B701" s="21" t="s">
        <v>4003</v>
      </c>
      <c r="C701" s="21" t="s">
        <v>4004</v>
      </c>
      <c r="E701" s="21">
        <v>1515</v>
      </c>
      <c r="F701" s="21">
        <v>585</v>
      </c>
      <c r="G701" s="21" t="s">
        <v>4005</v>
      </c>
      <c r="H701" s="21">
        <v>2</v>
      </c>
      <c r="I701" s="21">
        <v>2</v>
      </c>
      <c r="J701" s="21">
        <v>4</v>
      </c>
      <c r="K701" s="21">
        <v>2023</v>
      </c>
      <c r="L701" s="21" t="s">
        <v>372</v>
      </c>
      <c r="M701" s="21" t="s">
        <v>372</v>
      </c>
      <c r="N701" s="21" t="s">
        <v>373</v>
      </c>
      <c r="O701" s="21" t="s">
        <v>4006</v>
      </c>
    </row>
    <row r="702" spans="1:15" x14ac:dyDescent="0.25">
      <c r="A702" s="21" t="s">
        <v>4007</v>
      </c>
      <c r="B702" s="21" t="s">
        <v>4008</v>
      </c>
      <c r="D702" s="21" t="s">
        <v>4009</v>
      </c>
      <c r="E702" s="21">
        <v>178075</v>
      </c>
      <c r="F702" s="21">
        <v>23271</v>
      </c>
      <c r="G702" s="21" t="s">
        <v>4010</v>
      </c>
      <c r="H702" s="21">
        <v>4</v>
      </c>
      <c r="I702" s="21">
        <v>2</v>
      </c>
      <c r="J702" s="21">
        <v>4</v>
      </c>
      <c r="K702" s="21">
        <v>2023</v>
      </c>
      <c r="L702" s="21" t="s">
        <v>373</v>
      </c>
      <c r="M702" s="21" t="s">
        <v>372</v>
      </c>
      <c r="N702" s="21" t="s">
        <v>373</v>
      </c>
      <c r="O702" s="21" t="s">
        <v>4011</v>
      </c>
    </row>
    <row r="703" spans="1:15" x14ac:dyDescent="0.25">
      <c r="A703" s="21" t="s">
        <v>4012</v>
      </c>
      <c r="B703" s="21" t="s">
        <v>4013</v>
      </c>
      <c r="C703" s="21" t="s">
        <v>4014</v>
      </c>
      <c r="D703" s="21" t="s">
        <v>4015</v>
      </c>
      <c r="E703" s="21">
        <v>50909</v>
      </c>
      <c r="F703" s="21">
        <v>14342</v>
      </c>
      <c r="G703" s="21" t="s">
        <v>4016</v>
      </c>
      <c r="H703" s="21">
        <v>1</v>
      </c>
      <c r="I703" s="21">
        <v>1</v>
      </c>
      <c r="J703" s="21">
        <v>1</v>
      </c>
      <c r="K703" s="21">
        <v>2023</v>
      </c>
      <c r="L703" s="21" t="s">
        <v>372</v>
      </c>
      <c r="M703" s="21" t="s">
        <v>372</v>
      </c>
      <c r="N703" s="21" t="s">
        <v>372</v>
      </c>
      <c r="O703" s="21" t="s">
        <v>4017</v>
      </c>
    </row>
    <row r="704" spans="1:15" x14ac:dyDescent="0.25">
      <c r="A704" s="21" t="s">
        <v>4018</v>
      </c>
      <c r="B704" s="21" t="s">
        <v>4019</v>
      </c>
      <c r="E704" s="21" t="s">
        <v>4020</v>
      </c>
      <c r="F704" s="21" t="s">
        <v>4021</v>
      </c>
      <c r="G704" s="21" t="s">
        <v>4022</v>
      </c>
      <c r="H704" s="21">
        <v>1</v>
      </c>
      <c r="I704" s="21">
        <v>1</v>
      </c>
      <c r="J704" s="21">
        <v>1</v>
      </c>
      <c r="K704" s="21">
        <v>2023</v>
      </c>
      <c r="L704" s="21" t="s">
        <v>372</v>
      </c>
      <c r="M704" s="21" t="s">
        <v>372</v>
      </c>
      <c r="N704" s="21" t="s">
        <v>372</v>
      </c>
      <c r="O704" s="21" t="s">
        <v>4023</v>
      </c>
    </row>
    <row r="705" spans="1:15" x14ac:dyDescent="0.25">
      <c r="A705" s="21" t="s">
        <v>4024</v>
      </c>
      <c r="B705" s="21" t="s">
        <v>4025</v>
      </c>
      <c r="C705" s="21" t="s">
        <v>4026</v>
      </c>
      <c r="D705" s="21" t="s">
        <v>4027</v>
      </c>
      <c r="E705" s="21">
        <v>107703</v>
      </c>
      <c r="F705" s="21">
        <v>2027254</v>
      </c>
      <c r="G705" s="21" t="s">
        <v>4028</v>
      </c>
      <c r="H705" s="21">
        <v>1</v>
      </c>
      <c r="I705" s="21">
        <v>1</v>
      </c>
      <c r="J705" s="21">
        <v>4</v>
      </c>
      <c r="K705" s="21">
        <v>2023</v>
      </c>
      <c r="L705" s="21" t="s">
        <v>372</v>
      </c>
      <c r="M705" s="21" t="s">
        <v>372</v>
      </c>
      <c r="N705" s="21" t="s">
        <v>373</v>
      </c>
      <c r="O705" s="21" t="s">
        <v>4029</v>
      </c>
    </row>
    <row r="706" spans="1:15" x14ac:dyDescent="0.25">
      <c r="A706" s="21" t="s">
        <v>4030</v>
      </c>
      <c r="B706" s="21" t="s">
        <v>4031</v>
      </c>
      <c r="C706" s="21" t="s">
        <v>4032</v>
      </c>
      <c r="D706" s="21" t="s">
        <v>4033</v>
      </c>
      <c r="E706" s="21">
        <v>5975</v>
      </c>
      <c r="F706" s="21">
        <v>24958</v>
      </c>
      <c r="G706" s="21" t="s">
        <v>4034</v>
      </c>
      <c r="H706" s="21">
        <v>2</v>
      </c>
      <c r="I706" s="21">
        <v>2</v>
      </c>
      <c r="J706" s="21">
        <v>4</v>
      </c>
      <c r="K706" s="21">
        <v>2023</v>
      </c>
      <c r="L706" s="21" t="s">
        <v>372</v>
      </c>
      <c r="M706" s="21" t="s">
        <v>372</v>
      </c>
      <c r="N706" s="21" t="s">
        <v>373</v>
      </c>
      <c r="O706" s="21" t="s">
        <v>4035</v>
      </c>
    </row>
    <row r="707" spans="1:15" x14ac:dyDescent="0.25">
      <c r="A707" s="21" t="s">
        <v>4036</v>
      </c>
      <c r="B707" s="21" t="s">
        <v>4037</v>
      </c>
      <c r="C707" s="21" t="s">
        <v>4038</v>
      </c>
      <c r="D707" s="21" t="s">
        <v>4039</v>
      </c>
      <c r="E707" s="21" t="s">
        <v>4040</v>
      </c>
      <c r="F707" s="21" t="s">
        <v>4041</v>
      </c>
      <c r="G707" s="21" t="s">
        <v>4042</v>
      </c>
      <c r="H707" s="21">
        <v>4</v>
      </c>
      <c r="I707" s="21">
        <v>4</v>
      </c>
      <c r="J707" s="21">
        <v>4</v>
      </c>
      <c r="K707" s="21">
        <v>2023</v>
      </c>
      <c r="L707" s="21" t="s">
        <v>373</v>
      </c>
      <c r="M707" s="21" t="s">
        <v>373</v>
      </c>
      <c r="N707" s="21" t="s">
        <v>373</v>
      </c>
      <c r="O707" s="21" t="s">
        <v>4043</v>
      </c>
    </row>
    <row r="708" spans="1:15" x14ac:dyDescent="0.25">
      <c r="A708" s="21" t="s">
        <v>4044</v>
      </c>
      <c r="B708" s="21" t="s">
        <v>4045</v>
      </c>
      <c r="C708" s="21" t="s">
        <v>4046</v>
      </c>
      <c r="D708" s="21" t="s">
        <v>4047</v>
      </c>
      <c r="E708" s="21">
        <v>6396666</v>
      </c>
      <c r="F708" s="21">
        <v>55624</v>
      </c>
      <c r="G708" s="21">
        <v>107672823</v>
      </c>
      <c r="H708" s="21">
        <v>1</v>
      </c>
      <c r="I708" s="21">
        <v>1</v>
      </c>
      <c r="J708" s="21">
        <v>1</v>
      </c>
      <c r="K708" s="21">
        <v>2023</v>
      </c>
      <c r="L708" s="21" t="s">
        <v>372</v>
      </c>
      <c r="M708" s="21" t="s">
        <v>372</v>
      </c>
      <c r="N708" s="21" t="s">
        <v>372</v>
      </c>
      <c r="O708" s="21" t="s">
        <v>4048</v>
      </c>
    </row>
    <row r="709" spans="1:15" x14ac:dyDescent="0.25">
      <c r="A709" s="21" t="s">
        <v>4049</v>
      </c>
      <c r="B709" s="21" t="s">
        <v>4050</v>
      </c>
      <c r="C709" s="21" t="s">
        <v>4051</v>
      </c>
      <c r="D709" s="21" t="s">
        <v>4052</v>
      </c>
      <c r="E709" s="21">
        <v>1274</v>
      </c>
      <c r="F709" s="21">
        <v>125182</v>
      </c>
      <c r="G709" s="21" t="s">
        <v>4053</v>
      </c>
      <c r="H709" s="21">
        <v>1</v>
      </c>
      <c r="I709" s="21">
        <v>1</v>
      </c>
      <c r="J709" s="21">
        <v>4</v>
      </c>
      <c r="K709" s="21">
        <v>2023</v>
      </c>
      <c r="L709" s="21" t="s">
        <v>372</v>
      </c>
      <c r="M709" s="21" t="s">
        <v>372</v>
      </c>
      <c r="N709" s="21" t="s">
        <v>373</v>
      </c>
      <c r="O709" s="21" t="s">
        <v>4054</v>
      </c>
    </row>
    <row r="710" spans="1:15" x14ac:dyDescent="0.25">
      <c r="A710" s="21" t="s">
        <v>73</v>
      </c>
      <c r="B710" s="21" t="s">
        <v>4055</v>
      </c>
      <c r="C710" s="21" t="s">
        <v>4056</v>
      </c>
      <c r="D710" s="21" t="s">
        <v>4057</v>
      </c>
      <c r="E710" s="21">
        <v>26554</v>
      </c>
      <c r="F710" s="21">
        <v>18128</v>
      </c>
      <c r="G710" s="21" t="s">
        <v>4058</v>
      </c>
      <c r="H710" s="21">
        <v>1</v>
      </c>
      <c r="I710" s="21">
        <v>1</v>
      </c>
      <c r="J710" s="21">
        <v>4</v>
      </c>
      <c r="K710" s="21">
        <v>2023</v>
      </c>
      <c r="L710" s="21" t="s">
        <v>372</v>
      </c>
      <c r="M710" s="21" t="s">
        <v>372</v>
      </c>
      <c r="N710" s="21" t="s">
        <v>373</v>
      </c>
      <c r="O710" s="21">
        <v>13055</v>
      </c>
    </row>
    <row r="711" spans="1:15" x14ac:dyDescent="0.25">
      <c r="A711" s="21" t="s">
        <v>4059</v>
      </c>
      <c r="B711" s="21" t="s">
        <v>4060</v>
      </c>
      <c r="C711" s="21" t="s">
        <v>4061</v>
      </c>
      <c r="D711" s="21" t="s">
        <v>4062</v>
      </c>
      <c r="E711" s="21">
        <v>346439</v>
      </c>
      <c r="F711" s="21">
        <v>361251</v>
      </c>
      <c r="G711" s="21">
        <v>8788824</v>
      </c>
      <c r="H711" s="21">
        <v>1</v>
      </c>
      <c r="I711" s="21">
        <v>1</v>
      </c>
      <c r="J711" s="21">
        <v>1</v>
      </c>
      <c r="K711" s="21">
        <v>2023</v>
      </c>
      <c r="L711" s="21" t="s">
        <v>372</v>
      </c>
      <c r="M711" s="21" t="s">
        <v>372</v>
      </c>
      <c r="N711" s="21" t="s">
        <v>372</v>
      </c>
      <c r="O711" s="21" t="s">
        <v>4063</v>
      </c>
    </row>
    <row r="712" spans="1:15" x14ac:dyDescent="0.25">
      <c r="A712" s="21" t="s">
        <v>4064</v>
      </c>
      <c r="B712" s="21" t="s">
        <v>4065</v>
      </c>
      <c r="C712" s="21" t="s">
        <v>4066</v>
      </c>
      <c r="D712" s="21" t="s">
        <v>4067</v>
      </c>
      <c r="E712" s="21">
        <v>21441</v>
      </c>
      <c r="F712" s="21">
        <v>137766</v>
      </c>
      <c r="G712" s="21">
        <v>3278827</v>
      </c>
      <c r="H712" s="21">
        <v>1</v>
      </c>
      <c r="I712" s="21">
        <v>1</v>
      </c>
      <c r="J712" s="21">
        <v>4</v>
      </c>
      <c r="K712" s="21">
        <v>2023</v>
      </c>
      <c r="L712" s="21" t="s">
        <v>372</v>
      </c>
      <c r="M712" s="21" t="s">
        <v>372</v>
      </c>
      <c r="N712" s="21" t="s">
        <v>373</v>
      </c>
      <c r="O712" s="21" t="s">
        <v>4068</v>
      </c>
    </row>
    <row r="713" spans="1:15" x14ac:dyDescent="0.25">
      <c r="A713" s="21" t="s">
        <v>138</v>
      </c>
      <c r="B713" s="21" t="s">
        <v>4069</v>
      </c>
      <c r="C713" s="21" t="s">
        <v>4070</v>
      </c>
      <c r="D713" s="21" t="s">
        <v>4071</v>
      </c>
      <c r="E713" s="21">
        <v>503909</v>
      </c>
      <c r="F713" s="21">
        <v>1224997</v>
      </c>
      <c r="G713" s="21" t="s">
        <v>4072</v>
      </c>
      <c r="H713" s="21">
        <v>1</v>
      </c>
      <c r="I713" s="21">
        <v>1</v>
      </c>
      <c r="J713" s="21">
        <v>4</v>
      </c>
      <c r="K713" s="21">
        <v>2023</v>
      </c>
      <c r="L713" s="21" t="s">
        <v>372</v>
      </c>
      <c r="M713" s="21" t="s">
        <v>372</v>
      </c>
      <c r="N713" s="21" t="s">
        <v>373</v>
      </c>
      <c r="O713" s="21">
        <v>54608</v>
      </c>
    </row>
    <row r="714" spans="1:15" x14ac:dyDescent="0.25">
      <c r="A714" s="21" t="s">
        <v>4073</v>
      </c>
      <c r="B714" s="21" t="s">
        <v>4074</v>
      </c>
      <c r="C714" s="21" t="s">
        <v>4075</v>
      </c>
      <c r="D714" s="21" t="s">
        <v>4076</v>
      </c>
      <c r="E714" s="21">
        <v>341309</v>
      </c>
      <c r="F714" s="21">
        <v>501774</v>
      </c>
      <c r="G714" s="21" t="s">
        <v>4077</v>
      </c>
      <c r="H714" s="21">
        <v>1</v>
      </c>
      <c r="I714" s="21">
        <v>1</v>
      </c>
      <c r="J714" s="21">
        <v>4</v>
      </c>
      <c r="K714" s="21">
        <v>2023</v>
      </c>
      <c r="L714" s="21" t="s">
        <v>372</v>
      </c>
      <c r="M714" s="21" t="s">
        <v>372</v>
      </c>
      <c r="N714" s="21" t="s">
        <v>373</v>
      </c>
      <c r="O714" s="21" t="s">
        <v>4078</v>
      </c>
    </row>
    <row r="715" spans="1:15" x14ac:dyDescent="0.25">
      <c r="A715" s="21" t="s">
        <v>4079</v>
      </c>
      <c r="B715" s="21" t="s">
        <v>4080</v>
      </c>
      <c r="C715" s="21" t="s">
        <v>4081</v>
      </c>
      <c r="D715" s="21" t="s">
        <v>4082</v>
      </c>
      <c r="E715" s="21">
        <v>56177910</v>
      </c>
      <c r="F715" s="21">
        <v>655941</v>
      </c>
      <c r="G715" s="21" t="s">
        <v>4083</v>
      </c>
      <c r="H715" s="21">
        <v>1</v>
      </c>
      <c r="I715" s="21">
        <v>1</v>
      </c>
      <c r="J715" s="21">
        <v>4</v>
      </c>
      <c r="K715" s="21">
        <v>2023</v>
      </c>
      <c r="L715" s="21" t="s">
        <v>372</v>
      </c>
      <c r="M715" s="21" t="s">
        <v>372</v>
      </c>
      <c r="N715" s="21" t="s">
        <v>373</v>
      </c>
      <c r="O715" s="21">
        <v>12442</v>
      </c>
    </row>
    <row r="716" spans="1:15" x14ac:dyDescent="0.25">
      <c r="A716" s="21" t="s">
        <v>4084</v>
      </c>
      <c r="B716" s="21" t="s">
        <v>4085</v>
      </c>
      <c r="C716" s="21" t="s">
        <v>4086</v>
      </c>
      <c r="D716" s="21" t="s">
        <v>4087</v>
      </c>
      <c r="E716" s="21">
        <v>2310000</v>
      </c>
      <c r="F716" s="21">
        <v>2500000</v>
      </c>
      <c r="G716" s="21" t="s">
        <v>4088</v>
      </c>
      <c r="H716" s="21">
        <v>1</v>
      </c>
      <c r="I716" s="21">
        <v>1</v>
      </c>
      <c r="J716" s="21">
        <v>4</v>
      </c>
      <c r="K716" s="21">
        <v>2023</v>
      </c>
      <c r="L716" s="21" t="s">
        <v>372</v>
      </c>
      <c r="M716" s="21" t="s">
        <v>372</v>
      </c>
      <c r="N716" s="21" t="s">
        <v>373</v>
      </c>
      <c r="O716" s="21">
        <v>15453</v>
      </c>
    </row>
    <row r="717" spans="1:15" x14ac:dyDescent="0.25">
      <c r="A717" s="21" t="s">
        <v>4089</v>
      </c>
      <c r="B717" s="21" t="s">
        <v>4090</v>
      </c>
      <c r="C717" s="21" t="s">
        <v>4091</v>
      </c>
      <c r="D717" s="21" t="s">
        <v>4092</v>
      </c>
      <c r="E717" s="21">
        <v>8552735</v>
      </c>
      <c r="F717" s="21">
        <v>622516</v>
      </c>
      <c r="G717" s="21" t="s">
        <v>4093</v>
      </c>
      <c r="H717" s="21">
        <v>1</v>
      </c>
      <c r="I717" s="21">
        <v>1</v>
      </c>
      <c r="J717" s="21">
        <v>4</v>
      </c>
      <c r="K717" s="21">
        <v>2023</v>
      </c>
      <c r="L717" s="21" t="s">
        <v>372</v>
      </c>
      <c r="M717" s="21" t="s">
        <v>372</v>
      </c>
      <c r="N717" s="21" t="s">
        <v>373</v>
      </c>
      <c r="O717" s="21" t="s">
        <v>4094</v>
      </c>
    </row>
    <row r="718" spans="1:15" x14ac:dyDescent="0.25">
      <c r="A718" s="21" t="s">
        <v>4095</v>
      </c>
      <c r="B718" s="21" t="s">
        <v>4096</v>
      </c>
      <c r="E718" s="21">
        <v>602600</v>
      </c>
      <c r="F718" s="21">
        <v>3500</v>
      </c>
      <c r="G718" s="21">
        <v>2109700</v>
      </c>
      <c r="H718" s="21">
        <v>2</v>
      </c>
      <c r="I718" s="21">
        <v>2</v>
      </c>
      <c r="J718" s="21">
        <v>1</v>
      </c>
      <c r="K718" s="21">
        <v>2023</v>
      </c>
      <c r="L718" s="21" t="s">
        <v>372</v>
      </c>
      <c r="M718" s="21" t="s">
        <v>372</v>
      </c>
      <c r="N718" s="21" t="s">
        <v>372</v>
      </c>
      <c r="O718" s="21">
        <v>1605104</v>
      </c>
    </row>
    <row r="719" spans="1:15" x14ac:dyDescent="0.25">
      <c r="A719" s="21" t="s">
        <v>4097</v>
      </c>
      <c r="B719" s="21" t="s">
        <v>4098</v>
      </c>
      <c r="D719" s="21" t="s">
        <v>4099</v>
      </c>
      <c r="E719" s="21">
        <v>9513326</v>
      </c>
      <c r="F719" s="21">
        <v>90780</v>
      </c>
      <c r="G719" s="21" t="s">
        <v>4100</v>
      </c>
      <c r="H719" s="21">
        <v>1</v>
      </c>
      <c r="I719" s="21">
        <v>1</v>
      </c>
      <c r="J719" s="21">
        <v>4</v>
      </c>
      <c r="K719" s="21">
        <v>2023</v>
      </c>
      <c r="L719" s="21" t="s">
        <v>372</v>
      </c>
      <c r="M719" s="21" t="s">
        <v>372</v>
      </c>
      <c r="N719" s="21" t="s">
        <v>373</v>
      </c>
      <c r="O719" s="21" t="s">
        <v>4101</v>
      </c>
    </row>
    <row r="720" spans="1:15" x14ac:dyDescent="0.25">
      <c r="A720" s="21" t="s">
        <v>76</v>
      </c>
      <c r="B720" s="21" t="s">
        <v>4102</v>
      </c>
      <c r="C720" s="21" t="s">
        <v>4103</v>
      </c>
      <c r="D720" s="21" t="s">
        <v>4104</v>
      </c>
      <c r="E720" s="21">
        <v>28615000</v>
      </c>
      <c r="F720" s="21">
        <v>5432100</v>
      </c>
      <c r="G720" s="21" t="s">
        <v>4105</v>
      </c>
      <c r="H720" s="21">
        <v>1</v>
      </c>
      <c r="I720" s="21">
        <v>1</v>
      </c>
      <c r="J720" s="21">
        <v>4</v>
      </c>
      <c r="K720" s="21">
        <v>2023</v>
      </c>
      <c r="L720" s="21" t="s">
        <v>372</v>
      </c>
      <c r="M720" s="21" t="s">
        <v>372</v>
      </c>
      <c r="N720" s="21" t="s">
        <v>373</v>
      </c>
      <c r="O720" s="21">
        <v>44588</v>
      </c>
    </row>
    <row r="721" spans="1:15" x14ac:dyDescent="0.25">
      <c r="A721" s="21" t="s">
        <v>4106</v>
      </c>
      <c r="B721" s="21" t="s">
        <v>4107</v>
      </c>
      <c r="C721" s="21" t="s">
        <v>4108</v>
      </c>
      <c r="D721" s="21" t="s">
        <v>4109</v>
      </c>
      <c r="E721" s="21">
        <v>584307</v>
      </c>
      <c r="F721" s="21">
        <v>228247</v>
      </c>
      <c r="G721" s="21" t="s">
        <v>4110</v>
      </c>
      <c r="H721" s="21">
        <v>1</v>
      </c>
      <c r="I721" s="21">
        <v>1</v>
      </c>
      <c r="J721" s="21">
        <v>4</v>
      </c>
      <c r="K721" s="21">
        <v>2023</v>
      </c>
      <c r="L721" s="21" t="s">
        <v>372</v>
      </c>
      <c r="M721" s="21" t="s">
        <v>372</v>
      </c>
      <c r="N721" s="21" t="s">
        <v>373</v>
      </c>
      <c r="O721" s="21" t="s">
        <v>4111</v>
      </c>
    </row>
    <row r="722" spans="1:15" x14ac:dyDescent="0.25">
      <c r="A722" s="21" t="s">
        <v>4112</v>
      </c>
      <c r="B722" s="21" t="s">
        <v>4113</v>
      </c>
      <c r="C722" s="21" t="s">
        <v>4114</v>
      </c>
      <c r="D722" s="21" t="s">
        <v>4115</v>
      </c>
      <c r="E722" s="21">
        <v>273904</v>
      </c>
      <c r="F722" s="21">
        <v>3498643</v>
      </c>
      <c r="G722" s="21" t="s">
        <v>4116</v>
      </c>
      <c r="H722" s="21">
        <v>1</v>
      </c>
      <c r="I722" s="21">
        <v>1</v>
      </c>
      <c r="J722" s="21">
        <v>4</v>
      </c>
      <c r="K722" s="21">
        <v>2023</v>
      </c>
      <c r="L722" s="21" t="s">
        <v>372</v>
      </c>
      <c r="M722" s="21" t="s">
        <v>372</v>
      </c>
      <c r="N722" s="21" t="s">
        <v>373</v>
      </c>
      <c r="O722" s="21" t="s">
        <v>4117</v>
      </c>
    </row>
    <row r="723" spans="1:15" x14ac:dyDescent="0.25">
      <c r="A723" s="21" t="s">
        <v>4118</v>
      </c>
      <c r="B723" s="21" t="s">
        <v>4119</v>
      </c>
      <c r="C723" s="21" t="s">
        <v>4120</v>
      </c>
      <c r="D723" s="21" t="s">
        <v>4121</v>
      </c>
      <c r="E723" s="21">
        <v>68</v>
      </c>
      <c r="F723" s="21">
        <v>1289</v>
      </c>
      <c r="G723" s="21" t="s">
        <v>4122</v>
      </c>
      <c r="H723" s="21">
        <v>1</v>
      </c>
      <c r="I723" s="21">
        <v>1</v>
      </c>
      <c r="J723" s="21">
        <v>4</v>
      </c>
      <c r="K723" s="21">
        <v>2023</v>
      </c>
      <c r="L723" s="21" t="s">
        <v>372</v>
      </c>
      <c r="M723" s="21" t="s">
        <v>372</v>
      </c>
      <c r="N723" s="21" t="s">
        <v>373</v>
      </c>
      <c r="O723" s="21" t="s">
        <v>4123</v>
      </c>
    </row>
    <row r="724" spans="1:15" x14ac:dyDescent="0.25">
      <c r="A724" s="21" t="s">
        <v>4124</v>
      </c>
      <c r="B724" s="21" t="s">
        <v>4125</v>
      </c>
      <c r="C724" s="21" t="s">
        <v>4126</v>
      </c>
      <c r="D724" s="21" t="s">
        <v>4127</v>
      </c>
      <c r="E724" s="21">
        <v>97668</v>
      </c>
      <c r="F724" s="21">
        <v>59341</v>
      </c>
      <c r="G724" s="21" t="s">
        <v>4128</v>
      </c>
      <c r="H724" s="21">
        <v>1</v>
      </c>
      <c r="I724" s="21">
        <v>1</v>
      </c>
      <c r="J724" s="21">
        <v>4</v>
      </c>
      <c r="K724" s="21">
        <v>2023</v>
      </c>
      <c r="L724" s="21" t="s">
        <v>372</v>
      </c>
      <c r="M724" s="21" t="s">
        <v>372</v>
      </c>
      <c r="N724" s="21" t="s">
        <v>373</v>
      </c>
      <c r="O724" s="21">
        <v>6813</v>
      </c>
    </row>
    <row r="725" spans="1:15" x14ac:dyDescent="0.25">
      <c r="A725" s="21" t="s">
        <v>4129</v>
      </c>
      <c r="B725" s="21" t="s">
        <v>4130</v>
      </c>
      <c r="C725" s="21" t="s">
        <v>4131</v>
      </c>
      <c r="D725" s="21" t="s">
        <v>4132</v>
      </c>
      <c r="E725" s="21">
        <v>282672</v>
      </c>
      <c r="F725" s="21">
        <v>99420</v>
      </c>
      <c r="G725" s="21" t="s">
        <v>4133</v>
      </c>
      <c r="H725" s="21">
        <v>1</v>
      </c>
      <c r="I725" s="21">
        <v>1</v>
      </c>
      <c r="J725" s="21">
        <v>4</v>
      </c>
      <c r="K725" s="21">
        <v>2023</v>
      </c>
      <c r="L725" s="21" t="s">
        <v>372</v>
      </c>
      <c r="M725" s="21" t="s">
        <v>372</v>
      </c>
      <c r="N725" s="21" t="s">
        <v>373</v>
      </c>
      <c r="O725" s="21" t="s">
        <v>4134</v>
      </c>
    </row>
    <row r="726" spans="1:15" x14ac:dyDescent="0.25">
      <c r="A726" s="21" t="s">
        <v>4135</v>
      </c>
      <c r="B726" s="21" t="s">
        <v>4136</v>
      </c>
      <c r="C726" s="21" t="s">
        <v>4137</v>
      </c>
      <c r="D726" s="21" t="s">
        <v>4138</v>
      </c>
      <c r="E726" s="21">
        <v>5175</v>
      </c>
      <c r="F726" s="21">
        <v>6444</v>
      </c>
      <c r="G726" s="21" t="s">
        <v>4139</v>
      </c>
      <c r="H726" s="21">
        <v>1</v>
      </c>
      <c r="I726" s="21">
        <v>1</v>
      </c>
      <c r="J726" s="21">
        <v>4</v>
      </c>
      <c r="K726" s="21">
        <v>2023</v>
      </c>
      <c r="L726" s="21" t="s">
        <v>372</v>
      </c>
      <c r="M726" s="21" t="s">
        <v>372</v>
      </c>
      <c r="N726" s="21" t="s">
        <v>373</v>
      </c>
      <c r="O726" s="21" t="s">
        <v>4140</v>
      </c>
    </row>
    <row r="727" spans="1:15" x14ac:dyDescent="0.25">
      <c r="A727" s="21" t="s">
        <v>4141</v>
      </c>
      <c r="B727" s="21" t="s">
        <v>4142</v>
      </c>
      <c r="C727" s="21" t="s">
        <v>4143</v>
      </c>
      <c r="D727" s="21" t="s">
        <v>4144</v>
      </c>
      <c r="E727" s="21">
        <v>44281</v>
      </c>
      <c r="F727" s="21">
        <v>13639</v>
      </c>
      <c r="G727" s="21" t="s">
        <v>4145</v>
      </c>
      <c r="H727" s="21">
        <v>1</v>
      </c>
      <c r="I727" s="21">
        <v>1</v>
      </c>
      <c r="J727" s="21">
        <v>4</v>
      </c>
      <c r="K727" s="21">
        <v>2023</v>
      </c>
      <c r="L727" s="21" t="s">
        <v>372</v>
      </c>
      <c r="M727" s="21" t="s">
        <v>372</v>
      </c>
      <c r="N727" s="21" t="s">
        <v>373</v>
      </c>
      <c r="O727" s="21" t="s">
        <v>4146</v>
      </c>
    </row>
    <row r="728" spans="1:15" x14ac:dyDescent="0.25">
      <c r="A728" s="21" t="s">
        <v>132</v>
      </c>
      <c r="B728" s="21" t="s">
        <v>4147</v>
      </c>
      <c r="C728" s="21" t="s">
        <v>4148</v>
      </c>
      <c r="D728" s="21" t="s">
        <v>4149</v>
      </c>
      <c r="E728" s="21">
        <v>908242</v>
      </c>
      <c r="F728" s="21">
        <v>136776</v>
      </c>
      <c r="G728" s="21" t="s">
        <v>4150</v>
      </c>
      <c r="H728" s="21">
        <v>1</v>
      </c>
      <c r="I728" s="21">
        <v>2</v>
      </c>
      <c r="J728" s="21">
        <v>4</v>
      </c>
      <c r="K728" s="21">
        <v>2023</v>
      </c>
      <c r="L728" s="21" t="s">
        <v>372</v>
      </c>
      <c r="M728" s="21" t="s">
        <v>372</v>
      </c>
      <c r="N728" s="21" t="s">
        <v>373</v>
      </c>
      <c r="O728" s="21" t="s">
        <v>239</v>
      </c>
    </row>
    <row r="729" spans="1:15" x14ac:dyDescent="0.25">
      <c r="A729" s="21" t="s">
        <v>113</v>
      </c>
      <c r="B729" s="21" t="s">
        <v>4151</v>
      </c>
      <c r="C729" s="21" t="s">
        <v>4152</v>
      </c>
      <c r="E729" s="21">
        <v>1989726</v>
      </c>
      <c r="F729" s="21">
        <v>220158</v>
      </c>
      <c r="G729" s="21">
        <v>42938765</v>
      </c>
      <c r="H729" s="21">
        <v>1</v>
      </c>
      <c r="I729" s="21">
        <v>1</v>
      </c>
      <c r="J729" s="21">
        <v>4</v>
      </c>
      <c r="K729" s="21">
        <v>2023</v>
      </c>
      <c r="L729" s="21" t="s">
        <v>372</v>
      </c>
      <c r="M729" s="21" t="s">
        <v>372</v>
      </c>
      <c r="N729" s="21" t="s">
        <v>373</v>
      </c>
      <c r="O729" s="21">
        <v>73439</v>
      </c>
    </row>
    <row r="730" spans="1:15" x14ac:dyDescent="0.25">
      <c r="A730" s="21" t="s">
        <v>4153</v>
      </c>
      <c r="B730" s="21" t="s">
        <v>4154</v>
      </c>
      <c r="C730" s="21" t="s">
        <v>4155</v>
      </c>
      <c r="D730" s="21" t="s">
        <v>4156</v>
      </c>
      <c r="E730" s="21">
        <v>1289589</v>
      </c>
      <c r="F730" s="21" t="s">
        <v>4157</v>
      </c>
      <c r="G730" s="21" t="s">
        <v>4158</v>
      </c>
      <c r="H730" s="21">
        <v>1</v>
      </c>
      <c r="I730" s="21">
        <v>2</v>
      </c>
      <c r="J730" s="21">
        <v>4</v>
      </c>
      <c r="K730" s="21">
        <v>2023</v>
      </c>
      <c r="L730" s="21" t="s">
        <v>372</v>
      </c>
      <c r="M730" s="21" t="s">
        <v>372</v>
      </c>
      <c r="N730" s="21" t="s">
        <v>373</v>
      </c>
      <c r="O730" s="21" t="s">
        <v>4159</v>
      </c>
    </row>
    <row r="731" spans="1:15" x14ac:dyDescent="0.25">
      <c r="A731" s="21" t="s">
        <v>83</v>
      </c>
      <c r="B731" s="21" t="s">
        <v>4160</v>
      </c>
      <c r="C731" s="21" t="s">
        <v>4161</v>
      </c>
      <c r="D731" s="21" t="s">
        <v>4162</v>
      </c>
      <c r="E731" s="21">
        <v>13095</v>
      </c>
      <c r="F731" s="21">
        <v>25385</v>
      </c>
      <c r="G731" s="21">
        <v>1581056</v>
      </c>
      <c r="H731" s="21">
        <v>1</v>
      </c>
      <c r="I731" s="21">
        <v>1</v>
      </c>
      <c r="J731" s="21">
        <v>1</v>
      </c>
      <c r="K731" s="21">
        <v>2023</v>
      </c>
      <c r="L731" s="21" t="s">
        <v>372</v>
      </c>
      <c r="M731" s="21" t="s">
        <v>372</v>
      </c>
      <c r="N731" s="21" t="s">
        <v>372</v>
      </c>
      <c r="O731" s="21">
        <v>7294</v>
      </c>
    </row>
    <row r="732" spans="1:15" x14ac:dyDescent="0.25">
      <c r="A732" s="21" t="s">
        <v>4163</v>
      </c>
      <c r="B732" s="21" t="s">
        <v>4164</v>
      </c>
      <c r="E732" s="21">
        <v>24850</v>
      </c>
      <c r="F732" s="21">
        <v>229152</v>
      </c>
      <c r="G732" s="21">
        <v>1180016</v>
      </c>
      <c r="H732" s="21">
        <v>1</v>
      </c>
      <c r="I732" s="21">
        <v>1</v>
      </c>
      <c r="J732" s="21">
        <v>1</v>
      </c>
      <c r="K732" s="21">
        <v>2023</v>
      </c>
      <c r="L732" s="21" t="s">
        <v>372</v>
      </c>
      <c r="M732" s="21" t="s">
        <v>372</v>
      </c>
      <c r="N732" s="21" t="s">
        <v>372</v>
      </c>
      <c r="O732" s="21" t="s">
        <v>4165</v>
      </c>
    </row>
    <row r="733" spans="1:15" x14ac:dyDescent="0.25">
      <c r="A733" s="21" t="s">
        <v>145</v>
      </c>
      <c r="B733" s="21" t="s">
        <v>4166</v>
      </c>
      <c r="C733" s="21" t="s">
        <v>4167</v>
      </c>
      <c r="D733" s="21" t="s">
        <v>4168</v>
      </c>
      <c r="E733" s="21">
        <v>281446</v>
      </c>
      <c r="F733" s="21">
        <v>2084564</v>
      </c>
      <c r="G733" s="21" t="s">
        <v>4169</v>
      </c>
      <c r="H733" s="21">
        <v>1</v>
      </c>
      <c r="I733" s="21">
        <v>1</v>
      </c>
      <c r="J733" s="21">
        <v>4</v>
      </c>
      <c r="K733" s="21">
        <v>2023</v>
      </c>
      <c r="L733" s="21" t="s">
        <v>372</v>
      </c>
      <c r="M733" s="21" t="s">
        <v>372</v>
      </c>
      <c r="N733" s="21" t="s">
        <v>373</v>
      </c>
      <c r="O733" s="21">
        <v>119509</v>
      </c>
    </row>
    <row r="734" spans="1:15" x14ac:dyDescent="0.25">
      <c r="A734" s="21" t="s">
        <v>4170</v>
      </c>
      <c r="B734" s="21" t="s">
        <v>4171</v>
      </c>
      <c r="C734" s="21" t="s">
        <v>4172</v>
      </c>
      <c r="D734" s="21" t="s">
        <v>4173</v>
      </c>
      <c r="E734" s="21">
        <v>12706849</v>
      </c>
      <c r="F734" s="21">
        <v>646343</v>
      </c>
      <c r="G734" s="21" t="s">
        <v>4174</v>
      </c>
      <c r="H734" s="21">
        <v>1</v>
      </c>
      <c r="I734" s="21">
        <v>1</v>
      </c>
      <c r="J734" s="21">
        <v>4</v>
      </c>
      <c r="K734" s="21">
        <v>2023</v>
      </c>
      <c r="L734" s="21" t="s">
        <v>372</v>
      </c>
      <c r="M734" s="21" t="s">
        <v>372</v>
      </c>
      <c r="N734" s="21" t="s">
        <v>373</v>
      </c>
      <c r="O734" s="21" t="s">
        <v>4175</v>
      </c>
    </row>
    <row r="735" spans="1:15" x14ac:dyDescent="0.25">
      <c r="A735" s="21" t="s">
        <v>4176</v>
      </c>
      <c r="B735" s="21" t="s">
        <v>4177</v>
      </c>
      <c r="E735" s="21">
        <v>57487</v>
      </c>
      <c r="F735" s="21">
        <v>124271</v>
      </c>
      <c r="G735" s="21">
        <v>71457966</v>
      </c>
      <c r="H735" s="21">
        <v>2</v>
      </c>
      <c r="I735" s="21">
        <v>2</v>
      </c>
      <c r="J735" s="21">
        <v>1</v>
      </c>
      <c r="K735" s="21">
        <v>2023</v>
      </c>
      <c r="L735" s="21" t="s">
        <v>372</v>
      </c>
      <c r="M735" s="21" t="s">
        <v>372</v>
      </c>
      <c r="N735" s="21" t="s">
        <v>372</v>
      </c>
      <c r="O735" s="21" t="s">
        <v>4178</v>
      </c>
    </row>
    <row r="736" spans="1:15" x14ac:dyDescent="0.25">
      <c r="A736" s="21" t="s">
        <v>4179</v>
      </c>
      <c r="B736" s="21" t="s">
        <v>4180</v>
      </c>
      <c r="C736" s="21" t="s">
        <v>4181</v>
      </c>
      <c r="D736" s="21" t="s">
        <v>4182</v>
      </c>
      <c r="E736" s="21">
        <v>2539526</v>
      </c>
      <c r="F736" s="21">
        <v>7411</v>
      </c>
      <c r="G736" s="21" t="s">
        <v>4183</v>
      </c>
      <c r="H736" s="21">
        <v>4</v>
      </c>
      <c r="I736" s="21">
        <v>2</v>
      </c>
      <c r="J736" s="21">
        <v>4</v>
      </c>
      <c r="K736" s="21">
        <v>2023</v>
      </c>
      <c r="L736" s="21" t="s">
        <v>373</v>
      </c>
      <c r="M736" s="21" t="s">
        <v>372</v>
      </c>
      <c r="N736" s="21" t="s">
        <v>373</v>
      </c>
      <c r="O736" s="21" t="s">
        <v>4184</v>
      </c>
    </row>
    <row r="737" spans="1:15" x14ac:dyDescent="0.25">
      <c r="A737" s="21" t="s">
        <v>4185</v>
      </c>
      <c r="B737" s="21" t="s">
        <v>4186</v>
      </c>
      <c r="C737" s="21" t="s">
        <v>4187</v>
      </c>
      <c r="D737" s="21" t="s">
        <v>4188</v>
      </c>
      <c r="E737" s="21" t="s">
        <v>4189</v>
      </c>
      <c r="F737" s="21" t="s">
        <v>4190</v>
      </c>
      <c r="G737" s="21" t="s">
        <v>4191</v>
      </c>
      <c r="H737" s="21">
        <v>4</v>
      </c>
      <c r="I737" s="21">
        <v>4</v>
      </c>
      <c r="J737" s="21">
        <v>4</v>
      </c>
      <c r="K737" s="21">
        <v>2023</v>
      </c>
      <c r="L737" s="21" t="s">
        <v>373</v>
      </c>
      <c r="M737" s="21" t="s">
        <v>373</v>
      </c>
      <c r="N737" s="21" t="s">
        <v>373</v>
      </c>
      <c r="O737" s="21" t="s">
        <v>4192</v>
      </c>
    </row>
    <row r="738" spans="1:15" x14ac:dyDescent="0.25">
      <c r="A738" s="21" t="s">
        <v>160</v>
      </c>
      <c r="B738" s="21" t="s">
        <v>4193</v>
      </c>
      <c r="C738" s="21" t="s">
        <v>4194</v>
      </c>
      <c r="D738" s="21" t="s">
        <v>4195</v>
      </c>
      <c r="E738" s="21">
        <v>42506</v>
      </c>
      <c r="F738" s="21">
        <v>137341</v>
      </c>
      <c r="G738" s="21">
        <v>832945</v>
      </c>
      <c r="H738" s="21">
        <v>2</v>
      </c>
      <c r="I738" s="21">
        <v>1</v>
      </c>
      <c r="J738" s="21">
        <v>4</v>
      </c>
      <c r="K738" s="21">
        <v>2023</v>
      </c>
      <c r="L738" s="21" t="s">
        <v>372</v>
      </c>
      <c r="M738" s="21" t="s">
        <v>372</v>
      </c>
      <c r="N738" s="21" t="s">
        <v>373</v>
      </c>
      <c r="O738" s="21" t="s">
        <v>258</v>
      </c>
    </row>
    <row r="739" spans="1:15" x14ac:dyDescent="0.25">
      <c r="A739" s="21" t="s">
        <v>168</v>
      </c>
      <c r="B739" s="21" t="s">
        <v>4196</v>
      </c>
      <c r="C739" s="21" t="s">
        <v>4197</v>
      </c>
      <c r="E739" s="21" t="s">
        <v>4198</v>
      </c>
      <c r="F739" s="21" t="s">
        <v>4199</v>
      </c>
      <c r="G739" s="21" t="s">
        <v>4200</v>
      </c>
      <c r="H739" s="21">
        <v>4</v>
      </c>
      <c r="I739" s="21">
        <v>4</v>
      </c>
      <c r="J739" s="21">
        <v>4</v>
      </c>
      <c r="K739" s="21">
        <v>2023</v>
      </c>
      <c r="L739" s="21" t="s">
        <v>373</v>
      </c>
      <c r="M739" s="21" t="s">
        <v>373</v>
      </c>
      <c r="N739" s="21" t="s">
        <v>373</v>
      </c>
      <c r="O739" s="21" t="s">
        <v>262</v>
      </c>
    </row>
    <row r="740" spans="1:15" x14ac:dyDescent="0.25">
      <c r="A740" s="21" t="s">
        <v>4201</v>
      </c>
      <c r="B740" s="21" t="s">
        <v>4202</v>
      </c>
      <c r="C740" s="21" t="s">
        <v>4203</v>
      </c>
      <c r="D740" s="21" t="s">
        <v>4204</v>
      </c>
      <c r="E740" s="21">
        <v>7880866</v>
      </c>
      <c r="F740" s="21">
        <v>9981536</v>
      </c>
      <c r="G740" s="21" t="s">
        <v>4205</v>
      </c>
      <c r="H740" s="21">
        <v>1</v>
      </c>
      <c r="I740" s="21">
        <v>1</v>
      </c>
      <c r="J740" s="21">
        <v>4</v>
      </c>
      <c r="K740" s="21">
        <v>2023</v>
      </c>
      <c r="L740" s="21" t="s">
        <v>372</v>
      </c>
      <c r="M740" s="21" t="s">
        <v>372</v>
      </c>
      <c r="N740" s="21" t="s">
        <v>373</v>
      </c>
      <c r="O740" s="21" t="s">
        <v>4206</v>
      </c>
    </row>
    <row r="741" spans="1:15" x14ac:dyDescent="0.25">
      <c r="A741" s="21" t="s">
        <v>4207</v>
      </c>
      <c r="B741" s="21" t="s">
        <v>4208</v>
      </c>
      <c r="C741" s="21" t="s">
        <v>4209</v>
      </c>
      <c r="D741" s="21" t="s">
        <v>4210</v>
      </c>
      <c r="E741" s="21">
        <v>901714</v>
      </c>
      <c r="F741" s="21">
        <v>702062</v>
      </c>
      <c r="G741" s="21">
        <v>10401985</v>
      </c>
      <c r="H741" s="21">
        <v>1</v>
      </c>
      <c r="I741" s="21">
        <v>1</v>
      </c>
      <c r="J741" s="21">
        <v>1</v>
      </c>
      <c r="K741" s="21">
        <v>2023</v>
      </c>
      <c r="L741" s="21" t="s">
        <v>372</v>
      </c>
      <c r="M741" s="21" t="s">
        <v>372</v>
      </c>
      <c r="N741" s="21" t="s">
        <v>372</v>
      </c>
      <c r="O741" s="21" t="s">
        <v>4211</v>
      </c>
    </row>
    <row r="742" spans="1:15" x14ac:dyDescent="0.25">
      <c r="A742" s="21" t="s">
        <v>4212</v>
      </c>
      <c r="B742" s="21" t="s">
        <v>4213</v>
      </c>
      <c r="C742" s="21" t="s">
        <v>4214</v>
      </c>
      <c r="D742" s="21" t="s">
        <v>4215</v>
      </c>
      <c r="E742" s="21">
        <v>20064493</v>
      </c>
      <c r="F742" s="21">
        <v>10009275</v>
      </c>
      <c r="G742" s="21" t="s">
        <v>4216</v>
      </c>
      <c r="H742" s="21">
        <v>1</v>
      </c>
      <c r="I742" s="21">
        <v>2</v>
      </c>
      <c r="J742" s="21">
        <v>4</v>
      </c>
      <c r="K742" s="21">
        <v>2023</v>
      </c>
      <c r="L742" s="21" t="s">
        <v>372</v>
      </c>
      <c r="M742" s="21" t="s">
        <v>372</v>
      </c>
      <c r="N742" s="21" t="s">
        <v>373</v>
      </c>
      <c r="O742" s="21" t="s">
        <v>4217</v>
      </c>
    </row>
    <row r="743" spans="1:15" x14ac:dyDescent="0.25">
      <c r="A743" s="21" t="s">
        <v>4218</v>
      </c>
      <c r="B743" s="21" t="s">
        <v>4219</v>
      </c>
      <c r="C743" s="21" t="s">
        <v>4220</v>
      </c>
      <c r="D743" s="21" t="s">
        <v>4221</v>
      </c>
      <c r="E743" s="21">
        <v>320851</v>
      </c>
      <c r="F743" s="21">
        <v>55873</v>
      </c>
      <c r="G743" s="21" t="s">
        <v>4222</v>
      </c>
      <c r="H743" s="21">
        <v>1</v>
      </c>
      <c r="I743" s="21">
        <v>1</v>
      </c>
      <c r="J743" s="21">
        <v>4</v>
      </c>
      <c r="K743" s="21">
        <v>2023</v>
      </c>
      <c r="L743" s="21" t="s">
        <v>372</v>
      </c>
      <c r="M743" s="21" t="s">
        <v>372</v>
      </c>
      <c r="N743" s="21" t="s">
        <v>373</v>
      </c>
      <c r="O743" s="21" t="s">
        <v>4223</v>
      </c>
    </row>
    <row r="744" spans="1:15" x14ac:dyDescent="0.25">
      <c r="A744" s="21" t="s">
        <v>177</v>
      </c>
      <c r="B744" s="21" t="s">
        <v>4224</v>
      </c>
      <c r="C744" s="21" t="s">
        <v>4225</v>
      </c>
      <c r="D744" s="21" t="s">
        <v>4226</v>
      </c>
      <c r="E744" s="21">
        <v>54864</v>
      </c>
      <c r="F744" s="21">
        <v>85066</v>
      </c>
      <c r="G744" s="21" t="s">
        <v>4227</v>
      </c>
      <c r="H744" s="21">
        <v>1</v>
      </c>
      <c r="I744" s="21">
        <v>1</v>
      </c>
      <c r="J744" s="21">
        <v>4</v>
      </c>
      <c r="K744" s="21">
        <v>2023</v>
      </c>
      <c r="L744" s="21" t="s">
        <v>372</v>
      </c>
      <c r="M744" s="21" t="s">
        <v>372</v>
      </c>
      <c r="N744" s="21" t="s">
        <v>373</v>
      </c>
      <c r="O744" s="21" t="s">
        <v>268</v>
      </c>
    </row>
    <row r="745" spans="1:15" x14ac:dyDescent="0.25">
      <c r="A745" s="21" t="s">
        <v>4228</v>
      </c>
      <c r="B745" s="21" t="s">
        <v>4229</v>
      </c>
      <c r="C745" s="21" t="s">
        <v>4230</v>
      </c>
      <c r="D745" s="21" t="s">
        <v>4231</v>
      </c>
      <c r="E745" s="21">
        <v>66697</v>
      </c>
      <c r="F745" s="21">
        <v>106136</v>
      </c>
      <c r="G745" s="21">
        <v>44114521</v>
      </c>
      <c r="H745" s="21">
        <v>1</v>
      </c>
      <c r="I745" s="21">
        <v>1</v>
      </c>
      <c r="J745" s="21">
        <v>1</v>
      </c>
      <c r="K745" s="21">
        <v>2023</v>
      </c>
      <c r="L745" s="21" t="s">
        <v>372</v>
      </c>
      <c r="M745" s="21" t="s">
        <v>372</v>
      </c>
      <c r="N745" s="21" t="s">
        <v>372</v>
      </c>
      <c r="O745" s="21" t="s">
        <v>4232</v>
      </c>
    </row>
    <row r="746" spans="1:15" x14ac:dyDescent="0.25">
      <c r="A746" s="21" t="s">
        <v>4233</v>
      </c>
      <c r="B746" s="21" t="s">
        <v>4234</v>
      </c>
      <c r="C746" s="21" t="s">
        <v>4235</v>
      </c>
      <c r="D746" s="21" t="s">
        <v>4236</v>
      </c>
      <c r="E746" s="21">
        <v>2745737</v>
      </c>
      <c r="F746" s="21">
        <v>1659578</v>
      </c>
      <c r="G746" s="21" t="s">
        <v>4237</v>
      </c>
      <c r="H746" s="21">
        <v>4</v>
      </c>
      <c r="I746" s="21">
        <v>2</v>
      </c>
      <c r="J746" s="21">
        <v>4</v>
      </c>
      <c r="K746" s="21">
        <v>2023</v>
      </c>
      <c r="L746" s="21" t="s">
        <v>373</v>
      </c>
      <c r="M746" s="21" t="s">
        <v>372</v>
      </c>
      <c r="N746" s="21" t="s">
        <v>373</v>
      </c>
      <c r="O746" s="21" t="s">
        <v>4238</v>
      </c>
    </row>
    <row r="747" spans="1:15" x14ac:dyDescent="0.25">
      <c r="A747" s="21" t="s">
        <v>4239</v>
      </c>
      <c r="B747" s="21" t="s">
        <v>4240</v>
      </c>
      <c r="C747" s="21" t="s">
        <v>4241</v>
      </c>
      <c r="D747" s="21" t="s">
        <v>4242</v>
      </c>
      <c r="E747" s="21">
        <v>1609</v>
      </c>
      <c r="F747" s="21">
        <v>18625</v>
      </c>
      <c r="G747" s="21">
        <v>332690</v>
      </c>
      <c r="H747" s="21">
        <v>1</v>
      </c>
      <c r="I747" s="21">
        <v>1</v>
      </c>
      <c r="J747" s="21">
        <v>4</v>
      </c>
      <c r="K747" s="21">
        <v>2023</v>
      </c>
      <c r="L747" s="21" t="s">
        <v>372</v>
      </c>
      <c r="M747" s="21" t="s">
        <v>372</v>
      </c>
      <c r="N747" s="21" t="s">
        <v>373</v>
      </c>
      <c r="O747" s="21" t="s">
        <v>4243</v>
      </c>
    </row>
    <row r="748" spans="1:15" x14ac:dyDescent="0.25">
      <c r="A748" s="21" t="s">
        <v>4244</v>
      </c>
      <c r="B748" s="21" t="s">
        <v>4245</v>
      </c>
      <c r="C748" s="21" t="s">
        <v>4246</v>
      </c>
      <c r="D748" s="21" t="s">
        <v>4247</v>
      </c>
      <c r="E748" s="21">
        <v>151409</v>
      </c>
      <c r="F748" s="21">
        <v>309518</v>
      </c>
      <c r="G748" s="21" t="s">
        <v>4248</v>
      </c>
      <c r="H748" s="21">
        <v>1</v>
      </c>
      <c r="I748" s="21">
        <v>1</v>
      </c>
      <c r="J748" s="21">
        <v>4</v>
      </c>
      <c r="K748" s="21">
        <v>2023</v>
      </c>
      <c r="L748" s="21" t="s">
        <v>372</v>
      </c>
      <c r="M748" s="21" t="s">
        <v>372</v>
      </c>
      <c r="N748" s="21" t="s">
        <v>373</v>
      </c>
      <c r="O748" s="21" t="s">
        <v>4249</v>
      </c>
    </row>
    <row r="749" spans="1:15" x14ac:dyDescent="0.25">
      <c r="A749" s="21" t="s">
        <v>4250</v>
      </c>
      <c r="B749" s="21" t="s">
        <v>4251</v>
      </c>
      <c r="C749" s="21" t="s">
        <v>4252</v>
      </c>
      <c r="D749" s="21" t="s">
        <v>4253</v>
      </c>
      <c r="E749" s="21">
        <v>63374</v>
      </c>
      <c r="F749" s="21">
        <v>75567</v>
      </c>
      <c r="G749" s="21">
        <v>523191</v>
      </c>
      <c r="H749" s="21">
        <v>1</v>
      </c>
      <c r="I749" s="21">
        <v>1</v>
      </c>
      <c r="J749" s="21">
        <v>1</v>
      </c>
      <c r="K749" s="21">
        <v>2023</v>
      </c>
      <c r="L749" s="21" t="s">
        <v>372</v>
      </c>
      <c r="M749" s="21" t="s">
        <v>372</v>
      </c>
      <c r="N749" s="21" t="s">
        <v>372</v>
      </c>
      <c r="O749" s="21" t="s">
        <v>4254</v>
      </c>
    </row>
    <row r="750" spans="1:15" x14ac:dyDescent="0.25">
      <c r="A750" s="21" t="s">
        <v>4255</v>
      </c>
      <c r="B750" s="21" t="s">
        <v>4256</v>
      </c>
      <c r="C750" s="21" t="s">
        <v>4257</v>
      </c>
      <c r="D750" s="21" t="s">
        <v>4258</v>
      </c>
      <c r="E750" s="21">
        <v>11354</v>
      </c>
      <c r="F750" s="21">
        <v>26287</v>
      </c>
      <c r="G750" s="21" t="s">
        <v>4259</v>
      </c>
      <c r="H750" s="21">
        <v>2</v>
      </c>
      <c r="I750" s="21">
        <v>2</v>
      </c>
      <c r="J750" s="21">
        <v>4</v>
      </c>
      <c r="K750" s="21">
        <v>2023</v>
      </c>
      <c r="L750" s="21" t="s">
        <v>372</v>
      </c>
      <c r="M750" s="21" t="s">
        <v>372</v>
      </c>
      <c r="N750" s="21" t="s">
        <v>373</v>
      </c>
      <c r="O750" s="21" t="s">
        <v>4260</v>
      </c>
    </row>
    <row r="751" spans="1:15" x14ac:dyDescent="0.25">
      <c r="A751" s="21" t="s">
        <v>4261</v>
      </c>
      <c r="B751" s="21" t="s">
        <v>4262</v>
      </c>
      <c r="C751" s="21" t="s">
        <v>4263</v>
      </c>
      <c r="D751" s="21" t="s">
        <v>4264</v>
      </c>
      <c r="E751" s="21">
        <v>10261239</v>
      </c>
      <c r="F751" s="21">
        <v>4921053</v>
      </c>
      <c r="G751" s="21" t="s">
        <v>4265</v>
      </c>
      <c r="H751" s="21">
        <v>2</v>
      </c>
      <c r="I751" s="21">
        <v>2</v>
      </c>
      <c r="J751" s="21">
        <v>4</v>
      </c>
      <c r="K751" s="21">
        <v>2023</v>
      </c>
      <c r="L751" s="21" t="s">
        <v>372</v>
      </c>
      <c r="M751" s="21" t="s">
        <v>372</v>
      </c>
      <c r="N751" s="21" t="s">
        <v>373</v>
      </c>
      <c r="O751" s="21" t="s">
        <v>4266</v>
      </c>
    </row>
    <row r="752" spans="1:15" x14ac:dyDescent="0.25">
      <c r="A752" s="21" t="s">
        <v>4267</v>
      </c>
      <c r="B752" s="21" t="s">
        <v>4268</v>
      </c>
      <c r="D752" s="21" t="s">
        <v>4269</v>
      </c>
      <c r="E752" s="21">
        <v>147606</v>
      </c>
      <c r="F752" s="21">
        <v>2945</v>
      </c>
      <c r="G752" s="21" t="s">
        <v>4270</v>
      </c>
      <c r="H752" s="21">
        <v>1</v>
      </c>
      <c r="I752" s="21">
        <v>1</v>
      </c>
      <c r="J752" s="21">
        <v>4</v>
      </c>
      <c r="K752" s="21">
        <v>2023</v>
      </c>
      <c r="L752" s="21" t="s">
        <v>372</v>
      </c>
      <c r="M752" s="21" t="s">
        <v>372</v>
      </c>
      <c r="N752" s="21" t="s">
        <v>373</v>
      </c>
      <c r="O752" s="21" t="s">
        <v>4271</v>
      </c>
    </row>
    <row r="753" spans="1:15" x14ac:dyDescent="0.25">
      <c r="A753" s="21" t="s">
        <v>4272</v>
      </c>
      <c r="B753" s="21" t="s">
        <v>4273</v>
      </c>
      <c r="C753" s="21" t="s">
        <v>4274</v>
      </c>
      <c r="D753" s="21" t="s">
        <v>4275</v>
      </c>
      <c r="E753" s="21">
        <v>14105</v>
      </c>
      <c r="F753" s="21">
        <v>50867</v>
      </c>
      <c r="G753" s="21" t="s">
        <v>4276</v>
      </c>
      <c r="H753" s="21">
        <v>4</v>
      </c>
      <c r="I753" s="21">
        <v>1</v>
      </c>
      <c r="J753" s="21">
        <v>4</v>
      </c>
      <c r="K753" s="21">
        <v>2023</v>
      </c>
      <c r="L753" s="21" t="s">
        <v>373</v>
      </c>
      <c r="M753" s="21" t="s">
        <v>372</v>
      </c>
      <c r="N753" s="21" t="s">
        <v>373</v>
      </c>
      <c r="O753" s="21" t="s">
        <v>4277</v>
      </c>
    </row>
    <row r="754" spans="1:15" x14ac:dyDescent="0.25">
      <c r="A754" s="21" t="s">
        <v>4278</v>
      </c>
      <c r="B754" s="21" t="s">
        <v>4279</v>
      </c>
      <c r="C754" s="21" t="s">
        <v>4280</v>
      </c>
      <c r="D754" s="21" t="s">
        <v>4281</v>
      </c>
      <c r="E754" s="21">
        <v>7123</v>
      </c>
      <c r="F754" s="21">
        <v>78620</v>
      </c>
      <c r="G754" s="21" t="s">
        <v>4282</v>
      </c>
      <c r="H754" s="21">
        <v>1</v>
      </c>
      <c r="I754" s="21">
        <v>1</v>
      </c>
      <c r="J754" s="21">
        <v>4</v>
      </c>
      <c r="K754" s="21">
        <v>2023</v>
      </c>
      <c r="L754" s="21" t="s">
        <v>372</v>
      </c>
      <c r="M754" s="21" t="s">
        <v>372</v>
      </c>
      <c r="N754" s="21" t="s">
        <v>373</v>
      </c>
      <c r="O754" s="21" t="s">
        <v>4283</v>
      </c>
    </row>
    <row r="755" spans="1:15" x14ac:dyDescent="0.25">
      <c r="A755" s="21" t="s">
        <v>4284</v>
      </c>
      <c r="B755" s="21" t="s">
        <v>4285</v>
      </c>
      <c r="C755" s="21" t="s">
        <v>4286</v>
      </c>
      <c r="D755" s="21" t="s">
        <v>4287</v>
      </c>
      <c r="E755" s="21">
        <v>484673</v>
      </c>
      <c r="F755" s="21">
        <v>118683</v>
      </c>
      <c r="G755" s="21">
        <v>868373</v>
      </c>
      <c r="H755" s="21">
        <v>4</v>
      </c>
      <c r="I755" s="21">
        <v>2</v>
      </c>
      <c r="J755" s="21">
        <v>4</v>
      </c>
      <c r="K755" s="21">
        <v>2023</v>
      </c>
      <c r="L755" s="21" t="s">
        <v>373</v>
      </c>
      <c r="M755" s="21" t="s">
        <v>372</v>
      </c>
      <c r="N755" s="21" t="s">
        <v>373</v>
      </c>
      <c r="O755" s="21" t="s">
        <v>4288</v>
      </c>
    </row>
    <row r="756" spans="1:15" x14ac:dyDescent="0.25">
      <c r="A756" s="21" t="s">
        <v>4289</v>
      </c>
      <c r="B756" s="21" t="s">
        <v>4290</v>
      </c>
      <c r="C756" s="21" t="s">
        <v>4291</v>
      </c>
      <c r="D756" s="21" t="s">
        <v>4292</v>
      </c>
      <c r="E756" s="21">
        <v>14922860</v>
      </c>
      <c r="F756" s="21">
        <v>783020</v>
      </c>
      <c r="G756" s="21" t="s">
        <v>4293</v>
      </c>
      <c r="H756" s="21">
        <v>1</v>
      </c>
      <c r="I756" s="21">
        <v>1</v>
      </c>
      <c r="J756" s="21">
        <v>4</v>
      </c>
      <c r="K756" s="21">
        <v>2023</v>
      </c>
      <c r="L756" s="21" t="s">
        <v>372</v>
      </c>
      <c r="M756" s="21" t="s">
        <v>372</v>
      </c>
      <c r="N756" s="21" t="s">
        <v>373</v>
      </c>
      <c r="O756" s="21" t="s">
        <v>4294</v>
      </c>
    </row>
    <row r="757" spans="1:15" x14ac:dyDescent="0.25">
      <c r="A757" s="21" t="s">
        <v>4295</v>
      </c>
      <c r="B757" s="21" t="s">
        <v>4296</v>
      </c>
      <c r="C757" s="21" t="s">
        <v>4297</v>
      </c>
      <c r="E757" s="21" t="s">
        <v>4298</v>
      </c>
      <c r="F757" s="21" t="s">
        <v>4299</v>
      </c>
      <c r="G757" s="21" t="s">
        <v>4300</v>
      </c>
      <c r="H757" s="21">
        <v>1</v>
      </c>
      <c r="I757" s="21">
        <v>1</v>
      </c>
      <c r="J757" s="21">
        <v>4</v>
      </c>
      <c r="K757" s="21">
        <v>2023</v>
      </c>
      <c r="L757" s="21" t="s">
        <v>372</v>
      </c>
      <c r="M757" s="21" t="s">
        <v>372</v>
      </c>
      <c r="N757" s="21" t="s">
        <v>373</v>
      </c>
      <c r="O757" s="21" t="s">
        <v>4301</v>
      </c>
    </row>
    <row r="758" spans="1:15" x14ac:dyDescent="0.25">
      <c r="A758" s="21" t="s">
        <v>4302</v>
      </c>
      <c r="B758" s="21" t="s">
        <v>4303</v>
      </c>
      <c r="C758" s="21" t="s">
        <v>4304</v>
      </c>
      <c r="D758" s="21" t="s">
        <v>4305</v>
      </c>
      <c r="E758" s="21" t="s">
        <v>4306</v>
      </c>
      <c r="F758" s="21" t="s">
        <v>4307</v>
      </c>
      <c r="G758" s="21" t="s">
        <v>4308</v>
      </c>
      <c r="H758" s="21">
        <v>1</v>
      </c>
      <c r="I758" s="21">
        <v>1</v>
      </c>
      <c r="J758" s="21">
        <v>4</v>
      </c>
      <c r="K758" s="21">
        <v>2023</v>
      </c>
      <c r="L758" s="21" t="s">
        <v>372</v>
      </c>
      <c r="M758" s="21" t="s">
        <v>372</v>
      </c>
      <c r="N758" s="21" t="s">
        <v>373</v>
      </c>
      <c r="O758" s="21" t="s">
        <v>4309</v>
      </c>
    </row>
    <row r="759" spans="1:15" x14ac:dyDescent="0.25">
      <c r="A759" s="21" t="s">
        <v>4310</v>
      </c>
      <c r="B759" s="21" t="s">
        <v>4311</v>
      </c>
      <c r="C759" s="21" t="s">
        <v>4312</v>
      </c>
      <c r="D759" s="21" t="s">
        <v>4313</v>
      </c>
      <c r="E759" s="21">
        <v>5512</v>
      </c>
      <c r="F759" s="21">
        <v>67716</v>
      </c>
      <c r="G759" s="21">
        <v>5126880</v>
      </c>
      <c r="H759" s="21">
        <v>1</v>
      </c>
      <c r="I759" s="21">
        <v>1</v>
      </c>
      <c r="J759" s="21">
        <v>1</v>
      </c>
      <c r="K759" s="21">
        <v>2023</v>
      </c>
      <c r="L759" s="21" t="s">
        <v>372</v>
      </c>
      <c r="M759" s="21" t="s">
        <v>372</v>
      </c>
      <c r="N759" s="21" t="s">
        <v>372</v>
      </c>
      <c r="O759" s="21" t="s">
        <v>4314</v>
      </c>
    </row>
    <row r="760" spans="1:15" x14ac:dyDescent="0.25">
      <c r="A760" s="21" t="s">
        <v>4315</v>
      </c>
      <c r="B760" s="21" t="s">
        <v>4316</v>
      </c>
      <c r="C760" s="21" t="s">
        <v>4317</v>
      </c>
      <c r="D760" s="21" t="s">
        <v>4318</v>
      </c>
      <c r="E760" s="21">
        <v>1735226</v>
      </c>
      <c r="F760" s="21">
        <v>56462</v>
      </c>
      <c r="G760" s="21" t="s">
        <v>4319</v>
      </c>
      <c r="H760" s="21">
        <v>4</v>
      </c>
      <c r="I760" s="21">
        <v>2</v>
      </c>
      <c r="J760" s="21">
        <v>4</v>
      </c>
      <c r="K760" s="21">
        <v>2023</v>
      </c>
      <c r="L760" s="21" t="s">
        <v>373</v>
      </c>
      <c r="M760" s="21" t="s">
        <v>372</v>
      </c>
      <c r="N760" s="21" t="s">
        <v>373</v>
      </c>
      <c r="O760" s="21" t="s">
        <v>4320</v>
      </c>
    </row>
    <row r="761" spans="1:15" x14ac:dyDescent="0.25">
      <c r="A761" s="21" t="s">
        <v>4321</v>
      </c>
      <c r="B761" s="21" t="s">
        <v>4322</v>
      </c>
      <c r="C761" s="21" t="s">
        <v>4323</v>
      </c>
      <c r="D761" s="21" t="s">
        <v>4324</v>
      </c>
      <c r="E761" s="21">
        <v>391000</v>
      </c>
      <c r="F761" s="21">
        <v>1079000</v>
      </c>
      <c r="G761" s="21">
        <v>81373003</v>
      </c>
      <c r="H761" s="21">
        <v>1</v>
      </c>
      <c r="I761" s="21">
        <v>1</v>
      </c>
      <c r="J761" s="21">
        <v>1</v>
      </c>
      <c r="K761" s="21">
        <v>2023</v>
      </c>
      <c r="L761" s="21" t="s">
        <v>372</v>
      </c>
      <c r="M761" s="21" t="s">
        <v>372</v>
      </c>
      <c r="N761" s="21" t="s">
        <v>372</v>
      </c>
      <c r="O761" s="21">
        <v>22698</v>
      </c>
    </row>
    <row r="762" spans="1:15" x14ac:dyDescent="0.25">
      <c r="A762" s="21" t="s">
        <v>4325</v>
      </c>
      <c r="B762" s="21" t="s">
        <v>4326</v>
      </c>
      <c r="C762" s="21" t="s">
        <v>4327</v>
      </c>
      <c r="D762" s="21" t="s">
        <v>4328</v>
      </c>
      <c r="E762" s="21">
        <v>873575</v>
      </c>
      <c r="F762" s="21">
        <v>530800</v>
      </c>
      <c r="G762" s="21" t="s">
        <v>4329</v>
      </c>
      <c r="H762" s="21">
        <v>1</v>
      </c>
      <c r="I762" s="21">
        <v>1</v>
      </c>
      <c r="J762" s="21">
        <v>4</v>
      </c>
      <c r="K762" s="21">
        <v>2023</v>
      </c>
      <c r="L762" s="21" t="s">
        <v>372</v>
      </c>
      <c r="M762" s="21" t="s">
        <v>372</v>
      </c>
      <c r="N762" s="21" t="s">
        <v>373</v>
      </c>
      <c r="O762" s="21" t="s">
        <v>4330</v>
      </c>
    </row>
    <row r="763" spans="1:15" x14ac:dyDescent="0.25">
      <c r="A763" s="21" t="s">
        <v>4331</v>
      </c>
      <c r="B763" s="21" t="s">
        <v>4332</v>
      </c>
      <c r="C763" s="21" t="s">
        <v>4333</v>
      </c>
      <c r="D763" s="21" t="s">
        <v>4334</v>
      </c>
      <c r="E763" s="21">
        <v>3120000</v>
      </c>
      <c r="F763" s="21">
        <v>4660000</v>
      </c>
      <c r="G763" s="21" t="s">
        <v>4335</v>
      </c>
      <c r="H763" s="21">
        <v>1</v>
      </c>
      <c r="I763" s="21">
        <v>1</v>
      </c>
      <c r="J763" s="21">
        <v>4</v>
      </c>
      <c r="K763" s="21">
        <v>2023</v>
      </c>
      <c r="L763" s="21" t="s">
        <v>372</v>
      </c>
      <c r="M763" s="21" t="s">
        <v>372</v>
      </c>
      <c r="N763" s="21" t="s">
        <v>373</v>
      </c>
      <c r="O763" s="21" t="s">
        <v>4336</v>
      </c>
    </row>
    <row r="764" spans="1:15" x14ac:dyDescent="0.25">
      <c r="A764" s="21" t="s">
        <v>4337</v>
      </c>
      <c r="B764" s="21" t="s">
        <v>4338</v>
      </c>
      <c r="C764" s="21" t="s">
        <v>4339</v>
      </c>
      <c r="D764" s="21" t="s">
        <v>4340</v>
      </c>
      <c r="E764" s="21">
        <v>43083</v>
      </c>
      <c r="F764" s="21">
        <v>476880</v>
      </c>
      <c r="G764" s="21" t="s">
        <v>4341</v>
      </c>
      <c r="H764" s="21">
        <v>1</v>
      </c>
      <c r="I764" s="21">
        <v>1</v>
      </c>
      <c r="J764" s="21">
        <v>4</v>
      </c>
      <c r="K764" s="21">
        <v>2023</v>
      </c>
      <c r="L764" s="21" t="s">
        <v>372</v>
      </c>
      <c r="M764" s="21" t="s">
        <v>372</v>
      </c>
      <c r="N764" s="21" t="s">
        <v>373</v>
      </c>
      <c r="O764" s="21" t="s">
        <v>4342</v>
      </c>
    </row>
  </sheetData>
  <autoFilter ref="A1:P764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sqref="A1:B18"/>
    </sheetView>
  </sheetViews>
  <sheetFormatPr defaultRowHeight="15" x14ac:dyDescent="0.25"/>
  <cols>
    <col min="1" max="1" width="13.140625" customWidth="1"/>
    <col min="2" max="2" width="12" customWidth="1"/>
  </cols>
  <sheetData>
    <row r="1" spans="1:2" x14ac:dyDescent="0.25">
      <c r="A1" s="70" t="s">
        <v>4493</v>
      </c>
      <c r="B1" s="71">
        <v>1</v>
      </c>
    </row>
    <row r="3" spans="1:2" x14ac:dyDescent="0.25">
      <c r="A3" s="70" t="s">
        <v>4514</v>
      </c>
      <c r="B3" t="s">
        <v>4517</v>
      </c>
    </row>
    <row r="4" spans="1:2" x14ac:dyDescent="0.25">
      <c r="A4" s="71" t="s">
        <v>57</v>
      </c>
      <c r="B4" s="22">
        <v>874.37528899999995</v>
      </c>
    </row>
    <row r="5" spans="1:2" x14ac:dyDescent="0.25">
      <c r="A5" s="71" t="s">
        <v>45</v>
      </c>
      <c r="B5" s="22">
        <v>0</v>
      </c>
    </row>
    <row r="6" spans="1:2" x14ac:dyDescent="0.25">
      <c r="A6" s="71" t="s">
        <v>53</v>
      </c>
      <c r="B6" s="22">
        <v>480906.46020500001</v>
      </c>
    </row>
    <row r="7" spans="1:2" x14ac:dyDescent="0.25">
      <c r="A7" s="71" t="s">
        <v>42</v>
      </c>
      <c r="B7" s="22">
        <v>153229.74913800001</v>
      </c>
    </row>
    <row r="8" spans="1:2" x14ac:dyDescent="0.25">
      <c r="A8" s="71" t="s">
        <v>50</v>
      </c>
      <c r="B8" s="22">
        <v>15.844760000000001</v>
      </c>
    </row>
    <row r="9" spans="1:2" x14ac:dyDescent="0.25">
      <c r="A9" s="71" t="s">
        <v>58</v>
      </c>
      <c r="B9" s="22">
        <v>12276.502886000002</v>
      </c>
    </row>
    <row r="10" spans="1:2" x14ac:dyDescent="0.25">
      <c r="A10" s="71" t="s">
        <v>46</v>
      </c>
      <c r="B10" s="22">
        <v>306817.30021300004</v>
      </c>
    </row>
    <row r="11" spans="1:2" x14ac:dyDescent="0.25">
      <c r="A11" s="71" t="s">
        <v>39</v>
      </c>
      <c r="B11" s="22">
        <v>155977.98000700001</v>
      </c>
    </row>
    <row r="12" spans="1:2" x14ac:dyDescent="0.25">
      <c r="A12" s="71" t="s">
        <v>54</v>
      </c>
      <c r="B12" s="22">
        <v>309.73441200000002</v>
      </c>
    </row>
    <row r="13" spans="1:2" x14ac:dyDescent="0.25">
      <c r="A13" s="71" t="s">
        <v>49</v>
      </c>
      <c r="B13" s="22">
        <v>1154.3638400000002</v>
      </c>
    </row>
    <row r="14" spans="1:2" x14ac:dyDescent="0.25">
      <c r="A14" s="71" t="s">
        <v>51</v>
      </c>
      <c r="B14" s="22">
        <v>0</v>
      </c>
    </row>
    <row r="15" spans="1:2" x14ac:dyDescent="0.25">
      <c r="A15" s="71" t="s">
        <v>41</v>
      </c>
      <c r="B15" s="22">
        <v>492104.72778699995</v>
      </c>
    </row>
    <row r="16" spans="1:2" x14ac:dyDescent="0.25">
      <c r="A16" s="71" t="s">
        <v>48</v>
      </c>
      <c r="B16" s="22">
        <v>2864.6422749999997</v>
      </c>
    </row>
    <row r="17" spans="1:2" x14ac:dyDescent="0.25">
      <c r="A17" s="71" t="s">
        <v>38</v>
      </c>
      <c r="B17" s="22">
        <v>180.21494000000001</v>
      </c>
    </row>
    <row r="18" spans="1:2" x14ac:dyDescent="0.25">
      <c r="A18" s="71" t="s">
        <v>4516</v>
      </c>
      <c r="B18" s="22">
        <v>1606711.8957519999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411"/>
  <sheetViews>
    <sheetView tabSelected="1" workbookViewId="0">
      <selection activeCell="F421" sqref="F421"/>
    </sheetView>
  </sheetViews>
  <sheetFormatPr defaultRowHeight="15" x14ac:dyDescent="0.25"/>
  <cols>
    <col min="1" max="1" width="7.42578125" bestFit="1" customWidth="1"/>
    <col min="2" max="4" width="20.28515625" bestFit="1" customWidth="1"/>
    <col min="5" max="5" width="11.85546875" bestFit="1" customWidth="1"/>
    <col min="6" max="6" width="13.7109375" bestFit="1" customWidth="1"/>
    <col min="7" max="7" width="11" bestFit="1" customWidth="1"/>
    <col min="8" max="8" width="15.7109375" bestFit="1" customWidth="1"/>
    <col min="9" max="9" width="11.42578125" bestFit="1" customWidth="1"/>
    <col min="10" max="10" width="15" bestFit="1" customWidth="1"/>
    <col min="11" max="12" width="10" bestFit="1" customWidth="1"/>
    <col min="13" max="13" width="11.42578125" bestFit="1" customWidth="1"/>
    <col min="14" max="14" width="14.7109375" bestFit="1" customWidth="1"/>
    <col min="15" max="15" width="13.140625" bestFit="1" customWidth="1"/>
    <col min="19" max="19" width="13.140625" bestFit="1" customWidth="1"/>
    <col min="20" max="20" width="16" bestFit="1" customWidth="1"/>
    <col min="21" max="21" width="11.42578125" bestFit="1" customWidth="1"/>
    <col min="22" max="22" width="11.7109375" bestFit="1" customWidth="1"/>
    <col min="23" max="23" width="12.28515625" bestFit="1" customWidth="1"/>
    <col min="24" max="24" width="11.7109375" bestFit="1" customWidth="1"/>
    <col min="25" max="25" width="9.28515625" bestFit="1" customWidth="1"/>
    <col min="26" max="26" width="15" bestFit="1" customWidth="1"/>
    <col min="27" max="27" width="10" bestFit="1" customWidth="1"/>
  </cols>
  <sheetData>
    <row r="1" spans="1:27" x14ac:dyDescent="0.25">
      <c r="A1" s="76" t="s">
        <v>4522</v>
      </c>
    </row>
    <row r="2" spans="1:27" x14ac:dyDescent="0.25">
      <c r="A2" t="s">
        <v>4487</v>
      </c>
      <c r="B2" t="s">
        <v>4488</v>
      </c>
      <c r="C2" t="s">
        <v>4489</v>
      </c>
      <c r="D2" t="s">
        <v>4490</v>
      </c>
      <c r="E2" t="s">
        <v>4491</v>
      </c>
      <c r="F2" t="s">
        <v>4492</v>
      </c>
      <c r="G2" t="s">
        <v>4493</v>
      </c>
      <c r="H2" s="19" t="s">
        <v>36</v>
      </c>
      <c r="I2" s="19" t="s">
        <v>37</v>
      </c>
      <c r="J2" s="19" t="s">
        <v>4518</v>
      </c>
      <c r="K2" s="19" t="s">
        <v>4519</v>
      </c>
      <c r="L2" s="19" t="s">
        <v>4520</v>
      </c>
      <c r="M2" s="19" t="s">
        <v>4521</v>
      </c>
      <c r="N2" s="19" t="s">
        <v>4494</v>
      </c>
      <c r="O2" s="19" t="s">
        <v>4495</v>
      </c>
      <c r="S2" s="70" t="s">
        <v>4514</v>
      </c>
      <c r="T2" s="70" t="s">
        <v>4526</v>
      </c>
      <c r="U2" t="s">
        <v>4523</v>
      </c>
      <c r="V2" t="s">
        <v>4524</v>
      </c>
      <c r="W2" t="s">
        <v>4525</v>
      </c>
      <c r="X2" t="s">
        <v>4517</v>
      </c>
    </row>
    <row r="3" spans="1:27" x14ac:dyDescent="0.25">
      <c r="A3" t="s">
        <v>57</v>
      </c>
      <c r="B3" t="s">
        <v>4496</v>
      </c>
      <c r="C3" t="s">
        <v>4496</v>
      </c>
      <c r="D3" t="s">
        <v>4497</v>
      </c>
      <c r="E3" t="s">
        <v>55</v>
      </c>
      <c r="F3">
        <v>0</v>
      </c>
      <c r="G3">
        <v>0</v>
      </c>
      <c r="H3" s="19">
        <v>-93149827.378593504</v>
      </c>
      <c r="I3" s="19">
        <v>778636.77333400003</v>
      </c>
      <c r="J3" s="19">
        <v>93149827.378571004</v>
      </c>
      <c r="K3" s="19">
        <v>122252.16799099999</v>
      </c>
      <c r="L3" s="19">
        <v>656384.60534300003</v>
      </c>
      <c r="M3" s="19"/>
      <c r="N3" s="19"/>
      <c r="O3" s="19"/>
      <c r="P3" s="19">
        <f>+O3-N3</f>
        <v>0</v>
      </c>
      <c r="Q3" s="19"/>
      <c r="R3" s="72" t="s">
        <v>57</v>
      </c>
      <c r="S3" s="73" t="s">
        <v>57</v>
      </c>
      <c r="T3" s="19">
        <v>348647559.95955908</v>
      </c>
      <c r="U3" s="19">
        <v>363755.53940799995</v>
      </c>
      <c r="V3" s="19">
        <v>675360.73828799999</v>
      </c>
      <c r="W3" s="19">
        <v>97706.47709</v>
      </c>
      <c r="X3" s="19">
        <v>1136822.7547860001</v>
      </c>
      <c r="Y3" s="19">
        <f>+VLOOKUP(R3,'2. Emissões Reportadas'!A:V,21,FALSE)</f>
        <v>348.64756</v>
      </c>
      <c r="Z3" s="19">
        <f>+VLOOKUP(R3,'2. Emissões Reportadas'!A:V,22,FALSE)</f>
        <v>1136823</v>
      </c>
    </row>
    <row r="4" spans="1:27" x14ac:dyDescent="0.25">
      <c r="A4" t="s">
        <v>57</v>
      </c>
      <c r="B4" t="s">
        <v>4497</v>
      </c>
      <c r="C4" t="s">
        <v>4498</v>
      </c>
      <c r="D4" t="s">
        <v>4497</v>
      </c>
      <c r="E4" t="s">
        <v>55</v>
      </c>
      <c r="F4">
        <v>0</v>
      </c>
      <c r="G4">
        <v>0</v>
      </c>
      <c r="H4" s="19">
        <v>-3076.44</v>
      </c>
      <c r="I4" s="19">
        <v>0.147255</v>
      </c>
      <c r="J4" s="19">
        <v>3076.44</v>
      </c>
      <c r="K4" s="19"/>
      <c r="L4" s="19">
        <v>0.147255</v>
      </c>
      <c r="M4" s="19"/>
      <c r="N4" s="19"/>
      <c r="O4" s="19"/>
      <c r="P4" s="19">
        <f t="shared" ref="P4:P67" si="0">+O4-N4</f>
        <v>0</v>
      </c>
      <c r="Q4" s="19"/>
      <c r="R4" s="72" t="s">
        <v>45</v>
      </c>
      <c r="S4" s="73" t="s">
        <v>45</v>
      </c>
      <c r="T4" s="19">
        <v>14118758.139776999</v>
      </c>
      <c r="U4" s="19">
        <v>12988.756059000001</v>
      </c>
      <c r="V4" s="19">
        <v>18680.405716000001</v>
      </c>
      <c r="W4" s="19">
        <v>6071.9933899999996</v>
      </c>
      <c r="X4" s="19">
        <v>37741.155165000004</v>
      </c>
      <c r="Y4" s="19">
        <f>+VLOOKUP(R4,'2. Emissões Reportadas'!A:V,21,FALSE)</f>
        <v>14.118758</v>
      </c>
      <c r="Z4" s="19">
        <f>+VLOOKUP(R4,'2. Emissões Reportadas'!A:V,22,FALSE)</f>
        <v>37741</v>
      </c>
    </row>
    <row r="5" spans="1:27" x14ac:dyDescent="0.25">
      <c r="A5" t="s">
        <v>57</v>
      </c>
      <c r="B5" t="s">
        <v>4499</v>
      </c>
      <c r="C5" t="s">
        <v>4499</v>
      </c>
      <c r="D5" t="s">
        <v>4499</v>
      </c>
      <c r="E5" t="s">
        <v>55</v>
      </c>
      <c r="F5">
        <v>0</v>
      </c>
      <c r="G5">
        <v>0</v>
      </c>
      <c r="H5" s="19">
        <v>-161.91</v>
      </c>
      <c r="I5" s="19">
        <v>0</v>
      </c>
      <c r="J5" s="19">
        <v>161.91</v>
      </c>
      <c r="K5" s="19"/>
      <c r="L5" s="19"/>
      <c r="M5" s="19"/>
      <c r="N5" s="19"/>
      <c r="O5" s="19"/>
      <c r="P5" s="19">
        <f t="shared" si="0"/>
        <v>0</v>
      </c>
      <c r="Q5" s="19"/>
      <c r="R5" s="72" t="s">
        <v>53</v>
      </c>
      <c r="S5" s="73" t="s">
        <v>53</v>
      </c>
      <c r="T5" s="19">
        <v>2311655784.1973433</v>
      </c>
      <c r="U5" s="19">
        <v>324645.8015709999</v>
      </c>
      <c r="V5" s="19">
        <v>176346.138118</v>
      </c>
      <c r="W5" s="19">
        <v>1574169.1798970008</v>
      </c>
      <c r="X5" s="19">
        <v>2075161.1195860007</v>
      </c>
      <c r="Y5" s="19">
        <f>+VLOOKUP(R5,'2. Emissões Reportadas'!A:V,21,FALSE)</f>
        <v>2311.6609600000002</v>
      </c>
      <c r="Z5" s="19">
        <f>+VLOOKUP(R5,'2. Emissões Reportadas'!A:V,22,FALSE)</f>
        <v>2075162</v>
      </c>
    </row>
    <row r="6" spans="1:27" x14ac:dyDescent="0.25">
      <c r="A6" s="78" t="s">
        <v>57</v>
      </c>
      <c r="B6" s="78" t="s">
        <v>4501</v>
      </c>
      <c r="C6" s="78" t="s">
        <v>4501</v>
      </c>
      <c r="D6" s="78" t="s">
        <v>4502</v>
      </c>
      <c r="E6" s="78" t="s">
        <v>201</v>
      </c>
      <c r="F6" s="78">
        <v>0</v>
      </c>
      <c r="G6" s="78">
        <v>1</v>
      </c>
      <c r="H6" s="79">
        <v>-1214809.1200000001</v>
      </c>
      <c r="I6" s="79">
        <v>874.37528899999995</v>
      </c>
      <c r="J6" s="79">
        <v>1214809.1200000001</v>
      </c>
      <c r="K6" s="79">
        <v>6.6992859999999999</v>
      </c>
      <c r="L6" s="79">
        <v>77.850486000000004</v>
      </c>
      <c r="M6" s="79">
        <v>789.82551699999999</v>
      </c>
      <c r="N6" s="79">
        <v>1030.8</v>
      </c>
      <c r="O6" s="79">
        <v>1030.8</v>
      </c>
      <c r="P6" s="19">
        <f t="shared" si="0"/>
        <v>0</v>
      </c>
      <c r="Q6" s="19"/>
      <c r="R6" s="72" t="s">
        <v>42</v>
      </c>
      <c r="S6" s="73" t="s">
        <v>42</v>
      </c>
      <c r="T6" s="19">
        <v>736902882.38998091</v>
      </c>
      <c r="U6" s="19">
        <v>206749.93826299999</v>
      </c>
      <c r="V6" s="19">
        <v>12429.255356000003</v>
      </c>
      <c r="W6" s="19">
        <v>159753.48054000002</v>
      </c>
      <c r="X6" s="19">
        <v>378932.67415899999</v>
      </c>
      <c r="Y6" s="19">
        <f>+VLOOKUP(R6,'2. Emissões Reportadas'!A:V,21,FALSE)</f>
        <v>736.90288199999998</v>
      </c>
      <c r="Z6" s="19">
        <f>+VLOOKUP(R6,'2. Emissões Reportadas'!A:V,22,FALSE)</f>
        <v>378933</v>
      </c>
    </row>
    <row r="7" spans="1:27" x14ac:dyDescent="0.25">
      <c r="A7" t="s">
        <v>57</v>
      </c>
      <c r="B7" t="s">
        <v>4503</v>
      </c>
      <c r="C7" t="s">
        <v>4503</v>
      </c>
      <c r="D7" t="s">
        <v>4497</v>
      </c>
      <c r="E7" t="s">
        <v>55</v>
      </c>
      <c r="F7">
        <v>0</v>
      </c>
      <c r="G7">
        <v>0</v>
      </c>
      <c r="H7" s="19">
        <v>-4653076.8110941201</v>
      </c>
      <c r="I7" s="19">
        <v>74.365353999999996</v>
      </c>
      <c r="J7" s="19">
        <v>4653076.8110929998</v>
      </c>
      <c r="K7" s="19">
        <v>18.832077000000002</v>
      </c>
      <c r="L7" s="19">
        <v>55.533276999999998</v>
      </c>
      <c r="M7" s="19"/>
      <c r="N7" s="19"/>
      <c r="O7" s="19"/>
      <c r="P7" s="19">
        <f t="shared" si="0"/>
        <v>0</v>
      </c>
      <c r="Q7" s="19"/>
      <c r="R7" s="72" t="s">
        <v>50</v>
      </c>
      <c r="S7" s="73" t="s">
        <v>50</v>
      </c>
      <c r="T7" s="19">
        <v>88021193.299932003</v>
      </c>
      <c r="U7" s="19">
        <v>10300.257379000001</v>
      </c>
      <c r="V7" s="19">
        <v>1524.4561859999999</v>
      </c>
      <c r="W7" s="19">
        <v>10807.973484</v>
      </c>
      <c r="X7" s="19">
        <v>22632.687049</v>
      </c>
      <c r="Y7" s="19">
        <f>+VLOOKUP(R7,'2. Emissões Reportadas'!A:V,21,FALSE)</f>
        <v>88.021192999999997</v>
      </c>
      <c r="Z7" s="19">
        <f>+VLOOKUP(R7,'2. Emissões Reportadas'!A:V,22,FALSE)</f>
        <v>22633</v>
      </c>
    </row>
    <row r="8" spans="1:27" x14ac:dyDescent="0.25">
      <c r="A8" t="s">
        <v>57</v>
      </c>
      <c r="B8" t="s">
        <v>4500</v>
      </c>
      <c r="C8" t="s">
        <v>4500</v>
      </c>
      <c r="D8" t="s">
        <v>4497</v>
      </c>
      <c r="E8" t="s">
        <v>55</v>
      </c>
      <c r="F8">
        <v>0</v>
      </c>
      <c r="G8">
        <v>0</v>
      </c>
      <c r="H8" s="19">
        <v>-60827.809999999903</v>
      </c>
      <c r="I8" s="19">
        <v>3.7148089999999998</v>
      </c>
      <c r="J8" s="19">
        <v>60827.809997999997</v>
      </c>
      <c r="K8" s="19">
        <v>2.0086200000000001</v>
      </c>
      <c r="L8" s="19">
        <v>1.706189</v>
      </c>
      <c r="M8" s="19"/>
      <c r="N8" s="19"/>
      <c r="O8" s="19"/>
      <c r="P8" s="19">
        <f t="shared" si="0"/>
        <v>0</v>
      </c>
      <c r="Q8" s="19"/>
      <c r="R8" s="72" t="s">
        <v>58</v>
      </c>
      <c r="S8" s="73" t="s">
        <v>58</v>
      </c>
      <c r="T8" s="19">
        <v>1052869003.84796</v>
      </c>
      <c r="U8" s="19">
        <v>44584.010111000003</v>
      </c>
      <c r="V8" s="19">
        <v>25180.914011000004</v>
      </c>
      <c r="W8" s="19">
        <v>284926.72159600002</v>
      </c>
      <c r="X8" s="19">
        <v>354691.64571799996</v>
      </c>
      <c r="Y8" s="19">
        <f>+VLOOKUP(R8,'2. Emissões Reportadas'!A:V,21,FALSE)</f>
        <v>1052.8690039999999</v>
      </c>
      <c r="Z8" s="19">
        <f>+VLOOKUP(R8,'2. Emissões Reportadas'!A:V,22,FALSE)</f>
        <v>354692</v>
      </c>
    </row>
    <row r="9" spans="1:27" x14ac:dyDescent="0.25">
      <c r="A9" t="s">
        <v>57</v>
      </c>
      <c r="B9" t="s">
        <v>4499</v>
      </c>
      <c r="C9" t="s">
        <v>4499</v>
      </c>
      <c r="D9" t="s">
        <v>4497</v>
      </c>
      <c r="E9" t="s">
        <v>55</v>
      </c>
      <c r="F9">
        <v>0</v>
      </c>
      <c r="G9">
        <v>0</v>
      </c>
      <c r="H9" s="19">
        <v>-932603.11999999895</v>
      </c>
      <c r="I9" s="19">
        <v>0</v>
      </c>
      <c r="J9" s="19">
        <v>932603.11996000004</v>
      </c>
      <c r="K9" s="19"/>
      <c r="L9" s="19"/>
      <c r="M9" s="19"/>
      <c r="N9" s="19"/>
      <c r="O9" s="19"/>
      <c r="P9" s="19">
        <f t="shared" si="0"/>
        <v>0</v>
      </c>
      <c r="Q9" s="19"/>
      <c r="R9" s="72" t="s">
        <v>46</v>
      </c>
      <c r="S9" s="73" t="s">
        <v>46</v>
      </c>
      <c r="T9" s="19">
        <v>1979422074.1458421</v>
      </c>
      <c r="U9" s="19">
        <v>249090.97106100002</v>
      </c>
      <c r="V9" s="19">
        <v>139306.77099999998</v>
      </c>
      <c r="W9" s="19">
        <v>1044350.537639</v>
      </c>
      <c r="X9" s="19">
        <v>1432748.2797000001</v>
      </c>
      <c r="Y9" s="19">
        <f>+VLOOKUP(R9,'2. Emissões Reportadas'!A:V,21,FALSE)</f>
        <v>1979.4220740000001</v>
      </c>
      <c r="Z9" s="19">
        <f>+VLOOKUP(R9,'2. Emissões Reportadas'!A:V,22,FALSE)</f>
        <v>1432748</v>
      </c>
    </row>
    <row r="10" spans="1:27" x14ac:dyDescent="0.25">
      <c r="A10" t="s">
        <v>57</v>
      </c>
      <c r="B10" t="s">
        <v>4505</v>
      </c>
      <c r="C10" t="s">
        <v>4505</v>
      </c>
      <c r="D10" t="s">
        <v>4497</v>
      </c>
      <c r="E10" t="s">
        <v>55</v>
      </c>
      <c r="F10">
        <v>0</v>
      </c>
      <c r="G10">
        <v>0</v>
      </c>
      <c r="H10" s="19">
        <v>-22779304.214881301</v>
      </c>
      <c r="I10" s="19">
        <v>539.52692400000001</v>
      </c>
      <c r="J10" s="19">
        <v>22779304.214866001</v>
      </c>
      <c r="K10" s="19">
        <v>84.697433000000004</v>
      </c>
      <c r="L10" s="19">
        <v>454.82949100000002</v>
      </c>
      <c r="M10" s="19"/>
      <c r="N10" s="19"/>
      <c r="O10" s="19"/>
      <c r="P10" s="19">
        <f t="shared" si="0"/>
        <v>0</v>
      </c>
      <c r="Q10" s="19"/>
      <c r="R10" s="72" t="s">
        <v>39</v>
      </c>
      <c r="S10" s="73" t="s">
        <v>39</v>
      </c>
      <c r="T10" s="19">
        <v>781085711.98576486</v>
      </c>
      <c r="U10" s="19">
        <v>322739.65305000002</v>
      </c>
      <c r="V10" s="19">
        <v>24282.343275000003</v>
      </c>
      <c r="W10" s="19">
        <v>607039.4940970001</v>
      </c>
      <c r="X10" s="19">
        <v>954061.49042200018</v>
      </c>
      <c r="Y10" s="19">
        <f>+VLOOKUP(R10,'2. Emissões Reportadas'!A:V,21,FALSE)</f>
        <v>781.08571199999994</v>
      </c>
      <c r="Z10" s="19">
        <f>+VLOOKUP(R10,'2. Emissões Reportadas'!A:V,22,FALSE)</f>
        <v>954062</v>
      </c>
    </row>
    <row r="11" spans="1:27" x14ac:dyDescent="0.25">
      <c r="A11" t="s">
        <v>57</v>
      </c>
      <c r="B11" t="s">
        <v>4498</v>
      </c>
      <c r="C11" t="s">
        <v>4497</v>
      </c>
      <c r="D11" t="s">
        <v>4497</v>
      </c>
      <c r="E11" t="s">
        <v>55</v>
      </c>
      <c r="F11">
        <v>0</v>
      </c>
      <c r="G11">
        <v>0</v>
      </c>
      <c r="H11" s="19">
        <v>-25286.05</v>
      </c>
      <c r="I11" s="19">
        <v>1.4752890000000001</v>
      </c>
      <c r="J11" s="19">
        <v>25286.05</v>
      </c>
      <c r="K11" s="19">
        <v>1.4752890000000001</v>
      </c>
      <c r="L11" s="19"/>
      <c r="M11" s="19"/>
      <c r="N11" s="19"/>
      <c r="O11" s="19"/>
      <c r="P11" s="19">
        <f t="shared" si="0"/>
        <v>0</v>
      </c>
      <c r="Q11" s="19"/>
      <c r="R11" s="72" t="s">
        <v>54</v>
      </c>
      <c r="S11" s="73" t="s">
        <v>54</v>
      </c>
      <c r="T11" s="19">
        <v>1063286751.0812352</v>
      </c>
      <c r="U11" s="19">
        <v>32368.439264999997</v>
      </c>
      <c r="V11" s="19">
        <v>70913.038431999987</v>
      </c>
      <c r="W11" s="19">
        <v>90094.080158000012</v>
      </c>
      <c r="X11" s="19">
        <v>193375.55785500002</v>
      </c>
      <c r="Y11" s="19">
        <f>+VLOOKUP(R11,'2. Emissões Reportadas'!A:V,21,FALSE)</f>
        <v>1063.2867510000001</v>
      </c>
      <c r="Z11" s="19">
        <f>+VLOOKUP(R11,'2. Emissões Reportadas'!A:V,22,FALSE)</f>
        <v>193375</v>
      </c>
    </row>
    <row r="12" spans="1:27" x14ac:dyDescent="0.25">
      <c r="A12" t="s">
        <v>57</v>
      </c>
      <c r="B12" t="s">
        <v>4498</v>
      </c>
      <c r="C12" t="s">
        <v>4498</v>
      </c>
      <c r="D12" t="s">
        <v>4497</v>
      </c>
      <c r="E12" t="s">
        <v>55</v>
      </c>
      <c r="F12">
        <v>0</v>
      </c>
      <c r="G12">
        <v>0</v>
      </c>
      <c r="H12" s="19">
        <v>-65727.709999999905</v>
      </c>
      <c r="I12" s="19">
        <v>2.6988599999999998</v>
      </c>
      <c r="J12" s="19">
        <v>65727.709998999999</v>
      </c>
      <c r="K12" s="19">
        <v>1.278572</v>
      </c>
      <c r="L12" s="19">
        <v>1.420288</v>
      </c>
      <c r="M12" s="19"/>
      <c r="N12" s="19"/>
      <c r="O12" s="19"/>
      <c r="P12" s="19">
        <f t="shared" si="0"/>
        <v>0</v>
      </c>
      <c r="Q12" s="19"/>
      <c r="R12" s="72" t="s">
        <v>49</v>
      </c>
      <c r="S12" s="75" t="s">
        <v>49</v>
      </c>
      <c r="T12" s="19">
        <v>112954924.73595701</v>
      </c>
      <c r="U12" s="19">
        <v>4628.3248999999996</v>
      </c>
      <c r="V12" s="19">
        <v>3073.8281550000002</v>
      </c>
      <c r="W12" s="19">
        <v>18004.535792999999</v>
      </c>
      <c r="X12" s="19">
        <v>25706.688848000002</v>
      </c>
      <c r="Y12" s="19"/>
      <c r="Z12" s="19"/>
    </row>
    <row r="13" spans="1:27" x14ac:dyDescent="0.25">
      <c r="A13" t="s">
        <v>57</v>
      </c>
      <c r="B13" t="s">
        <v>4504</v>
      </c>
      <c r="C13" t="s">
        <v>4504</v>
      </c>
      <c r="D13" t="s">
        <v>4504</v>
      </c>
      <c r="E13" t="s">
        <v>55</v>
      </c>
      <c r="F13">
        <v>0</v>
      </c>
      <c r="G13">
        <v>0</v>
      </c>
      <c r="H13" s="19">
        <v>-33133672.1599999</v>
      </c>
      <c r="I13" s="19">
        <v>60605.678462000003</v>
      </c>
      <c r="J13" s="19">
        <v>33133672.159961</v>
      </c>
      <c r="K13" s="19">
        <v>40931.534891000003</v>
      </c>
      <c r="L13" s="19">
        <v>3135.4949919999999</v>
      </c>
      <c r="M13" s="19">
        <v>16538.648579000001</v>
      </c>
      <c r="N13" s="19"/>
      <c r="O13" s="19"/>
      <c r="P13" s="19">
        <f t="shared" si="0"/>
        <v>0</v>
      </c>
      <c r="Q13" s="19">
        <v>1</v>
      </c>
      <c r="R13" s="72" t="s">
        <v>51</v>
      </c>
      <c r="S13" s="74" t="s">
        <v>51</v>
      </c>
      <c r="T13" s="19">
        <v>3460620.0499829999</v>
      </c>
      <c r="U13" s="19">
        <v>115.18347199999999</v>
      </c>
      <c r="V13" s="19">
        <v>128.90944999999999</v>
      </c>
      <c r="W13" s="19">
        <v>490.17355699999996</v>
      </c>
      <c r="X13" s="19">
        <v>734.26647899999989</v>
      </c>
      <c r="Y13" s="19">
        <f>+VLOOKUP(R13,'2. Emissões Reportadas'!A:V,21,FALSE)</f>
        <v>3.46062</v>
      </c>
      <c r="Z13" s="19">
        <f>+VLOOKUP(R13,'2. Emissões Reportadas'!A:V,22,FALSE)</f>
        <v>734</v>
      </c>
    </row>
    <row r="14" spans="1:27" x14ac:dyDescent="0.25">
      <c r="A14" t="s">
        <v>57</v>
      </c>
      <c r="B14" t="s">
        <v>4497</v>
      </c>
      <c r="C14" t="s">
        <v>4497</v>
      </c>
      <c r="D14" t="s">
        <v>4497</v>
      </c>
      <c r="E14" t="s">
        <v>55</v>
      </c>
      <c r="F14">
        <v>0</v>
      </c>
      <c r="G14">
        <v>0</v>
      </c>
      <c r="H14" s="19">
        <v>-203068.94543103399</v>
      </c>
      <c r="I14" s="19">
        <v>0</v>
      </c>
      <c r="J14" s="19">
        <v>203068.94540299999</v>
      </c>
      <c r="K14" s="19"/>
      <c r="L14" s="19"/>
      <c r="M14" s="19"/>
      <c r="N14" s="19"/>
      <c r="O14" s="19"/>
      <c r="P14" s="19">
        <f t="shared" si="0"/>
        <v>0</v>
      </c>
      <c r="Q14" s="19"/>
      <c r="R14" s="72" t="s">
        <v>47</v>
      </c>
      <c r="S14" s="73" t="s">
        <v>47</v>
      </c>
      <c r="T14" s="19">
        <v>1171231095.4948747</v>
      </c>
      <c r="U14" s="19">
        <v>19430.251498000001</v>
      </c>
      <c r="V14" s="19">
        <v>80937.152663999994</v>
      </c>
      <c r="W14" s="19">
        <v>14579.583479000001</v>
      </c>
      <c r="X14" s="19">
        <v>114946.987641</v>
      </c>
      <c r="Y14" s="19">
        <f>+VLOOKUP(R14,'2. Emissões Reportadas'!A:V,21,FALSE)</f>
        <v>1171.231096</v>
      </c>
      <c r="Z14" s="19">
        <f>+VLOOKUP(R14,'2. Emissões Reportadas'!A:V,22,FALSE)</f>
        <v>114947</v>
      </c>
    </row>
    <row r="15" spans="1:27" x14ac:dyDescent="0.25">
      <c r="A15" t="s">
        <v>57</v>
      </c>
      <c r="B15" t="s">
        <v>4506</v>
      </c>
      <c r="C15" t="s">
        <v>4506</v>
      </c>
      <c r="D15" t="s">
        <v>4506</v>
      </c>
      <c r="E15" t="s">
        <v>55</v>
      </c>
      <c r="F15">
        <v>0</v>
      </c>
      <c r="G15">
        <v>0</v>
      </c>
      <c r="H15" s="19">
        <v>-189242063.61999899</v>
      </c>
      <c r="I15" s="19">
        <v>294543.887223</v>
      </c>
      <c r="J15" s="19">
        <v>189242063.619854</v>
      </c>
      <c r="K15" s="19">
        <v>198927.34003600001</v>
      </c>
      <c r="L15" s="19">
        <v>15238.544193</v>
      </c>
      <c r="M15" s="19">
        <v>80378.002993999995</v>
      </c>
      <c r="N15" s="19"/>
      <c r="O15" s="19"/>
      <c r="P15" s="19">
        <f t="shared" si="0"/>
        <v>0</v>
      </c>
      <c r="Q15" s="19"/>
      <c r="R15" s="72" t="s">
        <v>41</v>
      </c>
      <c r="S15" s="75" t="s">
        <v>41</v>
      </c>
      <c r="T15" s="19">
        <v>1970049988.0411792</v>
      </c>
      <c r="U15" s="19">
        <v>19976.769545000003</v>
      </c>
      <c r="V15" s="19">
        <v>58503.303765000004</v>
      </c>
      <c r="W15" s="19">
        <v>506257.22808799992</v>
      </c>
      <c r="X15" s="19">
        <v>584737.30139799998</v>
      </c>
      <c r="Y15" s="77"/>
      <c r="Z15" s="19">
        <v>2988.6101779999999</v>
      </c>
      <c r="AA15" s="19">
        <v>814880</v>
      </c>
    </row>
    <row r="16" spans="1:27" x14ac:dyDescent="0.25">
      <c r="A16" t="s">
        <v>57</v>
      </c>
      <c r="B16" t="s">
        <v>4497</v>
      </c>
      <c r="C16" t="s">
        <v>4500</v>
      </c>
      <c r="D16" t="s">
        <v>4497</v>
      </c>
      <c r="E16" t="s">
        <v>55</v>
      </c>
      <c r="F16">
        <v>0</v>
      </c>
      <c r="G16">
        <v>0</v>
      </c>
      <c r="H16" s="19">
        <v>-561805.36999999895</v>
      </c>
      <c r="I16" s="19">
        <v>10.606774</v>
      </c>
      <c r="J16" s="19">
        <v>561805.36997899995</v>
      </c>
      <c r="K16" s="19"/>
      <c r="L16" s="19">
        <v>10.606774</v>
      </c>
      <c r="M16" s="19"/>
      <c r="N16" s="19"/>
      <c r="O16" s="19"/>
      <c r="P16" s="19">
        <f t="shared" si="0"/>
        <v>0</v>
      </c>
      <c r="Q16" s="19"/>
      <c r="R16" s="72" t="s">
        <v>48</v>
      </c>
      <c r="S16" s="75" t="s">
        <v>48</v>
      </c>
      <c r="T16" s="19">
        <v>353807745.67183203</v>
      </c>
      <c r="U16" s="19">
        <v>35735.337560999993</v>
      </c>
      <c r="V16" s="19">
        <v>7414.2076479999996</v>
      </c>
      <c r="W16" s="19">
        <v>50416.712609000002</v>
      </c>
      <c r="X16" s="19">
        <v>93566.257817999984</v>
      </c>
      <c r="Z16" s="19">
        <f>+SUM(GETPIVOTDATA("Sum of amount",$S$2,"nace","J"),T15:T23)</f>
        <v>2988610177.9371037</v>
      </c>
      <c r="AA16" s="19">
        <f>+SUM(GETPIVOTDATA("Sum of total",$S$2,"nace","J"),X15:X23)</f>
        <v>814880.63442699995</v>
      </c>
    </row>
    <row r="17" spans="1:24" x14ac:dyDescent="0.25">
      <c r="A17" t="s">
        <v>57</v>
      </c>
      <c r="B17" t="s">
        <v>4500</v>
      </c>
      <c r="C17" t="s">
        <v>4497</v>
      </c>
      <c r="D17" t="s">
        <v>4497</v>
      </c>
      <c r="E17" t="s">
        <v>55</v>
      </c>
      <c r="F17">
        <v>0</v>
      </c>
      <c r="G17">
        <v>0</v>
      </c>
      <c r="H17" s="19">
        <v>-2622249.29999999</v>
      </c>
      <c r="I17" s="19">
        <v>1529.5052129999999</v>
      </c>
      <c r="J17" s="19">
        <v>2622249.299875</v>
      </c>
      <c r="K17" s="19">
        <v>1529.5052129999999</v>
      </c>
      <c r="L17" s="19"/>
      <c r="M17" s="19"/>
      <c r="N17" s="19"/>
      <c r="O17" s="19"/>
      <c r="P17" s="19">
        <f t="shared" si="0"/>
        <v>0</v>
      </c>
      <c r="Q17" s="19"/>
      <c r="R17" s="72" t="s">
        <v>56</v>
      </c>
      <c r="S17" s="75" t="s">
        <v>56</v>
      </c>
      <c r="T17" s="19">
        <v>25808809.189995002</v>
      </c>
      <c r="U17" s="19">
        <v>796.05704700000001</v>
      </c>
      <c r="V17" s="19">
        <v>131.55991500000002</v>
      </c>
      <c r="W17" s="19">
        <v>1440.0349529999999</v>
      </c>
      <c r="X17" s="19">
        <v>2367.6519149999999</v>
      </c>
    </row>
    <row r="18" spans="1:24" hidden="1" x14ac:dyDescent="0.25">
      <c r="A18" t="s">
        <v>45</v>
      </c>
      <c r="B18" t="s">
        <v>4506</v>
      </c>
      <c r="C18" t="s">
        <v>4506</v>
      </c>
      <c r="D18" t="s">
        <v>4506</v>
      </c>
      <c r="E18" t="s">
        <v>55</v>
      </c>
      <c r="F18">
        <v>0</v>
      </c>
      <c r="G18">
        <v>0</v>
      </c>
      <c r="H18" s="19">
        <v>-11141014.529999901</v>
      </c>
      <c r="I18" s="19">
        <v>15627.023573</v>
      </c>
      <c r="J18" s="19">
        <v>11141014.529973</v>
      </c>
      <c r="K18" s="19">
        <v>8855.4206250000007</v>
      </c>
      <c r="L18" s="19">
        <v>1072.375605</v>
      </c>
      <c r="M18" s="19">
        <v>5699.2273429999996</v>
      </c>
      <c r="N18" s="19"/>
      <c r="O18" s="19"/>
      <c r="P18" s="19">
        <f t="shared" si="0"/>
        <v>0</v>
      </c>
      <c r="Q18" s="19"/>
      <c r="R18" s="72" t="s">
        <v>44</v>
      </c>
      <c r="S18" s="75" t="s">
        <v>44</v>
      </c>
      <c r="T18" s="19">
        <v>61212833.489898004</v>
      </c>
      <c r="U18" s="19">
        <v>2524.3597749999999</v>
      </c>
      <c r="V18" s="19">
        <v>2043.8710779999994</v>
      </c>
      <c r="W18" s="19">
        <v>3561.74269</v>
      </c>
      <c r="X18" s="19">
        <v>8129.9735430000001</v>
      </c>
    </row>
    <row r="19" spans="1:24" hidden="1" x14ac:dyDescent="0.25">
      <c r="A19" t="s">
        <v>45</v>
      </c>
      <c r="B19" t="s">
        <v>4498</v>
      </c>
      <c r="C19" t="s">
        <v>4497</v>
      </c>
      <c r="D19" t="s">
        <v>4497</v>
      </c>
      <c r="E19" t="s">
        <v>55</v>
      </c>
      <c r="F19">
        <v>0</v>
      </c>
      <c r="G19">
        <v>0</v>
      </c>
      <c r="H19" s="19">
        <v>-2059.49999999999</v>
      </c>
      <c r="I19" s="19">
        <v>0.30334899999999998</v>
      </c>
      <c r="J19" s="19">
        <v>2059.4999990000001</v>
      </c>
      <c r="K19" s="19">
        <v>0.30334899999999998</v>
      </c>
      <c r="L19" s="19"/>
      <c r="M19" s="19"/>
      <c r="N19" s="19"/>
      <c r="O19" s="19"/>
      <c r="P19" s="19">
        <f t="shared" si="0"/>
        <v>0</v>
      </c>
      <c r="Q19" s="19"/>
      <c r="R19" s="72" t="s">
        <v>38</v>
      </c>
      <c r="S19" s="75" t="s">
        <v>38</v>
      </c>
      <c r="T19" s="19">
        <v>232901650.34868199</v>
      </c>
      <c r="U19" s="19">
        <v>13379.708449000002</v>
      </c>
      <c r="V19" s="19">
        <v>6944.3009309999998</v>
      </c>
      <c r="W19" s="19">
        <v>22193.313603999999</v>
      </c>
      <c r="X19" s="19">
        <v>42517.322984000006</v>
      </c>
    </row>
    <row r="20" spans="1:24" hidden="1" x14ac:dyDescent="0.25">
      <c r="A20" t="s">
        <v>45</v>
      </c>
      <c r="B20" t="s">
        <v>4500</v>
      </c>
      <c r="C20" t="s">
        <v>4497</v>
      </c>
      <c r="D20" t="s">
        <v>4497</v>
      </c>
      <c r="E20" t="s">
        <v>55</v>
      </c>
      <c r="F20">
        <v>0</v>
      </c>
      <c r="G20">
        <v>0</v>
      </c>
      <c r="H20" s="19">
        <v>-561375.10999999905</v>
      </c>
      <c r="I20" s="19">
        <v>287.60989999999998</v>
      </c>
      <c r="J20" s="19">
        <v>561375.10996899998</v>
      </c>
      <c r="K20" s="19">
        <v>287.60989999999998</v>
      </c>
      <c r="L20" s="19"/>
      <c r="M20" s="19"/>
      <c r="N20" s="19"/>
      <c r="O20" s="19"/>
      <c r="P20" s="19">
        <f t="shared" si="0"/>
        <v>0</v>
      </c>
      <c r="Q20" s="19"/>
      <c r="R20" s="72" t="s">
        <v>40</v>
      </c>
      <c r="S20" s="75" t="s">
        <v>40</v>
      </c>
      <c r="T20" s="19">
        <v>87565944.799767002</v>
      </c>
      <c r="U20" s="19">
        <v>9507.2265880000014</v>
      </c>
      <c r="V20" s="19">
        <v>22404.215825000003</v>
      </c>
      <c r="W20" s="19">
        <v>8885.7628879999993</v>
      </c>
      <c r="X20" s="19">
        <v>40797.205301000002</v>
      </c>
    </row>
    <row r="21" spans="1:24" hidden="1" x14ac:dyDescent="0.25">
      <c r="A21" t="s">
        <v>45</v>
      </c>
      <c r="B21" t="s">
        <v>4499</v>
      </c>
      <c r="C21" t="s">
        <v>4499</v>
      </c>
      <c r="D21" t="s">
        <v>4497</v>
      </c>
      <c r="E21" t="s">
        <v>55</v>
      </c>
      <c r="F21">
        <v>0</v>
      </c>
      <c r="G21">
        <v>0</v>
      </c>
      <c r="H21" s="19">
        <v>-171502.44999999899</v>
      </c>
      <c r="I21" s="19">
        <v>0</v>
      </c>
      <c r="J21" s="19">
        <v>171502.449995</v>
      </c>
      <c r="K21" s="19"/>
      <c r="L21" s="19"/>
      <c r="M21" s="19"/>
      <c r="N21" s="19"/>
      <c r="O21" s="19"/>
      <c r="P21" s="19">
        <f t="shared" si="0"/>
        <v>0</v>
      </c>
      <c r="Q21" s="19"/>
      <c r="R21" s="72" t="s">
        <v>59</v>
      </c>
      <c r="S21" s="75" t="s">
        <v>59</v>
      </c>
      <c r="T21" s="19">
        <v>37304851.719793998</v>
      </c>
      <c r="U21" s="19">
        <v>2590.9152109999995</v>
      </c>
      <c r="V21" s="19">
        <v>1280.835808</v>
      </c>
      <c r="W21" s="19">
        <v>5452.5174909999996</v>
      </c>
      <c r="X21" s="19">
        <v>9324.2685099999999</v>
      </c>
    </row>
    <row r="22" spans="1:24" hidden="1" x14ac:dyDescent="0.25">
      <c r="A22" t="s">
        <v>45</v>
      </c>
      <c r="B22" t="s">
        <v>4496</v>
      </c>
      <c r="C22" t="s">
        <v>4496</v>
      </c>
      <c r="D22" t="s">
        <v>4497</v>
      </c>
      <c r="E22" t="s">
        <v>55</v>
      </c>
      <c r="F22">
        <v>0</v>
      </c>
      <c r="G22">
        <v>0</v>
      </c>
      <c r="H22" s="19">
        <v>-1082136.1999999899</v>
      </c>
      <c r="I22" s="19">
        <v>20800.537668000001</v>
      </c>
      <c r="J22" s="19">
        <v>1082136.199849</v>
      </c>
      <c r="K22" s="19">
        <v>3265.7264879999998</v>
      </c>
      <c r="L22" s="19">
        <v>17534.811180000001</v>
      </c>
      <c r="M22" s="19"/>
      <c r="N22" s="19"/>
      <c r="O22" s="19"/>
      <c r="P22" s="19">
        <f t="shared" si="0"/>
        <v>0</v>
      </c>
      <c r="Q22" s="19"/>
      <c r="R22" s="72" t="s">
        <v>52</v>
      </c>
      <c r="S22" s="75" t="s">
        <v>52</v>
      </c>
      <c r="T22" s="19">
        <v>137710.57999999999</v>
      </c>
      <c r="U22" s="19">
        <v>5.8504490000000002</v>
      </c>
      <c r="V22" s="19">
        <v>1.0360389999999999</v>
      </c>
      <c r="W22" s="19">
        <v>10.620305999999999</v>
      </c>
      <c r="X22" s="19">
        <v>17.506793999999999</v>
      </c>
    </row>
    <row r="23" spans="1:24" hidden="1" x14ac:dyDescent="0.25">
      <c r="A23" t="s">
        <v>45</v>
      </c>
      <c r="B23" t="s">
        <v>4505</v>
      </c>
      <c r="C23" t="s">
        <v>4505</v>
      </c>
      <c r="D23" t="s">
        <v>4497</v>
      </c>
      <c r="E23" t="s">
        <v>55</v>
      </c>
      <c r="F23">
        <v>0</v>
      </c>
      <c r="G23">
        <v>0</v>
      </c>
      <c r="H23" s="19">
        <v>-30665.63</v>
      </c>
      <c r="I23" s="19">
        <v>1.894781</v>
      </c>
      <c r="J23" s="19">
        <v>30665.63</v>
      </c>
      <c r="K23" s="19">
        <v>0.29745100000000002</v>
      </c>
      <c r="L23" s="19">
        <v>1.5973299999999999</v>
      </c>
      <c r="M23" s="19"/>
      <c r="N23" s="19"/>
      <c r="O23" s="19"/>
      <c r="P23" s="19">
        <f t="shared" si="0"/>
        <v>0</v>
      </c>
      <c r="Q23" s="19"/>
      <c r="R23" s="72" t="s">
        <v>43</v>
      </c>
      <c r="S23" s="75" t="s">
        <v>43</v>
      </c>
      <c r="T23" s="19">
        <v>106865719.36</v>
      </c>
      <c r="U23" s="19">
        <v>2552.1080100000004</v>
      </c>
      <c r="V23" s="19">
        <v>415.68633400000004</v>
      </c>
      <c r="W23" s="19">
        <v>4748.6629719999992</v>
      </c>
      <c r="X23" s="19">
        <v>7716.457316</v>
      </c>
    </row>
    <row r="24" spans="1:24" hidden="1" x14ac:dyDescent="0.25">
      <c r="A24" t="s">
        <v>45</v>
      </c>
      <c r="B24" t="s">
        <v>4497</v>
      </c>
      <c r="C24" t="s">
        <v>4497</v>
      </c>
      <c r="D24" t="s">
        <v>4497</v>
      </c>
      <c r="E24" t="s">
        <v>55</v>
      </c>
      <c r="F24">
        <v>0</v>
      </c>
      <c r="G24">
        <v>0</v>
      </c>
      <c r="H24" s="19">
        <v>-23647.01</v>
      </c>
      <c r="I24" s="19">
        <v>0</v>
      </c>
      <c r="J24" s="19">
        <v>23647.009999000002</v>
      </c>
      <c r="K24" s="19"/>
      <c r="L24" s="19"/>
      <c r="M24" s="19"/>
      <c r="N24" s="19"/>
      <c r="O24" s="19"/>
      <c r="P24" s="19">
        <f t="shared" si="0"/>
        <v>0</v>
      </c>
      <c r="Q24" s="19"/>
      <c r="S24" s="71" t="s">
        <v>4515</v>
      </c>
      <c r="T24" s="19">
        <v>113017.05</v>
      </c>
      <c r="U24" s="19"/>
      <c r="V24" s="19"/>
      <c r="W24" s="19"/>
      <c r="X24" s="19">
        <v>0</v>
      </c>
    </row>
    <row r="25" spans="1:24" hidden="1" x14ac:dyDescent="0.25">
      <c r="A25" t="s">
        <v>45</v>
      </c>
      <c r="B25" t="s">
        <v>4504</v>
      </c>
      <c r="C25" t="s">
        <v>4504</v>
      </c>
      <c r="D25" t="s">
        <v>4504</v>
      </c>
      <c r="E25" t="s">
        <v>55</v>
      </c>
      <c r="F25">
        <v>0</v>
      </c>
      <c r="G25">
        <v>0</v>
      </c>
      <c r="H25" s="19">
        <v>-1030687.40999999</v>
      </c>
      <c r="I25" s="19">
        <v>1022.108007</v>
      </c>
      <c r="J25" s="19">
        <v>1030687.409997</v>
      </c>
      <c r="K25" s="19">
        <v>579.20165799999995</v>
      </c>
      <c r="L25" s="19">
        <v>70.140302000000005</v>
      </c>
      <c r="M25" s="19">
        <v>372.76604700000001</v>
      </c>
      <c r="N25" s="19"/>
      <c r="O25" s="19"/>
      <c r="P25" s="19">
        <f t="shared" si="0"/>
        <v>0</v>
      </c>
      <c r="Q25" s="19">
        <v>1</v>
      </c>
      <c r="S25" s="71" t="s">
        <v>4516</v>
      </c>
      <c r="T25" s="19">
        <v>12539424629.579355</v>
      </c>
      <c r="U25" s="19">
        <v>1678465.4586720001</v>
      </c>
      <c r="V25" s="19">
        <v>1327302.9679940001</v>
      </c>
      <c r="W25" s="19">
        <v>4510960.8263210002</v>
      </c>
      <c r="X25" s="19">
        <v>7516729.2529870011</v>
      </c>
    </row>
    <row r="26" spans="1:24" hidden="1" x14ac:dyDescent="0.25">
      <c r="A26" t="s">
        <v>45</v>
      </c>
      <c r="B26" t="s">
        <v>4497</v>
      </c>
      <c r="C26" t="s">
        <v>4500</v>
      </c>
      <c r="D26" t="s">
        <v>4497</v>
      </c>
      <c r="E26" t="s">
        <v>55</v>
      </c>
      <c r="F26">
        <v>0</v>
      </c>
      <c r="G26">
        <v>0</v>
      </c>
      <c r="H26" s="19">
        <v>-34713.199999999903</v>
      </c>
      <c r="I26" s="19">
        <v>0.88259799999999999</v>
      </c>
      <c r="J26" s="19">
        <v>34713.199996000003</v>
      </c>
      <c r="K26" s="19"/>
      <c r="L26" s="19">
        <v>0.88259799999999999</v>
      </c>
      <c r="M26" s="19"/>
      <c r="N26" s="19"/>
      <c r="O26" s="19"/>
      <c r="P26" s="19">
        <f t="shared" si="0"/>
        <v>0</v>
      </c>
      <c r="Q26" s="19"/>
    </row>
    <row r="27" spans="1:24" hidden="1" x14ac:dyDescent="0.25">
      <c r="A27" s="78" t="s">
        <v>45</v>
      </c>
      <c r="B27" s="78" t="s">
        <v>4502</v>
      </c>
      <c r="C27" s="78" t="s">
        <v>4507</v>
      </c>
      <c r="D27" s="78" t="s">
        <v>4502</v>
      </c>
      <c r="E27" s="78" t="s">
        <v>193</v>
      </c>
      <c r="F27" s="78">
        <v>0</v>
      </c>
      <c r="G27" s="78">
        <v>1</v>
      </c>
      <c r="H27" s="79">
        <v>-2059.86</v>
      </c>
      <c r="I27" s="79">
        <v>0</v>
      </c>
      <c r="J27" s="79">
        <v>2059.86</v>
      </c>
      <c r="K27" s="79">
        <v>0</v>
      </c>
      <c r="L27" s="79">
        <v>0</v>
      </c>
      <c r="M27" s="79">
        <v>0</v>
      </c>
      <c r="N27" s="79">
        <v>3726.86</v>
      </c>
      <c r="O27" s="79">
        <v>3726.86</v>
      </c>
      <c r="P27" s="19">
        <f t="shared" si="0"/>
        <v>0</v>
      </c>
      <c r="Q27" s="19"/>
    </row>
    <row r="28" spans="1:24" hidden="1" x14ac:dyDescent="0.25">
      <c r="A28" t="s">
        <v>45</v>
      </c>
      <c r="B28" t="s">
        <v>55</v>
      </c>
      <c r="C28" t="s">
        <v>55</v>
      </c>
      <c r="D28" t="s">
        <v>55</v>
      </c>
      <c r="E28" t="s">
        <v>55</v>
      </c>
      <c r="F28">
        <v>0</v>
      </c>
      <c r="G28">
        <v>0</v>
      </c>
      <c r="H28" s="19"/>
      <c r="I28" s="19">
        <v>0</v>
      </c>
      <c r="J28" s="19"/>
      <c r="K28" s="19"/>
      <c r="L28" s="19"/>
      <c r="M28" s="19"/>
      <c r="N28" s="19"/>
      <c r="O28" s="19"/>
      <c r="P28" s="19">
        <f t="shared" si="0"/>
        <v>0</v>
      </c>
      <c r="Q28" s="19"/>
    </row>
    <row r="29" spans="1:24" hidden="1" x14ac:dyDescent="0.25">
      <c r="A29" t="s">
        <v>45</v>
      </c>
      <c r="B29" t="s">
        <v>4503</v>
      </c>
      <c r="C29" t="s">
        <v>4503</v>
      </c>
      <c r="D29" t="s">
        <v>4497</v>
      </c>
      <c r="E29" t="s">
        <v>55</v>
      </c>
      <c r="F29">
        <v>0</v>
      </c>
      <c r="G29">
        <v>0</v>
      </c>
      <c r="H29" s="19">
        <v>-38897.24</v>
      </c>
      <c r="I29" s="19">
        <v>0.79528900000000002</v>
      </c>
      <c r="J29" s="19">
        <v>38897.24</v>
      </c>
      <c r="K29" s="19">
        <v>0.19658800000000001</v>
      </c>
      <c r="L29" s="19">
        <v>0.59870100000000004</v>
      </c>
      <c r="M29" s="19"/>
      <c r="N29" s="19"/>
      <c r="O29" s="19"/>
      <c r="P29" s="19">
        <f t="shared" si="0"/>
        <v>0</v>
      </c>
      <c r="Q29" s="19"/>
    </row>
    <row r="30" spans="1:24" hidden="1" x14ac:dyDescent="0.25">
      <c r="A30" t="s">
        <v>53</v>
      </c>
      <c r="B30" t="s">
        <v>4501</v>
      </c>
      <c r="C30" t="s">
        <v>4501</v>
      </c>
      <c r="D30" t="s">
        <v>4501</v>
      </c>
      <c r="E30" t="s">
        <v>64</v>
      </c>
      <c r="F30">
        <v>0</v>
      </c>
      <c r="G30">
        <v>1</v>
      </c>
      <c r="H30" s="19">
        <v>-205480.94999999899</v>
      </c>
      <c r="I30" s="19">
        <v>532.66561200000001</v>
      </c>
      <c r="J30" s="19">
        <v>205480.949998</v>
      </c>
      <c r="K30" s="19">
        <v>18.034452000000002</v>
      </c>
      <c r="L30" s="19">
        <v>7.7834640000000004</v>
      </c>
      <c r="M30" s="19">
        <v>506.84769599999998</v>
      </c>
      <c r="N30" s="19">
        <v>43710.6</v>
      </c>
      <c r="O30" s="19">
        <v>43710.6</v>
      </c>
      <c r="P30" s="19">
        <f t="shared" si="0"/>
        <v>0</v>
      </c>
      <c r="Q30" s="19"/>
    </row>
    <row r="31" spans="1:24" hidden="1" x14ac:dyDescent="0.25">
      <c r="A31" t="s">
        <v>53</v>
      </c>
      <c r="B31" t="s">
        <v>4497</v>
      </c>
      <c r="C31" t="s">
        <v>4500</v>
      </c>
      <c r="D31" t="s">
        <v>4497</v>
      </c>
      <c r="E31" t="s">
        <v>55</v>
      </c>
      <c r="F31">
        <v>0</v>
      </c>
      <c r="G31">
        <v>0</v>
      </c>
      <c r="H31" s="19">
        <v>-7313055.6499999901</v>
      </c>
      <c r="I31" s="19">
        <v>147.04917599999999</v>
      </c>
      <c r="J31" s="19">
        <v>7313055.649708</v>
      </c>
      <c r="K31" s="19"/>
      <c r="L31" s="19">
        <v>147.04917599999999</v>
      </c>
      <c r="M31" s="19"/>
      <c r="N31" s="19"/>
      <c r="O31" s="19"/>
      <c r="P31" s="19">
        <f t="shared" si="0"/>
        <v>0</v>
      </c>
      <c r="Q31" s="19"/>
    </row>
    <row r="32" spans="1:24" hidden="1" x14ac:dyDescent="0.25">
      <c r="A32" t="s">
        <v>53</v>
      </c>
      <c r="B32" t="s">
        <v>4501</v>
      </c>
      <c r="C32" t="s">
        <v>4501</v>
      </c>
      <c r="D32" t="s">
        <v>4502</v>
      </c>
      <c r="E32" t="s">
        <v>79</v>
      </c>
      <c r="F32">
        <v>0</v>
      </c>
      <c r="G32">
        <v>1</v>
      </c>
      <c r="H32" s="19">
        <v>-33735.81</v>
      </c>
      <c r="I32" s="19">
        <v>0</v>
      </c>
      <c r="J32" s="19">
        <v>33735.81</v>
      </c>
      <c r="K32" s="19">
        <v>0</v>
      </c>
      <c r="L32" s="19">
        <v>0</v>
      </c>
      <c r="M32" s="19">
        <v>0</v>
      </c>
      <c r="N32" s="19">
        <v>312450</v>
      </c>
      <c r="O32" s="19">
        <v>312450</v>
      </c>
      <c r="P32" s="19">
        <f t="shared" si="0"/>
        <v>0</v>
      </c>
      <c r="Q32" s="19"/>
    </row>
    <row r="33" spans="1:17" hidden="1" x14ac:dyDescent="0.25">
      <c r="A33" t="s">
        <v>53</v>
      </c>
      <c r="B33" t="s">
        <v>4501</v>
      </c>
      <c r="C33" t="s">
        <v>4501</v>
      </c>
      <c r="D33" t="s">
        <v>4502</v>
      </c>
      <c r="E33" t="s">
        <v>139</v>
      </c>
      <c r="F33">
        <v>0</v>
      </c>
      <c r="G33">
        <v>1</v>
      </c>
      <c r="H33" s="19">
        <v>-2545673.2400000002</v>
      </c>
      <c r="I33" s="19">
        <v>4523.1686669999999</v>
      </c>
      <c r="J33" s="19">
        <v>2545673.2400000002</v>
      </c>
      <c r="K33" s="19">
        <v>21.08</v>
      </c>
      <c r="L33" s="19">
        <v>84.438295999999994</v>
      </c>
      <c r="M33" s="19">
        <v>4417.6503709999997</v>
      </c>
      <c r="N33" s="19">
        <v>2666372</v>
      </c>
      <c r="O33" s="19">
        <v>2666372</v>
      </c>
      <c r="P33" s="19">
        <f t="shared" si="0"/>
        <v>0</v>
      </c>
      <c r="Q33" s="19"/>
    </row>
    <row r="34" spans="1:17" hidden="1" x14ac:dyDescent="0.25">
      <c r="A34" t="s">
        <v>53</v>
      </c>
      <c r="B34" t="s">
        <v>4505</v>
      </c>
      <c r="C34" t="s">
        <v>4505</v>
      </c>
      <c r="D34" t="s">
        <v>4497</v>
      </c>
      <c r="E34" t="s">
        <v>55</v>
      </c>
      <c r="F34">
        <v>0</v>
      </c>
      <c r="G34">
        <v>0</v>
      </c>
      <c r="H34" s="19">
        <v>-66716160.637297601</v>
      </c>
      <c r="I34" s="19">
        <v>5907.953966</v>
      </c>
      <c r="J34" s="19">
        <v>66716160.637244001</v>
      </c>
      <c r="K34" s="19">
        <v>927.45800099999997</v>
      </c>
      <c r="L34" s="19">
        <v>4980.4959650000001</v>
      </c>
      <c r="M34" s="19"/>
      <c r="N34" s="19"/>
      <c r="O34" s="19"/>
      <c r="P34" s="19">
        <f t="shared" si="0"/>
        <v>0</v>
      </c>
      <c r="Q34" s="19"/>
    </row>
    <row r="35" spans="1:17" hidden="1" x14ac:dyDescent="0.25">
      <c r="A35" t="s">
        <v>53</v>
      </c>
      <c r="B35" t="s">
        <v>4501</v>
      </c>
      <c r="C35" t="s">
        <v>4501</v>
      </c>
      <c r="D35" t="s">
        <v>4502</v>
      </c>
      <c r="E35" t="s">
        <v>63</v>
      </c>
      <c r="F35">
        <v>0</v>
      </c>
      <c r="G35">
        <v>1</v>
      </c>
      <c r="H35" s="19">
        <v>-13009.35</v>
      </c>
      <c r="I35" s="19">
        <v>0</v>
      </c>
      <c r="J35" s="19">
        <v>13009.35</v>
      </c>
      <c r="K35" s="19">
        <v>0</v>
      </c>
      <c r="L35" s="19">
        <v>0</v>
      </c>
      <c r="M35" s="19">
        <v>0</v>
      </c>
      <c r="N35" s="19">
        <v>222180</v>
      </c>
      <c r="O35" s="19">
        <v>222180</v>
      </c>
      <c r="P35" s="19">
        <f t="shared" si="0"/>
        <v>0</v>
      </c>
      <c r="Q35" s="19"/>
    </row>
    <row r="36" spans="1:17" hidden="1" x14ac:dyDescent="0.25">
      <c r="A36" t="s">
        <v>53</v>
      </c>
      <c r="B36" t="s">
        <v>4504</v>
      </c>
      <c r="C36" t="s">
        <v>4504</v>
      </c>
      <c r="D36" t="s">
        <v>4504</v>
      </c>
      <c r="E36" t="s">
        <v>55</v>
      </c>
      <c r="F36">
        <v>0</v>
      </c>
      <c r="G36">
        <v>0</v>
      </c>
      <c r="H36" s="19">
        <v>-266478986.36539799</v>
      </c>
      <c r="I36" s="19">
        <v>125298.085979</v>
      </c>
      <c r="J36" s="19">
        <v>266478986.36532199</v>
      </c>
      <c r="K36" s="19">
        <v>15813.029526</v>
      </c>
      <c r="L36" s="19">
        <v>6784.3711219999996</v>
      </c>
      <c r="M36" s="19">
        <v>102700.685331</v>
      </c>
      <c r="N36" s="19"/>
      <c r="O36" s="19"/>
      <c r="P36" s="19">
        <f t="shared" si="0"/>
        <v>0</v>
      </c>
      <c r="Q36" s="19">
        <v>1</v>
      </c>
    </row>
    <row r="37" spans="1:17" hidden="1" x14ac:dyDescent="0.25">
      <c r="A37" t="s">
        <v>53</v>
      </c>
      <c r="B37" t="s">
        <v>4501</v>
      </c>
      <c r="C37" t="s">
        <v>4501</v>
      </c>
      <c r="D37" t="s">
        <v>4502</v>
      </c>
      <c r="E37" t="s">
        <v>174</v>
      </c>
      <c r="F37">
        <v>0</v>
      </c>
      <c r="G37">
        <v>1</v>
      </c>
      <c r="H37" s="19">
        <v>-2833.17</v>
      </c>
      <c r="I37" s="19">
        <v>0</v>
      </c>
      <c r="J37" s="19">
        <v>2833.17</v>
      </c>
      <c r="K37" s="19">
        <v>0</v>
      </c>
      <c r="L37" s="19">
        <v>0</v>
      </c>
      <c r="M37" s="19">
        <v>0</v>
      </c>
      <c r="N37" s="19">
        <v>14618.7</v>
      </c>
      <c r="O37" s="19">
        <v>14618.7</v>
      </c>
      <c r="P37" s="19">
        <f t="shared" si="0"/>
        <v>0</v>
      </c>
      <c r="Q37" s="19"/>
    </row>
    <row r="38" spans="1:17" hidden="1" x14ac:dyDescent="0.25">
      <c r="A38" t="s">
        <v>53</v>
      </c>
      <c r="B38" t="s">
        <v>4501</v>
      </c>
      <c r="C38" t="s">
        <v>4501</v>
      </c>
      <c r="D38" t="s">
        <v>4501</v>
      </c>
      <c r="E38" t="s">
        <v>136</v>
      </c>
      <c r="F38">
        <v>0</v>
      </c>
      <c r="G38">
        <v>1</v>
      </c>
      <c r="H38" s="19">
        <v>-4223095.24</v>
      </c>
      <c r="I38" s="19">
        <v>1305.44622</v>
      </c>
      <c r="J38" s="19">
        <v>4223095.24</v>
      </c>
      <c r="K38" s="19">
        <v>42.106805000000001</v>
      </c>
      <c r="L38" s="19">
        <v>33.965425000000003</v>
      </c>
      <c r="M38" s="19">
        <v>1229.37399</v>
      </c>
      <c r="N38" s="19">
        <v>22164280.32</v>
      </c>
      <c r="O38" s="19">
        <v>22164280.32</v>
      </c>
      <c r="P38" s="19">
        <f t="shared" si="0"/>
        <v>0</v>
      </c>
      <c r="Q38" s="19"/>
    </row>
    <row r="39" spans="1:17" hidden="1" x14ac:dyDescent="0.25">
      <c r="A39" t="s">
        <v>53</v>
      </c>
      <c r="B39" t="s">
        <v>4501</v>
      </c>
      <c r="C39" t="s">
        <v>4501</v>
      </c>
      <c r="D39" t="s">
        <v>4502</v>
      </c>
      <c r="E39" t="s">
        <v>170</v>
      </c>
      <c r="F39">
        <v>0</v>
      </c>
      <c r="G39">
        <v>1</v>
      </c>
      <c r="H39" s="19">
        <v>-8255893.3399999999</v>
      </c>
      <c r="I39" s="19">
        <v>6584.1070870000003</v>
      </c>
      <c r="J39" s="19">
        <v>8255893.3399999999</v>
      </c>
      <c r="K39" s="19">
        <v>1380.31375</v>
      </c>
      <c r="L39" s="19">
        <v>797.68396499999994</v>
      </c>
      <c r="M39" s="19">
        <v>4406.1093719999999</v>
      </c>
      <c r="N39" s="19">
        <v>2525839.6800000002</v>
      </c>
      <c r="O39" s="19">
        <v>2525839.6800000002</v>
      </c>
      <c r="P39" s="19">
        <f t="shared" si="0"/>
        <v>0</v>
      </c>
      <c r="Q39" s="19"/>
    </row>
    <row r="40" spans="1:17" hidden="1" x14ac:dyDescent="0.25">
      <c r="A40" t="s">
        <v>53</v>
      </c>
      <c r="B40" t="s">
        <v>4496</v>
      </c>
      <c r="C40" t="s">
        <v>4496</v>
      </c>
      <c r="D40" t="s">
        <v>4497</v>
      </c>
      <c r="E40" t="s">
        <v>138</v>
      </c>
      <c r="F40">
        <v>0</v>
      </c>
      <c r="G40">
        <v>0</v>
      </c>
      <c r="H40" s="19">
        <v>-16112062.65</v>
      </c>
      <c r="I40" s="19">
        <v>771.29462000000001</v>
      </c>
      <c r="J40" s="19">
        <v>16112062.65</v>
      </c>
      <c r="K40" s="19">
        <v>121.08139199999999</v>
      </c>
      <c r="L40" s="19">
        <v>650.21322799999996</v>
      </c>
      <c r="M40" s="19"/>
      <c r="N40" s="19">
        <v>54608</v>
      </c>
      <c r="O40" s="19">
        <v>54608</v>
      </c>
      <c r="P40" s="19">
        <f t="shared" si="0"/>
        <v>0</v>
      </c>
      <c r="Q40" s="19"/>
    </row>
    <row r="41" spans="1:17" hidden="1" x14ac:dyDescent="0.25">
      <c r="A41" t="s">
        <v>53</v>
      </c>
      <c r="B41" t="s">
        <v>4503</v>
      </c>
      <c r="C41" t="s">
        <v>4503</v>
      </c>
      <c r="D41" t="s">
        <v>4497</v>
      </c>
      <c r="E41" t="s">
        <v>55</v>
      </c>
      <c r="F41">
        <v>0</v>
      </c>
      <c r="G41">
        <v>0</v>
      </c>
      <c r="H41" s="19">
        <v>-2600440.0064063701</v>
      </c>
      <c r="I41" s="19">
        <v>42.239578000000002</v>
      </c>
      <c r="J41" s="19">
        <v>2600440.0064030001</v>
      </c>
      <c r="K41" s="19">
        <v>12.641629999999999</v>
      </c>
      <c r="L41" s="19">
        <v>29.597947999999999</v>
      </c>
      <c r="M41" s="19"/>
      <c r="N41" s="19"/>
      <c r="O41" s="19"/>
      <c r="P41" s="19">
        <f t="shared" si="0"/>
        <v>0</v>
      </c>
      <c r="Q41" s="19"/>
    </row>
    <row r="42" spans="1:17" hidden="1" x14ac:dyDescent="0.25">
      <c r="A42" t="s">
        <v>53</v>
      </c>
      <c r="B42" t="s">
        <v>4502</v>
      </c>
      <c r="C42" t="s">
        <v>4507</v>
      </c>
      <c r="D42" t="s">
        <v>4502</v>
      </c>
      <c r="E42" t="s">
        <v>193</v>
      </c>
      <c r="F42">
        <v>0</v>
      </c>
      <c r="G42">
        <v>1</v>
      </c>
      <c r="H42" s="19">
        <v>-29895370.129999999</v>
      </c>
      <c r="I42" s="19">
        <v>76811.280024000007</v>
      </c>
      <c r="J42" s="19">
        <v>29895370.129999999</v>
      </c>
      <c r="K42" s="19">
        <v>45407.525695999997</v>
      </c>
      <c r="L42" s="19">
        <v>5828.5177990000002</v>
      </c>
      <c r="M42" s="19">
        <v>25575.236529000002</v>
      </c>
      <c r="N42" s="19">
        <v>637293.06000000006</v>
      </c>
      <c r="O42" s="19">
        <v>637293.06000000006</v>
      </c>
      <c r="P42" s="19">
        <f t="shared" si="0"/>
        <v>0</v>
      </c>
      <c r="Q42" s="19"/>
    </row>
    <row r="43" spans="1:17" hidden="1" x14ac:dyDescent="0.25">
      <c r="A43" t="s">
        <v>53</v>
      </c>
      <c r="B43" t="s">
        <v>4501</v>
      </c>
      <c r="C43" t="s">
        <v>4501</v>
      </c>
      <c r="D43" t="s">
        <v>4502</v>
      </c>
      <c r="E43" t="s">
        <v>141</v>
      </c>
      <c r="F43">
        <v>0</v>
      </c>
      <c r="G43">
        <v>1</v>
      </c>
      <c r="H43" s="19">
        <v>-9878.31</v>
      </c>
      <c r="I43" s="19">
        <v>15.650292</v>
      </c>
      <c r="J43" s="19">
        <v>9878.31</v>
      </c>
      <c r="K43" s="19">
        <v>0.51505500000000004</v>
      </c>
      <c r="L43" s="19">
        <v>0.30740099999999998</v>
      </c>
      <c r="M43" s="19">
        <v>14.827836</v>
      </c>
      <c r="N43" s="19">
        <v>8639.16</v>
      </c>
      <c r="O43" s="19">
        <v>8639.16</v>
      </c>
      <c r="P43" s="19">
        <f t="shared" si="0"/>
        <v>0</v>
      </c>
      <c r="Q43" s="19"/>
    </row>
    <row r="44" spans="1:17" hidden="1" x14ac:dyDescent="0.25">
      <c r="A44" t="s">
        <v>53</v>
      </c>
      <c r="B44" t="s">
        <v>4501</v>
      </c>
      <c r="C44" t="s">
        <v>4501</v>
      </c>
      <c r="D44" t="s">
        <v>4501</v>
      </c>
      <c r="E44" t="s">
        <v>171</v>
      </c>
      <c r="F44">
        <v>0</v>
      </c>
      <c r="G44">
        <v>1</v>
      </c>
      <c r="H44" s="19">
        <v>-615733.75</v>
      </c>
      <c r="I44" s="19">
        <v>0</v>
      </c>
      <c r="J44" s="19">
        <v>615733.75</v>
      </c>
      <c r="K44" s="19">
        <v>0</v>
      </c>
      <c r="L44" s="19">
        <v>0</v>
      </c>
      <c r="M44" s="19">
        <v>0</v>
      </c>
      <c r="N44" s="19">
        <v>8699782.6500000004</v>
      </c>
      <c r="O44" s="19">
        <v>8699782.6500000004</v>
      </c>
      <c r="P44" s="19">
        <f t="shared" si="0"/>
        <v>0</v>
      </c>
      <c r="Q44" s="19"/>
    </row>
    <row r="45" spans="1:17" hidden="1" x14ac:dyDescent="0.25">
      <c r="A45" t="s">
        <v>53</v>
      </c>
      <c r="B45" t="s">
        <v>4508</v>
      </c>
      <c r="C45" t="s">
        <v>4508</v>
      </c>
      <c r="D45" t="s">
        <v>4497</v>
      </c>
      <c r="E45" t="s">
        <v>55</v>
      </c>
      <c r="F45">
        <v>0</v>
      </c>
      <c r="G45">
        <v>0</v>
      </c>
      <c r="H45" s="19">
        <v>-42782.089999999902</v>
      </c>
      <c r="I45" s="19">
        <v>4.5050629999999998</v>
      </c>
      <c r="J45" s="19">
        <v>42782.089996000002</v>
      </c>
      <c r="K45" s="19">
        <v>4.4130320000000003</v>
      </c>
      <c r="L45" s="19">
        <v>9.2031000000000002E-2</v>
      </c>
      <c r="M45" s="19"/>
      <c r="N45" s="19"/>
      <c r="O45" s="19"/>
      <c r="P45" s="19">
        <f t="shared" si="0"/>
        <v>0</v>
      </c>
      <c r="Q45" s="19"/>
    </row>
    <row r="46" spans="1:17" hidden="1" x14ac:dyDescent="0.25">
      <c r="A46" t="s">
        <v>53</v>
      </c>
      <c r="B46" t="s">
        <v>4498</v>
      </c>
      <c r="C46" t="s">
        <v>4497</v>
      </c>
      <c r="D46" t="s">
        <v>4497</v>
      </c>
      <c r="E46" t="s">
        <v>55</v>
      </c>
      <c r="F46">
        <v>0</v>
      </c>
      <c r="G46">
        <v>0</v>
      </c>
      <c r="H46" s="19">
        <v>-869247.51999999897</v>
      </c>
      <c r="I46" s="19">
        <v>83.665757999999997</v>
      </c>
      <c r="J46" s="19">
        <v>869247.51997200004</v>
      </c>
      <c r="K46" s="19">
        <v>83.665757999999997</v>
      </c>
      <c r="L46" s="19"/>
      <c r="M46" s="19"/>
      <c r="N46" s="19"/>
      <c r="O46" s="19"/>
      <c r="P46" s="19">
        <f t="shared" si="0"/>
        <v>0</v>
      </c>
      <c r="Q46" s="19"/>
    </row>
    <row r="47" spans="1:17" hidden="1" x14ac:dyDescent="0.25">
      <c r="A47" t="s">
        <v>53</v>
      </c>
      <c r="B47" t="s">
        <v>4501</v>
      </c>
      <c r="C47" t="s">
        <v>4501</v>
      </c>
      <c r="D47" t="s">
        <v>4502</v>
      </c>
      <c r="E47" t="s">
        <v>199</v>
      </c>
      <c r="F47">
        <v>0</v>
      </c>
      <c r="G47">
        <v>1</v>
      </c>
      <c r="H47" s="19">
        <v>-35332.199999999997</v>
      </c>
      <c r="I47" s="19">
        <v>6.8953179999999996</v>
      </c>
      <c r="J47" s="19">
        <v>35332.199999999997</v>
      </c>
      <c r="K47" s="19">
        <v>2.5409790000000001</v>
      </c>
      <c r="L47" s="19">
        <v>0.74515600000000004</v>
      </c>
      <c r="M47" s="19">
        <v>3.6091829999999998</v>
      </c>
      <c r="N47" s="19">
        <v>184807.74</v>
      </c>
      <c r="O47" s="19">
        <v>184807.74</v>
      </c>
      <c r="P47" s="19">
        <f t="shared" si="0"/>
        <v>0</v>
      </c>
      <c r="Q47" s="19"/>
    </row>
    <row r="48" spans="1:17" hidden="1" x14ac:dyDescent="0.25">
      <c r="A48" t="s">
        <v>53</v>
      </c>
      <c r="B48" t="s">
        <v>4501</v>
      </c>
      <c r="C48" t="s">
        <v>4501</v>
      </c>
      <c r="D48" t="s">
        <v>4502</v>
      </c>
      <c r="E48" t="s">
        <v>198</v>
      </c>
      <c r="F48">
        <v>0</v>
      </c>
      <c r="G48">
        <v>1</v>
      </c>
      <c r="H48" s="19">
        <v>-109921.2</v>
      </c>
      <c r="I48" s="19">
        <v>185.63395499999999</v>
      </c>
      <c r="J48" s="19">
        <v>109921.2</v>
      </c>
      <c r="K48" s="19">
        <v>10.893689999999999</v>
      </c>
      <c r="L48" s="19">
        <v>10.06317</v>
      </c>
      <c r="M48" s="19">
        <v>164.67709500000001</v>
      </c>
      <c r="N48" s="19">
        <v>7185.51</v>
      </c>
      <c r="O48" s="19">
        <v>7185.51</v>
      </c>
      <c r="P48" s="19">
        <f t="shared" si="0"/>
        <v>0</v>
      </c>
      <c r="Q48" s="19"/>
    </row>
    <row r="49" spans="1:17" hidden="1" x14ac:dyDescent="0.25">
      <c r="A49" t="s">
        <v>53</v>
      </c>
      <c r="B49" t="s">
        <v>4501</v>
      </c>
      <c r="C49" t="s">
        <v>4501</v>
      </c>
      <c r="D49" t="s">
        <v>4502</v>
      </c>
      <c r="E49" t="s">
        <v>129</v>
      </c>
      <c r="F49">
        <v>0</v>
      </c>
      <c r="G49">
        <v>1</v>
      </c>
      <c r="H49" s="19">
        <v>-552014.46</v>
      </c>
      <c r="I49" s="19">
        <v>53.893101000000001</v>
      </c>
      <c r="J49" s="19">
        <v>552014.46</v>
      </c>
      <c r="K49" s="19">
        <v>0.46828799999999998</v>
      </c>
      <c r="L49" s="19">
        <v>0.48105300000000001</v>
      </c>
      <c r="M49" s="19">
        <v>52.943759999999997</v>
      </c>
      <c r="N49" s="19">
        <v>3237844.82</v>
      </c>
      <c r="O49" s="19">
        <v>3237844.82</v>
      </c>
      <c r="P49" s="19">
        <f t="shared" si="0"/>
        <v>0</v>
      </c>
      <c r="Q49" s="19"/>
    </row>
    <row r="50" spans="1:17" hidden="1" x14ac:dyDescent="0.25">
      <c r="A50" t="s">
        <v>53</v>
      </c>
      <c r="B50" t="s">
        <v>4497</v>
      </c>
      <c r="C50" t="s">
        <v>4497</v>
      </c>
      <c r="D50" t="s">
        <v>4497</v>
      </c>
      <c r="E50" t="s">
        <v>138</v>
      </c>
      <c r="F50">
        <v>0</v>
      </c>
      <c r="G50">
        <v>0</v>
      </c>
      <c r="H50" s="19">
        <v>-574.55999999999995</v>
      </c>
      <c r="I50" s="19">
        <v>0</v>
      </c>
      <c r="J50" s="19">
        <v>574.55999999999995</v>
      </c>
      <c r="K50" s="19"/>
      <c r="L50" s="19"/>
      <c r="M50" s="19"/>
      <c r="N50" s="19">
        <v>54608</v>
      </c>
      <c r="O50" s="19">
        <v>54608</v>
      </c>
      <c r="P50" s="19">
        <f t="shared" si="0"/>
        <v>0</v>
      </c>
      <c r="Q50" s="19"/>
    </row>
    <row r="51" spans="1:17" hidden="1" x14ac:dyDescent="0.25">
      <c r="A51" t="s">
        <v>53</v>
      </c>
      <c r="B51" t="s">
        <v>4500</v>
      </c>
      <c r="C51" t="s">
        <v>4500</v>
      </c>
      <c r="D51" t="s">
        <v>4497</v>
      </c>
      <c r="E51" t="s">
        <v>55</v>
      </c>
      <c r="F51">
        <v>0</v>
      </c>
      <c r="G51">
        <v>0</v>
      </c>
      <c r="H51" s="19">
        <v>-3340899.9399999902</v>
      </c>
      <c r="I51" s="19">
        <v>143.30720400000001</v>
      </c>
      <c r="J51" s="19">
        <v>3340899.9398989999</v>
      </c>
      <c r="K51" s="19">
        <v>75.954384000000005</v>
      </c>
      <c r="L51" s="19">
        <v>67.352819999999994</v>
      </c>
      <c r="M51" s="19"/>
      <c r="N51" s="19"/>
      <c r="O51" s="19"/>
      <c r="P51" s="19">
        <f t="shared" si="0"/>
        <v>0</v>
      </c>
      <c r="Q51" s="19"/>
    </row>
    <row r="52" spans="1:17" hidden="1" x14ac:dyDescent="0.25">
      <c r="A52" t="s">
        <v>53</v>
      </c>
      <c r="B52" t="s">
        <v>4500</v>
      </c>
      <c r="C52" t="s">
        <v>4497</v>
      </c>
      <c r="D52" t="s">
        <v>4497</v>
      </c>
      <c r="E52" t="s">
        <v>55</v>
      </c>
      <c r="F52">
        <v>0</v>
      </c>
      <c r="G52">
        <v>0</v>
      </c>
      <c r="H52" s="19">
        <v>-14526143.7999999</v>
      </c>
      <c r="I52" s="19">
        <v>2875.6208529999999</v>
      </c>
      <c r="J52" s="19">
        <v>14526143.799288001</v>
      </c>
      <c r="K52" s="19">
        <v>2875.6208529999999</v>
      </c>
      <c r="L52" s="19"/>
      <c r="M52" s="19"/>
      <c r="N52" s="19"/>
      <c r="O52" s="19"/>
      <c r="P52" s="19">
        <f t="shared" si="0"/>
        <v>0</v>
      </c>
      <c r="Q52" s="19"/>
    </row>
    <row r="53" spans="1:17" hidden="1" x14ac:dyDescent="0.25">
      <c r="A53" t="s">
        <v>53</v>
      </c>
      <c r="B53" t="s">
        <v>4498</v>
      </c>
      <c r="C53" t="s">
        <v>4498</v>
      </c>
      <c r="D53" t="s">
        <v>4497</v>
      </c>
      <c r="E53" t="s">
        <v>55</v>
      </c>
      <c r="F53">
        <v>0</v>
      </c>
      <c r="G53">
        <v>0</v>
      </c>
      <c r="H53" s="19">
        <v>-1086047.51999999</v>
      </c>
      <c r="I53" s="19">
        <v>39.480111000000001</v>
      </c>
      <c r="J53" s="19">
        <v>1086047.5199790001</v>
      </c>
      <c r="K53" s="19">
        <v>17.46405</v>
      </c>
      <c r="L53" s="19">
        <v>22.016061000000001</v>
      </c>
      <c r="M53" s="19"/>
      <c r="N53" s="19"/>
      <c r="O53" s="19"/>
      <c r="P53" s="19">
        <f t="shared" si="0"/>
        <v>0</v>
      </c>
      <c r="Q53" s="19"/>
    </row>
    <row r="54" spans="1:17" hidden="1" x14ac:dyDescent="0.25">
      <c r="A54" t="s">
        <v>53</v>
      </c>
      <c r="B54" t="s">
        <v>4506</v>
      </c>
      <c r="C54" t="s">
        <v>4506</v>
      </c>
      <c r="D54" t="s">
        <v>4506</v>
      </c>
      <c r="E54" t="s">
        <v>55</v>
      </c>
      <c r="F54">
        <v>0</v>
      </c>
      <c r="G54">
        <v>0</v>
      </c>
      <c r="H54" s="19">
        <v>-1652682996.8127601</v>
      </c>
      <c r="I54" s="19">
        <v>1384243.454496</v>
      </c>
      <c r="J54" s="19">
        <v>1652682996.8116701</v>
      </c>
      <c r="K54" s="19">
        <v>243993.59961999999</v>
      </c>
      <c r="L54" s="19">
        <v>92696.126216000004</v>
      </c>
      <c r="M54" s="19">
        <v>1047553.72866</v>
      </c>
      <c r="N54" s="19"/>
      <c r="O54" s="19"/>
      <c r="P54" s="19">
        <f t="shared" si="0"/>
        <v>0</v>
      </c>
      <c r="Q54" s="19"/>
    </row>
    <row r="55" spans="1:17" hidden="1" x14ac:dyDescent="0.25">
      <c r="A55" t="s">
        <v>53</v>
      </c>
      <c r="B55" t="s">
        <v>4501</v>
      </c>
      <c r="C55" t="s">
        <v>4501</v>
      </c>
      <c r="D55" t="s">
        <v>4502</v>
      </c>
      <c r="E55" t="s">
        <v>201</v>
      </c>
      <c r="F55">
        <v>0</v>
      </c>
      <c r="G55">
        <v>1</v>
      </c>
      <c r="H55" s="19">
        <v>-19865536.521903999</v>
      </c>
      <c r="I55" s="19">
        <v>13537.971608</v>
      </c>
      <c r="J55" s="19">
        <v>19865536.521903999</v>
      </c>
      <c r="K55" s="19">
        <v>103.725193</v>
      </c>
      <c r="L55" s="19">
        <v>1205.3607930000001</v>
      </c>
      <c r="M55" s="19">
        <v>12228.885622</v>
      </c>
      <c r="N55" s="19">
        <v>2855316</v>
      </c>
      <c r="O55" s="19">
        <v>2855316</v>
      </c>
      <c r="P55" s="19">
        <f t="shared" si="0"/>
        <v>0</v>
      </c>
      <c r="Q55" s="19"/>
    </row>
    <row r="56" spans="1:17" hidden="1" x14ac:dyDescent="0.25">
      <c r="A56" t="s">
        <v>53</v>
      </c>
      <c r="B56" t="s">
        <v>4496</v>
      </c>
      <c r="C56" t="s">
        <v>4496</v>
      </c>
      <c r="D56" t="s">
        <v>4497</v>
      </c>
      <c r="E56" t="s">
        <v>55</v>
      </c>
      <c r="F56">
        <v>0</v>
      </c>
      <c r="G56">
        <v>0</v>
      </c>
      <c r="H56" s="19">
        <v>-82759535.552441999</v>
      </c>
      <c r="I56" s="19">
        <v>74675.594759</v>
      </c>
      <c r="J56" s="19">
        <v>82759535.552384004</v>
      </c>
      <c r="K56" s="19">
        <v>12471.556693</v>
      </c>
      <c r="L56" s="19">
        <v>62204.038066000001</v>
      </c>
      <c r="M56" s="19"/>
      <c r="N56" s="19"/>
      <c r="O56" s="19"/>
      <c r="P56" s="19">
        <f t="shared" si="0"/>
        <v>0</v>
      </c>
      <c r="Q56" s="19"/>
    </row>
    <row r="57" spans="1:17" hidden="1" x14ac:dyDescent="0.25">
      <c r="A57" t="s">
        <v>53</v>
      </c>
      <c r="B57" t="s">
        <v>4501</v>
      </c>
      <c r="C57" t="s">
        <v>4501</v>
      </c>
      <c r="D57" t="s">
        <v>4502</v>
      </c>
      <c r="E57" t="s">
        <v>130</v>
      </c>
      <c r="F57">
        <v>0</v>
      </c>
      <c r="G57">
        <v>1</v>
      </c>
      <c r="H57" s="19">
        <v>-6737.5</v>
      </c>
      <c r="I57" s="19">
        <v>0</v>
      </c>
      <c r="J57" s="19">
        <v>6737.5</v>
      </c>
      <c r="K57" s="19">
        <v>0</v>
      </c>
      <c r="L57" s="19">
        <v>0</v>
      </c>
      <c r="M57" s="19">
        <v>0</v>
      </c>
      <c r="N57" s="19">
        <v>11262.25</v>
      </c>
      <c r="O57" s="19">
        <v>11262.25</v>
      </c>
      <c r="P57" s="19">
        <f t="shared" si="0"/>
        <v>0</v>
      </c>
      <c r="Q57" s="19"/>
    </row>
    <row r="58" spans="1:17" hidden="1" x14ac:dyDescent="0.25">
      <c r="A58" t="s">
        <v>53</v>
      </c>
      <c r="B58" t="s">
        <v>4501</v>
      </c>
      <c r="C58" t="s">
        <v>4501</v>
      </c>
      <c r="D58" t="s">
        <v>4502</v>
      </c>
      <c r="E58" t="s">
        <v>112</v>
      </c>
      <c r="F58">
        <v>0</v>
      </c>
      <c r="G58">
        <v>1</v>
      </c>
      <c r="H58" s="19">
        <v>-2200.27</v>
      </c>
      <c r="I58" s="19">
        <v>0</v>
      </c>
      <c r="J58" s="19">
        <v>2200.27</v>
      </c>
      <c r="K58" s="19">
        <v>0</v>
      </c>
      <c r="L58" s="19">
        <v>0</v>
      </c>
      <c r="M58" s="19">
        <v>0</v>
      </c>
      <c r="N58" s="19">
        <v>39451</v>
      </c>
      <c r="O58" s="19">
        <v>39451</v>
      </c>
      <c r="P58" s="19">
        <f t="shared" si="0"/>
        <v>0</v>
      </c>
      <c r="Q58" s="19"/>
    </row>
    <row r="59" spans="1:17" hidden="1" x14ac:dyDescent="0.25">
      <c r="A59" t="s">
        <v>53</v>
      </c>
      <c r="B59" t="s">
        <v>4501</v>
      </c>
      <c r="C59" t="s">
        <v>4501</v>
      </c>
      <c r="D59" t="s">
        <v>4502</v>
      </c>
      <c r="E59" t="s">
        <v>188</v>
      </c>
      <c r="F59">
        <v>0</v>
      </c>
      <c r="G59">
        <v>1</v>
      </c>
      <c r="H59" s="19">
        <v>-408462.9</v>
      </c>
      <c r="I59" s="19">
        <v>120.21218500000001</v>
      </c>
      <c r="J59" s="19">
        <v>408462.9</v>
      </c>
      <c r="K59" s="19">
        <v>3.8467519999999999</v>
      </c>
      <c r="L59" s="19">
        <v>3.946761</v>
      </c>
      <c r="M59" s="19">
        <v>112.418672</v>
      </c>
      <c r="N59" s="19">
        <v>960257</v>
      </c>
      <c r="O59" s="19">
        <v>960257</v>
      </c>
      <c r="P59" s="19">
        <f t="shared" si="0"/>
        <v>0</v>
      </c>
      <c r="Q59" s="19"/>
    </row>
    <row r="60" spans="1:17" hidden="1" x14ac:dyDescent="0.25">
      <c r="A60" t="s">
        <v>53</v>
      </c>
      <c r="B60" t="s">
        <v>4501</v>
      </c>
      <c r="C60" t="s">
        <v>4501</v>
      </c>
      <c r="D60" t="s">
        <v>4502</v>
      </c>
      <c r="E60" t="s">
        <v>143</v>
      </c>
      <c r="F60">
        <v>0</v>
      </c>
      <c r="G60">
        <v>1</v>
      </c>
      <c r="H60" s="19">
        <v>-41346.370000000003</v>
      </c>
      <c r="I60" s="19">
        <v>25.756481999999998</v>
      </c>
      <c r="J60" s="19">
        <v>41346.370000000003</v>
      </c>
      <c r="K60" s="19">
        <v>0.24254999999999999</v>
      </c>
      <c r="L60" s="19">
        <v>0.47494199999999998</v>
      </c>
      <c r="M60" s="19">
        <v>25.038989999999998</v>
      </c>
      <c r="N60" s="19">
        <v>18751.16</v>
      </c>
      <c r="O60" s="19">
        <v>18751.16</v>
      </c>
      <c r="P60" s="19">
        <f t="shared" si="0"/>
        <v>0</v>
      </c>
      <c r="Q60" s="19"/>
    </row>
    <row r="61" spans="1:17" hidden="1" x14ac:dyDescent="0.25">
      <c r="A61" t="s">
        <v>53</v>
      </c>
      <c r="B61" t="s">
        <v>4499</v>
      </c>
      <c r="C61" t="s">
        <v>4499</v>
      </c>
      <c r="D61" t="s">
        <v>4497</v>
      </c>
      <c r="E61" t="s">
        <v>55</v>
      </c>
      <c r="F61">
        <v>0</v>
      </c>
      <c r="G61">
        <v>0</v>
      </c>
      <c r="H61" s="19">
        <v>-213727.08999999901</v>
      </c>
      <c r="I61" s="19">
        <v>0</v>
      </c>
      <c r="J61" s="19">
        <v>213727.08999199999</v>
      </c>
      <c r="K61" s="19"/>
      <c r="L61" s="19"/>
      <c r="M61" s="19"/>
      <c r="N61" s="19"/>
      <c r="O61" s="19"/>
      <c r="P61" s="19">
        <f t="shared" si="0"/>
        <v>0</v>
      </c>
      <c r="Q61" s="19"/>
    </row>
    <row r="62" spans="1:17" hidden="1" x14ac:dyDescent="0.25">
      <c r="A62" t="s">
        <v>53</v>
      </c>
      <c r="B62" t="s">
        <v>4501</v>
      </c>
      <c r="C62" t="s">
        <v>4501</v>
      </c>
      <c r="D62" t="s">
        <v>4502</v>
      </c>
      <c r="E62" t="s">
        <v>185</v>
      </c>
      <c r="F62">
        <v>0</v>
      </c>
      <c r="G62">
        <v>1</v>
      </c>
      <c r="H62" s="19">
        <v>-4184.2</v>
      </c>
      <c r="I62" s="19">
        <v>0</v>
      </c>
      <c r="J62" s="19">
        <v>4184.2</v>
      </c>
      <c r="K62" s="19">
        <v>0</v>
      </c>
      <c r="L62" s="19">
        <v>0</v>
      </c>
      <c r="M62" s="19">
        <v>0</v>
      </c>
      <c r="N62" s="19">
        <v>255564</v>
      </c>
      <c r="O62" s="19">
        <v>255564</v>
      </c>
      <c r="P62" s="19">
        <f t="shared" si="0"/>
        <v>0</v>
      </c>
      <c r="Q62" s="19"/>
    </row>
    <row r="63" spans="1:17" hidden="1" x14ac:dyDescent="0.25">
      <c r="A63" t="s">
        <v>53</v>
      </c>
      <c r="B63" t="s">
        <v>4497</v>
      </c>
      <c r="C63" t="s">
        <v>4497</v>
      </c>
      <c r="D63" t="s">
        <v>4497</v>
      </c>
      <c r="E63" t="s">
        <v>55</v>
      </c>
      <c r="F63">
        <v>0</v>
      </c>
      <c r="G63">
        <v>0</v>
      </c>
      <c r="H63" s="19">
        <v>-1518171.2036279</v>
      </c>
      <c r="I63" s="19">
        <v>0</v>
      </c>
      <c r="J63" s="19">
        <v>1518171.2036210001</v>
      </c>
      <c r="K63" s="19"/>
      <c r="L63" s="19"/>
      <c r="M63" s="19"/>
      <c r="N63" s="19"/>
      <c r="O63" s="19"/>
      <c r="P63" s="19">
        <f t="shared" si="0"/>
        <v>0</v>
      </c>
      <c r="Q63" s="19"/>
    </row>
    <row r="64" spans="1:17" hidden="1" x14ac:dyDescent="0.25">
      <c r="A64" t="s">
        <v>53</v>
      </c>
      <c r="B64" t="s">
        <v>4497</v>
      </c>
      <c r="C64" t="s">
        <v>4497</v>
      </c>
      <c r="D64" t="s">
        <v>4497</v>
      </c>
      <c r="E64" t="s">
        <v>64</v>
      </c>
      <c r="F64">
        <v>0</v>
      </c>
      <c r="G64">
        <v>0</v>
      </c>
      <c r="H64" s="19">
        <v>-25.71</v>
      </c>
      <c r="I64" s="19">
        <v>0</v>
      </c>
      <c r="J64" s="19">
        <v>25.71</v>
      </c>
      <c r="K64" s="19"/>
      <c r="L64" s="19"/>
      <c r="M64" s="19"/>
      <c r="N64" s="19">
        <v>14570.2</v>
      </c>
      <c r="O64" s="19">
        <v>14570.2</v>
      </c>
      <c r="P64" s="19">
        <f t="shared" si="0"/>
        <v>0</v>
      </c>
      <c r="Q64" s="19"/>
    </row>
    <row r="65" spans="1:17" hidden="1" x14ac:dyDescent="0.25">
      <c r="A65" t="s">
        <v>53</v>
      </c>
      <c r="B65" t="s">
        <v>4501</v>
      </c>
      <c r="C65" t="s">
        <v>4501</v>
      </c>
      <c r="D65" t="s">
        <v>4501</v>
      </c>
      <c r="E65" t="s">
        <v>97</v>
      </c>
      <c r="F65">
        <v>0</v>
      </c>
      <c r="G65">
        <v>1</v>
      </c>
      <c r="H65" s="19">
        <v>-2243862.87</v>
      </c>
      <c r="I65" s="19">
        <v>3315.6493019999998</v>
      </c>
      <c r="J65" s="19">
        <v>2243862.87</v>
      </c>
      <c r="K65" s="19">
        <v>319.06038799999999</v>
      </c>
      <c r="L65" s="19">
        <v>98.721605999999994</v>
      </c>
      <c r="M65" s="19">
        <v>2897.8673079999999</v>
      </c>
      <c r="N65" s="19">
        <v>5178548</v>
      </c>
      <c r="O65" s="19">
        <v>5178548</v>
      </c>
      <c r="P65" s="19">
        <f t="shared" si="0"/>
        <v>0</v>
      </c>
      <c r="Q65" s="19"/>
    </row>
    <row r="66" spans="1:17" hidden="1" x14ac:dyDescent="0.25">
      <c r="A66" t="s">
        <v>53</v>
      </c>
      <c r="B66" t="s">
        <v>4501</v>
      </c>
      <c r="C66" t="s">
        <v>4501</v>
      </c>
      <c r="D66" t="s">
        <v>4502</v>
      </c>
      <c r="E66" t="s">
        <v>138</v>
      </c>
      <c r="F66">
        <v>0</v>
      </c>
      <c r="G66">
        <v>1</v>
      </c>
      <c r="H66" s="19">
        <v>-15978469.699999901</v>
      </c>
      <c r="I66" s="19">
        <v>14215.439283</v>
      </c>
      <c r="J66" s="19">
        <v>15978469.699997</v>
      </c>
      <c r="K66" s="19">
        <v>117.410797</v>
      </c>
      <c r="L66" s="19">
        <v>285.42430100000001</v>
      </c>
      <c r="M66" s="19">
        <v>13812.604185</v>
      </c>
      <c r="N66" s="19">
        <v>6662176</v>
      </c>
      <c r="O66" s="19">
        <v>6662176</v>
      </c>
      <c r="P66" s="19">
        <f t="shared" si="0"/>
        <v>0</v>
      </c>
      <c r="Q66" s="19"/>
    </row>
    <row r="67" spans="1:17" hidden="1" x14ac:dyDescent="0.25">
      <c r="A67" t="s">
        <v>53</v>
      </c>
      <c r="B67" t="s">
        <v>4497</v>
      </c>
      <c r="C67" t="s">
        <v>4498</v>
      </c>
      <c r="D67" t="s">
        <v>4497</v>
      </c>
      <c r="E67" t="s">
        <v>55</v>
      </c>
      <c r="F67">
        <v>0</v>
      </c>
      <c r="G67">
        <v>0</v>
      </c>
      <c r="H67" s="19">
        <v>-1061371.72999999</v>
      </c>
      <c r="I67" s="19">
        <v>22.407817999999999</v>
      </c>
      <c r="J67" s="19">
        <v>1061371.729966</v>
      </c>
      <c r="K67" s="19"/>
      <c r="L67" s="19">
        <v>22.407817999999999</v>
      </c>
      <c r="M67" s="19"/>
      <c r="N67" s="19"/>
      <c r="O67" s="19"/>
      <c r="P67" s="19">
        <f t="shared" si="0"/>
        <v>0</v>
      </c>
      <c r="Q67" s="19"/>
    </row>
    <row r="68" spans="1:17" hidden="1" x14ac:dyDescent="0.25">
      <c r="A68" t="s">
        <v>53</v>
      </c>
      <c r="B68" t="s">
        <v>4501</v>
      </c>
      <c r="C68" t="s">
        <v>4501</v>
      </c>
      <c r="D68" t="s">
        <v>4501</v>
      </c>
      <c r="E68" t="s">
        <v>186</v>
      </c>
      <c r="F68">
        <v>0</v>
      </c>
      <c r="G68">
        <v>1</v>
      </c>
      <c r="H68" s="19">
        <v>-2058850.04</v>
      </c>
      <c r="I68" s="19">
        <v>1371.527544</v>
      </c>
      <c r="J68" s="19">
        <v>2058850.04</v>
      </c>
      <c r="K68" s="19">
        <v>12.49827</v>
      </c>
      <c r="L68" s="19">
        <v>28.354212</v>
      </c>
      <c r="M68" s="19">
        <v>1330.675062</v>
      </c>
      <c r="N68" s="19">
        <v>2192905</v>
      </c>
      <c r="O68" s="19">
        <v>2192905</v>
      </c>
      <c r="P68" s="19">
        <f t="shared" ref="P68:P131" si="1">+O68-N68</f>
        <v>0</v>
      </c>
      <c r="Q68" s="19"/>
    </row>
    <row r="69" spans="1:17" hidden="1" x14ac:dyDescent="0.25">
      <c r="A69" t="s">
        <v>53</v>
      </c>
      <c r="B69" t="s">
        <v>4501</v>
      </c>
      <c r="C69" t="s">
        <v>4501</v>
      </c>
      <c r="D69" t="s">
        <v>4502</v>
      </c>
      <c r="E69" t="s">
        <v>120</v>
      </c>
      <c r="F69">
        <v>0</v>
      </c>
      <c r="G69">
        <v>1</v>
      </c>
      <c r="H69" s="19">
        <v>-191126.27</v>
      </c>
      <c r="I69" s="19">
        <v>96.967112999999998</v>
      </c>
      <c r="J69" s="19">
        <v>191126.27</v>
      </c>
      <c r="K69" s="19">
        <v>3.2368960000000002</v>
      </c>
      <c r="L69" s="19">
        <v>17.311264000000001</v>
      </c>
      <c r="M69" s="19">
        <v>76.418953000000002</v>
      </c>
      <c r="N69" s="19">
        <v>123216.36</v>
      </c>
      <c r="O69" s="19">
        <v>123216.36</v>
      </c>
      <c r="P69" s="19">
        <f t="shared" si="1"/>
        <v>0</v>
      </c>
      <c r="Q69" s="19"/>
    </row>
    <row r="70" spans="1:17" hidden="1" x14ac:dyDescent="0.25">
      <c r="A70" t="s">
        <v>53</v>
      </c>
      <c r="B70" t="s">
        <v>4501</v>
      </c>
      <c r="C70" t="s">
        <v>4501</v>
      </c>
      <c r="D70" t="s">
        <v>4502</v>
      </c>
      <c r="E70" t="s">
        <v>100</v>
      </c>
      <c r="F70">
        <v>0</v>
      </c>
      <c r="G70">
        <v>1</v>
      </c>
      <c r="H70" s="19">
        <v>-89738.23</v>
      </c>
      <c r="I70" s="19">
        <v>3.6923080000000001</v>
      </c>
      <c r="J70" s="19">
        <v>89738.23</v>
      </c>
      <c r="K70" s="19">
        <v>0.10845299999999999</v>
      </c>
      <c r="L70" s="19">
        <v>0.70480399999999999</v>
      </c>
      <c r="M70" s="19">
        <v>2.879051</v>
      </c>
      <c r="N70" s="19">
        <v>596398</v>
      </c>
      <c r="O70" s="19">
        <v>596398</v>
      </c>
      <c r="P70" s="19">
        <f t="shared" si="1"/>
        <v>0</v>
      </c>
      <c r="Q70" s="19"/>
    </row>
    <row r="71" spans="1:17" hidden="1" x14ac:dyDescent="0.25">
      <c r="A71" t="s">
        <v>53</v>
      </c>
      <c r="B71" t="s">
        <v>4501</v>
      </c>
      <c r="C71" t="s">
        <v>4501</v>
      </c>
      <c r="D71" t="s">
        <v>4502</v>
      </c>
      <c r="E71" t="s">
        <v>192</v>
      </c>
      <c r="F71">
        <v>0</v>
      </c>
      <c r="G71">
        <v>1</v>
      </c>
      <c r="H71" s="19">
        <v>-221016.19</v>
      </c>
      <c r="I71" s="19">
        <v>13.026574</v>
      </c>
      <c r="J71" s="19">
        <v>221016.19</v>
      </c>
      <c r="K71" s="19">
        <v>1.12521</v>
      </c>
      <c r="L71" s="19">
        <v>1.7970379999999999</v>
      </c>
      <c r="M71" s="19">
        <v>10.104326</v>
      </c>
      <c r="N71" s="19">
        <v>440271</v>
      </c>
      <c r="O71" s="19">
        <v>440271</v>
      </c>
      <c r="P71" s="19">
        <f t="shared" si="1"/>
        <v>0</v>
      </c>
      <c r="Q71" s="19"/>
    </row>
    <row r="72" spans="1:17" hidden="1" x14ac:dyDescent="0.25">
      <c r="A72" t="s">
        <v>53</v>
      </c>
      <c r="B72" t="s">
        <v>4501</v>
      </c>
      <c r="C72" t="s">
        <v>4507</v>
      </c>
      <c r="D72" t="s">
        <v>4502</v>
      </c>
      <c r="E72" t="s">
        <v>132</v>
      </c>
      <c r="F72">
        <v>0</v>
      </c>
      <c r="G72">
        <v>1</v>
      </c>
      <c r="H72" s="19">
        <v>-106287.82</v>
      </c>
      <c r="I72" s="19">
        <v>123.121371</v>
      </c>
      <c r="J72" s="19">
        <v>106287.82</v>
      </c>
      <c r="K72" s="19">
        <v>53.586278</v>
      </c>
      <c r="L72" s="19">
        <v>8.0697840000000003</v>
      </c>
      <c r="M72" s="19">
        <v>61.465308999999998</v>
      </c>
      <c r="N72" s="19">
        <v>11921.98</v>
      </c>
      <c r="O72" s="19">
        <v>11921.98</v>
      </c>
      <c r="P72" s="19">
        <f t="shared" si="1"/>
        <v>0</v>
      </c>
      <c r="Q72" s="19"/>
    </row>
    <row r="73" spans="1:17" hidden="1" x14ac:dyDescent="0.25">
      <c r="A73" t="s">
        <v>53</v>
      </c>
      <c r="B73" t="s">
        <v>4501</v>
      </c>
      <c r="C73" t="s">
        <v>4501</v>
      </c>
      <c r="D73" t="s">
        <v>4502</v>
      </c>
      <c r="E73" t="s">
        <v>74</v>
      </c>
      <c r="F73">
        <v>0</v>
      </c>
      <c r="G73">
        <v>1</v>
      </c>
      <c r="H73" s="19">
        <v>-1775938.9</v>
      </c>
      <c r="I73" s="19">
        <v>124.78715800000001</v>
      </c>
      <c r="J73" s="19">
        <v>1775938.9</v>
      </c>
      <c r="K73" s="19">
        <v>0.87610900000000003</v>
      </c>
      <c r="L73" s="19">
        <v>5.1059580000000002</v>
      </c>
      <c r="M73" s="19">
        <v>118.805091</v>
      </c>
      <c r="N73" s="19">
        <v>7299006</v>
      </c>
      <c r="O73" s="19">
        <v>7299006</v>
      </c>
      <c r="P73" s="19">
        <f t="shared" si="1"/>
        <v>0</v>
      </c>
      <c r="Q73" s="19"/>
    </row>
    <row r="74" spans="1:17" hidden="1" x14ac:dyDescent="0.25">
      <c r="A74" t="s">
        <v>53</v>
      </c>
      <c r="B74" t="s">
        <v>55</v>
      </c>
      <c r="C74" t="s">
        <v>55</v>
      </c>
      <c r="D74" t="s">
        <v>55</v>
      </c>
      <c r="E74" t="s">
        <v>55</v>
      </c>
      <c r="F74">
        <v>0</v>
      </c>
      <c r="G74">
        <v>0</v>
      </c>
      <c r="H74" s="19"/>
      <c r="I74" s="19">
        <v>0</v>
      </c>
      <c r="J74" s="19"/>
      <c r="K74" s="19"/>
      <c r="L74" s="19"/>
      <c r="M74" s="19"/>
      <c r="N74" s="19"/>
      <c r="O74" s="19"/>
      <c r="P74" s="19">
        <f t="shared" si="1"/>
        <v>0</v>
      </c>
      <c r="Q74" s="19"/>
    </row>
    <row r="75" spans="1:17" hidden="1" x14ac:dyDescent="0.25">
      <c r="A75" t="s">
        <v>53</v>
      </c>
      <c r="B75" t="s">
        <v>4501</v>
      </c>
      <c r="C75" t="s">
        <v>4501</v>
      </c>
      <c r="D75" t="s">
        <v>4502</v>
      </c>
      <c r="E75" t="s">
        <v>85</v>
      </c>
      <c r="F75">
        <v>0</v>
      </c>
      <c r="G75">
        <v>1</v>
      </c>
      <c r="H75" s="19">
        <v>-103258236.73</v>
      </c>
      <c r="I75" s="19">
        <v>357713.56942700001</v>
      </c>
      <c r="J75" s="19">
        <v>103258236.73</v>
      </c>
      <c r="K75" s="19">
        <v>749.57238099999995</v>
      </c>
      <c r="L75" s="19">
        <v>322.26981499999999</v>
      </c>
      <c r="M75" s="19">
        <v>356641.72723100003</v>
      </c>
      <c r="N75" s="19">
        <v>28649.35</v>
      </c>
      <c r="O75" s="19">
        <v>28649.35</v>
      </c>
      <c r="P75" s="19">
        <f t="shared" si="1"/>
        <v>0</v>
      </c>
      <c r="Q75" s="19"/>
    </row>
    <row r="76" spans="1:17" hidden="1" x14ac:dyDescent="0.25">
      <c r="A76" t="s">
        <v>53</v>
      </c>
      <c r="B76" t="s">
        <v>4499</v>
      </c>
      <c r="C76" t="s">
        <v>4499</v>
      </c>
      <c r="D76" t="s">
        <v>4499</v>
      </c>
      <c r="E76" t="s">
        <v>55</v>
      </c>
      <c r="F76">
        <v>0</v>
      </c>
      <c r="G76">
        <v>0</v>
      </c>
      <c r="H76" s="19">
        <v>-1503093.01</v>
      </c>
      <c r="I76" s="19">
        <v>0</v>
      </c>
      <c r="J76" s="19">
        <v>1503093.01</v>
      </c>
      <c r="K76" s="19"/>
      <c r="L76" s="19"/>
      <c r="M76" s="19"/>
      <c r="N76" s="19"/>
      <c r="O76" s="19"/>
      <c r="P76" s="19">
        <f t="shared" si="1"/>
        <v>0</v>
      </c>
      <c r="Q76" s="19"/>
    </row>
    <row r="77" spans="1:17" hidden="1" x14ac:dyDescent="0.25">
      <c r="A77" t="s">
        <v>53</v>
      </c>
      <c r="B77" t="s">
        <v>4501</v>
      </c>
      <c r="C77" t="s">
        <v>4501</v>
      </c>
      <c r="D77" t="s">
        <v>4502</v>
      </c>
      <c r="E77" t="s">
        <v>177</v>
      </c>
      <c r="F77">
        <v>0</v>
      </c>
      <c r="G77">
        <v>1</v>
      </c>
      <c r="H77" s="19">
        <v>-50379.05</v>
      </c>
      <c r="I77" s="19">
        <v>225.999574</v>
      </c>
      <c r="J77" s="19">
        <v>50379.05</v>
      </c>
      <c r="K77" s="19">
        <v>0.54864000000000002</v>
      </c>
      <c r="L77" s="19">
        <v>0.85065999999999997</v>
      </c>
      <c r="M77" s="19">
        <v>224.60027400000001</v>
      </c>
      <c r="N77" s="19">
        <v>21426.5</v>
      </c>
      <c r="O77" s="19">
        <v>21426.5</v>
      </c>
      <c r="P77" s="19">
        <f t="shared" si="1"/>
        <v>0</v>
      </c>
      <c r="Q77" s="19"/>
    </row>
    <row r="78" spans="1:17" hidden="1" x14ac:dyDescent="0.25">
      <c r="A78" t="s">
        <v>53</v>
      </c>
      <c r="B78" t="s">
        <v>4501</v>
      </c>
      <c r="C78" t="s">
        <v>4501</v>
      </c>
      <c r="D78" t="s">
        <v>4502</v>
      </c>
      <c r="E78" t="s">
        <v>196</v>
      </c>
      <c r="F78">
        <v>0</v>
      </c>
      <c r="G78">
        <v>1</v>
      </c>
      <c r="H78" s="19">
        <v>-30117.64</v>
      </c>
      <c r="I78" s="19">
        <v>0</v>
      </c>
      <c r="J78" s="19">
        <v>30117.64</v>
      </c>
      <c r="K78" s="19">
        <v>0</v>
      </c>
      <c r="L78" s="19">
        <v>0</v>
      </c>
      <c r="M78" s="19">
        <v>0</v>
      </c>
      <c r="N78" s="19">
        <v>147298.68</v>
      </c>
      <c r="O78" s="19">
        <v>147298.68</v>
      </c>
      <c r="P78" s="19">
        <f t="shared" si="1"/>
        <v>0</v>
      </c>
      <c r="Q78" s="19"/>
    </row>
    <row r="79" spans="1:17" hidden="1" x14ac:dyDescent="0.25">
      <c r="A79" t="s">
        <v>42</v>
      </c>
      <c r="B79" t="s">
        <v>4501</v>
      </c>
      <c r="C79" t="s">
        <v>4501</v>
      </c>
      <c r="D79" t="s">
        <v>4502</v>
      </c>
      <c r="E79" t="s">
        <v>23</v>
      </c>
      <c r="F79">
        <v>0</v>
      </c>
      <c r="G79">
        <v>1</v>
      </c>
      <c r="H79" s="19">
        <v>-1579.15</v>
      </c>
      <c r="I79" s="19">
        <v>0</v>
      </c>
      <c r="J79" s="19">
        <v>1579.15</v>
      </c>
      <c r="K79" s="19">
        <v>0</v>
      </c>
      <c r="L79" s="19">
        <v>0</v>
      </c>
      <c r="M79" s="19">
        <v>0</v>
      </c>
      <c r="N79" s="19">
        <v>121004</v>
      </c>
      <c r="O79" s="19">
        <v>121004</v>
      </c>
      <c r="P79" s="19">
        <f t="shared" si="1"/>
        <v>0</v>
      </c>
      <c r="Q79" s="19"/>
    </row>
    <row r="80" spans="1:17" hidden="1" x14ac:dyDescent="0.25">
      <c r="A80" t="s">
        <v>42</v>
      </c>
      <c r="B80" t="s">
        <v>4504</v>
      </c>
      <c r="C80" t="s">
        <v>4504</v>
      </c>
      <c r="D80" t="s">
        <v>4504</v>
      </c>
      <c r="E80" t="s">
        <v>55</v>
      </c>
      <c r="F80">
        <v>0</v>
      </c>
      <c r="G80">
        <v>0</v>
      </c>
      <c r="H80" s="19">
        <v>-145142411.55000001</v>
      </c>
      <c r="I80" s="19">
        <v>121033.444516</v>
      </c>
      <c r="J80" s="19">
        <v>145142411.55000001</v>
      </c>
      <c r="K80" s="19">
        <v>89814.419789000007</v>
      </c>
      <c r="L80" s="19">
        <v>3334.362349</v>
      </c>
      <c r="M80" s="19">
        <v>27884.662378000001</v>
      </c>
      <c r="N80" s="19"/>
      <c r="O80" s="19"/>
      <c r="P80" s="19">
        <f t="shared" si="1"/>
        <v>0</v>
      </c>
      <c r="Q80" s="19">
        <v>1</v>
      </c>
    </row>
    <row r="81" spans="1:17" hidden="1" x14ac:dyDescent="0.25">
      <c r="A81" t="s">
        <v>42</v>
      </c>
      <c r="B81" t="s">
        <v>4497</v>
      </c>
      <c r="C81" t="s">
        <v>4498</v>
      </c>
      <c r="D81" t="s">
        <v>4497</v>
      </c>
      <c r="E81" t="s">
        <v>55</v>
      </c>
      <c r="F81">
        <v>0</v>
      </c>
      <c r="G81">
        <v>0</v>
      </c>
      <c r="H81" s="19">
        <v>-40426.049999999901</v>
      </c>
      <c r="I81" s="19">
        <v>0.82723500000000005</v>
      </c>
      <c r="J81" s="19">
        <v>40426.049999000003</v>
      </c>
      <c r="K81" s="19"/>
      <c r="L81" s="19">
        <v>0.82723500000000005</v>
      </c>
      <c r="M81" s="19"/>
      <c r="N81" s="19"/>
      <c r="O81" s="19"/>
      <c r="P81" s="19">
        <f t="shared" si="1"/>
        <v>0</v>
      </c>
      <c r="Q81" s="19"/>
    </row>
    <row r="82" spans="1:17" hidden="1" x14ac:dyDescent="0.25">
      <c r="A82" t="s">
        <v>42</v>
      </c>
      <c r="B82" t="s">
        <v>4497</v>
      </c>
      <c r="C82" t="s">
        <v>4500</v>
      </c>
      <c r="D82" t="s">
        <v>4497</v>
      </c>
      <c r="E82" t="s">
        <v>55</v>
      </c>
      <c r="F82">
        <v>0</v>
      </c>
      <c r="G82">
        <v>0</v>
      </c>
      <c r="H82" s="19">
        <v>-151009.549999999</v>
      </c>
      <c r="I82" s="19">
        <v>2.1742759999999999</v>
      </c>
      <c r="J82" s="19">
        <v>151009.54999500001</v>
      </c>
      <c r="K82" s="19"/>
      <c r="L82" s="19">
        <v>2.1742759999999999</v>
      </c>
      <c r="M82" s="19"/>
      <c r="N82" s="19"/>
      <c r="O82" s="19"/>
      <c r="P82" s="19">
        <f t="shared" si="1"/>
        <v>0</v>
      </c>
      <c r="Q82" s="19"/>
    </row>
    <row r="83" spans="1:17" hidden="1" x14ac:dyDescent="0.25">
      <c r="A83" t="s">
        <v>42</v>
      </c>
      <c r="B83" t="s">
        <v>4506</v>
      </c>
      <c r="C83" t="s">
        <v>4506</v>
      </c>
      <c r="D83" t="s">
        <v>4506</v>
      </c>
      <c r="E83" t="s">
        <v>55</v>
      </c>
      <c r="F83">
        <v>0</v>
      </c>
      <c r="G83">
        <v>0</v>
      </c>
      <c r="H83" s="19">
        <v>-178668170.459999</v>
      </c>
      <c r="I83" s="19">
        <v>56334.215339000002</v>
      </c>
      <c r="J83" s="19">
        <v>178668170.459993</v>
      </c>
      <c r="K83" s="19">
        <v>41803.528120000003</v>
      </c>
      <c r="L83" s="19">
        <v>1551.9528110000001</v>
      </c>
      <c r="M83" s="19">
        <v>12978.734408</v>
      </c>
      <c r="N83" s="19"/>
      <c r="O83" s="19"/>
      <c r="P83" s="19">
        <f t="shared" si="1"/>
        <v>0</v>
      </c>
      <c r="Q83" s="19"/>
    </row>
    <row r="84" spans="1:17" hidden="1" x14ac:dyDescent="0.25">
      <c r="A84" t="s">
        <v>42</v>
      </c>
      <c r="B84" t="s">
        <v>4501</v>
      </c>
      <c r="C84" t="s">
        <v>4501</v>
      </c>
      <c r="D84" t="s">
        <v>4502</v>
      </c>
      <c r="E84" t="s">
        <v>101</v>
      </c>
      <c r="F84">
        <v>0</v>
      </c>
      <c r="G84">
        <v>1</v>
      </c>
      <c r="H84" s="19">
        <v>-203594622.66</v>
      </c>
      <c r="I84" s="19">
        <v>102001.65637899999</v>
      </c>
      <c r="J84" s="19">
        <v>203594622.66</v>
      </c>
      <c r="K84" s="19">
        <v>47909.248290000003</v>
      </c>
      <c r="L84" s="19">
        <v>2390.731362</v>
      </c>
      <c r="M84" s="19">
        <v>51701.676726999998</v>
      </c>
      <c r="N84" s="19">
        <v>4936819.4400000004</v>
      </c>
      <c r="O84" s="19">
        <v>4936819.4400000004</v>
      </c>
      <c r="P84" s="19">
        <f t="shared" si="1"/>
        <v>0</v>
      </c>
      <c r="Q84" s="19"/>
    </row>
    <row r="85" spans="1:17" hidden="1" x14ac:dyDescent="0.25">
      <c r="A85" t="s">
        <v>42</v>
      </c>
      <c r="B85" t="s">
        <v>4500</v>
      </c>
      <c r="C85" t="s">
        <v>4497</v>
      </c>
      <c r="D85" t="s">
        <v>4497</v>
      </c>
      <c r="E85" t="s">
        <v>55</v>
      </c>
      <c r="F85">
        <v>0</v>
      </c>
      <c r="G85">
        <v>0</v>
      </c>
      <c r="H85" s="19">
        <v>-34515.319999999898</v>
      </c>
      <c r="I85" s="19">
        <v>3.9697520000000002</v>
      </c>
      <c r="J85" s="19">
        <v>34515.319997999999</v>
      </c>
      <c r="K85" s="19">
        <v>3.9697520000000002</v>
      </c>
      <c r="L85" s="19"/>
      <c r="M85" s="19"/>
      <c r="N85" s="19"/>
      <c r="O85" s="19"/>
      <c r="P85" s="19">
        <f t="shared" si="1"/>
        <v>0</v>
      </c>
      <c r="Q85" s="19"/>
    </row>
    <row r="86" spans="1:17" hidden="1" x14ac:dyDescent="0.25">
      <c r="A86" t="s">
        <v>42</v>
      </c>
      <c r="B86" t="s">
        <v>4511</v>
      </c>
      <c r="C86" t="s">
        <v>4512</v>
      </c>
      <c r="D86" t="s">
        <v>4512</v>
      </c>
      <c r="E86" t="s">
        <v>55</v>
      </c>
      <c r="F86">
        <v>0</v>
      </c>
      <c r="G86">
        <v>0</v>
      </c>
      <c r="H86" s="19">
        <v>-145561691.97</v>
      </c>
      <c r="I86" s="19">
        <v>31309.153283</v>
      </c>
      <c r="J86" s="19">
        <v>145561691.97</v>
      </c>
      <c r="K86" s="19">
        <v>0</v>
      </c>
      <c r="L86" s="19">
        <v>3343.9885079999999</v>
      </c>
      <c r="M86" s="19">
        <v>27965.164775000001</v>
      </c>
      <c r="N86" s="19"/>
      <c r="O86" s="19"/>
      <c r="P86" s="19">
        <f t="shared" si="1"/>
        <v>0</v>
      </c>
      <c r="Q86" s="19">
        <v>1</v>
      </c>
    </row>
    <row r="87" spans="1:17" hidden="1" x14ac:dyDescent="0.25">
      <c r="A87" t="s">
        <v>42</v>
      </c>
      <c r="B87" t="s">
        <v>4500</v>
      </c>
      <c r="C87" t="s">
        <v>4500</v>
      </c>
      <c r="D87" t="s">
        <v>4497</v>
      </c>
      <c r="E87" t="s">
        <v>55</v>
      </c>
      <c r="F87">
        <v>0</v>
      </c>
      <c r="G87">
        <v>0</v>
      </c>
      <c r="H87" s="19">
        <v>-34923.239999999903</v>
      </c>
      <c r="I87" s="19">
        <v>1.4809840000000001</v>
      </c>
      <c r="J87" s="19">
        <v>34923.239997999997</v>
      </c>
      <c r="K87" s="19">
        <v>0.65041000000000004</v>
      </c>
      <c r="L87" s="19">
        <v>0.83057400000000003</v>
      </c>
      <c r="M87" s="19"/>
      <c r="N87" s="19"/>
      <c r="O87" s="19"/>
      <c r="P87" s="19">
        <f t="shared" si="1"/>
        <v>0</v>
      </c>
      <c r="Q87" s="19"/>
    </row>
    <row r="88" spans="1:17" hidden="1" x14ac:dyDescent="0.25">
      <c r="A88" t="s">
        <v>42</v>
      </c>
      <c r="B88" t="s">
        <v>4509</v>
      </c>
      <c r="C88" t="s">
        <v>4509</v>
      </c>
      <c r="D88" t="s">
        <v>4510</v>
      </c>
      <c r="E88" t="s">
        <v>126</v>
      </c>
      <c r="F88">
        <v>0</v>
      </c>
      <c r="G88">
        <v>1</v>
      </c>
      <c r="H88" s="19">
        <v>-33077227.829999998</v>
      </c>
      <c r="I88" s="19">
        <v>48710.516768000001</v>
      </c>
      <c r="J88" s="19">
        <v>33077227.829999998</v>
      </c>
      <c r="K88" s="19">
        <v>14540.198532</v>
      </c>
      <c r="L88" s="19">
        <v>1102.3726919999999</v>
      </c>
      <c r="M88" s="19">
        <v>33067.945544000002</v>
      </c>
      <c r="N88" s="19">
        <v>120494</v>
      </c>
      <c r="O88" s="19">
        <v>120494</v>
      </c>
      <c r="P88" s="19">
        <f t="shared" si="1"/>
        <v>0</v>
      </c>
      <c r="Q88" s="19"/>
    </row>
    <row r="89" spans="1:17" hidden="1" x14ac:dyDescent="0.25">
      <c r="A89" t="s">
        <v>42</v>
      </c>
      <c r="B89" t="s">
        <v>4496</v>
      </c>
      <c r="C89" t="s">
        <v>4496</v>
      </c>
      <c r="D89" t="s">
        <v>4497</v>
      </c>
      <c r="E89" t="s">
        <v>55</v>
      </c>
      <c r="F89">
        <v>0</v>
      </c>
      <c r="G89">
        <v>0</v>
      </c>
      <c r="H89" s="19">
        <v>-741121.8</v>
      </c>
      <c r="I89" s="19">
        <v>3.0283999999999998E-2</v>
      </c>
      <c r="J89" s="19">
        <v>741121.8</v>
      </c>
      <c r="K89" s="19">
        <v>4.7540000000000004E-3</v>
      </c>
      <c r="L89" s="19">
        <v>2.5530000000000001E-2</v>
      </c>
      <c r="M89" s="19"/>
      <c r="N89" s="19"/>
      <c r="O89" s="19"/>
      <c r="P89" s="19">
        <f t="shared" si="1"/>
        <v>0</v>
      </c>
      <c r="Q89" s="19"/>
    </row>
    <row r="90" spans="1:17" hidden="1" x14ac:dyDescent="0.25">
      <c r="A90" t="s">
        <v>42</v>
      </c>
      <c r="B90" t="s">
        <v>4501</v>
      </c>
      <c r="C90" t="s">
        <v>4501</v>
      </c>
      <c r="D90" t="s">
        <v>4502</v>
      </c>
      <c r="E90" t="s">
        <v>126</v>
      </c>
      <c r="F90">
        <v>0</v>
      </c>
      <c r="G90">
        <v>1</v>
      </c>
      <c r="H90" s="19">
        <v>-3873.27</v>
      </c>
      <c r="I90" s="19">
        <v>0</v>
      </c>
      <c r="J90" s="19">
        <v>3873.27</v>
      </c>
      <c r="K90" s="19">
        <v>0</v>
      </c>
      <c r="L90" s="19">
        <v>0</v>
      </c>
      <c r="M90" s="19">
        <v>0</v>
      </c>
      <c r="N90" s="19">
        <v>120494</v>
      </c>
      <c r="O90" s="19">
        <v>120494</v>
      </c>
      <c r="P90" s="19">
        <f t="shared" si="1"/>
        <v>0</v>
      </c>
      <c r="Q90" s="19"/>
    </row>
    <row r="91" spans="1:17" hidden="1" x14ac:dyDescent="0.25">
      <c r="A91" t="s">
        <v>42</v>
      </c>
      <c r="B91" t="s">
        <v>4498</v>
      </c>
      <c r="C91" t="s">
        <v>4498</v>
      </c>
      <c r="D91" t="s">
        <v>4497</v>
      </c>
      <c r="E91" t="s">
        <v>55</v>
      </c>
      <c r="F91">
        <v>0</v>
      </c>
      <c r="G91">
        <v>0</v>
      </c>
      <c r="H91" s="19">
        <v>-80742.139999999898</v>
      </c>
      <c r="I91" s="19">
        <v>2.6170420000000001</v>
      </c>
      <c r="J91" s="19">
        <v>80742.139997999999</v>
      </c>
      <c r="K91" s="19">
        <v>1.451398</v>
      </c>
      <c r="L91" s="19">
        <v>1.1656439999999999</v>
      </c>
      <c r="M91" s="19"/>
      <c r="N91" s="19"/>
      <c r="O91" s="19"/>
      <c r="P91" s="19">
        <f t="shared" si="1"/>
        <v>0</v>
      </c>
      <c r="Q91" s="19"/>
    </row>
    <row r="92" spans="1:17" hidden="1" x14ac:dyDescent="0.25">
      <c r="A92" t="s">
        <v>42</v>
      </c>
      <c r="B92" t="s">
        <v>4501</v>
      </c>
      <c r="C92" t="s">
        <v>4507</v>
      </c>
      <c r="D92" t="s">
        <v>4501</v>
      </c>
      <c r="E92" t="s">
        <v>128</v>
      </c>
      <c r="F92">
        <v>0</v>
      </c>
      <c r="G92">
        <v>1</v>
      </c>
      <c r="H92" s="19">
        <v>-6725374.0599999996</v>
      </c>
      <c r="I92" s="19">
        <v>365.06055600000002</v>
      </c>
      <c r="J92" s="19">
        <v>6725374.0599999996</v>
      </c>
      <c r="K92" s="19">
        <v>48.257731999999997</v>
      </c>
      <c r="L92" s="19">
        <v>198.45871199999999</v>
      </c>
      <c r="M92" s="19">
        <v>118.344112</v>
      </c>
      <c r="N92" s="19">
        <v>461202.56</v>
      </c>
      <c r="O92" s="19">
        <v>461202.56</v>
      </c>
      <c r="P92" s="19">
        <f t="shared" si="1"/>
        <v>0</v>
      </c>
      <c r="Q92" s="19"/>
    </row>
    <row r="93" spans="1:17" hidden="1" x14ac:dyDescent="0.25">
      <c r="A93" t="s">
        <v>42</v>
      </c>
      <c r="B93" t="s">
        <v>4512</v>
      </c>
      <c r="C93" t="s">
        <v>4512</v>
      </c>
      <c r="D93" t="s">
        <v>4512</v>
      </c>
      <c r="E93" t="s">
        <v>55</v>
      </c>
      <c r="F93">
        <v>0</v>
      </c>
      <c r="G93">
        <v>0</v>
      </c>
      <c r="H93" s="19">
        <v>-20384980.030000001</v>
      </c>
      <c r="I93" s="19">
        <v>16998.891288999999</v>
      </c>
      <c r="J93" s="19">
        <v>20384980.030000001</v>
      </c>
      <c r="K93" s="19">
        <v>12614.245389</v>
      </c>
      <c r="L93" s="19">
        <v>468.30412100000001</v>
      </c>
      <c r="M93" s="19">
        <v>3916.3417789999999</v>
      </c>
      <c r="N93" s="19"/>
      <c r="O93" s="19"/>
      <c r="P93" s="19">
        <f t="shared" si="1"/>
        <v>0</v>
      </c>
      <c r="Q93" s="19">
        <v>1</v>
      </c>
    </row>
    <row r="94" spans="1:17" hidden="1" x14ac:dyDescent="0.25">
      <c r="A94" t="s">
        <v>42</v>
      </c>
      <c r="B94" t="s">
        <v>4497</v>
      </c>
      <c r="C94" t="s">
        <v>4497</v>
      </c>
      <c r="D94" t="s">
        <v>4497</v>
      </c>
      <c r="E94" t="s">
        <v>55</v>
      </c>
      <c r="F94">
        <v>0</v>
      </c>
      <c r="G94">
        <v>0</v>
      </c>
      <c r="H94" s="19">
        <v>-1408.7</v>
      </c>
      <c r="I94" s="19">
        <v>0</v>
      </c>
      <c r="J94" s="19">
        <v>1408.7</v>
      </c>
      <c r="K94" s="19"/>
      <c r="L94" s="19"/>
      <c r="M94" s="19"/>
      <c r="N94" s="19"/>
      <c r="O94" s="19"/>
      <c r="P94" s="19">
        <f t="shared" si="1"/>
        <v>0</v>
      </c>
      <c r="Q94" s="19"/>
    </row>
    <row r="95" spans="1:17" hidden="1" x14ac:dyDescent="0.25">
      <c r="A95" t="s">
        <v>42</v>
      </c>
      <c r="B95" t="s">
        <v>4511</v>
      </c>
      <c r="C95" t="s">
        <v>4509</v>
      </c>
      <c r="D95" t="s">
        <v>4510</v>
      </c>
      <c r="E95" t="s">
        <v>75</v>
      </c>
      <c r="F95">
        <v>0</v>
      </c>
      <c r="G95">
        <v>1</v>
      </c>
      <c r="H95" s="19">
        <v>-2591275.13</v>
      </c>
      <c r="I95" s="19">
        <v>2133.1748149999999</v>
      </c>
      <c r="J95" s="19">
        <v>2591275.13</v>
      </c>
      <c r="K95" s="19">
        <v>0</v>
      </c>
      <c r="L95" s="19">
        <v>19.003688</v>
      </c>
      <c r="M95" s="19">
        <v>2114.1711270000001</v>
      </c>
      <c r="N95" s="19">
        <v>18968</v>
      </c>
      <c r="O95" s="19">
        <v>18968</v>
      </c>
      <c r="P95" s="19">
        <f t="shared" si="1"/>
        <v>0</v>
      </c>
      <c r="Q95" s="19"/>
    </row>
    <row r="96" spans="1:17" hidden="1" x14ac:dyDescent="0.25">
      <c r="A96" t="s">
        <v>42</v>
      </c>
      <c r="B96" t="s">
        <v>4502</v>
      </c>
      <c r="C96" t="s">
        <v>4507</v>
      </c>
      <c r="D96" t="s">
        <v>4502</v>
      </c>
      <c r="E96" t="s">
        <v>193</v>
      </c>
      <c r="F96">
        <v>0</v>
      </c>
      <c r="G96">
        <v>1</v>
      </c>
      <c r="H96" s="19">
        <v>-9539.8799999999992</v>
      </c>
      <c r="I96" s="19">
        <v>19.340620000000001</v>
      </c>
      <c r="J96" s="19">
        <v>9539.8799999999992</v>
      </c>
      <c r="K96" s="19">
        <v>11.433344</v>
      </c>
      <c r="L96" s="19">
        <v>1.4675860000000001</v>
      </c>
      <c r="M96" s="19">
        <v>6.4396899999999997</v>
      </c>
      <c r="N96" s="19">
        <v>14907.44</v>
      </c>
      <c r="O96" s="19">
        <v>14907.44</v>
      </c>
      <c r="P96" s="19">
        <f t="shared" si="1"/>
        <v>0</v>
      </c>
      <c r="Q96" s="19"/>
    </row>
    <row r="97" spans="1:17" hidden="1" x14ac:dyDescent="0.25">
      <c r="A97" t="s">
        <v>42</v>
      </c>
      <c r="B97" t="s">
        <v>4505</v>
      </c>
      <c r="C97" t="s">
        <v>4505</v>
      </c>
      <c r="D97" t="s">
        <v>4497</v>
      </c>
      <c r="E97" t="s">
        <v>55</v>
      </c>
      <c r="F97">
        <v>0</v>
      </c>
      <c r="G97">
        <v>0</v>
      </c>
      <c r="H97" s="19">
        <v>-57989.599999999999</v>
      </c>
      <c r="I97" s="19">
        <v>16.121020999999999</v>
      </c>
      <c r="J97" s="19">
        <v>57989.599999999999</v>
      </c>
      <c r="K97" s="19">
        <v>2.5307529999999998</v>
      </c>
      <c r="L97" s="19">
        <v>13.590268</v>
      </c>
      <c r="M97" s="19"/>
      <c r="N97" s="19"/>
      <c r="O97" s="19"/>
      <c r="P97" s="19">
        <f t="shared" si="1"/>
        <v>0</v>
      </c>
      <c r="Q97" s="19"/>
    </row>
    <row r="98" spans="1:17" hidden="1" x14ac:dyDescent="0.25">
      <c r="A98" t="s">
        <v>50</v>
      </c>
      <c r="B98" t="s">
        <v>4499</v>
      </c>
      <c r="C98" t="s">
        <v>4499</v>
      </c>
      <c r="D98" t="s">
        <v>4497</v>
      </c>
      <c r="E98" t="s">
        <v>76</v>
      </c>
      <c r="F98">
        <v>1</v>
      </c>
      <c r="G98">
        <v>0</v>
      </c>
      <c r="H98" s="19">
        <v>-1251.25999999999</v>
      </c>
      <c r="I98" s="19">
        <v>0</v>
      </c>
      <c r="J98" s="19">
        <v>1251.2599990000001</v>
      </c>
      <c r="K98" s="19"/>
      <c r="L98" s="19"/>
      <c r="M98" s="19"/>
      <c r="N98" s="19">
        <v>44588</v>
      </c>
      <c r="O98" s="19"/>
      <c r="P98" s="19">
        <f t="shared" si="1"/>
        <v>-44588</v>
      </c>
      <c r="Q98" s="19"/>
    </row>
    <row r="99" spans="1:17" hidden="1" x14ac:dyDescent="0.25">
      <c r="A99" t="s">
        <v>50</v>
      </c>
      <c r="B99" t="s">
        <v>4505</v>
      </c>
      <c r="C99" t="s">
        <v>4505</v>
      </c>
      <c r="D99" t="s">
        <v>4497</v>
      </c>
      <c r="E99" t="s">
        <v>55</v>
      </c>
      <c r="F99">
        <v>0</v>
      </c>
      <c r="G99">
        <v>0</v>
      </c>
      <c r="H99" s="19">
        <v>-2135479.4700000002</v>
      </c>
      <c r="I99" s="19">
        <v>162.83463599999999</v>
      </c>
      <c r="J99" s="19">
        <v>2135479.4700000002</v>
      </c>
      <c r="K99" s="19">
        <v>25.562536000000001</v>
      </c>
      <c r="L99" s="19">
        <v>137.27209999999999</v>
      </c>
      <c r="M99" s="19"/>
      <c r="N99" s="19"/>
      <c r="O99" s="19"/>
      <c r="P99" s="19">
        <f t="shared" si="1"/>
        <v>0</v>
      </c>
      <c r="Q99" s="19"/>
    </row>
    <row r="100" spans="1:17" hidden="1" x14ac:dyDescent="0.25">
      <c r="A100" t="s">
        <v>50</v>
      </c>
      <c r="B100" t="s">
        <v>4504</v>
      </c>
      <c r="C100" t="s">
        <v>4504</v>
      </c>
      <c r="D100" t="s">
        <v>4504</v>
      </c>
      <c r="E100" t="s">
        <v>55</v>
      </c>
      <c r="F100">
        <v>0</v>
      </c>
      <c r="G100">
        <v>0</v>
      </c>
      <c r="H100" s="19">
        <v>-2206355.2299999902</v>
      </c>
      <c r="I100" s="19">
        <v>346.43950699999999</v>
      </c>
      <c r="J100" s="19">
        <v>2206355.2299990002</v>
      </c>
      <c r="K100" s="19">
        <v>130.48048900000001</v>
      </c>
      <c r="L100" s="19">
        <v>21.224489999999999</v>
      </c>
      <c r="M100" s="19">
        <v>194.73452800000001</v>
      </c>
      <c r="N100" s="19"/>
      <c r="O100" s="19"/>
      <c r="P100" s="19">
        <f t="shared" si="1"/>
        <v>0</v>
      </c>
      <c r="Q100" s="19">
        <v>1</v>
      </c>
    </row>
    <row r="101" spans="1:17" hidden="1" x14ac:dyDescent="0.25">
      <c r="A101" t="s">
        <v>50</v>
      </c>
      <c r="B101" t="s">
        <v>4500</v>
      </c>
      <c r="C101" t="s">
        <v>4497</v>
      </c>
      <c r="D101" t="s">
        <v>4497</v>
      </c>
      <c r="E101" t="s">
        <v>76</v>
      </c>
      <c r="F101">
        <v>1</v>
      </c>
      <c r="G101">
        <v>0</v>
      </c>
      <c r="H101" s="19">
        <v>-1486.3699999999899</v>
      </c>
      <c r="I101" s="19">
        <v>1.104249</v>
      </c>
      <c r="J101" s="19">
        <v>1486.369999</v>
      </c>
      <c r="K101" s="19">
        <v>1.104249</v>
      </c>
      <c r="L101" s="19"/>
      <c r="M101" s="19"/>
      <c r="N101" s="19">
        <v>133764</v>
      </c>
      <c r="O101" s="19"/>
      <c r="P101" s="19">
        <f t="shared" si="1"/>
        <v>-133764</v>
      </c>
      <c r="Q101" s="19"/>
    </row>
    <row r="102" spans="1:17" hidden="1" x14ac:dyDescent="0.25">
      <c r="A102" t="s">
        <v>50</v>
      </c>
      <c r="B102" t="s">
        <v>4500</v>
      </c>
      <c r="C102" t="s">
        <v>4500</v>
      </c>
      <c r="D102" t="s">
        <v>4497</v>
      </c>
      <c r="E102" t="s">
        <v>55</v>
      </c>
      <c r="F102">
        <v>0</v>
      </c>
      <c r="G102">
        <v>0</v>
      </c>
      <c r="H102" s="19">
        <v>-28120.139999999901</v>
      </c>
      <c r="I102" s="19">
        <v>1.28087</v>
      </c>
      <c r="J102" s="19">
        <v>28120.139998999999</v>
      </c>
      <c r="K102" s="19">
        <v>0.69257400000000002</v>
      </c>
      <c r="L102" s="19">
        <v>0.58829600000000004</v>
      </c>
      <c r="M102" s="19"/>
      <c r="N102" s="19"/>
      <c r="O102" s="19"/>
      <c r="P102" s="19">
        <f t="shared" si="1"/>
        <v>0</v>
      </c>
      <c r="Q102" s="19"/>
    </row>
    <row r="103" spans="1:17" hidden="1" x14ac:dyDescent="0.25">
      <c r="A103" t="s">
        <v>50</v>
      </c>
      <c r="B103" t="s">
        <v>4497</v>
      </c>
      <c r="C103" t="s">
        <v>4497</v>
      </c>
      <c r="D103" t="s">
        <v>4497</v>
      </c>
      <c r="E103" t="s">
        <v>76</v>
      </c>
      <c r="F103">
        <v>1</v>
      </c>
      <c r="G103">
        <v>0</v>
      </c>
      <c r="H103" s="19">
        <v>-10.37</v>
      </c>
      <c r="I103" s="19">
        <v>0</v>
      </c>
      <c r="J103" s="19">
        <v>10.37</v>
      </c>
      <c r="K103" s="19"/>
      <c r="L103" s="19"/>
      <c r="M103" s="19"/>
      <c r="N103" s="19">
        <v>133764</v>
      </c>
      <c r="O103" s="19"/>
      <c r="P103" s="19">
        <f t="shared" si="1"/>
        <v>-133764</v>
      </c>
      <c r="Q103" s="19"/>
    </row>
    <row r="104" spans="1:17" hidden="1" x14ac:dyDescent="0.25">
      <c r="A104" t="s">
        <v>50</v>
      </c>
      <c r="B104" t="s">
        <v>4501</v>
      </c>
      <c r="C104" t="s">
        <v>4501</v>
      </c>
      <c r="D104" t="s">
        <v>4502</v>
      </c>
      <c r="E104" t="s">
        <v>76</v>
      </c>
      <c r="F104">
        <v>1</v>
      </c>
      <c r="G104">
        <v>1</v>
      </c>
      <c r="H104" s="19">
        <v>-4621.8500000000004</v>
      </c>
      <c r="I104" s="19">
        <v>0</v>
      </c>
      <c r="J104" s="19">
        <v>4621.8500000000004</v>
      </c>
      <c r="K104" s="19">
        <v>0</v>
      </c>
      <c r="L104" s="19">
        <v>0</v>
      </c>
      <c r="M104" s="19">
        <v>0</v>
      </c>
      <c r="N104" s="19">
        <v>445880</v>
      </c>
      <c r="O104" s="19"/>
      <c r="P104" s="19">
        <f t="shared" si="1"/>
        <v>-445880</v>
      </c>
      <c r="Q104" s="19"/>
    </row>
    <row r="105" spans="1:17" hidden="1" x14ac:dyDescent="0.25">
      <c r="A105" t="s">
        <v>50</v>
      </c>
      <c r="B105" t="s">
        <v>4496</v>
      </c>
      <c r="C105" t="s">
        <v>4496</v>
      </c>
      <c r="D105" t="s">
        <v>4497</v>
      </c>
      <c r="E105" t="s">
        <v>55</v>
      </c>
      <c r="F105">
        <v>0</v>
      </c>
      <c r="G105">
        <v>0</v>
      </c>
      <c r="H105" s="19">
        <v>-637613.79</v>
      </c>
      <c r="I105" s="19">
        <v>166.184845</v>
      </c>
      <c r="J105" s="19">
        <v>637613.79</v>
      </c>
      <c r="K105" s="19">
        <v>33.925891999999997</v>
      </c>
      <c r="L105" s="19">
        <v>132.25895299999999</v>
      </c>
      <c r="M105" s="19"/>
      <c r="N105" s="19"/>
      <c r="O105" s="19"/>
      <c r="P105" s="19">
        <f t="shared" si="1"/>
        <v>0</v>
      </c>
      <c r="Q105" s="19"/>
    </row>
    <row r="106" spans="1:17" hidden="1" x14ac:dyDescent="0.25">
      <c r="A106" t="s">
        <v>50</v>
      </c>
      <c r="B106" t="s">
        <v>4501</v>
      </c>
      <c r="C106" t="s">
        <v>4501</v>
      </c>
      <c r="D106" t="s">
        <v>4502</v>
      </c>
      <c r="E106" t="s">
        <v>75</v>
      </c>
      <c r="F106">
        <v>0</v>
      </c>
      <c r="G106">
        <v>1</v>
      </c>
      <c r="H106" s="19">
        <v>-30633.49</v>
      </c>
      <c r="I106" s="19">
        <v>15.844760000000001</v>
      </c>
      <c r="J106" s="19">
        <v>30633.49</v>
      </c>
      <c r="K106" s="19">
        <v>0.15965199999999999</v>
      </c>
      <c r="L106" s="19">
        <v>0.139733</v>
      </c>
      <c r="M106" s="19">
        <v>15.545375</v>
      </c>
      <c r="N106" s="19">
        <v>37936</v>
      </c>
      <c r="O106" s="19">
        <v>37936</v>
      </c>
      <c r="P106" s="19">
        <f t="shared" si="1"/>
        <v>0</v>
      </c>
      <c r="Q106" s="19"/>
    </row>
    <row r="107" spans="1:17" hidden="1" x14ac:dyDescent="0.25">
      <c r="A107" t="s">
        <v>50</v>
      </c>
      <c r="B107" t="s">
        <v>4500</v>
      </c>
      <c r="C107" t="s">
        <v>4497</v>
      </c>
      <c r="D107" t="s">
        <v>4497</v>
      </c>
      <c r="E107" t="s">
        <v>55</v>
      </c>
      <c r="F107">
        <v>0</v>
      </c>
      <c r="G107">
        <v>0</v>
      </c>
      <c r="H107" s="19">
        <v>-339307.109999999</v>
      </c>
      <c r="I107" s="19">
        <v>243.68273099999999</v>
      </c>
      <c r="J107" s="19">
        <v>339307.10998000001</v>
      </c>
      <c r="K107" s="19">
        <v>243.68273099999999</v>
      </c>
      <c r="L107" s="19"/>
      <c r="M107" s="19"/>
      <c r="N107" s="19"/>
      <c r="O107" s="19"/>
      <c r="P107" s="19">
        <f t="shared" si="1"/>
        <v>0</v>
      </c>
      <c r="Q107" s="19"/>
    </row>
    <row r="108" spans="1:17" hidden="1" x14ac:dyDescent="0.25">
      <c r="A108" t="s">
        <v>50</v>
      </c>
      <c r="B108" t="s">
        <v>4501</v>
      </c>
      <c r="C108" t="s">
        <v>4501</v>
      </c>
      <c r="D108" t="s">
        <v>4502</v>
      </c>
      <c r="E108" t="s">
        <v>76</v>
      </c>
      <c r="F108">
        <v>0</v>
      </c>
      <c r="G108">
        <v>1</v>
      </c>
      <c r="H108" s="19">
        <v>-9348</v>
      </c>
      <c r="I108" s="19">
        <v>0</v>
      </c>
      <c r="J108" s="19">
        <v>9348</v>
      </c>
      <c r="K108" s="19">
        <v>0</v>
      </c>
      <c r="L108" s="19">
        <v>0</v>
      </c>
      <c r="M108" s="19">
        <v>0</v>
      </c>
      <c r="N108" s="19">
        <v>89176</v>
      </c>
      <c r="O108" s="19">
        <v>89176</v>
      </c>
      <c r="P108" s="19">
        <f t="shared" si="1"/>
        <v>0</v>
      </c>
      <c r="Q108" s="19"/>
    </row>
    <row r="109" spans="1:17" hidden="1" x14ac:dyDescent="0.25">
      <c r="A109" t="s">
        <v>50</v>
      </c>
      <c r="B109" t="s">
        <v>4497</v>
      </c>
      <c r="C109" t="s">
        <v>4497</v>
      </c>
      <c r="D109" t="s">
        <v>4497</v>
      </c>
      <c r="E109" t="s">
        <v>55</v>
      </c>
      <c r="F109">
        <v>0</v>
      </c>
      <c r="G109">
        <v>0</v>
      </c>
      <c r="H109" s="19">
        <v>-31702.87</v>
      </c>
      <c r="I109" s="19">
        <v>0</v>
      </c>
      <c r="J109" s="19">
        <v>31702.869998999999</v>
      </c>
      <c r="K109" s="19"/>
      <c r="L109" s="19"/>
      <c r="M109" s="19"/>
      <c r="N109" s="19"/>
      <c r="O109" s="19"/>
      <c r="P109" s="19">
        <f t="shared" si="1"/>
        <v>0</v>
      </c>
      <c r="Q109" s="19"/>
    </row>
    <row r="110" spans="1:17" hidden="1" x14ac:dyDescent="0.25">
      <c r="A110" t="s">
        <v>50</v>
      </c>
      <c r="B110" t="s">
        <v>4497</v>
      </c>
      <c r="C110" t="s">
        <v>4500</v>
      </c>
      <c r="D110" t="s">
        <v>4497</v>
      </c>
      <c r="E110" t="s">
        <v>55</v>
      </c>
      <c r="F110">
        <v>0</v>
      </c>
      <c r="G110">
        <v>0</v>
      </c>
      <c r="H110" s="19">
        <v>-21395.249999999902</v>
      </c>
      <c r="I110" s="19">
        <v>0.32488400000000001</v>
      </c>
      <c r="J110" s="19">
        <v>21395.249999</v>
      </c>
      <c r="K110" s="19"/>
      <c r="L110" s="19">
        <v>0.32488400000000001</v>
      </c>
      <c r="M110" s="19"/>
      <c r="N110" s="19"/>
      <c r="O110" s="19"/>
      <c r="P110" s="19">
        <f t="shared" si="1"/>
        <v>0</v>
      </c>
      <c r="Q110" s="19"/>
    </row>
    <row r="111" spans="1:17" hidden="1" x14ac:dyDescent="0.25">
      <c r="A111" t="s">
        <v>50</v>
      </c>
      <c r="B111" t="s">
        <v>4499</v>
      </c>
      <c r="C111" t="s">
        <v>4499</v>
      </c>
      <c r="D111" t="s">
        <v>4497</v>
      </c>
      <c r="E111" t="s">
        <v>55</v>
      </c>
      <c r="F111">
        <v>0</v>
      </c>
      <c r="G111">
        <v>0</v>
      </c>
      <c r="H111" s="19">
        <v>-89642.839999999895</v>
      </c>
      <c r="I111" s="19">
        <v>0</v>
      </c>
      <c r="J111" s="19">
        <v>89642.839997999996</v>
      </c>
      <c r="K111" s="19"/>
      <c r="L111" s="19"/>
      <c r="M111" s="19"/>
      <c r="N111" s="19"/>
      <c r="O111" s="19"/>
      <c r="P111" s="19">
        <f t="shared" si="1"/>
        <v>0</v>
      </c>
      <c r="Q111" s="19"/>
    </row>
    <row r="112" spans="1:17" hidden="1" x14ac:dyDescent="0.25">
      <c r="A112" t="s">
        <v>50</v>
      </c>
      <c r="B112" t="s">
        <v>4506</v>
      </c>
      <c r="C112" t="s">
        <v>4506</v>
      </c>
      <c r="D112" t="s">
        <v>4506</v>
      </c>
      <c r="E112" t="s">
        <v>55</v>
      </c>
      <c r="F112">
        <v>0</v>
      </c>
      <c r="G112">
        <v>0</v>
      </c>
      <c r="H112" s="19">
        <v>-82484225.259999901</v>
      </c>
      <c r="I112" s="19">
        <v>21694.990567000001</v>
      </c>
      <c r="J112" s="19">
        <v>82484225.259959996</v>
      </c>
      <c r="K112" s="19">
        <v>9864.6492560000006</v>
      </c>
      <c r="L112" s="19">
        <v>1232.6477299999999</v>
      </c>
      <c r="M112" s="19">
        <v>10597.693581</v>
      </c>
      <c r="N112" s="19"/>
      <c r="O112" s="19"/>
      <c r="P112" s="19">
        <f t="shared" si="1"/>
        <v>0</v>
      </c>
      <c r="Q112" s="19"/>
    </row>
    <row r="113" spans="1:17" hidden="1" x14ac:dyDescent="0.25">
      <c r="A113" t="s">
        <v>58</v>
      </c>
      <c r="B113" t="s">
        <v>4501</v>
      </c>
      <c r="C113" t="s">
        <v>4501</v>
      </c>
      <c r="D113" t="s">
        <v>4502</v>
      </c>
      <c r="E113" t="s">
        <v>113</v>
      </c>
      <c r="F113">
        <v>0</v>
      </c>
      <c r="G113">
        <v>1</v>
      </c>
      <c r="H113" s="19">
        <v>-8212901.6600000001</v>
      </c>
      <c r="I113" s="19">
        <v>3205.554079</v>
      </c>
      <c r="J113" s="19">
        <v>8212901.6600000001</v>
      </c>
      <c r="K113" s="19">
        <v>141.270546</v>
      </c>
      <c r="L113" s="19">
        <v>15.631218000000001</v>
      </c>
      <c r="M113" s="19">
        <v>3048.6523149999998</v>
      </c>
      <c r="N113" s="19">
        <v>38555475</v>
      </c>
      <c r="O113" s="19">
        <v>38555475</v>
      </c>
      <c r="P113" s="19">
        <f t="shared" si="1"/>
        <v>0</v>
      </c>
      <c r="Q113" s="19"/>
    </row>
    <row r="114" spans="1:17" hidden="1" x14ac:dyDescent="0.25">
      <c r="A114" t="s">
        <v>58</v>
      </c>
      <c r="B114" t="s">
        <v>4500</v>
      </c>
      <c r="C114" t="s">
        <v>4497</v>
      </c>
      <c r="D114" t="s">
        <v>4497</v>
      </c>
      <c r="E114" t="s">
        <v>187</v>
      </c>
      <c r="F114">
        <v>0</v>
      </c>
      <c r="G114">
        <v>0</v>
      </c>
      <c r="H114" s="19">
        <v>-33740.099999999897</v>
      </c>
      <c r="I114" s="19">
        <v>3.411543</v>
      </c>
      <c r="J114" s="19">
        <v>33740.099996999998</v>
      </c>
      <c r="K114" s="19">
        <v>3.411543</v>
      </c>
      <c r="L114" s="19"/>
      <c r="M114" s="19"/>
      <c r="N114" s="19">
        <v>87852</v>
      </c>
      <c r="O114" s="19">
        <v>87852</v>
      </c>
      <c r="P114" s="19">
        <f t="shared" si="1"/>
        <v>0</v>
      </c>
      <c r="Q114" s="19"/>
    </row>
    <row r="115" spans="1:17" hidden="1" x14ac:dyDescent="0.25">
      <c r="A115" t="s">
        <v>58</v>
      </c>
      <c r="B115" t="s">
        <v>4512</v>
      </c>
      <c r="C115" t="s">
        <v>4512</v>
      </c>
      <c r="D115" t="s">
        <v>4512</v>
      </c>
      <c r="E115" t="s">
        <v>55</v>
      </c>
      <c r="F115">
        <v>0</v>
      </c>
      <c r="G115">
        <v>0</v>
      </c>
      <c r="H115" s="19">
        <v>-142646992.40000001</v>
      </c>
      <c r="I115" s="19">
        <v>9049.4305989999993</v>
      </c>
      <c r="J115" s="19">
        <v>142646992.40000001</v>
      </c>
      <c r="K115" s="19">
        <v>1036.4234719999999</v>
      </c>
      <c r="L115" s="19">
        <v>177.45698100000001</v>
      </c>
      <c r="M115" s="19">
        <v>7835.5501459999996</v>
      </c>
      <c r="N115" s="19"/>
      <c r="O115" s="19"/>
      <c r="P115" s="19">
        <f t="shared" si="1"/>
        <v>0</v>
      </c>
      <c r="Q115" s="19">
        <v>1</v>
      </c>
    </row>
    <row r="116" spans="1:17" hidden="1" x14ac:dyDescent="0.25">
      <c r="A116" t="s">
        <v>58</v>
      </c>
      <c r="B116" t="s">
        <v>4501</v>
      </c>
      <c r="C116" t="s">
        <v>4501</v>
      </c>
      <c r="D116" t="s">
        <v>4502</v>
      </c>
      <c r="E116" t="s">
        <v>161</v>
      </c>
      <c r="F116">
        <v>0</v>
      </c>
      <c r="G116">
        <v>1</v>
      </c>
      <c r="H116" s="19">
        <v>-608418.03</v>
      </c>
      <c r="I116" s="19">
        <v>146.139714</v>
      </c>
      <c r="J116" s="19">
        <v>608418.03</v>
      </c>
      <c r="K116" s="19">
        <v>2.5589339999999998</v>
      </c>
      <c r="L116" s="19">
        <v>0.98476200000000003</v>
      </c>
      <c r="M116" s="19">
        <v>142.59601799999999</v>
      </c>
      <c r="N116" s="19">
        <v>5264062.7</v>
      </c>
      <c r="O116" s="19">
        <v>5264062.7</v>
      </c>
      <c r="P116" s="19">
        <f t="shared" si="1"/>
        <v>0</v>
      </c>
      <c r="Q116" s="19"/>
    </row>
    <row r="117" spans="1:17" hidden="1" x14ac:dyDescent="0.25">
      <c r="A117" t="s">
        <v>58</v>
      </c>
      <c r="B117" t="s">
        <v>4501</v>
      </c>
      <c r="C117" t="s">
        <v>4501</v>
      </c>
      <c r="D117" t="s">
        <v>4502</v>
      </c>
      <c r="E117" t="s">
        <v>103</v>
      </c>
      <c r="F117">
        <v>1</v>
      </c>
      <c r="G117">
        <v>1</v>
      </c>
      <c r="H117" s="19">
        <v>-4905324.3099999903</v>
      </c>
      <c r="I117" s="19">
        <v>4792.6908640000001</v>
      </c>
      <c r="J117" s="19">
        <v>4905324.309994</v>
      </c>
      <c r="K117" s="19">
        <v>172.02419</v>
      </c>
      <c r="L117" s="19">
        <v>53.748083999999999</v>
      </c>
      <c r="M117" s="19">
        <v>4566.9185900000002</v>
      </c>
      <c r="N117" s="19">
        <v>573294.15</v>
      </c>
      <c r="O117" s="19"/>
      <c r="P117" s="19">
        <f t="shared" si="1"/>
        <v>-573294.15</v>
      </c>
      <c r="Q117" s="19"/>
    </row>
    <row r="118" spans="1:17" hidden="1" x14ac:dyDescent="0.25">
      <c r="A118" t="s">
        <v>58</v>
      </c>
      <c r="B118" t="s">
        <v>4496</v>
      </c>
      <c r="C118" t="s">
        <v>4496</v>
      </c>
      <c r="D118" t="s">
        <v>4497</v>
      </c>
      <c r="E118" t="s">
        <v>55</v>
      </c>
      <c r="F118">
        <v>0</v>
      </c>
      <c r="G118">
        <v>0</v>
      </c>
      <c r="H118" s="19">
        <v>-302999311.10381502</v>
      </c>
      <c r="I118" s="19">
        <v>19468.157426000002</v>
      </c>
      <c r="J118" s="19">
        <v>302999311.10371399</v>
      </c>
      <c r="K118" s="19">
        <v>3724.319215</v>
      </c>
      <c r="L118" s="19">
        <v>15743.838211</v>
      </c>
      <c r="M118" s="19"/>
      <c r="N118" s="19"/>
      <c r="O118" s="19"/>
      <c r="P118" s="19">
        <f t="shared" si="1"/>
        <v>0</v>
      </c>
      <c r="Q118" s="19"/>
    </row>
    <row r="119" spans="1:17" hidden="1" x14ac:dyDescent="0.25">
      <c r="A119" t="s">
        <v>58</v>
      </c>
      <c r="B119" t="s">
        <v>4501</v>
      </c>
      <c r="C119" t="s">
        <v>4501</v>
      </c>
      <c r="D119" t="s">
        <v>4502</v>
      </c>
      <c r="E119" t="s">
        <v>110</v>
      </c>
      <c r="F119">
        <v>0</v>
      </c>
      <c r="G119">
        <v>1</v>
      </c>
      <c r="H119" s="19">
        <v>-30829.599999999999</v>
      </c>
      <c r="I119" s="19">
        <v>0</v>
      </c>
      <c r="J119" s="19">
        <v>30829.599999999999</v>
      </c>
      <c r="K119" s="19">
        <v>0</v>
      </c>
      <c r="L119" s="19">
        <v>0</v>
      </c>
      <c r="M119" s="19">
        <v>0</v>
      </c>
      <c r="N119" s="19">
        <v>445955.78</v>
      </c>
      <c r="O119" s="19">
        <v>445955.78</v>
      </c>
      <c r="P119" s="19">
        <f t="shared" si="1"/>
        <v>0</v>
      </c>
      <c r="Q119" s="19"/>
    </row>
    <row r="120" spans="1:17" hidden="1" x14ac:dyDescent="0.25">
      <c r="A120" t="s">
        <v>58</v>
      </c>
      <c r="B120" t="s">
        <v>4497</v>
      </c>
      <c r="C120" t="s">
        <v>4497</v>
      </c>
      <c r="D120" t="s">
        <v>4497</v>
      </c>
      <c r="E120" t="s">
        <v>103</v>
      </c>
      <c r="F120">
        <v>1</v>
      </c>
      <c r="G120">
        <v>0</v>
      </c>
      <c r="H120" s="19">
        <v>-479.55</v>
      </c>
      <c r="I120" s="19">
        <v>0</v>
      </c>
      <c r="J120" s="19">
        <v>479.55</v>
      </c>
      <c r="K120" s="19"/>
      <c r="L120" s="19"/>
      <c r="M120" s="19"/>
      <c r="N120" s="19">
        <v>41694.120000000003</v>
      </c>
      <c r="O120" s="19"/>
      <c r="P120" s="19">
        <f t="shared" si="1"/>
        <v>-41694.120000000003</v>
      </c>
      <c r="Q120" s="19"/>
    </row>
    <row r="121" spans="1:17" hidden="1" x14ac:dyDescent="0.25">
      <c r="A121" t="s">
        <v>58</v>
      </c>
      <c r="B121" t="s">
        <v>4497</v>
      </c>
      <c r="C121" t="s">
        <v>4500</v>
      </c>
      <c r="D121" t="s">
        <v>4497</v>
      </c>
      <c r="E121" t="s">
        <v>55</v>
      </c>
      <c r="F121">
        <v>0</v>
      </c>
      <c r="G121">
        <v>0</v>
      </c>
      <c r="H121" s="19">
        <v>-4905419.5499999896</v>
      </c>
      <c r="I121" s="19">
        <v>106.099159</v>
      </c>
      <c r="J121" s="19">
        <v>4905419.5497890003</v>
      </c>
      <c r="K121" s="19"/>
      <c r="L121" s="19">
        <v>106.099159</v>
      </c>
      <c r="M121" s="19"/>
      <c r="N121" s="19"/>
      <c r="O121" s="19"/>
      <c r="P121" s="19">
        <f t="shared" si="1"/>
        <v>0</v>
      </c>
      <c r="Q121" s="19"/>
    </row>
    <row r="122" spans="1:17" hidden="1" x14ac:dyDescent="0.25">
      <c r="A122" t="s">
        <v>58</v>
      </c>
      <c r="B122" t="s">
        <v>4501</v>
      </c>
      <c r="C122" t="s">
        <v>4501</v>
      </c>
      <c r="D122" t="s">
        <v>4502</v>
      </c>
      <c r="E122" t="s">
        <v>114</v>
      </c>
      <c r="F122">
        <v>0</v>
      </c>
      <c r="G122">
        <v>1</v>
      </c>
      <c r="H122" s="19">
        <v>-6765871.2599999998</v>
      </c>
      <c r="I122" s="19">
        <v>1711.343838</v>
      </c>
      <c r="J122" s="19">
        <v>6765871.2599999998</v>
      </c>
      <c r="K122" s="19">
        <v>106.012798</v>
      </c>
      <c r="L122" s="19">
        <v>19.852257999999999</v>
      </c>
      <c r="M122" s="19">
        <v>1585.4787819999999</v>
      </c>
      <c r="N122" s="19">
        <v>6821044</v>
      </c>
      <c r="O122" s="19">
        <v>6821044</v>
      </c>
      <c r="P122" s="19">
        <f t="shared" si="1"/>
        <v>0</v>
      </c>
      <c r="Q122" s="19"/>
    </row>
    <row r="123" spans="1:17" hidden="1" x14ac:dyDescent="0.25">
      <c r="A123" t="s">
        <v>58</v>
      </c>
      <c r="B123" t="s">
        <v>4501</v>
      </c>
      <c r="C123" t="s">
        <v>4501</v>
      </c>
      <c r="D123" t="s">
        <v>4502</v>
      </c>
      <c r="E123" t="s">
        <v>76</v>
      </c>
      <c r="F123">
        <v>0</v>
      </c>
      <c r="G123">
        <v>1</v>
      </c>
      <c r="H123" s="19">
        <v>-4352.3999999999996</v>
      </c>
      <c r="I123" s="19">
        <v>0</v>
      </c>
      <c r="J123" s="19">
        <v>4352.3999999999996</v>
      </c>
      <c r="K123" s="19">
        <v>0</v>
      </c>
      <c r="L123" s="19">
        <v>0</v>
      </c>
      <c r="M123" s="19">
        <v>0</v>
      </c>
      <c r="N123" s="19">
        <v>44588</v>
      </c>
      <c r="O123" s="19">
        <v>44588</v>
      </c>
      <c r="P123" s="19">
        <f t="shared" si="1"/>
        <v>0</v>
      </c>
      <c r="Q123" s="19"/>
    </row>
    <row r="124" spans="1:17" hidden="1" x14ac:dyDescent="0.25">
      <c r="A124" t="s">
        <v>58</v>
      </c>
      <c r="B124" t="s">
        <v>4497</v>
      </c>
      <c r="C124" t="s">
        <v>4497</v>
      </c>
      <c r="D124" t="s">
        <v>4497</v>
      </c>
      <c r="E124" t="s">
        <v>55</v>
      </c>
      <c r="F124">
        <v>0</v>
      </c>
      <c r="G124">
        <v>0</v>
      </c>
      <c r="H124" s="19">
        <v>-5617558.6026130104</v>
      </c>
      <c r="I124" s="19">
        <v>0</v>
      </c>
      <c r="J124" s="19">
        <v>5617558.602581</v>
      </c>
      <c r="K124" s="19"/>
      <c r="L124" s="19"/>
      <c r="M124" s="19"/>
      <c r="N124" s="19"/>
      <c r="O124" s="19"/>
      <c r="P124" s="19">
        <f t="shared" si="1"/>
        <v>0</v>
      </c>
      <c r="Q124" s="19"/>
    </row>
    <row r="125" spans="1:17" hidden="1" x14ac:dyDescent="0.25">
      <c r="A125" t="s">
        <v>58</v>
      </c>
      <c r="B125" t="s">
        <v>4498</v>
      </c>
      <c r="C125" t="s">
        <v>4497</v>
      </c>
      <c r="D125" t="s">
        <v>4497</v>
      </c>
      <c r="E125" t="s">
        <v>55</v>
      </c>
      <c r="F125">
        <v>0</v>
      </c>
      <c r="G125">
        <v>0</v>
      </c>
      <c r="H125" s="19">
        <v>-1155205.50999999</v>
      </c>
      <c r="I125" s="19">
        <v>107.387377</v>
      </c>
      <c r="J125" s="19">
        <v>1155205.509965</v>
      </c>
      <c r="K125" s="19">
        <v>107.387377</v>
      </c>
      <c r="L125" s="19"/>
      <c r="M125" s="19"/>
      <c r="N125" s="19"/>
      <c r="O125" s="19"/>
      <c r="P125" s="19">
        <f t="shared" si="1"/>
        <v>0</v>
      </c>
      <c r="Q125" s="19"/>
    </row>
    <row r="126" spans="1:17" hidden="1" x14ac:dyDescent="0.25">
      <c r="A126" t="s">
        <v>58</v>
      </c>
      <c r="B126" t="s">
        <v>4504</v>
      </c>
      <c r="C126" t="s">
        <v>4504</v>
      </c>
      <c r="D126" t="s">
        <v>4504</v>
      </c>
      <c r="E126" t="s">
        <v>55</v>
      </c>
      <c r="F126">
        <v>0</v>
      </c>
      <c r="G126">
        <v>0</v>
      </c>
      <c r="H126" s="19">
        <v>-60691544.7299999</v>
      </c>
      <c r="I126" s="19">
        <v>12337.509348</v>
      </c>
      <c r="J126" s="19">
        <v>60691544.729966</v>
      </c>
      <c r="K126" s="19">
        <v>1385.713244</v>
      </c>
      <c r="L126" s="19">
        <v>197.83162300000001</v>
      </c>
      <c r="M126" s="19">
        <v>10753.964481000001</v>
      </c>
      <c r="N126" s="19"/>
      <c r="O126" s="19"/>
      <c r="P126" s="19">
        <f t="shared" si="1"/>
        <v>0</v>
      </c>
      <c r="Q126" s="19">
        <v>1</v>
      </c>
    </row>
    <row r="127" spans="1:17" hidden="1" x14ac:dyDescent="0.25">
      <c r="A127" t="s">
        <v>58</v>
      </c>
      <c r="B127" t="s">
        <v>4501</v>
      </c>
      <c r="C127" t="s">
        <v>4501</v>
      </c>
      <c r="D127" t="s">
        <v>4502</v>
      </c>
      <c r="E127" t="s">
        <v>142</v>
      </c>
      <c r="F127">
        <v>0</v>
      </c>
      <c r="G127">
        <v>1</v>
      </c>
      <c r="H127" s="19">
        <v>-1907031.39</v>
      </c>
      <c r="I127" s="19">
        <v>313.42122499999999</v>
      </c>
      <c r="J127" s="19">
        <v>1907031.39</v>
      </c>
      <c r="K127" s="19">
        <v>18.615655</v>
      </c>
      <c r="L127" s="19">
        <v>73.274389999999997</v>
      </c>
      <c r="M127" s="19">
        <v>221.53118000000001</v>
      </c>
      <c r="N127" s="19">
        <v>492394.32</v>
      </c>
      <c r="O127" s="19">
        <v>492394.32</v>
      </c>
      <c r="P127" s="19">
        <f t="shared" si="1"/>
        <v>0</v>
      </c>
      <c r="Q127" s="19"/>
    </row>
    <row r="128" spans="1:17" hidden="1" x14ac:dyDescent="0.25">
      <c r="A128" t="s">
        <v>58</v>
      </c>
      <c r="B128" t="s">
        <v>4508</v>
      </c>
      <c r="C128" t="s">
        <v>4508</v>
      </c>
      <c r="D128" t="s">
        <v>4497</v>
      </c>
      <c r="E128" t="s">
        <v>55</v>
      </c>
      <c r="F128">
        <v>0</v>
      </c>
      <c r="G128">
        <v>0</v>
      </c>
      <c r="H128" s="19">
        <v>-80269.299999999901</v>
      </c>
      <c r="I128" s="19">
        <v>7.8840630000000003</v>
      </c>
      <c r="J128" s="19">
        <v>80269.299996999995</v>
      </c>
      <c r="K128" s="19">
        <v>7.6720040000000003</v>
      </c>
      <c r="L128" s="19">
        <v>0.212059</v>
      </c>
      <c r="M128" s="19"/>
      <c r="N128" s="19"/>
      <c r="O128" s="19"/>
      <c r="P128" s="19">
        <f t="shared" si="1"/>
        <v>0</v>
      </c>
      <c r="Q128" s="19"/>
    </row>
    <row r="129" spans="1:17" hidden="1" x14ac:dyDescent="0.25">
      <c r="A129" t="s">
        <v>58</v>
      </c>
      <c r="B129" t="s">
        <v>4501</v>
      </c>
      <c r="C129" t="s">
        <v>4501</v>
      </c>
      <c r="D129" t="s">
        <v>4502</v>
      </c>
      <c r="E129" t="s">
        <v>187</v>
      </c>
      <c r="F129">
        <v>0</v>
      </c>
      <c r="G129">
        <v>1</v>
      </c>
      <c r="H129" s="19">
        <v>-67742.710000000006</v>
      </c>
      <c r="I129" s="19">
        <v>0</v>
      </c>
      <c r="J129" s="19">
        <v>67742.710000000006</v>
      </c>
      <c r="K129" s="19">
        <v>0</v>
      </c>
      <c r="L129" s="19">
        <v>0</v>
      </c>
      <c r="M129" s="19">
        <v>0</v>
      </c>
      <c r="N129" s="19">
        <v>937088</v>
      </c>
      <c r="O129" s="19">
        <v>937088</v>
      </c>
      <c r="P129" s="19">
        <f t="shared" si="1"/>
        <v>0</v>
      </c>
      <c r="Q129" s="19"/>
    </row>
    <row r="130" spans="1:17" hidden="1" x14ac:dyDescent="0.25">
      <c r="A130" t="s">
        <v>58</v>
      </c>
      <c r="B130" t="s">
        <v>4500</v>
      </c>
      <c r="C130" t="s">
        <v>4500</v>
      </c>
      <c r="D130" t="s">
        <v>4497</v>
      </c>
      <c r="E130" t="s">
        <v>55</v>
      </c>
      <c r="F130">
        <v>0</v>
      </c>
      <c r="G130">
        <v>0</v>
      </c>
      <c r="H130" s="19">
        <v>-2737431.3799999901</v>
      </c>
      <c r="I130" s="19">
        <v>138.89487199999999</v>
      </c>
      <c r="J130" s="19">
        <v>2737431.3799020001</v>
      </c>
      <c r="K130" s="19">
        <v>74.024203999999997</v>
      </c>
      <c r="L130" s="19">
        <v>64.870667999999995</v>
      </c>
      <c r="M130" s="19"/>
      <c r="N130" s="19"/>
      <c r="O130" s="19"/>
      <c r="P130" s="19">
        <f t="shared" si="1"/>
        <v>0</v>
      </c>
      <c r="Q130" s="19"/>
    </row>
    <row r="131" spans="1:17" hidden="1" x14ac:dyDescent="0.25">
      <c r="A131" t="s">
        <v>58</v>
      </c>
      <c r="B131" t="s">
        <v>4506</v>
      </c>
      <c r="C131" t="s">
        <v>4506</v>
      </c>
      <c r="D131" t="s">
        <v>4506</v>
      </c>
      <c r="E131" t="s">
        <v>55</v>
      </c>
      <c r="F131">
        <v>0</v>
      </c>
      <c r="G131">
        <v>0</v>
      </c>
      <c r="H131" s="19">
        <v>-360710473.05999899</v>
      </c>
      <c r="I131" s="19">
        <v>292173.73456999997</v>
      </c>
      <c r="J131" s="19">
        <v>360710473.05967599</v>
      </c>
      <c r="K131" s="19">
        <v>32803.926249999997</v>
      </c>
      <c r="L131" s="19">
        <v>4665.3131970000004</v>
      </c>
      <c r="M131" s="19">
        <v>254704.495123</v>
      </c>
      <c r="N131" s="19"/>
      <c r="O131" s="19"/>
      <c r="P131" s="19">
        <f t="shared" si="1"/>
        <v>0</v>
      </c>
      <c r="Q131" s="19"/>
    </row>
    <row r="132" spans="1:17" hidden="1" x14ac:dyDescent="0.25">
      <c r="A132" t="s">
        <v>58</v>
      </c>
      <c r="B132" t="s">
        <v>4497</v>
      </c>
      <c r="C132" t="s">
        <v>4498</v>
      </c>
      <c r="D132" t="s">
        <v>4497</v>
      </c>
      <c r="E132" t="s">
        <v>55</v>
      </c>
      <c r="F132">
        <v>0</v>
      </c>
      <c r="G132">
        <v>0</v>
      </c>
      <c r="H132" s="19">
        <v>-1049788.1199999901</v>
      </c>
      <c r="I132" s="19">
        <v>21.772389</v>
      </c>
      <c r="J132" s="19">
        <v>1049788.1199650001</v>
      </c>
      <c r="K132" s="19"/>
      <c r="L132" s="19">
        <v>21.772389</v>
      </c>
      <c r="M132" s="19"/>
      <c r="N132" s="19"/>
      <c r="O132" s="19"/>
      <c r="P132" s="19">
        <f t="shared" ref="P132:P195" si="2">+O132-N132</f>
        <v>0</v>
      </c>
      <c r="Q132" s="19"/>
    </row>
    <row r="133" spans="1:17" hidden="1" x14ac:dyDescent="0.25">
      <c r="A133" t="s">
        <v>58</v>
      </c>
      <c r="B133" t="s">
        <v>4501</v>
      </c>
      <c r="C133" t="s">
        <v>4501</v>
      </c>
      <c r="D133" t="s">
        <v>4502</v>
      </c>
      <c r="E133" t="s">
        <v>202</v>
      </c>
      <c r="F133">
        <v>0</v>
      </c>
      <c r="G133">
        <v>1</v>
      </c>
      <c r="H133" s="19">
        <v>-34608.129999999997</v>
      </c>
      <c r="I133" s="19">
        <v>0</v>
      </c>
      <c r="J133" s="19">
        <v>34608.129999999997</v>
      </c>
      <c r="K133" s="19">
        <v>0</v>
      </c>
      <c r="L133" s="19">
        <v>0</v>
      </c>
      <c r="M133" s="19">
        <v>0</v>
      </c>
      <c r="N133" s="19">
        <v>49704</v>
      </c>
      <c r="O133" s="19">
        <v>49704</v>
      </c>
      <c r="P133" s="19">
        <f t="shared" si="2"/>
        <v>0</v>
      </c>
      <c r="Q133" s="19"/>
    </row>
    <row r="134" spans="1:17" hidden="1" x14ac:dyDescent="0.25">
      <c r="A134" t="s">
        <v>58</v>
      </c>
      <c r="B134" t="s">
        <v>4497</v>
      </c>
      <c r="C134" t="s">
        <v>4497</v>
      </c>
      <c r="D134" t="s">
        <v>4497</v>
      </c>
      <c r="E134" t="s">
        <v>187</v>
      </c>
      <c r="F134">
        <v>0</v>
      </c>
      <c r="G134">
        <v>0</v>
      </c>
      <c r="H134" s="19">
        <v>-78.81</v>
      </c>
      <c r="I134" s="19">
        <v>0</v>
      </c>
      <c r="J134" s="19">
        <v>78.81</v>
      </c>
      <c r="K134" s="19"/>
      <c r="L134" s="19"/>
      <c r="M134" s="19"/>
      <c r="N134" s="19">
        <v>58568</v>
      </c>
      <c r="O134" s="19">
        <v>58568</v>
      </c>
      <c r="P134" s="19">
        <f t="shared" si="2"/>
        <v>0</v>
      </c>
      <c r="Q134" s="19"/>
    </row>
    <row r="135" spans="1:17" hidden="1" x14ac:dyDescent="0.25">
      <c r="A135" t="s">
        <v>58</v>
      </c>
      <c r="B135" t="s">
        <v>4501</v>
      </c>
      <c r="C135" t="s">
        <v>4501</v>
      </c>
      <c r="D135" t="s">
        <v>4502</v>
      </c>
      <c r="E135" t="s">
        <v>75</v>
      </c>
      <c r="F135">
        <v>0</v>
      </c>
      <c r="G135">
        <v>1</v>
      </c>
      <c r="H135" s="19">
        <v>-3769380.81</v>
      </c>
      <c r="I135" s="19">
        <v>2107.3531659999999</v>
      </c>
      <c r="J135" s="19">
        <v>3769380.81</v>
      </c>
      <c r="K135" s="19">
        <v>21.233716000000001</v>
      </c>
      <c r="L135" s="19">
        <v>18.584489000000001</v>
      </c>
      <c r="M135" s="19">
        <v>2067.5349609999998</v>
      </c>
      <c r="N135" s="19">
        <v>4116056</v>
      </c>
      <c r="O135" s="19">
        <v>4116056</v>
      </c>
      <c r="P135" s="19">
        <f t="shared" si="2"/>
        <v>0</v>
      </c>
      <c r="Q135" s="19"/>
    </row>
    <row r="136" spans="1:17" hidden="1" x14ac:dyDescent="0.25">
      <c r="A136" t="s">
        <v>58</v>
      </c>
      <c r="B136" t="s">
        <v>55</v>
      </c>
      <c r="C136" t="s">
        <v>55</v>
      </c>
      <c r="D136" t="s">
        <v>55</v>
      </c>
      <c r="E136" t="s">
        <v>55</v>
      </c>
      <c r="F136">
        <v>0</v>
      </c>
      <c r="G136">
        <v>0</v>
      </c>
      <c r="H136" s="19"/>
      <c r="I136" s="19">
        <v>0</v>
      </c>
      <c r="J136" s="19"/>
      <c r="K136" s="19"/>
      <c r="L136" s="19"/>
      <c r="M136" s="19"/>
      <c r="N136" s="19"/>
      <c r="O136" s="19"/>
      <c r="P136" s="19">
        <f t="shared" si="2"/>
        <v>0</v>
      </c>
      <c r="Q136" s="19"/>
    </row>
    <row r="137" spans="1:17" hidden="1" x14ac:dyDescent="0.25">
      <c r="A137" t="s">
        <v>58</v>
      </c>
      <c r="B137" t="s">
        <v>4505</v>
      </c>
      <c r="C137" t="s">
        <v>4505</v>
      </c>
      <c r="D137" t="s">
        <v>4497</v>
      </c>
      <c r="E137" t="s">
        <v>55</v>
      </c>
      <c r="F137">
        <v>0</v>
      </c>
      <c r="G137">
        <v>0</v>
      </c>
      <c r="H137" s="19">
        <v>-72844890.291754693</v>
      </c>
      <c r="I137" s="19">
        <v>4221.0407750000004</v>
      </c>
      <c r="J137" s="19">
        <v>72844890.291724995</v>
      </c>
      <c r="K137" s="19">
        <v>662.63856199999998</v>
      </c>
      <c r="L137" s="19">
        <v>3558.4022129999998</v>
      </c>
      <c r="M137" s="19"/>
      <c r="N137" s="19"/>
      <c r="O137" s="19"/>
      <c r="P137" s="19">
        <f t="shared" si="2"/>
        <v>0</v>
      </c>
      <c r="Q137" s="19"/>
    </row>
    <row r="138" spans="1:17" hidden="1" x14ac:dyDescent="0.25">
      <c r="A138" t="s">
        <v>58</v>
      </c>
      <c r="B138" t="s">
        <v>4498</v>
      </c>
      <c r="C138" t="s">
        <v>4498</v>
      </c>
      <c r="D138" t="s">
        <v>4497</v>
      </c>
      <c r="E138" t="s">
        <v>55</v>
      </c>
      <c r="F138">
        <v>0</v>
      </c>
      <c r="G138">
        <v>0</v>
      </c>
      <c r="H138" s="19">
        <v>-683650.68999999901</v>
      </c>
      <c r="I138" s="19">
        <v>24.009218000000001</v>
      </c>
      <c r="J138" s="19">
        <v>683650.68998200004</v>
      </c>
      <c r="K138" s="19">
        <v>10.845629000000001</v>
      </c>
      <c r="L138" s="19">
        <v>13.163589</v>
      </c>
      <c r="M138" s="19"/>
      <c r="N138" s="19"/>
      <c r="O138" s="19"/>
      <c r="P138" s="19">
        <f t="shared" si="2"/>
        <v>0</v>
      </c>
      <c r="Q138" s="19"/>
    </row>
    <row r="139" spans="1:17" hidden="1" x14ac:dyDescent="0.25">
      <c r="A139" t="s">
        <v>58</v>
      </c>
      <c r="B139" t="s">
        <v>4503</v>
      </c>
      <c r="C139" t="s">
        <v>4503</v>
      </c>
      <c r="D139" t="s">
        <v>4497</v>
      </c>
      <c r="E139" t="s">
        <v>55</v>
      </c>
      <c r="F139">
        <v>0</v>
      </c>
      <c r="G139">
        <v>0</v>
      </c>
      <c r="H139" s="19">
        <v>-50427874.0118168</v>
      </c>
      <c r="I139" s="19">
        <v>617.355233</v>
      </c>
      <c r="J139" s="19">
        <v>50427874.011808001</v>
      </c>
      <c r="K139" s="19">
        <v>167.47651200000001</v>
      </c>
      <c r="L139" s="19">
        <v>449.87872099999998</v>
      </c>
      <c r="M139" s="19"/>
      <c r="N139" s="19"/>
      <c r="O139" s="19"/>
      <c r="P139" s="19">
        <f t="shared" si="2"/>
        <v>0</v>
      </c>
      <c r="Q139" s="19"/>
    </row>
    <row r="140" spans="1:17" hidden="1" x14ac:dyDescent="0.25">
      <c r="A140" t="s">
        <v>58</v>
      </c>
      <c r="B140" t="s">
        <v>4500</v>
      </c>
      <c r="C140" t="s">
        <v>4497</v>
      </c>
      <c r="D140" t="s">
        <v>4497</v>
      </c>
      <c r="E140" t="s">
        <v>55</v>
      </c>
      <c r="F140">
        <v>0</v>
      </c>
      <c r="G140">
        <v>0</v>
      </c>
      <c r="H140" s="19">
        <v>-18430764.4799999</v>
      </c>
      <c r="I140" s="19">
        <v>4138.4562599999999</v>
      </c>
      <c r="J140" s="19">
        <v>18430764.478939999</v>
      </c>
      <c r="K140" s="19">
        <v>4138.4562599999999</v>
      </c>
      <c r="L140" s="19"/>
      <c r="M140" s="19"/>
      <c r="N140" s="19"/>
      <c r="O140" s="19"/>
      <c r="P140" s="19">
        <f t="shared" si="2"/>
        <v>0</v>
      </c>
      <c r="Q140" s="19"/>
    </row>
    <row r="141" spans="1:17" hidden="1" x14ac:dyDescent="0.25">
      <c r="A141" t="s">
        <v>58</v>
      </c>
      <c r="B141" t="s">
        <v>4499</v>
      </c>
      <c r="C141" t="s">
        <v>4499</v>
      </c>
      <c r="D141" t="s">
        <v>4497</v>
      </c>
      <c r="E141" t="s">
        <v>55</v>
      </c>
      <c r="F141">
        <v>0</v>
      </c>
      <c r="G141">
        <v>0</v>
      </c>
      <c r="H141" s="19">
        <v>-1546856.3399999901</v>
      </c>
      <c r="I141" s="19">
        <v>0</v>
      </c>
      <c r="J141" s="19">
        <v>1546856.339959</v>
      </c>
      <c r="K141" s="19"/>
      <c r="L141" s="19"/>
      <c r="M141" s="19"/>
      <c r="N141" s="19"/>
      <c r="O141" s="19"/>
      <c r="P141" s="19">
        <f t="shared" si="2"/>
        <v>0</v>
      </c>
      <c r="Q141" s="19"/>
    </row>
    <row r="142" spans="1:17" hidden="1" x14ac:dyDescent="0.25">
      <c r="A142" t="s">
        <v>58</v>
      </c>
      <c r="B142" t="s">
        <v>4499</v>
      </c>
      <c r="C142" t="s">
        <v>4499</v>
      </c>
      <c r="D142" t="s">
        <v>4499</v>
      </c>
      <c r="E142" t="s">
        <v>55</v>
      </c>
      <c r="F142">
        <v>0</v>
      </c>
      <c r="G142">
        <v>0</v>
      </c>
      <c r="H142" s="19">
        <v>-215.52</v>
      </c>
      <c r="I142" s="19">
        <v>0</v>
      </c>
      <c r="J142" s="19">
        <v>215.52</v>
      </c>
      <c r="K142" s="19"/>
      <c r="L142" s="19"/>
      <c r="M142" s="19"/>
      <c r="N142" s="19"/>
      <c r="O142" s="19"/>
      <c r="P142" s="19">
        <f t="shared" si="2"/>
        <v>0</v>
      </c>
      <c r="Q142" s="19"/>
    </row>
    <row r="143" spans="1:17" hidden="1" x14ac:dyDescent="0.25">
      <c r="A143" t="s">
        <v>46</v>
      </c>
      <c r="B143" t="s">
        <v>4501</v>
      </c>
      <c r="C143" t="s">
        <v>4501</v>
      </c>
      <c r="D143" t="s">
        <v>4502</v>
      </c>
      <c r="E143" t="s">
        <v>175</v>
      </c>
      <c r="F143">
        <v>0</v>
      </c>
      <c r="G143">
        <v>1</v>
      </c>
      <c r="H143" s="19">
        <v>-537.17999999999995</v>
      </c>
      <c r="I143" s="19">
        <v>0</v>
      </c>
      <c r="J143" s="19">
        <v>537.17999999999995</v>
      </c>
      <c r="K143" s="19">
        <v>0</v>
      </c>
      <c r="L143" s="19">
        <v>0</v>
      </c>
      <c r="M143" s="19">
        <v>0</v>
      </c>
      <c r="N143" s="19">
        <v>17432.98</v>
      </c>
      <c r="O143" s="19">
        <v>17432.98</v>
      </c>
      <c r="P143" s="19">
        <f t="shared" si="2"/>
        <v>0</v>
      </c>
      <c r="Q143" s="19"/>
    </row>
    <row r="144" spans="1:17" hidden="1" x14ac:dyDescent="0.25">
      <c r="A144" t="s">
        <v>46</v>
      </c>
      <c r="B144" t="s">
        <v>4497</v>
      </c>
      <c r="C144" t="s">
        <v>4497</v>
      </c>
      <c r="D144" t="s">
        <v>4497</v>
      </c>
      <c r="E144" t="s">
        <v>55</v>
      </c>
      <c r="F144">
        <v>0</v>
      </c>
      <c r="G144">
        <v>0</v>
      </c>
      <c r="H144" s="19">
        <v>-5045551.5268143704</v>
      </c>
      <c r="I144" s="19">
        <v>0</v>
      </c>
      <c r="J144" s="19">
        <v>5045551.5267869998</v>
      </c>
      <c r="K144" s="19"/>
      <c r="L144" s="19"/>
      <c r="M144" s="19"/>
      <c r="N144" s="19"/>
      <c r="O144" s="19"/>
      <c r="P144" s="19">
        <f t="shared" si="2"/>
        <v>0</v>
      </c>
      <c r="Q144" s="19"/>
    </row>
    <row r="145" spans="1:17" hidden="1" x14ac:dyDescent="0.25">
      <c r="A145" t="s">
        <v>46</v>
      </c>
      <c r="B145" t="s">
        <v>4501</v>
      </c>
      <c r="C145" t="s">
        <v>4501</v>
      </c>
      <c r="D145" t="s">
        <v>4502</v>
      </c>
      <c r="E145" t="s">
        <v>108</v>
      </c>
      <c r="F145">
        <v>0</v>
      </c>
      <c r="G145">
        <v>1</v>
      </c>
      <c r="H145" s="19">
        <v>-4502035.12</v>
      </c>
      <c r="I145" s="19">
        <v>7032.8354470000004</v>
      </c>
      <c r="J145" s="19">
        <v>4502035.12</v>
      </c>
      <c r="K145" s="19">
        <v>80.053897000000006</v>
      </c>
      <c r="L145" s="19">
        <v>167.29279600000001</v>
      </c>
      <c r="M145" s="19">
        <v>6785.488754</v>
      </c>
      <c r="N145" s="19">
        <v>8048172</v>
      </c>
      <c r="O145" s="19">
        <v>8048172</v>
      </c>
      <c r="P145" s="19">
        <f t="shared" si="2"/>
        <v>0</v>
      </c>
      <c r="Q145" s="19"/>
    </row>
    <row r="146" spans="1:17" hidden="1" x14ac:dyDescent="0.25">
      <c r="A146" t="s">
        <v>46</v>
      </c>
      <c r="B146" t="s">
        <v>4500</v>
      </c>
      <c r="C146" t="s">
        <v>4500</v>
      </c>
      <c r="D146" t="s">
        <v>4497</v>
      </c>
      <c r="E146" t="s">
        <v>55</v>
      </c>
      <c r="F146">
        <v>0</v>
      </c>
      <c r="G146">
        <v>0</v>
      </c>
      <c r="H146" s="19">
        <v>-5186398.4399999902</v>
      </c>
      <c r="I146" s="19">
        <v>250.30225300000001</v>
      </c>
      <c r="J146" s="19">
        <v>5186398.4398269998</v>
      </c>
      <c r="K146" s="19">
        <v>132.632295</v>
      </c>
      <c r="L146" s="19">
        <v>117.66995799999999</v>
      </c>
      <c r="M146" s="19"/>
      <c r="N146" s="19"/>
      <c r="O146" s="19"/>
      <c r="P146" s="19">
        <f t="shared" si="2"/>
        <v>0</v>
      </c>
      <c r="Q146" s="19"/>
    </row>
    <row r="147" spans="1:17" hidden="1" x14ac:dyDescent="0.25">
      <c r="A147" t="s">
        <v>46</v>
      </c>
      <c r="B147" t="s">
        <v>4501</v>
      </c>
      <c r="C147" t="s">
        <v>4501</v>
      </c>
      <c r="D147" t="s">
        <v>4502</v>
      </c>
      <c r="E147" t="s">
        <v>201</v>
      </c>
      <c r="F147">
        <v>0</v>
      </c>
      <c r="G147">
        <v>1</v>
      </c>
      <c r="H147" s="19">
        <v>-397887.71360199997</v>
      </c>
      <c r="I147" s="19">
        <v>285.76781499999998</v>
      </c>
      <c r="J147" s="19">
        <v>397887.71360199997</v>
      </c>
      <c r="K147" s="19">
        <v>2.189495</v>
      </c>
      <c r="L147" s="19">
        <v>25.443494999999999</v>
      </c>
      <c r="M147" s="19">
        <v>258.13482499999998</v>
      </c>
      <c r="N147" s="19">
        <v>1030.8</v>
      </c>
      <c r="O147" s="19">
        <v>1030.8</v>
      </c>
      <c r="P147" s="19">
        <f t="shared" si="2"/>
        <v>0</v>
      </c>
      <c r="Q147" s="19"/>
    </row>
    <row r="148" spans="1:17" hidden="1" x14ac:dyDescent="0.25">
      <c r="A148" t="s">
        <v>46</v>
      </c>
      <c r="B148" t="s">
        <v>4496</v>
      </c>
      <c r="C148" t="s">
        <v>4496</v>
      </c>
      <c r="D148" t="s">
        <v>4497</v>
      </c>
      <c r="E148" t="s">
        <v>55</v>
      </c>
      <c r="F148">
        <v>0</v>
      </c>
      <c r="G148">
        <v>0</v>
      </c>
      <c r="H148" s="19">
        <v>-93343332.445689693</v>
      </c>
      <c r="I148" s="19">
        <v>31052.034705999999</v>
      </c>
      <c r="J148" s="19">
        <v>93343332.445605993</v>
      </c>
      <c r="K148" s="19">
        <v>6005.3691239999998</v>
      </c>
      <c r="L148" s="19">
        <v>25046.665582000001</v>
      </c>
      <c r="M148" s="19"/>
      <c r="N148" s="19"/>
      <c r="O148" s="19"/>
      <c r="P148" s="19">
        <f t="shared" si="2"/>
        <v>0</v>
      </c>
      <c r="Q148" s="19"/>
    </row>
    <row r="149" spans="1:17" hidden="1" x14ac:dyDescent="0.25">
      <c r="A149" t="s">
        <v>46</v>
      </c>
      <c r="B149" t="s">
        <v>4501</v>
      </c>
      <c r="C149" t="s">
        <v>4501</v>
      </c>
      <c r="D149" t="s">
        <v>4501</v>
      </c>
      <c r="E149" t="s">
        <v>186</v>
      </c>
      <c r="F149">
        <v>0</v>
      </c>
      <c r="G149">
        <v>1</v>
      </c>
      <c r="H149" s="19">
        <v>-97832588.579999998</v>
      </c>
      <c r="I149" s="19">
        <v>84857.736432000005</v>
      </c>
      <c r="J149" s="19">
        <v>97832588.579999998</v>
      </c>
      <c r="K149" s="19">
        <v>773.28006000000005</v>
      </c>
      <c r="L149" s="19">
        <v>1754.3025359999999</v>
      </c>
      <c r="M149" s="19">
        <v>82330.153835999998</v>
      </c>
      <c r="N149" s="19">
        <v>29228510</v>
      </c>
      <c r="O149" s="19">
        <v>29228510</v>
      </c>
      <c r="P149" s="19">
        <f t="shared" si="2"/>
        <v>0</v>
      </c>
      <c r="Q149" s="19"/>
    </row>
    <row r="150" spans="1:17" hidden="1" x14ac:dyDescent="0.25">
      <c r="A150" t="s">
        <v>46</v>
      </c>
      <c r="B150" t="s">
        <v>4501</v>
      </c>
      <c r="C150" t="s">
        <v>4501</v>
      </c>
      <c r="D150" t="s">
        <v>4501</v>
      </c>
      <c r="E150" t="s">
        <v>72</v>
      </c>
      <c r="F150">
        <v>0</v>
      </c>
      <c r="G150">
        <v>1</v>
      </c>
      <c r="H150" s="19">
        <v>-1047.53</v>
      </c>
      <c r="I150" s="19">
        <v>0</v>
      </c>
      <c r="J150" s="19">
        <v>1047.53</v>
      </c>
      <c r="K150" s="19">
        <v>0</v>
      </c>
      <c r="L150" s="19">
        <v>0</v>
      </c>
      <c r="M150" s="19">
        <v>0</v>
      </c>
      <c r="N150" s="19">
        <v>8905</v>
      </c>
      <c r="O150" s="19">
        <v>8905</v>
      </c>
      <c r="P150" s="19">
        <f t="shared" si="2"/>
        <v>0</v>
      </c>
      <c r="Q150" s="19"/>
    </row>
    <row r="151" spans="1:17" hidden="1" x14ac:dyDescent="0.25">
      <c r="A151" t="s">
        <v>46</v>
      </c>
      <c r="B151" t="s">
        <v>4501</v>
      </c>
      <c r="C151" t="s">
        <v>4501</v>
      </c>
      <c r="D151" t="s">
        <v>4502</v>
      </c>
      <c r="E151" t="s">
        <v>81</v>
      </c>
      <c r="F151">
        <v>0</v>
      </c>
      <c r="G151">
        <v>1</v>
      </c>
      <c r="H151" s="19">
        <v>-2122753.65</v>
      </c>
      <c r="I151" s="19">
        <v>7218.6264119999996</v>
      </c>
      <c r="J151" s="19">
        <v>2122753.65</v>
      </c>
      <c r="K151" s="19">
        <v>119.5521</v>
      </c>
      <c r="L151" s="19">
        <v>168.54424</v>
      </c>
      <c r="M151" s="19">
        <v>6930.5300719999996</v>
      </c>
      <c r="N151" s="19">
        <v>1882728</v>
      </c>
      <c r="O151" s="19">
        <v>1882728</v>
      </c>
      <c r="P151" s="19">
        <f t="shared" si="2"/>
        <v>0</v>
      </c>
      <c r="Q151" s="19"/>
    </row>
    <row r="152" spans="1:17" hidden="1" x14ac:dyDescent="0.25">
      <c r="A152" t="s">
        <v>46</v>
      </c>
      <c r="B152" t="s">
        <v>4501</v>
      </c>
      <c r="C152" t="s">
        <v>4501</v>
      </c>
      <c r="D152" t="s">
        <v>4502</v>
      </c>
      <c r="E152" t="s">
        <v>170</v>
      </c>
      <c r="F152">
        <v>0</v>
      </c>
      <c r="G152">
        <v>1</v>
      </c>
      <c r="H152" s="19">
        <v>-47904.18</v>
      </c>
      <c r="I152" s="19">
        <v>22.069631999999999</v>
      </c>
      <c r="J152" s="19">
        <v>47904.18</v>
      </c>
      <c r="K152" s="19">
        <v>4.6267500000000004</v>
      </c>
      <c r="L152" s="19">
        <v>2.6738010000000001</v>
      </c>
      <c r="M152" s="19">
        <v>14.769081</v>
      </c>
      <c r="N152" s="19">
        <v>97147.68</v>
      </c>
      <c r="O152" s="19">
        <v>97147.68</v>
      </c>
      <c r="P152" s="19">
        <f t="shared" si="2"/>
        <v>0</v>
      </c>
      <c r="Q152" s="19"/>
    </row>
    <row r="153" spans="1:17" hidden="1" x14ac:dyDescent="0.25">
      <c r="A153" t="s">
        <v>46</v>
      </c>
      <c r="B153" t="s">
        <v>4501</v>
      </c>
      <c r="C153" t="s">
        <v>4501</v>
      </c>
      <c r="D153" t="s">
        <v>4501</v>
      </c>
      <c r="E153" t="s">
        <v>97</v>
      </c>
      <c r="F153">
        <v>0</v>
      </c>
      <c r="G153">
        <v>1</v>
      </c>
      <c r="H153" s="19">
        <v>-503.45</v>
      </c>
      <c r="I153" s="19">
        <v>0</v>
      </c>
      <c r="J153" s="19">
        <v>503.45</v>
      </c>
      <c r="K153" s="19">
        <v>0</v>
      </c>
      <c r="L153" s="19">
        <v>0</v>
      </c>
      <c r="M153" s="19">
        <v>0</v>
      </c>
      <c r="N153" s="19">
        <v>43886</v>
      </c>
      <c r="O153" s="19">
        <v>43886</v>
      </c>
      <c r="P153" s="19">
        <f t="shared" si="2"/>
        <v>0</v>
      </c>
      <c r="Q153" s="19"/>
    </row>
    <row r="154" spans="1:17" hidden="1" x14ac:dyDescent="0.25">
      <c r="A154" t="s">
        <v>46</v>
      </c>
      <c r="B154" t="s">
        <v>4501</v>
      </c>
      <c r="C154" t="s">
        <v>4501</v>
      </c>
      <c r="D154" t="s">
        <v>4502</v>
      </c>
      <c r="E154" t="s">
        <v>192</v>
      </c>
      <c r="F154">
        <v>0</v>
      </c>
      <c r="G154">
        <v>1</v>
      </c>
      <c r="H154" s="19">
        <v>-2516.9</v>
      </c>
      <c r="I154" s="19">
        <v>0</v>
      </c>
      <c r="J154" s="19">
        <v>2516.9</v>
      </c>
      <c r="K154" s="19">
        <v>0</v>
      </c>
      <c r="L154" s="19">
        <v>0</v>
      </c>
      <c r="M154" s="19">
        <v>0</v>
      </c>
      <c r="N154" s="19">
        <v>67734</v>
      </c>
      <c r="O154" s="19">
        <v>67734</v>
      </c>
      <c r="P154" s="19">
        <f t="shared" si="2"/>
        <v>0</v>
      </c>
      <c r="Q154" s="19"/>
    </row>
    <row r="155" spans="1:17" hidden="1" x14ac:dyDescent="0.25">
      <c r="A155" t="s">
        <v>46</v>
      </c>
      <c r="B155" t="s">
        <v>4501</v>
      </c>
      <c r="C155" t="s">
        <v>4501</v>
      </c>
      <c r="D155" t="s">
        <v>4502</v>
      </c>
      <c r="E155" t="s">
        <v>79</v>
      </c>
      <c r="F155">
        <v>0</v>
      </c>
      <c r="G155">
        <v>1</v>
      </c>
      <c r="H155" s="19">
        <v>-5516.7</v>
      </c>
      <c r="I155" s="19">
        <v>0</v>
      </c>
      <c r="J155" s="19">
        <v>5516.7</v>
      </c>
      <c r="K155" s="19">
        <v>0</v>
      </c>
      <c r="L155" s="19">
        <v>0</v>
      </c>
      <c r="M155" s="19">
        <v>0</v>
      </c>
      <c r="N155" s="19">
        <v>208300</v>
      </c>
      <c r="O155" s="19">
        <v>208300</v>
      </c>
      <c r="P155" s="19">
        <f t="shared" si="2"/>
        <v>0</v>
      </c>
      <c r="Q155" s="19"/>
    </row>
    <row r="156" spans="1:17" hidden="1" x14ac:dyDescent="0.25">
      <c r="A156" t="s">
        <v>46</v>
      </c>
      <c r="B156" t="s">
        <v>4501</v>
      </c>
      <c r="C156" t="s">
        <v>4501</v>
      </c>
      <c r="D156" t="s">
        <v>4502</v>
      </c>
      <c r="E156" t="s">
        <v>200</v>
      </c>
      <c r="F156">
        <v>0</v>
      </c>
      <c r="G156">
        <v>1</v>
      </c>
      <c r="H156" s="19">
        <v>-768965.35</v>
      </c>
      <c r="I156" s="19">
        <v>3855.1973349999998</v>
      </c>
      <c r="J156" s="19">
        <v>768965.35</v>
      </c>
      <c r="K156" s="19">
        <v>19.262971</v>
      </c>
      <c r="L156" s="19">
        <v>4.5230639999999998</v>
      </c>
      <c r="M156" s="19">
        <v>3831.4113000000002</v>
      </c>
      <c r="N156" s="19">
        <v>66546.399999999994</v>
      </c>
      <c r="O156" s="19">
        <v>66546.399999999994</v>
      </c>
      <c r="P156" s="19">
        <f t="shared" si="2"/>
        <v>0</v>
      </c>
      <c r="Q156" s="19"/>
    </row>
    <row r="157" spans="1:17" hidden="1" x14ac:dyDescent="0.25">
      <c r="A157" t="s">
        <v>46</v>
      </c>
      <c r="B157" t="s">
        <v>4498</v>
      </c>
      <c r="C157" t="s">
        <v>4497</v>
      </c>
      <c r="D157" t="s">
        <v>4497</v>
      </c>
      <c r="E157" t="s">
        <v>55</v>
      </c>
      <c r="F157">
        <v>0</v>
      </c>
      <c r="G157">
        <v>0</v>
      </c>
      <c r="H157" s="19">
        <v>-1617782.23999999</v>
      </c>
      <c r="I157" s="19">
        <v>138.600515</v>
      </c>
      <c r="J157" s="19">
        <v>1617782.2399490001</v>
      </c>
      <c r="K157" s="19">
        <v>138.600515</v>
      </c>
      <c r="L157" s="19"/>
      <c r="M157" s="19"/>
      <c r="N157" s="19"/>
      <c r="O157" s="19"/>
      <c r="P157" s="19">
        <f t="shared" si="2"/>
        <v>0</v>
      </c>
      <c r="Q157" s="19"/>
    </row>
    <row r="158" spans="1:17" hidden="1" x14ac:dyDescent="0.25">
      <c r="A158" t="s">
        <v>46</v>
      </c>
      <c r="B158" t="s">
        <v>4501</v>
      </c>
      <c r="C158" t="s">
        <v>4501</v>
      </c>
      <c r="D158" t="s">
        <v>4502</v>
      </c>
      <c r="E158" t="s">
        <v>169</v>
      </c>
      <c r="F158">
        <v>0</v>
      </c>
      <c r="G158">
        <v>1</v>
      </c>
      <c r="H158" s="19">
        <v>475.6</v>
      </c>
      <c r="I158" s="19">
        <v>0</v>
      </c>
      <c r="J158" s="19">
        <v>-475.6</v>
      </c>
      <c r="K158" s="19">
        <v>0</v>
      </c>
      <c r="L158" s="19">
        <v>0</v>
      </c>
      <c r="M158" s="19">
        <v>0</v>
      </c>
      <c r="N158" s="19">
        <v>120864</v>
      </c>
      <c r="O158" s="19">
        <v>120864</v>
      </c>
      <c r="P158" s="19">
        <f t="shared" si="2"/>
        <v>0</v>
      </c>
      <c r="Q158" s="19"/>
    </row>
    <row r="159" spans="1:17" hidden="1" x14ac:dyDescent="0.25">
      <c r="A159" t="s">
        <v>46</v>
      </c>
      <c r="B159" t="s">
        <v>4503</v>
      </c>
      <c r="C159" t="s">
        <v>4503</v>
      </c>
      <c r="D159" t="s">
        <v>4497</v>
      </c>
      <c r="E159" t="s">
        <v>55</v>
      </c>
      <c r="F159">
        <v>0</v>
      </c>
      <c r="G159">
        <v>0</v>
      </c>
      <c r="H159" s="19">
        <v>-13690754.7265402</v>
      </c>
      <c r="I159" s="19">
        <v>12868.73955</v>
      </c>
      <c r="J159" s="19">
        <v>13690754.726536</v>
      </c>
      <c r="K159" s="19">
        <v>3182.431047</v>
      </c>
      <c r="L159" s="19">
        <v>9686.3085030000002</v>
      </c>
      <c r="M159" s="19"/>
      <c r="N159" s="19"/>
      <c r="O159" s="19"/>
      <c r="P159" s="19">
        <f t="shared" si="2"/>
        <v>0</v>
      </c>
      <c r="Q159" s="19"/>
    </row>
    <row r="160" spans="1:17" hidden="1" x14ac:dyDescent="0.25">
      <c r="A160" t="s">
        <v>46</v>
      </c>
      <c r="B160" t="s">
        <v>4498</v>
      </c>
      <c r="C160" t="s">
        <v>4498</v>
      </c>
      <c r="D160" t="s">
        <v>4497</v>
      </c>
      <c r="E160" t="s">
        <v>55</v>
      </c>
      <c r="F160">
        <v>0</v>
      </c>
      <c r="G160">
        <v>0</v>
      </c>
      <c r="H160" s="19">
        <v>-1239355.6999999899</v>
      </c>
      <c r="I160" s="19">
        <v>38.938357000000003</v>
      </c>
      <c r="J160" s="19">
        <v>1239355.699981</v>
      </c>
      <c r="K160" s="19">
        <v>19.065284999999999</v>
      </c>
      <c r="L160" s="19">
        <v>19.873072000000001</v>
      </c>
      <c r="M160" s="19"/>
      <c r="N160" s="19"/>
      <c r="O160" s="19"/>
      <c r="P160" s="19">
        <f t="shared" si="2"/>
        <v>0</v>
      </c>
      <c r="Q160" s="19"/>
    </row>
    <row r="161" spans="1:17" hidden="1" x14ac:dyDescent="0.25">
      <c r="A161" t="s">
        <v>46</v>
      </c>
      <c r="B161" t="s">
        <v>4501</v>
      </c>
      <c r="C161" t="s">
        <v>4501</v>
      </c>
      <c r="D161" t="s">
        <v>4502</v>
      </c>
      <c r="E161" t="s">
        <v>157</v>
      </c>
      <c r="F161">
        <v>0</v>
      </c>
      <c r="G161">
        <v>1</v>
      </c>
      <c r="H161" s="19">
        <v>-166989.24</v>
      </c>
      <c r="I161" s="19">
        <v>0</v>
      </c>
      <c r="J161" s="19">
        <v>166989.24</v>
      </c>
      <c r="K161" s="19">
        <v>0</v>
      </c>
      <c r="L161" s="19">
        <v>0</v>
      </c>
      <c r="M161" s="19">
        <v>0</v>
      </c>
      <c r="N161" s="19">
        <v>1500697.8</v>
      </c>
      <c r="O161" s="19">
        <v>1500697.8</v>
      </c>
      <c r="P161" s="19">
        <f t="shared" si="2"/>
        <v>0</v>
      </c>
      <c r="Q161" s="19"/>
    </row>
    <row r="162" spans="1:17" hidden="1" x14ac:dyDescent="0.25">
      <c r="A162" t="s">
        <v>46</v>
      </c>
      <c r="B162" t="s">
        <v>4501</v>
      </c>
      <c r="C162" t="s">
        <v>4501</v>
      </c>
      <c r="D162" t="s">
        <v>4501</v>
      </c>
      <c r="E162" t="s">
        <v>171</v>
      </c>
      <c r="F162">
        <v>0</v>
      </c>
      <c r="G162">
        <v>1</v>
      </c>
      <c r="H162" s="19">
        <v>-88275</v>
      </c>
      <c r="I162" s="19">
        <v>0</v>
      </c>
      <c r="J162" s="19">
        <v>88275</v>
      </c>
      <c r="K162" s="19">
        <v>0</v>
      </c>
      <c r="L162" s="19">
        <v>0</v>
      </c>
      <c r="M162" s="19">
        <v>0</v>
      </c>
      <c r="N162" s="19">
        <v>892285.4</v>
      </c>
      <c r="O162" s="19">
        <v>892285.4</v>
      </c>
      <c r="P162" s="19">
        <f t="shared" si="2"/>
        <v>0</v>
      </c>
      <c r="Q162" s="19"/>
    </row>
    <row r="163" spans="1:17" hidden="1" x14ac:dyDescent="0.25">
      <c r="A163" t="s">
        <v>46</v>
      </c>
      <c r="B163" t="s">
        <v>4501</v>
      </c>
      <c r="C163" t="s">
        <v>4501</v>
      </c>
      <c r="D163" t="s">
        <v>4502</v>
      </c>
      <c r="E163" t="s">
        <v>89</v>
      </c>
      <c r="F163">
        <v>0</v>
      </c>
      <c r="G163">
        <v>1</v>
      </c>
      <c r="H163" s="19">
        <v>-856443.12</v>
      </c>
      <c r="I163" s="19">
        <v>136.58355399999999</v>
      </c>
      <c r="J163" s="19">
        <v>856443.12</v>
      </c>
      <c r="K163" s="19">
        <v>4.2881650000000002</v>
      </c>
      <c r="L163" s="19">
        <v>6.5378249999999998</v>
      </c>
      <c r="M163" s="19">
        <v>125.757564</v>
      </c>
      <c r="N163" s="19">
        <v>7847793.8399999999</v>
      </c>
      <c r="O163" s="19">
        <v>7847793.8399999999</v>
      </c>
      <c r="P163" s="19">
        <f t="shared" si="2"/>
        <v>0</v>
      </c>
      <c r="Q163" s="19"/>
    </row>
    <row r="164" spans="1:17" hidden="1" x14ac:dyDescent="0.25">
      <c r="A164" t="s">
        <v>46</v>
      </c>
      <c r="B164" t="s">
        <v>4500</v>
      </c>
      <c r="C164" t="s">
        <v>4497</v>
      </c>
      <c r="D164" t="s">
        <v>4497</v>
      </c>
      <c r="E164" t="s">
        <v>55</v>
      </c>
      <c r="F164">
        <v>0</v>
      </c>
      <c r="G164">
        <v>0</v>
      </c>
      <c r="H164" s="19">
        <v>-18084860.529999901</v>
      </c>
      <c r="I164" s="19">
        <v>3413.9317230000001</v>
      </c>
      <c r="J164" s="19">
        <v>18084860.528808001</v>
      </c>
      <c r="K164" s="19">
        <v>3413.9317230000001</v>
      </c>
      <c r="L164" s="19"/>
      <c r="M164" s="19"/>
      <c r="N164" s="19"/>
      <c r="O164" s="19"/>
      <c r="P164" s="19">
        <f t="shared" si="2"/>
        <v>0</v>
      </c>
      <c r="Q164" s="19"/>
    </row>
    <row r="165" spans="1:17" hidden="1" x14ac:dyDescent="0.25">
      <c r="A165" t="s">
        <v>46</v>
      </c>
      <c r="B165" t="s">
        <v>4501</v>
      </c>
      <c r="C165" t="s">
        <v>4501</v>
      </c>
      <c r="D165" t="s">
        <v>4502</v>
      </c>
      <c r="E165" t="s">
        <v>99</v>
      </c>
      <c r="F165">
        <v>0</v>
      </c>
      <c r="G165">
        <v>1</v>
      </c>
      <c r="H165" s="19">
        <v>-841.88</v>
      </c>
      <c r="I165" s="19">
        <v>0</v>
      </c>
      <c r="J165" s="19">
        <v>841.88</v>
      </c>
      <c r="K165" s="19">
        <v>0</v>
      </c>
      <c r="L165" s="19">
        <v>0</v>
      </c>
      <c r="M165" s="19">
        <v>0</v>
      </c>
      <c r="N165" s="19">
        <v>11831</v>
      </c>
      <c r="O165" s="19">
        <v>11831</v>
      </c>
      <c r="P165" s="19">
        <f t="shared" si="2"/>
        <v>0</v>
      </c>
      <c r="Q165" s="19"/>
    </row>
    <row r="166" spans="1:17" hidden="1" x14ac:dyDescent="0.25">
      <c r="A166" t="s">
        <v>46</v>
      </c>
      <c r="B166" t="s">
        <v>4508</v>
      </c>
      <c r="C166" t="s">
        <v>4508</v>
      </c>
      <c r="D166" t="s">
        <v>4497</v>
      </c>
      <c r="E166" t="s">
        <v>55</v>
      </c>
      <c r="F166">
        <v>0</v>
      </c>
      <c r="G166">
        <v>0</v>
      </c>
      <c r="H166" s="19">
        <v>-64668.179999999898</v>
      </c>
      <c r="I166" s="19">
        <v>8.3584619999999994</v>
      </c>
      <c r="J166" s="19">
        <v>64668.179993999998</v>
      </c>
      <c r="K166" s="19">
        <v>8.0955539999999999</v>
      </c>
      <c r="L166" s="19">
        <v>0.26290799999999998</v>
      </c>
      <c r="M166" s="19"/>
      <c r="N166" s="19"/>
      <c r="O166" s="19"/>
      <c r="P166" s="19">
        <f t="shared" si="2"/>
        <v>0</v>
      </c>
      <c r="Q166" s="19"/>
    </row>
    <row r="167" spans="1:17" hidden="1" x14ac:dyDescent="0.25">
      <c r="A167" t="s">
        <v>46</v>
      </c>
      <c r="B167" t="s">
        <v>4501</v>
      </c>
      <c r="C167" t="s">
        <v>4501</v>
      </c>
      <c r="D167" t="s">
        <v>4501</v>
      </c>
      <c r="E167" t="s">
        <v>64</v>
      </c>
      <c r="F167">
        <v>0</v>
      </c>
      <c r="G167">
        <v>1</v>
      </c>
      <c r="H167" s="19">
        <v>-200532.01</v>
      </c>
      <c r="I167" s="19">
        <v>577.05441299999995</v>
      </c>
      <c r="J167" s="19">
        <v>200532.01</v>
      </c>
      <c r="K167" s="19">
        <v>19.537323000000001</v>
      </c>
      <c r="L167" s="19">
        <v>8.432086</v>
      </c>
      <c r="M167" s="19">
        <v>549.08500400000003</v>
      </c>
      <c r="N167" s="19">
        <v>14570.2</v>
      </c>
      <c r="O167" s="19">
        <v>14570.2</v>
      </c>
      <c r="P167" s="19">
        <f t="shared" si="2"/>
        <v>0</v>
      </c>
      <c r="Q167" s="19"/>
    </row>
    <row r="168" spans="1:17" hidden="1" x14ac:dyDescent="0.25">
      <c r="A168" t="s">
        <v>46</v>
      </c>
      <c r="B168" t="s">
        <v>4504</v>
      </c>
      <c r="C168" t="s">
        <v>4504</v>
      </c>
      <c r="D168" t="s">
        <v>4504</v>
      </c>
      <c r="E168" t="s">
        <v>55</v>
      </c>
      <c r="F168">
        <v>0</v>
      </c>
      <c r="G168">
        <v>0</v>
      </c>
      <c r="H168" s="19">
        <v>-411278032.38935101</v>
      </c>
      <c r="I168" s="19">
        <v>78651.274651999993</v>
      </c>
      <c r="J168" s="19">
        <v>411278032.389283</v>
      </c>
      <c r="K168" s="19">
        <v>13055.839613</v>
      </c>
      <c r="L168" s="19">
        <v>6201.2410289999998</v>
      </c>
      <c r="M168" s="19">
        <v>59394.194009999999</v>
      </c>
      <c r="N168" s="19"/>
      <c r="O168" s="19"/>
      <c r="P168" s="19">
        <f t="shared" si="2"/>
        <v>0</v>
      </c>
      <c r="Q168" s="19">
        <v>1</v>
      </c>
    </row>
    <row r="169" spans="1:17" hidden="1" x14ac:dyDescent="0.25">
      <c r="A169" t="s">
        <v>46</v>
      </c>
      <c r="B169" t="s">
        <v>4501</v>
      </c>
      <c r="C169" t="s">
        <v>4501</v>
      </c>
      <c r="D169" t="s">
        <v>4502</v>
      </c>
      <c r="E169" t="s">
        <v>96</v>
      </c>
      <c r="F169">
        <v>0</v>
      </c>
      <c r="G169">
        <v>1</v>
      </c>
      <c r="H169" s="19">
        <v>-624.94000000000005</v>
      </c>
      <c r="I169" s="19">
        <v>0</v>
      </c>
      <c r="J169" s="19">
        <v>624.94000000000005</v>
      </c>
      <c r="K169" s="19">
        <v>0</v>
      </c>
      <c r="L169" s="19">
        <v>0</v>
      </c>
      <c r="M169" s="19">
        <v>0</v>
      </c>
      <c r="N169" s="19">
        <v>499593.6</v>
      </c>
      <c r="O169" s="19">
        <v>499593.6</v>
      </c>
      <c r="P169" s="19">
        <f t="shared" si="2"/>
        <v>0</v>
      </c>
      <c r="Q169" s="19"/>
    </row>
    <row r="170" spans="1:17" hidden="1" x14ac:dyDescent="0.25">
      <c r="A170" t="s">
        <v>46</v>
      </c>
      <c r="B170" t="s">
        <v>4501</v>
      </c>
      <c r="C170" t="s">
        <v>4501</v>
      </c>
      <c r="D170" t="s">
        <v>4502</v>
      </c>
      <c r="E170" t="s">
        <v>138</v>
      </c>
      <c r="F170">
        <v>0</v>
      </c>
      <c r="G170">
        <v>1</v>
      </c>
      <c r="H170" s="19">
        <v>-13021421.220000001</v>
      </c>
      <c r="I170" s="19">
        <v>10859.863493000001</v>
      </c>
      <c r="J170" s="19">
        <v>13021421.220000001</v>
      </c>
      <c r="K170" s="19">
        <v>89.695802</v>
      </c>
      <c r="L170" s="19">
        <v>218.049466</v>
      </c>
      <c r="M170" s="19">
        <v>10552.118225</v>
      </c>
      <c r="N170" s="19">
        <v>11686112</v>
      </c>
      <c r="O170" s="19">
        <v>11686112</v>
      </c>
      <c r="P170" s="19">
        <f t="shared" si="2"/>
        <v>0</v>
      </c>
      <c r="Q170" s="19"/>
    </row>
    <row r="171" spans="1:17" hidden="1" x14ac:dyDescent="0.25">
      <c r="A171" t="s">
        <v>46</v>
      </c>
      <c r="B171" t="s">
        <v>4501</v>
      </c>
      <c r="C171" t="s">
        <v>4501</v>
      </c>
      <c r="D171" t="s">
        <v>4502</v>
      </c>
      <c r="E171" t="s">
        <v>173</v>
      </c>
      <c r="F171">
        <v>0</v>
      </c>
      <c r="G171">
        <v>1</v>
      </c>
      <c r="H171" s="19">
        <v>-6937.21</v>
      </c>
      <c r="I171" s="19">
        <v>0.30946499999999999</v>
      </c>
      <c r="J171" s="19">
        <v>6937.21</v>
      </c>
      <c r="K171" s="19">
        <v>1.149E-2</v>
      </c>
      <c r="L171" s="19">
        <v>2.0681999999999999E-2</v>
      </c>
      <c r="M171" s="19">
        <v>0.27729300000000001</v>
      </c>
      <c r="N171" s="19">
        <v>2894.36</v>
      </c>
      <c r="O171" s="19">
        <v>2894.36</v>
      </c>
      <c r="P171" s="19">
        <f t="shared" si="2"/>
        <v>0</v>
      </c>
      <c r="Q171" s="19"/>
    </row>
    <row r="172" spans="1:17" hidden="1" x14ac:dyDescent="0.25">
      <c r="A172" t="s">
        <v>46</v>
      </c>
      <c r="B172" t="s">
        <v>4501</v>
      </c>
      <c r="C172" t="s">
        <v>4501</v>
      </c>
      <c r="D172" t="s">
        <v>4502</v>
      </c>
      <c r="E172" t="s">
        <v>134</v>
      </c>
      <c r="F172">
        <v>0</v>
      </c>
      <c r="G172">
        <v>1</v>
      </c>
      <c r="H172" s="19">
        <v>-53.27</v>
      </c>
      <c r="I172" s="19">
        <v>0</v>
      </c>
      <c r="J172" s="19">
        <v>53.27</v>
      </c>
      <c r="K172" s="19">
        <v>0</v>
      </c>
      <c r="L172" s="19">
        <v>0</v>
      </c>
      <c r="M172" s="19">
        <v>0</v>
      </c>
      <c r="N172" s="19">
        <v>26111</v>
      </c>
      <c r="O172" s="19">
        <v>26111</v>
      </c>
      <c r="P172" s="19">
        <f t="shared" si="2"/>
        <v>0</v>
      </c>
      <c r="Q172" s="19"/>
    </row>
    <row r="173" spans="1:17" hidden="1" x14ac:dyDescent="0.25">
      <c r="A173" t="s">
        <v>46</v>
      </c>
      <c r="B173" t="s">
        <v>4501</v>
      </c>
      <c r="C173" t="s">
        <v>4501</v>
      </c>
      <c r="D173" t="s">
        <v>4502</v>
      </c>
      <c r="E173" t="s">
        <v>106</v>
      </c>
      <c r="F173">
        <v>0</v>
      </c>
      <c r="G173">
        <v>1</v>
      </c>
      <c r="H173" s="19">
        <v>-5217.78</v>
      </c>
      <c r="I173" s="19">
        <v>0</v>
      </c>
      <c r="J173" s="19">
        <v>5217.78</v>
      </c>
      <c r="K173" s="19">
        <v>0</v>
      </c>
      <c r="L173" s="19">
        <v>0</v>
      </c>
      <c r="M173" s="19">
        <v>0</v>
      </c>
      <c r="N173" s="19">
        <v>36067.440000000002</v>
      </c>
      <c r="O173" s="19">
        <v>36067.440000000002</v>
      </c>
      <c r="P173" s="19">
        <f t="shared" si="2"/>
        <v>0</v>
      </c>
      <c r="Q173" s="19"/>
    </row>
    <row r="174" spans="1:17" hidden="1" x14ac:dyDescent="0.25">
      <c r="A174" t="s">
        <v>46</v>
      </c>
      <c r="B174" t="s">
        <v>55</v>
      </c>
      <c r="C174" t="s">
        <v>55</v>
      </c>
      <c r="D174" t="s">
        <v>55</v>
      </c>
      <c r="E174" t="s">
        <v>55</v>
      </c>
      <c r="F174">
        <v>0</v>
      </c>
      <c r="G174">
        <v>0</v>
      </c>
      <c r="H174" s="19"/>
      <c r="I174" s="19">
        <v>0</v>
      </c>
      <c r="J174" s="19"/>
      <c r="K174" s="19"/>
      <c r="L174" s="19"/>
      <c r="M174" s="19"/>
      <c r="N174" s="19"/>
      <c r="O174" s="19"/>
      <c r="P174" s="19">
        <f t="shared" si="2"/>
        <v>0</v>
      </c>
      <c r="Q174" s="19"/>
    </row>
    <row r="175" spans="1:17" hidden="1" x14ac:dyDescent="0.25">
      <c r="A175" t="s">
        <v>46</v>
      </c>
      <c r="B175" t="s">
        <v>4501</v>
      </c>
      <c r="C175" t="s">
        <v>4501</v>
      </c>
      <c r="D175" t="s">
        <v>4502</v>
      </c>
      <c r="E175" t="s">
        <v>165</v>
      </c>
      <c r="F175">
        <v>0</v>
      </c>
      <c r="G175">
        <v>1</v>
      </c>
      <c r="H175" s="19">
        <v>-32979892.449999999</v>
      </c>
      <c r="I175" s="19">
        <v>97250.688672000004</v>
      </c>
      <c r="J175" s="19">
        <v>32979892.449999999</v>
      </c>
      <c r="K175" s="19">
        <v>716.91393600000004</v>
      </c>
      <c r="L175" s="19">
        <v>2490.5186399999998</v>
      </c>
      <c r="M175" s="19">
        <v>94043.256095999997</v>
      </c>
      <c r="N175" s="19">
        <v>21947190</v>
      </c>
      <c r="O175" s="19">
        <v>21947190</v>
      </c>
      <c r="P175" s="19">
        <f t="shared" si="2"/>
        <v>0</v>
      </c>
      <c r="Q175" s="19"/>
    </row>
    <row r="176" spans="1:17" hidden="1" x14ac:dyDescent="0.25">
      <c r="A176" t="s">
        <v>46</v>
      </c>
      <c r="B176" t="s">
        <v>4502</v>
      </c>
      <c r="C176" t="s">
        <v>4507</v>
      </c>
      <c r="D176" t="s">
        <v>4502</v>
      </c>
      <c r="E176" t="s">
        <v>68</v>
      </c>
      <c r="F176">
        <v>0</v>
      </c>
      <c r="G176">
        <v>1</v>
      </c>
      <c r="H176" s="19">
        <v>-114864.28</v>
      </c>
      <c r="I176" s="19">
        <v>0</v>
      </c>
      <c r="J176" s="19">
        <v>114864.28</v>
      </c>
      <c r="K176" s="19">
        <v>0</v>
      </c>
      <c r="L176" s="19">
        <v>0</v>
      </c>
      <c r="M176" s="19">
        <v>0</v>
      </c>
      <c r="N176" s="19">
        <v>154205.72</v>
      </c>
      <c r="O176" s="19">
        <v>154205.72</v>
      </c>
      <c r="P176" s="19">
        <f t="shared" si="2"/>
        <v>0</v>
      </c>
      <c r="Q176" s="19"/>
    </row>
    <row r="177" spans="1:17" hidden="1" x14ac:dyDescent="0.25">
      <c r="A177" t="s">
        <v>46</v>
      </c>
      <c r="B177" t="s">
        <v>4501</v>
      </c>
      <c r="C177" t="s">
        <v>4501</v>
      </c>
      <c r="D177" t="s">
        <v>4501</v>
      </c>
      <c r="E177" t="s">
        <v>149</v>
      </c>
      <c r="F177">
        <v>0</v>
      </c>
      <c r="G177">
        <v>1</v>
      </c>
      <c r="H177" s="19">
        <v>-924342.82</v>
      </c>
      <c r="I177" s="19">
        <v>74.91</v>
      </c>
      <c r="J177" s="19">
        <v>924342.82</v>
      </c>
      <c r="K177" s="19">
        <v>2.6962869999999999</v>
      </c>
      <c r="L177" s="19">
        <v>2.1463860000000001</v>
      </c>
      <c r="M177" s="19">
        <v>70.067327000000006</v>
      </c>
      <c r="N177" s="19">
        <v>411940.92</v>
      </c>
      <c r="O177" s="19">
        <v>411940.92</v>
      </c>
      <c r="P177" s="19">
        <f t="shared" si="2"/>
        <v>0</v>
      </c>
      <c r="Q177" s="19"/>
    </row>
    <row r="178" spans="1:17" hidden="1" x14ac:dyDescent="0.25">
      <c r="A178" t="s">
        <v>46</v>
      </c>
      <c r="B178" t="s">
        <v>4497</v>
      </c>
      <c r="C178" t="s">
        <v>4498</v>
      </c>
      <c r="D178" t="s">
        <v>4497</v>
      </c>
      <c r="E178" t="s">
        <v>55</v>
      </c>
      <c r="F178">
        <v>0</v>
      </c>
      <c r="G178">
        <v>0</v>
      </c>
      <c r="H178" s="19">
        <v>-2974142.54999999</v>
      </c>
      <c r="I178" s="19">
        <v>60.037266000000002</v>
      </c>
      <c r="J178" s="19">
        <v>2974142.549906</v>
      </c>
      <c r="K178" s="19"/>
      <c r="L178" s="19">
        <v>60.037266000000002</v>
      </c>
      <c r="M178" s="19"/>
      <c r="N178" s="19"/>
      <c r="O178" s="19"/>
      <c r="P178" s="19">
        <f t="shared" si="2"/>
        <v>0</v>
      </c>
      <c r="Q178" s="19"/>
    </row>
    <row r="179" spans="1:17" hidden="1" x14ac:dyDescent="0.25">
      <c r="A179" t="s">
        <v>46</v>
      </c>
      <c r="B179" t="s">
        <v>4502</v>
      </c>
      <c r="C179" t="s">
        <v>4501</v>
      </c>
      <c r="D179" t="s">
        <v>4502</v>
      </c>
      <c r="E179" t="s">
        <v>158</v>
      </c>
      <c r="F179">
        <v>0</v>
      </c>
      <c r="G179">
        <v>1</v>
      </c>
      <c r="H179" s="19">
        <v>-9426.6200000000008</v>
      </c>
      <c r="I179" s="19">
        <v>0</v>
      </c>
      <c r="J179" s="19">
        <v>9426.6200000000008</v>
      </c>
      <c r="K179" s="19">
        <v>0</v>
      </c>
      <c r="L179" s="19">
        <v>0</v>
      </c>
      <c r="M179" s="19">
        <v>0</v>
      </c>
      <c r="N179" s="19">
        <v>25507</v>
      </c>
      <c r="O179" s="19">
        <v>25507</v>
      </c>
      <c r="P179" s="19">
        <f t="shared" si="2"/>
        <v>0</v>
      </c>
      <c r="Q179" s="19"/>
    </row>
    <row r="180" spans="1:17" hidden="1" x14ac:dyDescent="0.25">
      <c r="A180" t="s">
        <v>46</v>
      </c>
      <c r="B180" t="s">
        <v>4499</v>
      </c>
      <c r="C180" t="s">
        <v>4499</v>
      </c>
      <c r="D180" t="s">
        <v>4499</v>
      </c>
      <c r="E180" t="s">
        <v>55</v>
      </c>
      <c r="F180">
        <v>0</v>
      </c>
      <c r="G180">
        <v>0</v>
      </c>
      <c r="H180" s="19">
        <v>-1742967.46</v>
      </c>
      <c r="I180" s="19">
        <v>0</v>
      </c>
      <c r="J180" s="19">
        <v>1742967.46</v>
      </c>
      <c r="K180" s="19"/>
      <c r="L180" s="19"/>
      <c r="M180" s="19"/>
      <c r="N180" s="19"/>
      <c r="O180" s="19"/>
      <c r="P180" s="19">
        <f t="shared" si="2"/>
        <v>0</v>
      </c>
      <c r="Q180" s="19"/>
    </row>
    <row r="181" spans="1:17" hidden="1" x14ac:dyDescent="0.25">
      <c r="A181" t="s">
        <v>46</v>
      </c>
      <c r="B181" t="s">
        <v>4501</v>
      </c>
      <c r="C181" t="s">
        <v>4501</v>
      </c>
      <c r="D181" t="s">
        <v>4502</v>
      </c>
      <c r="E181" t="s">
        <v>185</v>
      </c>
      <c r="F181">
        <v>0</v>
      </c>
      <c r="G181">
        <v>1</v>
      </c>
      <c r="H181" s="19">
        <v>-2275.4499999999998</v>
      </c>
      <c r="I181" s="19">
        <v>0</v>
      </c>
      <c r="J181" s="19">
        <v>2275.4499999999998</v>
      </c>
      <c r="K181" s="19">
        <v>0</v>
      </c>
      <c r="L181" s="19">
        <v>0</v>
      </c>
      <c r="M181" s="19">
        <v>0</v>
      </c>
      <c r="N181" s="19">
        <v>191673</v>
      </c>
      <c r="O181" s="19">
        <v>191673</v>
      </c>
      <c r="P181" s="19">
        <f t="shared" si="2"/>
        <v>0</v>
      </c>
      <c r="Q181" s="19"/>
    </row>
    <row r="182" spans="1:17" hidden="1" x14ac:dyDescent="0.25">
      <c r="A182" t="s">
        <v>46</v>
      </c>
      <c r="B182" t="s">
        <v>4502</v>
      </c>
      <c r="C182" t="s">
        <v>4507</v>
      </c>
      <c r="D182" t="s">
        <v>4502</v>
      </c>
      <c r="E182" t="s">
        <v>193</v>
      </c>
      <c r="F182">
        <v>0</v>
      </c>
      <c r="G182">
        <v>1</v>
      </c>
      <c r="H182" s="19">
        <v>-36356818.390000001</v>
      </c>
      <c r="I182" s="19">
        <v>93898.719557999997</v>
      </c>
      <c r="J182" s="19">
        <v>36356818.390000001</v>
      </c>
      <c r="K182" s="19">
        <v>55508.885119999999</v>
      </c>
      <c r="L182" s="19">
        <v>7125.1300300000003</v>
      </c>
      <c r="M182" s="19">
        <v>31264.704408000001</v>
      </c>
      <c r="N182" s="19">
        <v>447223.2</v>
      </c>
      <c r="O182" s="19">
        <v>447223.2</v>
      </c>
      <c r="P182" s="19">
        <f t="shared" si="2"/>
        <v>0</v>
      </c>
      <c r="Q182" s="19"/>
    </row>
    <row r="183" spans="1:17" hidden="1" x14ac:dyDescent="0.25">
      <c r="A183" t="s">
        <v>46</v>
      </c>
      <c r="B183" t="s">
        <v>4505</v>
      </c>
      <c r="C183" t="s">
        <v>4505</v>
      </c>
      <c r="D183" t="s">
        <v>4497</v>
      </c>
      <c r="E183" t="s">
        <v>55</v>
      </c>
      <c r="F183">
        <v>0</v>
      </c>
      <c r="G183">
        <v>0</v>
      </c>
      <c r="H183" s="19">
        <v>-67395850.100955501</v>
      </c>
      <c r="I183" s="19">
        <v>9411.6575350000003</v>
      </c>
      <c r="J183" s="19">
        <v>67395850.100897998</v>
      </c>
      <c r="K183" s="19">
        <v>1477.485629</v>
      </c>
      <c r="L183" s="19">
        <v>7934.1719059999996</v>
      </c>
      <c r="M183" s="19"/>
      <c r="N183" s="19"/>
      <c r="O183" s="19"/>
      <c r="P183" s="19">
        <f t="shared" si="2"/>
        <v>0</v>
      </c>
      <c r="Q183" s="19"/>
    </row>
    <row r="184" spans="1:17" hidden="1" x14ac:dyDescent="0.25">
      <c r="A184" t="s">
        <v>46</v>
      </c>
      <c r="B184" t="s">
        <v>4501</v>
      </c>
      <c r="C184" t="s">
        <v>4501</v>
      </c>
      <c r="D184" t="s">
        <v>4501</v>
      </c>
      <c r="E184" t="s">
        <v>83</v>
      </c>
      <c r="F184">
        <v>0</v>
      </c>
      <c r="G184">
        <v>1</v>
      </c>
      <c r="H184" s="19">
        <v>-5.79</v>
      </c>
      <c r="I184" s="19">
        <v>0</v>
      </c>
      <c r="J184" s="19">
        <v>5.79</v>
      </c>
      <c r="K184" s="19">
        <v>0</v>
      </c>
      <c r="L184" s="19">
        <v>0</v>
      </c>
      <c r="M184" s="19">
        <v>0</v>
      </c>
      <c r="N184" s="19">
        <v>7294</v>
      </c>
      <c r="O184" s="19">
        <v>7294</v>
      </c>
      <c r="P184" s="19">
        <f t="shared" si="2"/>
        <v>0</v>
      </c>
      <c r="Q184" s="19"/>
    </row>
    <row r="185" spans="1:17" hidden="1" x14ac:dyDescent="0.25">
      <c r="A185" t="s">
        <v>46</v>
      </c>
      <c r="B185" t="s">
        <v>4501</v>
      </c>
      <c r="C185" t="s">
        <v>4501</v>
      </c>
      <c r="D185" t="s">
        <v>4502</v>
      </c>
      <c r="E185" t="s">
        <v>143</v>
      </c>
      <c r="F185">
        <v>0</v>
      </c>
      <c r="G185">
        <v>1</v>
      </c>
      <c r="H185" s="19">
        <v>-2526446.5499999998</v>
      </c>
      <c r="I185" s="19">
        <v>746.93798500000003</v>
      </c>
      <c r="J185" s="19">
        <v>2526446.5499999998</v>
      </c>
      <c r="K185" s="19">
        <v>7.0339499999999999</v>
      </c>
      <c r="L185" s="19">
        <v>13.773318</v>
      </c>
      <c r="M185" s="19">
        <v>726.130717</v>
      </c>
      <c r="N185" s="19">
        <v>5344080.5999999996</v>
      </c>
      <c r="O185" s="19">
        <v>5344080.5999999996</v>
      </c>
      <c r="P185" s="19">
        <f t="shared" si="2"/>
        <v>0</v>
      </c>
      <c r="Q185" s="19"/>
    </row>
    <row r="186" spans="1:17" hidden="1" x14ac:dyDescent="0.25">
      <c r="A186" t="s">
        <v>46</v>
      </c>
      <c r="B186" t="s">
        <v>4501</v>
      </c>
      <c r="C186" t="s">
        <v>4501</v>
      </c>
      <c r="D186" t="s">
        <v>4502</v>
      </c>
      <c r="E186" t="s">
        <v>164</v>
      </c>
      <c r="F186">
        <v>0</v>
      </c>
      <c r="G186">
        <v>1</v>
      </c>
      <c r="H186" s="19">
        <v>-2747.26</v>
      </c>
      <c r="I186" s="19">
        <v>0</v>
      </c>
      <c r="J186" s="19">
        <v>2747.26</v>
      </c>
      <c r="K186" s="19">
        <v>0</v>
      </c>
      <c r="L186" s="19">
        <v>0</v>
      </c>
      <c r="M186" s="19">
        <v>0</v>
      </c>
      <c r="N186" s="19">
        <v>13899.2</v>
      </c>
      <c r="O186" s="19">
        <v>13899.2</v>
      </c>
      <c r="P186" s="19">
        <f t="shared" si="2"/>
        <v>0</v>
      </c>
      <c r="Q186" s="19"/>
    </row>
    <row r="187" spans="1:17" hidden="1" x14ac:dyDescent="0.25">
      <c r="A187" t="s">
        <v>46</v>
      </c>
      <c r="B187" t="s">
        <v>4499</v>
      </c>
      <c r="C187" t="s">
        <v>4499</v>
      </c>
      <c r="D187" t="s">
        <v>4497</v>
      </c>
      <c r="E187" t="s">
        <v>55</v>
      </c>
      <c r="F187">
        <v>0</v>
      </c>
      <c r="G187">
        <v>0</v>
      </c>
      <c r="H187" s="19">
        <v>-173046.489999999</v>
      </c>
      <c r="I187" s="19">
        <v>0</v>
      </c>
      <c r="J187" s="19">
        <v>173046.489986</v>
      </c>
      <c r="K187" s="19"/>
      <c r="L187" s="19"/>
      <c r="M187" s="19"/>
      <c r="N187" s="19"/>
      <c r="O187" s="19"/>
      <c r="P187" s="19">
        <f t="shared" si="2"/>
        <v>0</v>
      </c>
      <c r="Q187" s="19"/>
    </row>
    <row r="188" spans="1:17" hidden="1" x14ac:dyDescent="0.25">
      <c r="A188" t="s">
        <v>46</v>
      </c>
      <c r="B188" t="s">
        <v>4506</v>
      </c>
      <c r="C188" t="s">
        <v>4506</v>
      </c>
      <c r="D188" t="s">
        <v>4506</v>
      </c>
      <c r="E188" t="s">
        <v>55</v>
      </c>
      <c r="F188">
        <v>0</v>
      </c>
      <c r="G188">
        <v>0</v>
      </c>
      <c r="H188" s="19">
        <v>-1154844684.70555</v>
      </c>
      <c r="I188" s="19">
        <v>989829.48945700005</v>
      </c>
      <c r="J188" s="19">
        <v>1154844684.70508</v>
      </c>
      <c r="K188" s="19">
        <v>164309.49293000001</v>
      </c>
      <c r="L188" s="19">
        <v>78045.537400000001</v>
      </c>
      <c r="M188" s="19">
        <v>747474.45912699995</v>
      </c>
      <c r="N188" s="19"/>
      <c r="O188" s="19"/>
      <c r="P188" s="19">
        <f t="shared" si="2"/>
        <v>0</v>
      </c>
      <c r="Q188" s="19"/>
    </row>
    <row r="189" spans="1:17" hidden="1" x14ac:dyDescent="0.25">
      <c r="A189" t="s">
        <v>46</v>
      </c>
      <c r="B189" t="s">
        <v>4497</v>
      </c>
      <c r="C189" t="s">
        <v>4500</v>
      </c>
      <c r="D189" t="s">
        <v>4497</v>
      </c>
      <c r="E189" t="s">
        <v>55</v>
      </c>
      <c r="F189">
        <v>0</v>
      </c>
      <c r="G189">
        <v>0</v>
      </c>
      <c r="H189" s="19">
        <v>-9794710.6299999896</v>
      </c>
      <c r="I189" s="19">
        <v>207.61501100000001</v>
      </c>
      <c r="J189" s="19">
        <v>9794710.6295989994</v>
      </c>
      <c r="K189" s="19"/>
      <c r="L189" s="19">
        <v>207.61501100000001</v>
      </c>
      <c r="M189" s="19"/>
      <c r="N189" s="19"/>
      <c r="O189" s="19"/>
      <c r="P189" s="19">
        <f t="shared" si="2"/>
        <v>0</v>
      </c>
      <c r="Q189" s="19"/>
    </row>
    <row r="190" spans="1:17" hidden="1" x14ac:dyDescent="0.25">
      <c r="A190" t="s">
        <v>39</v>
      </c>
      <c r="B190" t="s">
        <v>4500</v>
      </c>
      <c r="C190" t="s">
        <v>4497</v>
      </c>
      <c r="D190" t="s">
        <v>4497</v>
      </c>
      <c r="E190" t="s">
        <v>81</v>
      </c>
      <c r="F190">
        <v>0</v>
      </c>
      <c r="G190">
        <v>0</v>
      </c>
      <c r="H190" s="19">
        <v>-196764.27999999901</v>
      </c>
      <c r="I190" s="19">
        <v>880.77415199999996</v>
      </c>
      <c r="J190" s="19">
        <v>196764.279969</v>
      </c>
      <c r="K190" s="19">
        <v>880.77415199999996</v>
      </c>
      <c r="L190" s="19"/>
      <c r="M190" s="19"/>
      <c r="N190" s="19">
        <v>176328</v>
      </c>
      <c r="O190" s="19">
        <v>176328</v>
      </c>
      <c r="P190" s="19">
        <f t="shared" si="2"/>
        <v>0</v>
      </c>
      <c r="Q190" s="19"/>
    </row>
    <row r="191" spans="1:17" hidden="1" x14ac:dyDescent="0.25">
      <c r="A191" t="s">
        <v>39</v>
      </c>
      <c r="B191" t="s">
        <v>4498</v>
      </c>
      <c r="C191" t="s">
        <v>4498</v>
      </c>
      <c r="D191" t="s">
        <v>4497</v>
      </c>
      <c r="E191" t="s">
        <v>55</v>
      </c>
      <c r="F191">
        <v>0</v>
      </c>
      <c r="G191">
        <v>0</v>
      </c>
      <c r="H191" s="19">
        <v>-133439.859999999</v>
      </c>
      <c r="I191" s="19">
        <v>3.340544</v>
      </c>
      <c r="J191" s="19">
        <v>133439.859998</v>
      </c>
      <c r="K191" s="19">
        <v>1.901883</v>
      </c>
      <c r="L191" s="19">
        <v>1.438661</v>
      </c>
      <c r="M191" s="19"/>
      <c r="N191" s="19"/>
      <c r="O191" s="19"/>
      <c r="P191" s="19">
        <f t="shared" si="2"/>
        <v>0</v>
      </c>
      <c r="Q191" s="19"/>
    </row>
    <row r="192" spans="1:17" hidden="1" x14ac:dyDescent="0.25">
      <c r="A192" t="s">
        <v>39</v>
      </c>
      <c r="B192" t="s">
        <v>4501</v>
      </c>
      <c r="C192" t="s">
        <v>4501</v>
      </c>
      <c r="D192" t="s">
        <v>4501</v>
      </c>
      <c r="E192" t="s">
        <v>186</v>
      </c>
      <c r="F192">
        <v>0</v>
      </c>
      <c r="G192">
        <v>1</v>
      </c>
      <c r="H192" s="19">
        <v>-120.99</v>
      </c>
      <c r="I192" s="19">
        <v>0</v>
      </c>
      <c r="J192" s="19">
        <v>120.99</v>
      </c>
      <c r="K192" s="19">
        <v>0</v>
      </c>
      <c r="L192" s="19">
        <v>0</v>
      </c>
      <c r="M192" s="19">
        <v>0</v>
      </c>
      <c r="N192" s="19">
        <v>7667.5</v>
      </c>
      <c r="O192" s="19">
        <v>7667.5</v>
      </c>
      <c r="P192" s="19">
        <f t="shared" si="2"/>
        <v>0</v>
      </c>
      <c r="Q192" s="19"/>
    </row>
    <row r="193" spans="1:17" hidden="1" x14ac:dyDescent="0.25">
      <c r="A193" t="s">
        <v>39</v>
      </c>
      <c r="B193" t="s">
        <v>4497</v>
      </c>
      <c r="C193" t="s">
        <v>4500</v>
      </c>
      <c r="D193" t="s">
        <v>4497</v>
      </c>
      <c r="E193" t="s">
        <v>55</v>
      </c>
      <c r="F193">
        <v>0</v>
      </c>
      <c r="G193">
        <v>0</v>
      </c>
      <c r="H193" s="19">
        <v>-3768628.98999999</v>
      </c>
      <c r="I193" s="19">
        <v>92.331755000000001</v>
      </c>
      <c r="J193" s="19">
        <v>3768628.9898689999</v>
      </c>
      <c r="K193" s="19"/>
      <c r="L193" s="19">
        <v>92.331755000000001</v>
      </c>
      <c r="M193" s="19"/>
      <c r="N193" s="19"/>
      <c r="O193" s="19"/>
      <c r="P193" s="19">
        <f t="shared" si="2"/>
        <v>0</v>
      </c>
      <c r="Q193" s="19"/>
    </row>
    <row r="194" spans="1:17" hidden="1" x14ac:dyDescent="0.25">
      <c r="A194" t="s">
        <v>39</v>
      </c>
      <c r="B194" t="s">
        <v>4497</v>
      </c>
      <c r="C194" t="s">
        <v>4497</v>
      </c>
      <c r="D194" t="s">
        <v>4497</v>
      </c>
      <c r="E194" t="s">
        <v>55</v>
      </c>
      <c r="F194">
        <v>0</v>
      </c>
      <c r="G194">
        <v>0</v>
      </c>
      <c r="H194" s="19">
        <v>-978039.06</v>
      </c>
      <c r="I194" s="19">
        <v>0</v>
      </c>
      <c r="J194" s="19">
        <v>978039.05987899995</v>
      </c>
      <c r="K194" s="19"/>
      <c r="L194" s="19"/>
      <c r="M194" s="19"/>
      <c r="N194" s="19"/>
      <c r="O194" s="19"/>
      <c r="P194" s="19">
        <f t="shared" si="2"/>
        <v>0</v>
      </c>
      <c r="Q194" s="19"/>
    </row>
    <row r="195" spans="1:17" hidden="1" x14ac:dyDescent="0.25">
      <c r="A195" t="s">
        <v>39</v>
      </c>
      <c r="B195" t="s">
        <v>4504</v>
      </c>
      <c r="C195" t="s">
        <v>4504</v>
      </c>
      <c r="D195" t="s">
        <v>4504</v>
      </c>
      <c r="E195" t="s">
        <v>55</v>
      </c>
      <c r="F195">
        <v>0</v>
      </c>
      <c r="G195">
        <v>0</v>
      </c>
      <c r="H195" s="19">
        <v>-32425070.758228902</v>
      </c>
      <c r="I195" s="19">
        <v>5252.448942</v>
      </c>
      <c r="J195" s="19">
        <v>32425070.758219</v>
      </c>
      <c r="K195" s="19">
        <v>1976.3394760000001</v>
      </c>
      <c r="L195" s="19">
        <v>154.00166300000001</v>
      </c>
      <c r="M195" s="19">
        <v>3122.1078029999999</v>
      </c>
      <c r="N195" s="19"/>
      <c r="O195" s="19"/>
      <c r="P195" s="19">
        <f t="shared" si="2"/>
        <v>0</v>
      </c>
      <c r="Q195" s="19">
        <v>1</v>
      </c>
    </row>
    <row r="196" spans="1:17" hidden="1" x14ac:dyDescent="0.25">
      <c r="A196" t="s">
        <v>39</v>
      </c>
      <c r="B196" t="s">
        <v>4497</v>
      </c>
      <c r="C196" t="s">
        <v>4497</v>
      </c>
      <c r="D196" t="s">
        <v>4497</v>
      </c>
      <c r="E196" t="s">
        <v>81</v>
      </c>
      <c r="F196">
        <v>0</v>
      </c>
      <c r="G196">
        <v>0</v>
      </c>
      <c r="H196" s="19">
        <v>-224770.82</v>
      </c>
      <c r="I196" s="19">
        <v>0</v>
      </c>
      <c r="J196" s="19">
        <v>224770.81993900001</v>
      </c>
      <c r="K196" s="19"/>
      <c r="L196" s="19"/>
      <c r="M196" s="19"/>
      <c r="N196" s="19">
        <v>523296</v>
      </c>
      <c r="O196" s="19">
        <v>523296</v>
      </c>
      <c r="P196" s="19">
        <f t="shared" ref="P196:P259" si="3">+O196-N196</f>
        <v>0</v>
      </c>
      <c r="Q196" s="19"/>
    </row>
    <row r="197" spans="1:17" hidden="1" x14ac:dyDescent="0.25">
      <c r="A197" t="s">
        <v>39</v>
      </c>
      <c r="B197" t="s">
        <v>4501</v>
      </c>
      <c r="C197" t="s">
        <v>4501</v>
      </c>
      <c r="D197" t="s">
        <v>4501</v>
      </c>
      <c r="E197" t="s">
        <v>127</v>
      </c>
      <c r="F197">
        <v>0</v>
      </c>
      <c r="G197">
        <v>1</v>
      </c>
      <c r="H197" s="19">
        <v>-199060754.43000001</v>
      </c>
      <c r="I197" s="19">
        <v>154115.76354000001</v>
      </c>
      <c r="J197" s="19">
        <v>199060754.43000001</v>
      </c>
      <c r="K197" s="19">
        <v>357.33287999999999</v>
      </c>
      <c r="L197" s="19">
        <v>389.18862000000001</v>
      </c>
      <c r="M197" s="19">
        <v>153369.24204000001</v>
      </c>
      <c r="N197" s="19">
        <v>19158.48</v>
      </c>
      <c r="O197" s="19">
        <v>19158.48</v>
      </c>
      <c r="P197" s="19">
        <f t="shared" si="3"/>
        <v>0</v>
      </c>
      <c r="Q197" s="19"/>
    </row>
    <row r="198" spans="1:17" hidden="1" x14ac:dyDescent="0.25">
      <c r="A198" t="s">
        <v>39</v>
      </c>
      <c r="B198" t="s">
        <v>4501</v>
      </c>
      <c r="C198" t="s">
        <v>4507</v>
      </c>
      <c r="D198" t="s">
        <v>4501</v>
      </c>
      <c r="E198" t="s">
        <v>128</v>
      </c>
      <c r="F198">
        <v>0</v>
      </c>
      <c r="G198">
        <v>1</v>
      </c>
      <c r="H198" s="19">
        <v>-312619.40999999997</v>
      </c>
      <c r="I198" s="19">
        <v>16.321977</v>
      </c>
      <c r="J198" s="19">
        <v>312619.40999999997</v>
      </c>
      <c r="K198" s="19">
        <v>2.157619</v>
      </c>
      <c r="L198" s="19">
        <v>8.8731539999999995</v>
      </c>
      <c r="M198" s="19">
        <v>5.2912039999999996</v>
      </c>
      <c r="N198" s="19">
        <v>37060.92</v>
      </c>
      <c r="O198" s="19">
        <v>37060.92</v>
      </c>
      <c r="P198" s="19">
        <f t="shared" si="3"/>
        <v>0</v>
      </c>
      <c r="Q198" s="19"/>
    </row>
    <row r="199" spans="1:17" hidden="1" x14ac:dyDescent="0.25">
      <c r="A199" t="s">
        <v>39</v>
      </c>
      <c r="B199" t="s">
        <v>4503</v>
      </c>
      <c r="C199" t="s">
        <v>4503</v>
      </c>
      <c r="D199" t="s">
        <v>4497</v>
      </c>
      <c r="E199" t="s">
        <v>55</v>
      </c>
      <c r="F199">
        <v>0</v>
      </c>
      <c r="G199">
        <v>0</v>
      </c>
      <c r="H199" s="19">
        <v>-633508.97813664901</v>
      </c>
      <c r="I199" s="19">
        <v>3.9338510000000002</v>
      </c>
      <c r="J199" s="19">
        <v>633508.97813599999</v>
      </c>
      <c r="K199" s="19">
        <v>1.140126</v>
      </c>
      <c r="L199" s="19">
        <v>2.7937249999999998</v>
      </c>
      <c r="M199" s="19"/>
      <c r="N199" s="19"/>
      <c r="O199" s="19"/>
      <c r="P199" s="19">
        <f t="shared" si="3"/>
        <v>0</v>
      </c>
      <c r="Q199" s="19"/>
    </row>
    <row r="200" spans="1:17" hidden="1" x14ac:dyDescent="0.25">
      <c r="A200" t="s">
        <v>39</v>
      </c>
      <c r="B200" t="s">
        <v>4505</v>
      </c>
      <c r="C200" t="s">
        <v>4505</v>
      </c>
      <c r="D200" t="s">
        <v>4497</v>
      </c>
      <c r="E200" t="s">
        <v>193</v>
      </c>
      <c r="F200">
        <v>0</v>
      </c>
      <c r="G200">
        <v>0</v>
      </c>
      <c r="H200" s="19">
        <v>-30391.05</v>
      </c>
      <c r="I200" s="19">
        <v>0.54507000000000005</v>
      </c>
      <c r="J200" s="19">
        <v>30391.05</v>
      </c>
      <c r="K200" s="19">
        <v>8.5567000000000004E-2</v>
      </c>
      <c r="L200" s="19">
        <v>0.45950299999999999</v>
      </c>
      <c r="M200" s="19"/>
      <c r="N200" s="19">
        <v>3726.86</v>
      </c>
      <c r="O200" s="19">
        <v>3726.86</v>
      </c>
      <c r="P200" s="19">
        <f t="shared" si="3"/>
        <v>0</v>
      </c>
      <c r="Q200" s="19"/>
    </row>
    <row r="201" spans="1:17" hidden="1" x14ac:dyDescent="0.25">
      <c r="A201" t="s">
        <v>39</v>
      </c>
      <c r="B201" t="s">
        <v>4496</v>
      </c>
      <c r="C201" t="s">
        <v>4496</v>
      </c>
      <c r="D201" t="s">
        <v>4497</v>
      </c>
      <c r="E201" t="s">
        <v>55</v>
      </c>
      <c r="F201">
        <v>0</v>
      </c>
      <c r="G201">
        <v>0</v>
      </c>
      <c r="H201" s="19">
        <v>-8863402.2585822009</v>
      </c>
      <c r="I201" s="19">
        <v>721.82054000000005</v>
      </c>
      <c r="J201" s="19">
        <v>8863402.2585770003</v>
      </c>
      <c r="K201" s="19">
        <v>170.97724500000001</v>
      </c>
      <c r="L201" s="19">
        <v>550.84329500000001</v>
      </c>
      <c r="M201" s="19"/>
      <c r="N201" s="19"/>
      <c r="O201" s="19"/>
      <c r="P201" s="19">
        <f t="shared" si="3"/>
        <v>0</v>
      </c>
      <c r="Q201" s="19"/>
    </row>
    <row r="202" spans="1:17" hidden="1" x14ac:dyDescent="0.25">
      <c r="A202" t="s">
        <v>39</v>
      </c>
      <c r="B202" t="s">
        <v>4508</v>
      </c>
      <c r="C202" t="s">
        <v>4508</v>
      </c>
      <c r="D202" t="s">
        <v>4497</v>
      </c>
      <c r="E202" t="s">
        <v>55</v>
      </c>
      <c r="F202">
        <v>0</v>
      </c>
      <c r="G202">
        <v>0</v>
      </c>
      <c r="H202" s="19">
        <v>-115459.02999999899</v>
      </c>
      <c r="I202" s="19">
        <v>13.044250999999999</v>
      </c>
      <c r="J202" s="19">
        <v>115459.029991</v>
      </c>
      <c r="K202" s="19">
        <v>12.664211</v>
      </c>
      <c r="L202" s="19">
        <v>0.38003999999999999</v>
      </c>
      <c r="M202" s="19"/>
      <c r="N202" s="19"/>
      <c r="O202" s="19"/>
      <c r="P202" s="19">
        <f t="shared" si="3"/>
        <v>0</v>
      </c>
      <c r="Q202" s="19"/>
    </row>
    <row r="203" spans="1:17" hidden="1" x14ac:dyDescent="0.25">
      <c r="A203" t="s">
        <v>39</v>
      </c>
      <c r="B203" t="s">
        <v>4498</v>
      </c>
      <c r="C203" t="s">
        <v>4497</v>
      </c>
      <c r="D203" t="s">
        <v>4497</v>
      </c>
      <c r="E203" t="s">
        <v>55</v>
      </c>
      <c r="F203">
        <v>0</v>
      </c>
      <c r="G203">
        <v>0</v>
      </c>
      <c r="H203" s="19">
        <v>-466384.34999999899</v>
      </c>
      <c r="I203" s="19">
        <v>46.247920999999998</v>
      </c>
      <c r="J203" s="19">
        <v>466384.34998599999</v>
      </c>
      <c r="K203" s="19">
        <v>46.247920999999998</v>
      </c>
      <c r="L203" s="19"/>
      <c r="M203" s="19"/>
      <c r="N203" s="19"/>
      <c r="O203" s="19"/>
      <c r="P203" s="19">
        <f t="shared" si="3"/>
        <v>0</v>
      </c>
      <c r="Q203" s="19"/>
    </row>
    <row r="204" spans="1:17" hidden="1" x14ac:dyDescent="0.25">
      <c r="A204" t="s">
        <v>39</v>
      </c>
      <c r="B204" t="s">
        <v>4500</v>
      </c>
      <c r="C204" t="s">
        <v>4497</v>
      </c>
      <c r="D204" t="s">
        <v>4497</v>
      </c>
      <c r="E204" t="s">
        <v>55</v>
      </c>
      <c r="F204">
        <v>0</v>
      </c>
      <c r="G204">
        <v>0</v>
      </c>
      <c r="H204" s="19">
        <v>-75309326.1199999</v>
      </c>
      <c r="I204" s="19">
        <v>36187.204213999998</v>
      </c>
      <c r="J204" s="19">
        <v>75309326.118290007</v>
      </c>
      <c r="K204" s="19">
        <v>36187.204213999998</v>
      </c>
      <c r="L204" s="19"/>
      <c r="M204" s="19"/>
      <c r="N204" s="19"/>
      <c r="O204" s="19"/>
      <c r="P204" s="19">
        <f t="shared" si="3"/>
        <v>0</v>
      </c>
      <c r="Q204" s="19"/>
    </row>
    <row r="205" spans="1:17" hidden="1" x14ac:dyDescent="0.25">
      <c r="A205" t="s">
        <v>39</v>
      </c>
      <c r="B205" t="s">
        <v>4501</v>
      </c>
      <c r="C205" t="s">
        <v>4501</v>
      </c>
      <c r="D205" t="s">
        <v>4502</v>
      </c>
      <c r="E205" t="s">
        <v>113</v>
      </c>
      <c r="F205">
        <v>0</v>
      </c>
      <c r="G205">
        <v>1</v>
      </c>
      <c r="H205" s="19">
        <v>-272711.62</v>
      </c>
      <c r="I205" s="19">
        <v>90.297297999999998</v>
      </c>
      <c r="J205" s="19">
        <v>272711.62</v>
      </c>
      <c r="K205" s="19">
        <v>3.9794520000000002</v>
      </c>
      <c r="L205" s="19">
        <v>0.44031599999999999</v>
      </c>
      <c r="M205" s="19">
        <v>85.877529999999993</v>
      </c>
      <c r="N205" s="19">
        <v>440634</v>
      </c>
      <c r="O205" s="19">
        <v>440634</v>
      </c>
      <c r="P205" s="19">
        <f t="shared" si="3"/>
        <v>0</v>
      </c>
      <c r="Q205" s="19"/>
    </row>
    <row r="206" spans="1:17" hidden="1" x14ac:dyDescent="0.25">
      <c r="A206" t="s">
        <v>39</v>
      </c>
      <c r="B206" t="s">
        <v>4499</v>
      </c>
      <c r="C206" t="s">
        <v>4499</v>
      </c>
      <c r="D206" t="s">
        <v>4497</v>
      </c>
      <c r="E206" t="s">
        <v>55</v>
      </c>
      <c r="F206">
        <v>0</v>
      </c>
      <c r="G206">
        <v>0</v>
      </c>
      <c r="H206" s="19">
        <v>-15461034.829999899</v>
      </c>
      <c r="I206" s="19">
        <v>0</v>
      </c>
      <c r="J206" s="19">
        <v>15461034.8298</v>
      </c>
      <c r="K206" s="19"/>
      <c r="L206" s="19"/>
      <c r="M206" s="19"/>
      <c r="N206" s="19"/>
      <c r="O206" s="19"/>
      <c r="P206" s="19">
        <f t="shared" si="3"/>
        <v>0</v>
      </c>
      <c r="Q206" s="19"/>
    </row>
    <row r="207" spans="1:17" hidden="1" x14ac:dyDescent="0.25">
      <c r="A207" t="s">
        <v>39</v>
      </c>
      <c r="B207" t="s">
        <v>4506</v>
      </c>
      <c r="C207" t="s">
        <v>4506</v>
      </c>
      <c r="D207" t="s">
        <v>4506</v>
      </c>
      <c r="E207" t="s">
        <v>55</v>
      </c>
      <c r="F207">
        <v>0</v>
      </c>
      <c r="G207">
        <v>0</v>
      </c>
      <c r="H207" s="19">
        <v>-260999978.079999</v>
      </c>
      <c r="I207" s="19">
        <v>729844.44051600003</v>
      </c>
      <c r="J207" s="19">
        <v>260999978.07993999</v>
      </c>
      <c r="K207" s="19">
        <v>274537.157397</v>
      </c>
      <c r="L207" s="19">
        <v>21441.860214</v>
      </c>
      <c r="M207" s="19">
        <v>433865.42290499998</v>
      </c>
      <c r="N207" s="19"/>
      <c r="O207" s="19"/>
      <c r="P207" s="19">
        <f t="shared" si="3"/>
        <v>0</v>
      </c>
      <c r="Q207" s="19"/>
    </row>
    <row r="208" spans="1:17" hidden="1" x14ac:dyDescent="0.25">
      <c r="A208" t="s">
        <v>39</v>
      </c>
      <c r="B208" t="s">
        <v>4497</v>
      </c>
      <c r="C208" t="s">
        <v>4498</v>
      </c>
      <c r="D208" t="s">
        <v>4497</v>
      </c>
      <c r="E208" t="s">
        <v>55</v>
      </c>
      <c r="F208">
        <v>0</v>
      </c>
      <c r="G208">
        <v>0</v>
      </c>
      <c r="H208" s="19">
        <v>-2137782.8699999899</v>
      </c>
      <c r="I208" s="19">
        <v>46.75759</v>
      </c>
      <c r="J208" s="19">
        <v>2137782.8699369999</v>
      </c>
      <c r="K208" s="19"/>
      <c r="L208" s="19">
        <v>46.75759</v>
      </c>
      <c r="M208" s="19"/>
      <c r="N208" s="19"/>
      <c r="O208" s="19"/>
      <c r="P208" s="19">
        <f t="shared" si="3"/>
        <v>0</v>
      </c>
      <c r="Q208" s="19"/>
    </row>
    <row r="209" spans="1:17" hidden="1" x14ac:dyDescent="0.25">
      <c r="A209" t="s">
        <v>39</v>
      </c>
      <c r="B209" t="s">
        <v>4505</v>
      </c>
      <c r="C209" t="s">
        <v>4505</v>
      </c>
      <c r="D209" t="s">
        <v>4497</v>
      </c>
      <c r="E209" t="s">
        <v>55</v>
      </c>
      <c r="F209">
        <v>0</v>
      </c>
      <c r="G209">
        <v>0</v>
      </c>
      <c r="H209" s="19">
        <v>-8129556.6232811399</v>
      </c>
      <c r="I209" s="19">
        <v>765.23448199999996</v>
      </c>
      <c r="J209" s="19">
        <v>8129556.6232740004</v>
      </c>
      <c r="K209" s="19">
        <v>120.130053</v>
      </c>
      <c r="L209" s="19">
        <v>645.10442899999998</v>
      </c>
      <c r="M209" s="19"/>
      <c r="N209" s="19"/>
      <c r="O209" s="19"/>
      <c r="P209" s="19">
        <f t="shared" si="3"/>
        <v>0</v>
      </c>
      <c r="Q209" s="19"/>
    </row>
    <row r="210" spans="1:17" hidden="1" x14ac:dyDescent="0.25">
      <c r="A210" t="s">
        <v>39</v>
      </c>
      <c r="B210" t="s">
        <v>4501</v>
      </c>
      <c r="C210" t="s">
        <v>4507</v>
      </c>
      <c r="D210" t="s">
        <v>4502</v>
      </c>
      <c r="E210" t="s">
        <v>132</v>
      </c>
      <c r="F210">
        <v>0</v>
      </c>
      <c r="G210">
        <v>1</v>
      </c>
      <c r="H210" s="19">
        <v>-40.29</v>
      </c>
      <c r="I210" s="19">
        <v>0</v>
      </c>
      <c r="J210" s="19">
        <v>40.29</v>
      </c>
      <c r="K210" s="19">
        <v>0</v>
      </c>
      <c r="L210" s="19">
        <v>0</v>
      </c>
      <c r="M210" s="19">
        <v>0</v>
      </c>
      <c r="N210" s="19">
        <v>3406.28</v>
      </c>
      <c r="O210" s="19">
        <v>3406.28</v>
      </c>
      <c r="P210" s="19">
        <f t="shared" si="3"/>
        <v>0</v>
      </c>
      <c r="Q210" s="19"/>
    </row>
    <row r="211" spans="1:17" hidden="1" x14ac:dyDescent="0.25">
      <c r="A211" t="s">
        <v>39</v>
      </c>
      <c r="B211" t="s">
        <v>4509</v>
      </c>
      <c r="C211" t="s">
        <v>4513</v>
      </c>
      <c r="D211" t="s">
        <v>4509</v>
      </c>
      <c r="E211" t="s">
        <v>341</v>
      </c>
      <c r="F211">
        <v>1</v>
      </c>
      <c r="G211">
        <v>1</v>
      </c>
      <c r="H211" s="19">
        <v>-13493287.050000001</v>
      </c>
      <c r="I211" s="19">
        <v>1755.5971919999999</v>
      </c>
      <c r="J211" s="19">
        <v>13493287.050000001</v>
      </c>
      <c r="K211" s="19">
        <v>351.129864</v>
      </c>
      <c r="L211" s="19">
        <v>207.83868000000001</v>
      </c>
      <c r="M211" s="19">
        <v>1196.6286480000001</v>
      </c>
      <c r="N211" s="19">
        <v>18627.400000000001</v>
      </c>
      <c r="O211" s="19"/>
      <c r="P211" s="19">
        <f t="shared" si="3"/>
        <v>-18627.400000000001</v>
      </c>
      <c r="Q211" s="19"/>
    </row>
    <row r="212" spans="1:17" hidden="1" x14ac:dyDescent="0.25">
      <c r="A212" t="s">
        <v>39</v>
      </c>
      <c r="B212" t="s">
        <v>4500</v>
      </c>
      <c r="C212" t="s">
        <v>4500</v>
      </c>
      <c r="D212" t="s">
        <v>4497</v>
      </c>
      <c r="E212" t="s">
        <v>55</v>
      </c>
      <c r="F212">
        <v>0</v>
      </c>
      <c r="G212">
        <v>0</v>
      </c>
      <c r="H212" s="19">
        <v>-1267128.49999999</v>
      </c>
      <c r="I212" s="19">
        <v>64.255808000000002</v>
      </c>
      <c r="J212" s="19">
        <v>1267128.4999619999</v>
      </c>
      <c r="K212" s="19">
        <v>34.081724999999999</v>
      </c>
      <c r="L212" s="19">
        <v>30.174083</v>
      </c>
      <c r="M212" s="19"/>
      <c r="N212" s="19"/>
      <c r="O212" s="19"/>
      <c r="P212" s="19">
        <f t="shared" si="3"/>
        <v>0</v>
      </c>
      <c r="Q212" s="19"/>
    </row>
    <row r="213" spans="1:17" hidden="1" x14ac:dyDescent="0.25">
      <c r="A213" t="s">
        <v>39</v>
      </c>
      <c r="B213" t="s">
        <v>4511</v>
      </c>
      <c r="C213" t="s">
        <v>4512</v>
      </c>
      <c r="D213" t="s">
        <v>4512</v>
      </c>
      <c r="E213" t="s">
        <v>55</v>
      </c>
      <c r="F213">
        <v>0</v>
      </c>
      <c r="G213">
        <v>0</v>
      </c>
      <c r="H213" s="19">
        <v>-28852044.84</v>
      </c>
      <c r="I213" s="19">
        <v>2964.3138180000001</v>
      </c>
      <c r="J213" s="19">
        <v>28852044.84</v>
      </c>
      <c r="K213" s="19">
        <v>0</v>
      </c>
      <c r="L213" s="19">
        <v>130.65936600000001</v>
      </c>
      <c r="M213" s="19">
        <v>2833.6544520000002</v>
      </c>
      <c r="N213" s="19"/>
      <c r="O213" s="19"/>
      <c r="P213" s="19">
        <f t="shared" si="3"/>
        <v>0</v>
      </c>
      <c r="Q213" s="19">
        <v>1</v>
      </c>
    </row>
    <row r="214" spans="1:17" hidden="1" x14ac:dyDescent="0.25">
      <c r="A214" t="s">
        <v>39</v>
      </c>
      <c r="B214" t="s">
        <v>4501</v>
      </c>
      <c r="C214" t="s">
        <v>4501</v>
      </c>
      <c r="D214" t="s">
        <v>4502</v>
      </c>
      <c r="E214" t="s">
        <v>119</v>
      </c>
      <c r="F214">
        <v>0</v>
      </c>
      <c r="G214">
        <v>1</v>
      </c>
      <c r="H214" s="19">
        <v>-2021.49</v>
      </c>
      <c r="I214" s="19">
        <v>0</v>
      </c>
      <c r="J214" s="19">
        <v>2021.49</v>
      </c>
      <c r="K214" s="19">
        <v>0</v>
      </c>
      <c r="L214" s="19">
        <v>0</v>
      </c>
      <c r="M214" s="19">
        <v>0</v>
      </c>
      <c r="N214" s="19">
        <v>5840.98</v>
      </c>
      <c r="O214" s="19">
        <v>5840.98</v>
      </c>
      <c r="P214" s="19">
        <f t="shared" si="3"/>
        <v>0</v>
      </c>
      <c r="Q214" s="19"/>
    </row>
    <row r="215" spans="1:17" hidden="1" x14ac:dyDescent="0.25">
      <c r="A215" t="s">
        <v>39</v>
      </c>
      <c r="B215" t="s">
        <v>4501</v>
      </c>
      <c r="C215" t="s">
        <v>4501</v>
      </c>
      <c r="D215" t="s">
        <v>4502</v>
      </c>
      <c r="E215" t="s">
        <v>131</v>
      </c>
      <c r="F215">
        <v>0</v>
      </c>
      <c r="G215">
        <v>1</v>
      </c>
      <c r="H215" s="19">
        <v>-50290.35</v>
      </c>
      <c r="I215" s="19">
        <v>0</v>
      </c>
      <c r="J215" s="19">
        <v>50290.35</v>
      </c>
      <c r="K215" s="19">
        <v>0</v>
      </c>
      <c r="L215" s="19">
        <v>0</v>
      </c>
      <c r="M215" s="19">
        <v>0</v>
      </c>
      <c r="N215" s="19">
        <v>99931</v>
      </c>
      <c r="O215" s="19">
        <v>99931</v>
      </c>
      <c r="P215" s="19">
        <f t="shared" si="3"/>
        <v>0</v>
      </c>
      <c r="Q215" s="19"/>
    </row>
    <row r="216" spans="1:17" hidden="1" x14ac:dyDescent="0.25">
      <c r="A216" t="s">
        <v>39</v>
      </c>
      <c r="B216" t="s">
        <v>4512</v>
      </c>
      <c r="C216" t="s">
        <v>4512</v>
      </c>
      <c r="D216" t="s">
        <v>4512</v>
      </c>
      <c r="E216" t="s">
        <v>55</v>
      </c>
      <c r="F216">
        <v>0</v>
      </c>
      <c r="G216">
        <v>0</v>
      </c>
      <c r="H216" s="19">
        <v>-127897848.01000001</v>
      </c>
      <c r="I216" s="19">
        <v>21196.816961</v>
      </c>
      <c r="J216" s="19">
        <v>127897848.01000001</v>
      </c>
      <c r="K216" s="19">
        <v>8056.3492649999998</v>
      </c>
      <c r="L216" s="19">
        <v>579.19818099999998</v>
      </c>
      <c r="M216" s="19">
        <v>12561.269515</v>
      </c>
      <c r="N216" s="19"/>
      <c r="O216" s="19"/>
      <c r="P216" s="19">
        <f t="shared" si="3"/>
        <v>0</v>
      </c>
      <c r="Q216" s="19">
        <v>1</v>
      </c>
    </row>
    <row r="217" spans="1:17" hidden="1" x14ac:dyDescent="0.25">
      <c r="A217" t="s">
        <v>39</v>
      </c>
      <c r="B217" t="s">
        <v>55</v>
      </c>
      <c r="C217" t="s">
        <v>55</v>
      </c>
      <c r="D217" t="s">
        <v>55</v>
      </c>
      <c r="E217" t="s">
        <v>55</v>
      </c>
      <c r="F217">
        <v>0</v>
      </c>
      <c r="G217">
        <v>0</v>
      </c>
      <c r="H217" s="19"/>
      <c r="I217" s="19">
        <v>0</v>
      </c>
      <c r="J217" s="19"/>
      <c r="K217" s="19"/>
      <c r="L217" s="19"/>
      <c r="M217" s="19"/>
      <c r="N217" s="19"/>
      <c r="O217" s="19"/>
      <c r="P217" s="19">
        <f t="shared" si="3"/>
        <v>0</v>
      </c>
      <c r="Q217" s="19"/>
    </row>
    <row r="218" spans="1:17" hidden="1" x14ac:dyDescent="0.25">
      <c r="A218" t="s">
        <v>39</v>
      </c>
      <c r="B218" t="s">
        <v>4499</v>
      </c>
      <c r="C218" t="s">
        <v>4499</v>
      </c>
      <c r="D218" t="s">
        <v>4497</v>
      </c>
      <c r="E218" t="s">
        <v>81</v>
      </c>
      <c r="F218">
        <v>0</v>
      </c>
      <c r="G218">
        <v>0</v>
      </c>
      <c r="H218" s="19">
        <v>-3307.0499999999902</v>
      </c>
      <c r="I218" s="19">
        <v>0</v>
      </c>
      <c r="J218" s="19">
        <v>3307.0499989999998</v>
      </c>
      <c r="K218" s="19"/>
      <c r="L218" s="19"/>
      <c r="M218" s="19"/>
      <c r="N218" s="19">
        <v>5688</v>
      </c>
      <c r="O218" s="19">
        <v>5688</v>
      </c>
      <c r="P218" s="19">
        <f t="shared" si="3"/>
        <v>0</v>
      </c>
      <c r="Q218" s="19"/>
    </row>
    <row r="219" spans="1:17" hidden="1" x14ac:dyDescent="0.25">
      <c r="A219" t="s">
        <v>54</v>
      </c>
      <c r="B219" t="s">
        <v>4503</v>
      </c>
      <c r="C219" t="s">
        <v>4503</v>
      </c>
      <c r="D219" t="s">
        <v>4497</v>
      </c>
      <c r="E219" t="s">
        <v>55</v>
      </c>
      <c r="F219">
        <v>0</v>
      </c>
      <c r="G219">
        <v>0</v>
      </c>
      <c r="H219" s="19">
        <v>-151286194.17544499</v>
      </c>
      <c r="I219" s="19">
        <v>2206.3390509999999</v>
      </c>
      <c r="J219" s="19">
        <v>151286194.17543301</v>
      </c>
      <c r="K219" s="19">
        <v>555.41426000000001</v>
      </c>
      <c r="L219" s="19">
        <v>1650.9247909999999</v>
      </c>
      <c r="M219" s="19"/>
      <c r="N219" s="19"/>
      <c r="O219" s="19"/>
      <c r="P219" s="19">
        <f t="shared" si="3"/>
        <v>0</v>
      </c>
      <c r="Q219" s="19"/>
    </row>
    <row r="220" spans="1:17" hidden="1" x14ac:dyDescent="0.25">
      <c r="A220" t="s">
        <v>54</v>
      </c>
      <c r="B220" t="s">
        <v>4508</v>
      </c>
      <c r="C220" t="s">
        <v>4508</v>
      </c>
      <c r="D220" t="s">
        <v>4497</v>
      </c>
      <c r="E220" t="s">
        <v>55</v>
      </c>
      <c r="F220">
        <v>0</v>
      </c>
      <c r="G220">
        <v>0</v>
      </c>
      <c r="H220" s="19">
        <v>-29188.589999999898</v>
      </c>
      <c r="I220" s="19">
        <v>2.9080949999999999</v>
      </c>
      <c r="J220" s="19">
        <v>29188.589997999999</v>
      </c>
      <c r="K220" s="19">
        <v>2.8138000000000001</v>
      </c>
      <c r="L220" s="19">
        <v>9.4295000000000004E-2</v>
      </c>
      <c r="M220" s="19"/>
      <c r="N220" s="19"/>
      <c r="O220" s="19"/>
      <c r="P220" s="19">
        <f t="shared" si="3"/>
        <v>0</v>
      </c>
      <c r="Q220" s="19"/>
    </row>
    <row r="221" spans="1:17" hidden="1" x14ac:dyDescent="0.25">
      <c r="A221" t="s">
        <v>54</v>
      </c>
      <c r="B221" t="s">
        <v>4504</v>
      </c>
      <c r="C221" t="s">
        <v>4504</v>
      </c>
      <c r="D221" t="s">
        <v>4504</v>
      </c>
      <c r="E221" t="s">
        <v>55</v>
      </c>
      <c r="F221">
        <v>0</v>
      </c>
      <c r="G221">
        <v>0</v>
      </c>
      <c r="H221" s="19">
        <v>-44154742.422186904</v>
      </c>
      <c r="I221" s="19">
        <v>8444.4235960000005</v>
      </c>
      <c r="J221" s="19">
        <v>44154742.422076002</v>
      </c>
      <c r="K221" s="19">
        <v>1401.7576120000001</v>
      </c>
      <c r="L221" s="19">
        <v>665.81933500000002</v>
      </c>
      <c r="M221" s="19">
        <v>6376.8466490000001</v>
      </c>
      <c r="N221" s="19"/>
      <c r="O221" s="19"/>
      <c r="P221" s="19">
        <f t="shared" si="3"/>
        <v>0</v>
      </c>
      <c r="Q221" s="19">
        <v>1</v>
      </c>
    </row>
    <row r="222" spans="1:17" hidden="1" x14ac:dyDescent="0.25">
      <c r="A222" t="s">
        <v>54</v>
      </c>
      <c r="B222" t="s">
        <v>4500</v>
      </c>
      <c r="C222" t="s">
        <v>4500</v>
      </c>
      <c r="D222" t="s">
        <v>4497</v>
      </c>
      <c r="E222" t="s">
        <v>55</v>
      </c>
      <c r="F222">
        <v>0</v>
      </c>
      <c r="G222">
        <v>0</v>
      </c>
      <c r="H222" s="19">
        <v>-1009056.48999999</v>
      </c>
      <c r="I222" s="19">
        <v>38.066614999999999</v>
      </c>
      <c r="J222" s="19">
        <v>1009056.489981</v>
      </c>
      <c r="K222" s="19">
        <v>20.459872000000001</v>
      </c>
      <c r="L222" s="19">
        <v>17.606743000000002</v>
      </c>
      <c r="M222" s="19"/>
      <c r="N222" s="19"/>
      <c r="O222" s="19"/>
      <c r="P222" s="19">
        <f t="shared" si="3"/>
        <v>0</v>
      </c>
      <c r="Q222" s="19"/>
    </row>
    <row r="223" spans="1:17" hidden="1" x14ac:dyDescent="0.25">
      <c r="A223" t="s">
        <v>54</v>
      </c>
      <c r="B223" t="s">
        <v>4498</v>
      </c>
      <c r="C223" t="s">
        <v>4498</v>
      </c>
      <c r="D223" t="s">
        <v>4497</v>
      </c>
      <c r="E223" t="s">
        <v>55</v>
      </c>
      <c r="F223">
        <v>0</v>
      </c>
      <c r="G223">
        <v>0</v>
      </c>
      <c r="H223" s="19">
        <v>-137962.24999999901</v>
      </c>
      <c r="I223" s="19">
        <v>6.0694309999999998</v>
      </c>
      <c r="J223" s="19">
        <v>137962.24999700001</v>
      </c>
      <c r="K223" s="19">
        <v>3.088292</v>
      </c>
      <c r="L223" s="19">
        <v>2.9811390000000002</v>
      </c>
      <c r="M223" s="19"/>
      <c r="N223" s="19"/>
      <c r="O223" s="19"/>
      <c r="P223" s="19">
        <f t="shared" si="3"/>
        <v>0</v>
      </c>
      <c r="Q223" s="19"/>
    </row>
    <row r="224" spans="1:17" hidden="1" x14ac:dyDescent="0.25">
      <c r="A224" t="s">
        <v>54</v>
      </c>
      <c r="B224" t="s">
        <v>4497</v>
      </c>
      <c r="C224" t="s">
        <v>4500</v>
      </c>
      <c r="D224" t="s">
        <v>4497</v>
      </c>
      <c r="E224" t="s">
        <v>55</v>
      </c>
      <c r="F224">
        <v>0</v>
      </c>
      <c r="G224">
        <v>0</v>
      </c>
      <c r="H224" s="19">
        <v>-3060136.8999999901</v>
      </c>
      <c r="I224" s="19">
        <v>115.246465</v>
      </c>
      <c r="J224" s="19">
        <v>3060136.8997289999</v>
      </c>
      <c r="K224" s="19"/>
      <c r="L224" s="19">
        <v>115.246465</v>
      </c>
      <c r="M224" s="19"/>
      <c r="N224" s="19"/>
      <c r="O224" s="19"/>
      <c r="P224" s="19">
        <f t="shared" si="3"/>
        <v>0</v>
      </c>
      <c r="Q224" s="19"/>
    </row>
    <row r="225" spans="1:17" hidden="1" x14ac:dyDescent="0.25">
      <c r="A225" t="s">
        <v>54</v>
      </c>
      <c r="B225" t="s">
        <v>4497</v>
      </c>
      <c r="C225" t="s">
        <v>4498</v>
      </c>
      <c r="D225" t="s">
        <v>4497</v>
      </c>
      <c r="E225" t="s">
        <v>55</v>
      </c>
      <c r="F225">
        <v>0</v>
      </c>
      <c r="G225">
        <v>0</v>
      </c>
      <c r="H225" s="19">
        <v>-713362.25999999896</v>
      </c>
      <c r="I225" s="19">
        <v>18.035022000000001</v>
      </c>
      <c r="J225" s="19">
        <v>713362.25997599994</v>
      </c>
      <c r="K225" s="19"/>
      <c r="L225" s="19">
        <v>18.035022000000001</v>
      </c>
      <c r="M225" s="19"/>
      <c r="N225" s="19"/>
      <c r="O225" s="19"/>
      <c r="P225" s="19">
        <f t="shared" si="3"/>
        <v>0</v>
      </c>
      <c r="Q225" s="19"/>
    </row>
    <row r="226" spans="1:17" hidden="1" x14ac:dyDescent="0.25">
      <c r="A226" t="s">
        <v>54</v>
      </c>
      <c r="B226" t="s">
        <v>4497</v>
      </c>
      <c r="C226" t="s">
        <v>4497</v>
      </c>
      <c r="D226" t="s">
        <v>4497</v>
      </c>
      <c r="E226" t="s">
        <v>55</v>
      </c>
      <c r="F226">
        <v>0</v>
      </c>
      <c r="G226">
        <v>0</v>
      </c>
      <c r="H226" s="19">
        <v>-3541753.5004201098</v>
      </c>
      <c r="I226" s="19">
        <v>0</v>
      </c>
      <c r="J226" s="19">
        <v>3541753.5004159999</v>
      </c>
      <c r="K226" s="19"/>
      <c r="L226" s="19"/>
      <c r="M226" s="19"/>
      <c r="N226" s="19"/>
      <c r="O226" s="19"/>
      <c r="P226" s="19">
        <f t="shared" si="3"/>
        <v>0</v>
      </c>
      <c r="Q226" s="19"/>
    </row>
    <row r="227" spans="1:17" hidden="1" x14ac:dyDescent="0.25">
      <c r="A227" t="s">
        <v>54</v>
      </c>
      <c r="B227" t="s">
        <v>4496</v>
      </c>
      <c r="C227" t="s">
        <v>4496</v>
      </c>
      <c r="D227" t="s">
        <v>4497</v>
      </c>
      <c r="E227" t="s">
        <v>55</v>
      </c>
      <c r="F227">
        <v>0</v>
      </c>
      <c r="G227">
        <v>0</v>
      </c>
      <c r="H227" s="19">
        <v>-558508134.35886705</v>
      </c>
      <c r="I227" s="19">
        <v>67610.313204000005</v>
      </c>
      <c r="J227" s="19">
        <v>558508134.35871196</v>
      </c>
      <c r="K227" s="19">
        <v>11145.746921</v>
      </c>
      <c r="L227" s="19">
        <v>56464.566283</v>
      </c>
      <c r="M227" s="19"/>
      <c r="N227" s="19"/>
      <c r="O227" s="19"/>
      <c r="P227" s="19">
        <f t="shared" si="3"/>
        <v>0</v>
      </c>
      <c r="Q227" s="19"/>
    </row>
    <row r="228" spans="1:17" hidden="1" x14ac:dyDescent="0.25">
      <c r="A228" t="s">
        <v>54</v>
      </c>
      <c r="B228" t="s">
        <v>4501</v>
      </c>
      <c r="C228" t="s">
        <v>4501</v>
      </c>
      <c r="D228" t="s">
        <v>4501</v>
      </c>
      <c r="E228" t="s">
        <v>186</v>
      </c>
      <c r="F228">
        <v>0</v>
      </c>
      <c r="G228">
        <v>1</v>
      </c>
      <c r="H228" s="19">
        <v>-18002.490000000002</v>
      </c>
      <c r="I228" s="19">
        <v>0</v>
      </c>
      <c r="J228" s="19">
        <v>18002.490000000002</v>
      </c>
      <c r="K228" s="19">
        <v>0</v>
      </c>
      <c r="L228" s="19">
        <v>0</v>
      </c>
      <c r="M228" s="19">
        <v>0</v>
      </c>
      <c r="N228" s="19">
        <v>322035</v>
      </c>
      <c r="O228" s="19">
        <v>322035</v>
      </c>
      <c r="P228" s="19">
        <f t="shared" si="3"/>
        <v>0</v>
      </c>
      <c r="Q228" s="19"/>
    </row>
    <row r="229" spans="1:17" hidden="1" x14ac:dyDescent="0.25">
      <c r="A229" t="s">
        <v>54</v>
      </c>
      <c r="B229" t="s">
        <v>4498</v>
      </c>
      <c r="C229" t="s">
        <v>4497</v>
      </c>
      <c r="D229" t="s">
        <v>4497</v>
      </c>
      <c r="E229" t="s">
        <v>55</v>
      </c>
      <c r="F229">
        <v>0</v>
      </c>
      <c r="G229">
        <v>0</v>
      </c>
      <c r="H229" s="19">
        <v>-386673.58999999898</v>
      </c>
      <c r="I229" s="19">
        <v>25.416611</v>
      </c>
      <c r="J229" s="19">
        <v>386673.58999200002</v>
      </c>
      <c r="K229" s="19">
        <v>25.416611</v>
      </c>
      <c r="L229" s="19"/>
      <c r="M229" s="19"/>
      <c r="N229" s="19"/>
      <c r="O229" s="19"/>
      <c r="P229" s="19">
        <f t="shared" si="3"/>
        <v>0</v>
      </c>
      <c r="Q229" s="19"/>
    </row>
    <row r="230" spans="1:17" hidden="1" x14ac:dyDescent="0.25">
      <c r="A230" t="s">
        <v>54</v>
      </c>
      <c r="B230" t="s">
        <v>4499</v>
      </c>
      <c r="C230" t="s">
        <v>4499</v>
      </c>
      <c r="D230" t="s">
        <v>4497</v>
      </c>
      <c r="E230" t="s">
        <v>55</v>
      </c>
      <c r="F230">
        <v>0</v>
      </c>
      <c r="G230">
        <v>0</v>
      </c>
      <c r="H230" s="19">
        <v>-55444.469999999899</v>
      </c>
      <c r="I230" s="19">
        <v>0</v>
      </c>
      <c r="J230" s="19">
        <v>55444.469994999999</v>
      </c>
      <c r="K230" s="19"/>
      <c r="L230" s="19"/>
      <c r="M230" s="19"/>
      <c r="N230" s="19"/>
      <c r="O230" s="19"/>
      <c r="P230" s="19">
        <f t="shared" si="3"/>
        <v>0</v>
      </c>
      <c r="Q230" s="19"/>
    </row>
    <row r="231" spans="1:17" hidden="1" x14ac:dyDescent="0.25">
      <c r="A231" t="s">
        <v>54</v>
      </c>
      <c r="B231" t="s">
        <v>4500</v>
      </c>
      <c r="C231" t="s">
        <v>4497</v>
      </c>
      <c r="D231" t="s">
        <v>4497</v>
      </c>
      <c r="E231" t="s">
        <v>55</v>
      </c>
      <c r="F231">
        <v>0</v>
      </c>
      <c r="G231">
        <v>0</v>
      </c>
      <c r="H231" s="19">
        <v>-1810214.3799999901</v>
      </c>
      <c r="I231" s="19">
        <v>267.25880699999999</v>
      </c>
      <c r="J231" s="19">
        <v>1810214.379864</v>
      </c>
      <c r="K231" s="19">
        <v>267.25880699999999</v>
      </c>
      <c r="L231" s="19"/>
      <c r="M231" s="19"/>
      <c r="N231" s="19"/>
      <c r="O231" s="19"/>
      <c r="P231" s="19">
        <f t="shared" si="3"/>
        <v>0</v>
      </c>
      <c r="Q231" s="19"/>
    </row>
    <row r="232" spans="1:17" hidden="1" x14ac:dyDescent="0.25">
      <c r="A232" t="s">
        <v>54</v>
      </c>
      <c r="B232" t="s">
        <v>4501</v>
      </c>
      <c r="C232" t="s">
        <v>4501</v>
      </c>
      <c r="D232" t="s">
        <v>4502</v>
      </c>
      <c r="E232" t="s">
        <v>147</v>
      </c>
      <c r="F232">
        <v>0</v>
      </c>
      <c r="G232">
        <v>1</v>
      </c>
      <c r="H232" s="19">
        <v>-413760.39</v>
      </c>
      <c r="I232" s="19">
        <v>309.73441200000002</v>
      </c>
      <c r="J232" s="19">
        <v>413760.39</v>
      </c>
      <c r="K232" s="19">
        <v>2.6</v>
      </c>
      <c r="L232" s="19">
        <v>1.216982</v>
      </c>
      <c r="M232" s="19">
        <v>305.91743000000002</v>
      </c>
      <c r="N232" s="19">
        <v>223806.78</v>
      </c>
      <c r="O232" s="19">
        <v>223806.78</v>
      </c>
      <c r="P232" s="19">
        <f t="shared" si="3"/>
        <v>0</v>
      </c>
      <c r="Q232" s="19"/>
    </row>
    <row r="233" spans="1:17" hidden="1" x14ac:dyDescent="0.25">
      <c r="A233" t="s">
        <v>54</v>
      </c>
      <c r="B233" t="s">
        <v>4506</v>
      </c>
      <c r="C233" t="s">
        <v>4506</v>
      </c>
      <c r="D233" t="s">
        <v>4506</v>
      </c>
      <c r="E233" t="s">
        <v>55</v>
      </c>
      <c r="F233">
        <v>0</v>
      </c>
      <c r="G233">
        <v>0</v>
      </c>
      <c r="H233" s="19">
        <v>-245762349.109999</v>
      </c>
      <c r="I233" s="19">
        <v>107460.36799899999</v>
      </c>
      <c r="J233" s="19">
        <v>245762349.10984701</v>
      </c>
      <c r="K233" s="19">
        <v>17838.181596999999</v>
      </c>
      <c r="L233" s="19">
        <v>8472.9760580000002</v>
      </c>
      <c r="M233" s="19">
        <v>81149.210344000006</v>
      </c>
      <c r="N233" s="19"/>
      <c r="O233" s="19"/>
      <c r="P233" s="19">
        <f t="shared" si="3"/>
        <v>0</v>
      </c>
      <c r="Q233" s="19"/>
    </row>
    <row r="234" spans="1:17" hidden="1" x14ac:dyDescent="0.25">
      <c r="A234" t="s">
        <v>54</v>
      </c>
      <c r="B234" t="s">
        <v>4512</v>
      </c>
      <c r="C234" t="s">
        <v>4512</v>
      </c>
      <c r="D234" t="s">
        <v>4512</v>
      </c>
      <c r="E234" t="s">
        <v>55</v>
      </c>
      <c r="F234">
        <v>0</v>
      </c>
      <c r="G234">
        <v>0</v>
      </c>
      <c r="H234" s="19">
        <v>-15664125.57</v>
      </c>
      <c r="I234" s="19">
        <v>2995.55411</v>
      </c>
      <c r="J234" s="19">
        <v>15664125.57</v>
      </c>
      <c r="K234" s="19">
        <v>497.25661500000001</v>
      </c>
      <c r="L234" s="19">
        <v>236.19175999999999</v>
      </c>
      <c r="M234" s="19">
        <v>2262.1057350000001</v>
      </c>
      <c r="N234" s="19"/>
      <c r="O234" s="19"/>
      <c r="P234" s="19">
        <f t="shared" si="3"/>
        <v>0</v>
      </c>
      <c r="Q234" s="19">
        <v>1</v>
      </c>
    </row>
    <row r="235" spans="1:17" hidden="1" x14ac:dyDescent="0.25">
      <c r="A235" t="s">
        <v>54</v>
      </c>
      <c r="B235" t="s">
        <v>4505</v>
      </c>
      <c r="C235" t="s">
        <v>4505</v>
      </c>
      <c r="D235" t="s">
        <v>4497</v>
      </c>
      <c r="E235" t="s">
        <v>55</v>
      </c>
      <c r="F235">
        <v>0</v>
      </c>
      <c r="G235">
        <v>0</v>
      </c>
      <c r="H235" s="19">
        <v>-36735650.135267198</v>
      </c>
      <c r="I235" s="19">
        <v>3875.8244370000002</v>
      </c>
      <c r="J235" s="19">
        <v>36735650.135219</v>
      </c>
      <c r="K235" s="19">
        <v>608.44487800000002</v>
      </c>
      <c r="L235" s="19">
        <v>3267.379559</v>
      </c>
      <c r="M235" s="19"/>
      <c r="N235" s="19"/>
      <c r="O235" s="19"/>
      <c r="P235" s="19">
        <f t="shared" si="3"/>
        <v>0</v>
      </c>
      <c r="Q235" s="19"/>
    </row>
    <row r="236" spans="1:17" hidden="1" x14ac:dyDescent="0.25">
      <c r="A236" t="s">
        <v>54</v>
      </c>
      <c r="B236" t="s">
        <v>55</v>
      </c>
      <c r="C236" t="s">
        <v>55</v>
      </c>
      <c r="D236" t="s">
        <v>55</v>
      </c>
      <c r="E236" t="s">
        <v>55</v>
      </c>
      <c r="F236">
        <v>0</v>
      </c>
      <c r="G236">
        <v>0</v>
      </c>
      <c r="H236" s="19"/>
      <c r="I236" s="19">
        <v>0</v>
      </c>
      <c r="J236" s="19"/>
      <c r="K236" s="19"/>
      <c r="L236" s="19"/>
      <c r="M236" s="19"/>
      <c r="N236" s="19"/>
      <c r="O236" s="19"/>
      <c r="P236" s="19">
        <f t="shared" si="3"/>
        <v>0</v>
      </c>
      <c r="Q236" s="19"/>
    </row>
    <row r="237" spans="1:17" hidden="1" x14ac:dyDescent="0.25">
      <c r="A237" t="s">
        <v>49</v>
      </c>
      <c r="B237" t="s">
        <v>4497</v>
      </c>
      <c r="C237" t="s">
        <v>4498</v>
      </c>
      <c r="D237" t="s">
        <v>4497</v>
      </c>
      <c r="E237" t="s">
        <v>55</v>
      </c>
      <c r="F237">
        <v>0</v>
      </c>
      <c r="G237">
        <v>0</v>
      </c>
      <c r="H237" s="19">
        <v>-565358.929999999</v>
      </c>
      <c r="I237" s="19">
        <v>12.631150999999999</v>
      </c>
      <c r="J237" s="19">
        <v>565358.92998300004</v>
      </c>
      <c r="K237" s="19"/>
      <c r="L237" s="19">
        <v>12.631150999999999</v>
      </c>
      <c r="M237" s="19"/>
      <c r="N237" s="19"/>
      <c r="O237" s="19"/>
      <c r="P237" s="19">
        <f t="shared" si="3"/>
        <v>0</v>
      </c>
      <c r="Q237" s="19"/>
    </row>
    <row r="238" spans="1:17" hidden="1" x14ac:dyDescent="0.25">
      <c r="A238" t="s">
        <v>49</v>
      </c>
      <c r="B238" t="s">
        <v>4501</v>
      </c>
      <c r="C238" t="s">
        <v>4501</v>
      </c>
      <c r="D238" t="s">
        <v>4502</v>
      </c>
      <c r="E238" t="s">
        <v>194</v>
      </c>
      <c r="F238">
        <v>0</v>
      </c>
      <c r="G238">
        <v>1</v>
      </c>
      <c r="H238" s="19">
        <v>-10.71</v>
      </c>
      <c r="I238" s="19">
        <v>0</v>
      </c>
      <c r="J238" s="19">
        <v>10.71</v>
      </c>
      <c r="K238" s="19">
        <v>0</v>
      </c>
      <c r="L238" s="19">
        <v>0</v>
      </c>
      <c r="M238" s="19">
        <v>0</v>
      </c>
      <c r="N238" s="19">
        <v>15381.5</v>
      </c>
      <c r="O238" s="19">
        <v>15381.5</v>
      </c>
      <c r="P238" s="19">
        <f t="shared" si="3"/>
        <v>0</v>
      </c>
      <c r="Q238" s="19"/>
    </row>
    <row r="239" spans="1:17" hidden="1" x14ac:dyDescent="0.25">
      <c r="A239" t="s">
        <v>49</v>
      </c>
      <c r="B239" t="s">
        <v>4496</v>
      </c>
      <c r="C239" t="s">
        <v>4496</v>
      </c>
      <c r="D239" t="s">
        <v>4497</v>
      </c>
      <c r="E239" t="s">
        <v>55</v>
      </c>
      <c r="F239">
        <v>0</v>
      </c>
      <c r="G239">
        <v>0</v>
      </c>
      <c r="H239" s="19">
        <v>-4298377.4171508299</v>
      </c>
      <c r="I239" s="19">
        <v>206.875801</v>
      </c>
      <c r="J239" s="19">
        <v>4298377.4171479996</v>
      </c>
      <c r="K239" s="19">
        <v>58.815351999999997</v>
      </c>
      <c r="L239" s="19">
        <v>148.06044900000001</v>
      </c>
      <c r="M239" s="19"/>
      <c r="N239" s="19"/>
      <c r="O239" s="19"/>
      <c r="P239" s="19">
        <f t="shared" si="3"/>
        <v>0</v>
      </c>
      <c r="Q239" s="19"/>
    </row>
    <row r="240" spans="1:17" hidden="1" x14ac:dyDescent="0.25">
      <c r="A240" t="s">
        <v>49</v>
      </c>
      <c r="B240" t="s">
        <v>4497</v>
      </c>
      <c r="C240" t="s">
        <v>4500</v>
      </c>
      <c r="D240" t="s">
        <v>4497</v>
      </c>
      <c r="E240" t="s">
        <v>55</v>
      </c>
      <c r="F240">
        <v>0</v>
      </c>
      <c r="G240">
        <v>0</v>
      </c>
      <c r="H240" s="19">
        <v>-1543236.3399999901</v>
      </c>
      <c r="I240" s="19">
        <v>30.714510000000001</v>
      </c>
      <c r="J240" s="19">
        <v>1543236.3399390001</v>
      </c>
      <c r="K240" s="19"/>
      <c r="L240" s="19">
        <v>30.714510000000001</v>
      </c>
      <c r="M240" s="19"/>
      <c r="N240" s="19"/>
      <c r="O240" s="19"/>
      <c r="P240" s="19">
        <f t="shared" si="3"/>
        <v>0</v>
      </c>
      <c r="Q240" s="19"/>
    </row>
    <row r="241" spans="1:17" hidden="1" x14ac:dyDescent="0.25">
      <c r="A241" t="s">
        <v>49</v>
      </c>
      <c r="B241" t="s">
        <v>4500</v>
      </c>
      <c r="C241" t="s">
        <v>4500</v>
      </c>
      <c r="D241" t="s">
        <v>4497</v>
      </c>
      <c r="E241" t="s">
        <v>55</v>
      </c>
      <c r="F241">
        <v>0</v>
      </c>
      <c r="G241">
        <v>0</v>
      </c>
      <c r="H241" s="19">
        <v>-1119862.5999999901</v>
      </c>
      <c r="I241" s="19">
        <v>66.530400999999998</v>
      </c>
      <c r="J241" s="19">
        <v>1119862.599961</v>
      </c>
      <c r="K241" s="19">
        <v>35.066074</v>
      </c>
      <c r="L241" s="19">
        <v>31.464327000000001</v>
      </c>
      <c r="M241" s="19"/>
      <c r="N241" s="19"/>
      <c r="O241" s="19"/>
      <c r="P241" s="19">
        <f t="shared" si="3"/>
        <v>0</v>
      </c>
      <c r="Q241" s="19"/>
    </row>
    <row r="242" spans="1:17" hidden="1" x14ac:dyDescent="0.25">
      <c r="A242" t="s">
        <v>49</v>
      </c>
      <c r="B242" t="s">
        <v>4505</v>
      </c>
      <c r="C242" t="s">
        <v>4505</v>
      </c>
      <c r="D242" t="s">
        <v>4497</v>
      </c>
      <c r="E242" t="s">
        <v>55</v>
      </c>
      <c r="F242">
        <v>0</v>
      </c>
      <c r="G242">
        <v>0</v>
      </c>
      <c r="H242" s="19">
        <v>-7330041.5588542102</v>
      </c>
      <c r="I242" s="19">
        <v>830.91645700000004</v>
      </c>
      <c r="J242" s="19">
        <v>7330041.5588490004</v>
      </c>
      <c r="K242" s="19">
        <v>130.44111599999999</v>
      </c>
      <c r="L242" s="19">
        <v>700.47534099999996</v>
      </c>
      <c r="M242" s="19"/>
      <c r="N242" s="19"/>
      <c r="O242" s="19"/>
      <c r="P242" s="19">
        <f t="shared" si="3"/>
        <v>0</v>
      </c>
      <c r="Q242" s="19"/>
    </row>
    <row r="243" spans="1:17" hidden="1" x14ac:dyDescent="0.25">
      <c r="A243" t="s">
        <v>49</v>
      </c>
      <c r="B243" t="s">
        <v>4501</v>
      </c>
      <c r="C243" t="s">
        <v>4501</v>
      </c>
      <c r="D243" t="s">
        <v>4502</v>
      </c>
      <c r="E243" t="s">
        <v>203</v>
      </c>
      <c r="F243">
        <v>0</v>
      </c>
      <c r="G243">
        <v>1</v>
      </c>
      <c r="H243" s="19">
        <v>-23202.34</v>
      </c>
      <c r="I243" s="19">
        <v>0</v>
      </c>
      <c r="J243" s="19">
        <v>23202.34</v>
      </c>
      <c r="K243" s="19">
        <v>0</v>
      </c>
      <c r="L243" s="19">
        <v>0</v>
      </c>
      <c r="M243" s="19">
        <v>0</v>
      </c>
      <c r="N243" s="19">
        <v>45214</v>
      </c>
      <c r="O243" s="19">
        <v>45214</v>
      </c>
      <c r="P243" s="19">
        <f t="shared" si="3"/>
        <v>0</v>
      </c>
      <c r="Q243" s="19"/>
    </row>
    <row r="244" spans="1:17" hidden="1" x14ac:dyDescent="0.25">
      <c r="A244" t="s">
        <v>49</v>
      </c>
      <c r="B244" t="s">
        <v>4501</v>
      </c>
      <c r="C244" t="s">
        <v>4501</v>
      </c>
      <c r="D244" t="s">
        <v>4502</v>
      </c>
      <c r="E244" t="s">
        <v>196</v>
      </c>
      <c r="F244">
        <v>0</v>
      </c>
      <c r="G244">
        <v>1</v>
      </c>
      <c r="H244" s="19">
        <v>-189.72</v>
      </c>
      <c r="I244" s="19">
        <v>0</v>
      </c>
      <c r="J244" s="19">
        <v>189.72</v>
      </c>
      <c r="K244" s="19">
        <v>0</v>
      </c>
      <c r="L244" s="19">
        <v>0</v>
      </c>
      <c r="M244" s="19">
        <v>0</v>
      </c>
      <c r="N244" s="19">
        <v>36824.67</v>
      </c>
      <c r="O244" s="19">
        <v>36824.67</v>
      </c>
      <c r="P244" s="19">
        <f t="shared" si="3"/>
        <v>0</v>
      </c>
      <c r="Q244" s="19"/>
    </row>
    <row r="245" spans="1:17" hidden="1" x14ac:dyDescent="0.25">
      <c r="A245" t="s">
        <v>49</v>
      </c>
      <c r="B245" t="s">
        <v>4501</v>
      </c>
      <c r="C245" t="s">
        <v>4501</v>
      </c>
      <c r="D245" t="s">
        <v>4502</v>
      </c>
      <c r="E245" t="s">
        <v>81</v>
      </c>
      <c r="F245">
        <v>0</v>
      </c>
      <c r="G245">
        <v>1</v>
      </c>
      <c r="H245" s="19">
        <v>-4.37</v>
      </c>
      <c r="I245" s="19">
        <v>0</v>
      </c>
      <c r="J245" s="19">
        <v>4.37</v>
      </c>
      <c r="K245" s="19">
        <v>0</v>
      </c>
      <c r="L245" s="19">
        <v>0</v>
      </c>
      <c r="M245" s="19">
        <v>0</v>
      </c>
      <c r="N245" s="19">
        <v>5688</v>
      </c>
      <c r="O245" s="19">
        <v>5688</v>
      </c>
      <c r="P245" s="19">
        <f t="shared" si="3"/>
        <v>0</v>
      </c>
      <c r="Q245" s="19"/>
    </row>
    <row r="246" spans="1:17" hidden="1" x14ac:dyDescent="0.25">
      <c r="A246" t="s">
        <v>49</v>
      </c>
      <c r="B246" t="s">
        <v>4501</v>
      </c>
      <c r="C246" t="s">
        <v>4501</v>
      </c>
      <c r="D246" t="s">
        <v>4501</v>
      </c>
      <c r="E246" t="s">
        <v>155</v>
      </c>
      <c r="F246">
        <v>0</v>
      </c>
      <c r="G246">
        <v>1</v>
      </c>
      <c r="H246" s="19">
        <v>-413.3</v>
      </c>
      <c r="I246" s="19">
        <v>0</v>
      </c>
      <c r="J246" s="19">
        <v>413.3</v>
      </c>
      <c r="K246" s="19">
        <v>0</v>
      </c>
      <c r="L246" s="19">
        <v>0</v>
      </c>
      <c r="M246" s="19">
        <v>0</v>
      </c>
      <c r="N246" s="19">
        <v>1976.57</v>
      </c>
      <c r="O246" s="19">
        <v>1976.57</v>
      </c>
      <c r="P246" s="19">
        <f t="shared" si="3"/>
        <v>0</v>
      </c>
      <c r="Q246" s="19"/>
    </row>
    <row r="247" spans="1:17" hidden="1" x14ac:dyDescent="0.25">
      <c r="A247" t="s">
        <v>49</v>
      </c>
      <c r="B247" t="s">
        <v>4498</v>
      </c>
      <c r="C247" t="s">
        <v>4498</v>
      </c>
      <c r="D247" t="s">
        <v>4497</v>
      </c>
      <c r="E247" t="s">
        <v>55</v>
      </c>
      <c r="F247">
        <v>0</v>
      </c>
      <c r="G247">
        <v>0</v>
      </c>
      <c r="H247" s="19">
        <v>-78808.679999999993</v>
      </c>
      <c r="I247" s="19">
        <v>3.8676810000000001</v>
      </c>
      <c r="J247" s="19">
        <v>78808.679999999993</v>
      </c>
      <c r="K247" s="19">
        <v>1.8463430000000001</v>
      </c>
      <c r="L247" s="19">
        <v>2.0213380000000001</v>
      </c>
      <c r="M247" s="19"/>
      <c r="N247" s="19"/>
      <c r="O247" s="19"/>
      <c r="P247" s="19">
        <f t="shared" si="3"/>
        <v>0</v>
      </c>
      <c r="Q247" s="19"/>
    </row>
    <row r="248" spans="1:17" hidden="1" x14ac:dyDescent="0.25">
      <c r="A248" t="s">
        <v>49</v>
      </c>
      <c r="B248" t="s">
        <v>4501</v>
      </c>
      <c r="C248" t="s">
        <v>4501</v>
      </c>
      <c r="D248" t="s">
        <v>4501</v>
      </c>
      <c r="E248" t="s">
        <v>127</v>
      </c>
      <c r="F248">
        <v>0</v>
      </c>
      <c r="G248">
        <v>1</v>
      </c>
      <c r="H248" s="19">
        <v>-11.064593</v>
      </c>
      <c r="I248" s="19">
        <v>0</v>
      </c>
      <c r="J248" s="19">
        <v>11.064593</v>
      </c>
      <c r="K248" s="19">
        <v>0</v>
      </c>
      <c r="L248" s="19">
        <v>0</v>
      </c>
      <c r="M248" s="19">
        <v>0</v>
      </c>
      <c r="N248" s="19">
        <v>3193.08</v>
      </c>
      <c r="O248" s="19">
        <v>3193.08</v>
      </c>
      <c r="P248" s="19">
        <f t="shared" si="3"/>
        <v>0</v>
      </c>
      <c r="Q248" s="19"/>
    </row>
    <row r="249" spans="1:17" hidden="1" x14ac:dyDescent="0.25">
      <c r="A249" t="s">
        <v>49</v>
      </c>
      <c r="B249" t="s">
        <v>4504</v>
      </c>
      <c r="C249" t="s">
        <v>4504</v>
      </c>
      <c r="D249" t="s">
        <v>4504</v>
      </c>
      <c r="E249" t="s">
        <v>55</v>
      </c>
      <c r="F249">
        <v>0</v>
      </c>
      <c r="G249">
        <v>0</v>
      </c>
      <c r="H249" s="19">
        <v>-6097626.6299999896</v>
      </c>
      <c r="I249" s="19">
        <v>406.29782</v>
      </c>
      <c r="J249" s="19">
        <v>6097626.6299970001</v>
      </c>
      <c r="K249" s="19">
        <v>65.918073000000007</v>
      </c>
      <c r="L249" s="19">
        <v>52.750667</v>
      </c>
      <c r="M249" s="19">
        <v>287.62907999999999</v>
      </c>
      <c r="N249" s="19"/>
      <c r="O249" s="19"/>
      <c r="P249" s="19">
        <f t="shared" si="3"/>
        <v>0</v>
      </c>
      <c r="Q249" s="19">
        <v>1</v>
      </c>
    </row>
    <row r="250" spans="1:17" hidden="1" x14ac:dyDescent="0.25">
      <c r="A250" t="s">
        <v>49</v>
      </c>
      <c r="B250" t="s">
        <v>4503</v>
      </c>
      <c r="C250" t="s">
        <v>4503</v>
      </c>
      <c r="D250" t="s">
        <v>4497</v>
      </c>
      <c r="E250" t="s">
        <v>55</v>
      </c>
      <c r="F250">
        <v>0</v>
      </c>
      <c r="G250">
        <v>0</v>
      </c>
      <c r="H250" s="19">
        <v>-1363117.23</v>
      </c>
      <c r="I250" s="19">
        <v>16.401935999999999</v>
      </c>
      <c r="J250" s="19">
        <v>1363117.23</v>
      </c>
      <c r="K250" s="19">
        <v>4.5282900000000001</v>
      </c>
      <c r="L250" s="19">
        <v>11.873646000000001</v>
      </c>
      <c r="M250" s="19"/>
      <c r="N250" s="19"/>
      <c r="O250" s="19"/>
      <c r="P250" s="19">
        <f t="shared" si="3"/>
        <v>0</v>
      </c>
      <c r="Q250" s="19"/>
    </row>
    <row r="251" spans="1:17" hidden="1" x14ac:dyDescent="0.25">
      <c r="A251" t="s">
        <v>49</v>
      </c>
      <c r="B251" t="s">
        <v>4501</v>
      </c>
      <c r="C251" t="s">
        <v>4501</v>
      </c>
      <c r="D251" t="s">
        <v>4502</v>
      </c>
      <c r="E251" t="s">
        <v>87</v>
      </c>
      <c r="F251">
        <v>0</v>
      </c>
      <c r="G251">
        <v>1</v>
      </c>
      <c r="H251" s="19">
        <v>-75558.789999999994</v>
      </c>
      <c r="I251" s="19">
        <v>1.2837400000000001</v>
      </c>
      <c r="J251" s="19">
        <v>75558.789999999994</v>
      </c>
      <c r="K251" s="19">
        <v>6.4000000000000003E-3</v>
      </c>
      <c r="L251" s="19">
        <v>0.14102799999999999</v>
      </c>
      <c r="M251" s="19">
        <v>1.136312</v>
      </c>
      <c r="N251" s="19">
        <v>202514.4</v>
      </c>
      <c r="O251" s="19">
        <v>202514.4</v>
      </c>
      <c r="P251" s="19">
        <f t="shared" si="3"/>
        <v>0</v>
      </c>
      <c r="Q251" s="19"/>
    </row>
    <row r="252" spans="1:17" hidden="1" x14ac:dyDescent="0.25">
      <c r="A252" t="s">
        <v>49</v>
      </c>
      <c r="B252" t="s">
        <v>4497</v>
      </c>
      <c r="C252" t="s">
        <v>4497</v>
      </c>
      <c r="D252" t="s">
        <v>4497</v>
      </c>
      <c r="E252" t="s">
        <v>55</v>
      </c>
      <c r="F252">
        <v>0</v>
      </c>
      <c r="G252">
        <v>0</v>
      </c>
      <c r="H252" s="19">
        <v>-79386.833994943096</v>
      </c>
      <c r="I252" s="19">
        <v>0</v>
      </c>
      <c r="J252" s="19">
        <v>79386.833989000006</v>
      </c>
      <c r="K252" s="19"/>
      <c r="L252" s="19"/>
      <c r="M252" s="19"/>
      <c r="N252" s="19"/>
      <c r="O252" s="19"/>
      <c r="P252" s="19">
        <f t="shared" si="3"/>
        <v>0</v>
      </c>
      <c r="Q252" s="19"/>
    </row>
    <row r="253" spans="1:17" hidden="1" x14ac:dyDescent="0.25">
      <c r="A253" t="s">
        <v>49</v>
      </c>
      <c r="B253" t="s">
        <v>4501</v>
      </c>
      <c r="C253" t="s">
        <v>4501</v>
      </c>
      <c r="D253" t="s">
        <v>4502</v>
      </c>
      <c r="E253" t="s">
        <v>86</v>
      </c>
      <c r="F253">
        <v>0</v>
      </c>
      <c r="G253">
        <v>1</v>
      </c>
      <c r="H253" s="19">
        <v>-6070217.8819000004</v>
      </c>
      <c r="I253" s="19">
        <v>933.882834</v>
      </c>
      <c r="J253" s="19">
        <v>6070217.8819000004</v>
      </c>
      <c r="K253" s="19">
        <v>9.9118820000000003</v>
      </c>
      <c r="L253" s="19">
        <v>98.219778000000005</v>
      </c>
      <c r="M253" s="19">
        <v>825.75117399999999</v>
      </c>
      <c r="N253" s="19">
        <v>437474.74</v>
      </c>
      <c r="O253" s="19">
        <v>437474.74</v>
      </c>
      <c r="P253" s="19">
        <f t="shared" si="3"/>
        <v>0</v>
      </c>
      <c r="Q253" s="19"/>
    </row>
    <row r="254" spans="1:17" hidden="1" x14ac:dyDescent="0.25">
      <c r="A254" t="s">
        <v>49</v>
      </c>
      <c r="B254" t="s">
        <v>4501</v>
      </c>
      <c r="C254" t="s">
        <v>4501</v>
      </c>
      <c r="D254" t="s">
        <v>4502</v>
      </c>
      <c r="E254" t="s">
        <v>187</v>
      </c>
      <c r="F254">
        <v>0</v>
      </c>
      <c r="G254">
        <v>1</v>
      </c>
      <c r="H254" s="19">
        <v>-812.76</v>
      </c>
      <c r="I254" s="19">
        <v>0</v>
      </c>
      <c r="J254" s="19">
        <v>812.76</v>
      </c>
      <c r="K254" s="19">
        <v>0</v>
      </c>
      <c r="L254" s="19">
        <v>0</v>
      </c>
      <c r="M254" s="19">
        <v>0</v>
      </c>
      <c r="N254" s="19">
        <v>29284</v>
      </c>
      <c r="O254" s="19">
        <v>29284</v>
      </c>
      <c r="P254" s="19">
        <f t="shared" si="3"/>
        <v>0</v>
      </c>
      <c r="Q254" s="19"/>
    </row>
    <row r="255" spans="1:17" hidden="1" x14ac:dyDescent="0.25">
      <c r="A255" t="s">
        <v>49</v>
      </c>
      <c r="B255" t="s">
        <v>4506</v>
      </c>
      <c r="C255" t="s">
        <v>4506</v>
      </c>
      <c r="D255" t="s">
        <v>4506</v>
      </c>
      <c r="E255" t="s">
        <v>55</v>
      </c>
      <c r="F255">
        <v>0</v>
      </c>
      <c r="G255">
        <v>0</v>
      </c>
      <c r="H255" s="19">
        <v>-72637859.879999906</v>
      </c>
      <c r="I255" s="19">
        <v>22360.780993</v>
      </c>
      <c r="J255" s="19">
        <v>72637859.879987001</v>
      </c>
      <c r="K255" s="19">
        <v>3698.8541919999998</v>
      </c>
      <c r="L255" s="19">
        <v>1943.7846400000001</v>
      </c>
      <c r="M255" s="19">
        <v>16718.142161</v>
      </c>
      <c r="N255" s="19"/>
      <c r="O255" s="19"/>
      <c r="P255" s="19">
        <f t="shared" si="3"/>
        <v>0</v>
      </c>
      <c r="Q255" s="19"/>
    </row>
    <row r="256" spans="1:17" hidden="1" x14ac:dyDescent="0.25">
      <c r="A256" t="s">
        <v>49</v>
      </c>
      <c r="B256" t="s">
        <v>4500</v>
      </c>
      <c r="C256" t="s">
        <v>4497</v>
      </c>
      <c r="D256" t="s">
        <v>4497</v>
      </c>
      <c r="E256" t="s">
        <v>55</v>
      </c>
      <c r="F256">
        <v>0</v>
      </c>
      <c r="G256">
        <v>0</v>
      </c>
      <c r="H256" s="19">
        <v>-4350288.9399999902</v>
      </c>
      <c r="I256" s="19">
        <v>534.15396499999997</v>
      </c>
      <c r="J256" s="19">
        <v>4350288.9396630004</v>
      </c>
      <c r="K256" s="19">
        <v>534.15396499999997</v>
      </c>
      <c r="L256" s="19"/>
      <c r="M256" s="19"/>
      <c r="N256" s="19"/>
      <c r="O256" s="19"/>
      <c r="P256" s="19">
        <f t="shared" si="3"/>
        <v>0</v>
      </c>
      <c r="Q256" s="19"/>
    </row>
    <row r="257" spans="1:17" hidden="1" x14ac:dyDescent="0.25">
      <c r="A257" t="s">
        <v>49</v>
      </c>
      <c r="B257" t="s">
        <v>4498</v>
      </c>
      <c r="C257" t="s">
        <v>4497</v>
      </c>
      <c r="D257" t="s">
        <v>4497</v>
      </c>
      <c r="E257" t="s">
        <v>55</v>
      </c>
      <c r="F257">
        <v>0</v>
      </c>
      <c r="G257">
        <v>0</v>
      </c>
      <c r="H257" s="19">
        <v>-864402.22999999905</v>
      </c>
      <c r="I257" s="19">
        <v>83.154292999999996</v>
      </c>
      <c r="J257" s="19">
        <v>864402.22994800005</v>
      </c>
      <c r="K257" s="19">
        <v>83.154292999999996</v>
      </c>
      <c r="L257" s="19"/>
      <c r="M257" s="19"/>
      <c r="N257" s="19"/>
      <c r="O257" s="19"/>
      <c r="P257" s="19">
        <f t="shared" si="3"/>
        <v>0</v>
      </c>
      <c r="Q257" s="19"/>
    </row>
    <row r="258" spans="1:17" hidden="1" x14ac:dyDescent="0.25">
      <c r="A258" t="s">
        <v>49</v>
      </c>
      <c r="B258" t="s">
        <v>4507</v>
      </c>
      <c r="C258" t="s">
        <v>4507</v>
      </c>
      <c r="D258" t="s">
        <v>4502</v>
      </c>
      <c r="E258" t="s">
        <v>166</v>
      </c>
      <c r="F258">
        <v>1</v>
      </c>
      <c r="G258">
        <v>1</v>
      </c>
      <c r="H258" s="19">
        <v>-136</v>
      </c>
      <c r="I258" s="19">
        <v>0</v>
      </c>
      <c r="J258" s="19">
        <v>136</v>
      </c>
      <c r="K258" s="19">
        <v>0</v>
      </c>
      <c r="L258" s="19">
        <v>0</v>
      </c>
      <c r="M258" s="19">
        <v>0</v>
      </c>
      <c r="N258" s="19">
        <v>888.52</v>
      </c>
      <c r="O258" s="19"/>
      <c r="P258" s="19">
        <f t="shared" si="3"/>
        <v>-888.52</v>
      </c>
      <c r="Q258" s="19"/>
    </row>
    <row r="259" spans="1:17" hidden="1" x14ac:dyDescent="0.25">
      <c r="A259" t="s">
        <v>49</v>
      </c>
      <c r="B259" t="s">
        <v>4501</v>
      </c>
      <c r="C259" t="s">
        <v>4501</v>
      </c>
      <c r="D259" t="s">
        <v>4502</v>
      </c>
      <c r="E259" t="s">
        <v>145</v>
      </c>
      <c r="F259">
        <v>0</v>
      </c>
      <c r="G259">
        <v>1</v>
      </c>
      <c r="H259" s="19">
        <v>-6456000.5300000003</v>
      </c>
      <c r="I259" s="19">
        <v>219.19726600000001</v>
      </c>
      <c r="J259" s="19">
        <v>6456000.5300000003</v>
      </c>
      <c r="K259" s="19">
        <v>5.6289199999999999</v>
      </c>
      <c r="L259" s="19">
        <v>41.691279999999999</v>
      </c>
      <c r="M259" s="19">
        <v>171.87706600000001</v>
      </c>
      <c r="N259" s="19">
        <v>26291980</v>
      </c>
      <c r="O259" s="19">
        <v>26291980</v>
      </c>
      <c r="P259" s="19">
        <f t="shared" si="3"/>
        <v>0</v>
      </c>
      <c r="Q259" s="19"/>
    </row>
    <row r="260" spans="1:17" hidden="1" x14ac:dyDescent="0.25">
      <c r="A260" t="s">
        <v>51</v>
      </c>
      <c r="B260" t="s">
        <v>4498</v>
      </c>
      <c r="C260" t="s">
        <v>4498</v>
      </c>
      <c r="D260" t="s">
        <v>4497</v>
      </c>
      <c r="E260" t="s">
        <v>55</v>
      </c>
      <c r="F260">
        <v>0</v>
      </c>
      <c r="G260">
        <v>0</v>
      </c>
      <c r="H260" s="19">
        <v>-75516.289999999994</v>
      </c>
      <c r="I260" s="19">
        <v>5.6778170000000001</v>
      </c>
      <c r="J260" s="19">
        <v>75516.289999999994</v>
      </c>
      <c r="K260" s="19">
        <v>3.0846900000000002</v>
      </c>
      <c r="L260" s="19">
        <v>2.593127</v>
      </c>
      <c r="M260" s="19"/>
      <c r="N260" s="19"/>
      <c r="O260" s="19"/>
      <c r="P260" s="19">
        <f t="shared" ref="P260:P323" si="4">+O260-N260</f>
        <v>0</v>
      </c>
      <c r="Q260" s="19"/>
    </row>
    <row r="261" spans="1:17" hidden="1" x14ac:dyDescent="0.25">
      <c r="A261" t="s">
        <v>51</v>
      </c>
      <c r="B261" t="s">
        <v>4505</v>
      </c>
      <c r="C261" t="s">
        <v>4505</v>
      </c>
      <c r="D261" t="s">
        <v>4497</v>
      </c>
      <c r="E261" t="s">
        <v>55</v>
      </c>
      <c r="F261">
        <v>0</v>
      </c>
      <c r="G261">
        <v>0</v>
      </c>
      <c r="H261" s="19">
        <v>-375938.97999999899</v>
      </c>
      <c r="I261" s="19">
        <v>64.062354999999997</v>
      </c>
      <c r="J261" s="19">
        <v>375938.97999600001</v>
      </c>
      <c r="K261" s="19">
        <v>10.056801999999999</v>
      </c>
      <c r="L261" s="19">
        <v>54.005552999999999</v>
      </c>
      <c r="M261" s="19"/>
      <c r="N261" s="19"/>
      <c r="O261" s="19"/>
      <c r="P261" s="19">
        <f t="shared" si="4"/>
        <v>0</v>
      </c>
      <c r="Q261" s="19"/>
    </row>
    <row r="262" spans="1:17" hidden="1" x14ac:dyDescent="0.25">
      <c r="A262" t="s">
        <v>51</v>
      </c>
      <c r="B262" t="s">
        <v>4497</v>
      </c>
      <c r="C262" t="s">
        <v>4498</v>
      </c>
      <c r="D262" t="s">
        <v>4497</v>
      </c>
      <c r="E262" t="s">
        <v>55</v>
      </c>
      <c r="F262">
        <v>0</v>
      </c>
      <c r="G262">
        <v>0</v>
      </c>
      <c r="H262" s="19">
        <v>-27950.709999999901</v>
      </c>
      <c r="I262" s="19">
        <v>0.64102300000000001</v>
      </c>
      <c r="J262" s="19">
        <v>27950.709998999999</v>
      </c>
      <c r="K262" s="19"/>
      <c r="L262" s="19">
        <v>0.64102300000000001</v>
      </c>
      <c r="M262" s="19"/>
      <c r="N262" s="19"/>
      <c r="O262" s="19"/>
      <c r="P262" s="19">
        <f t="shared" si="4"/>
        <v>0</v>
      </c>
      <c r="Q262" s="19"/>
    </row>
    <row r="263" spans="1:17" hidden="1" x14ac:dyDescent="0.25">
      <c r="A263" t="s">
        <v>51</v>
      </c>
      <c r="B263" t="s">
        <v>4500</v>
      </c>
      <c r="C263" t="s">
        <v>4497</v>
      </c>
      <c r="D263" t="s">
        <v>4497</v>
      </c>
      <c r="E263" t="s">
        <v>55</v>
      </c>
      <c r="F263">
        <v>0</v>
      </c>
      <c r="G263">
        <v>0</v>
      </c>
      <c r="H263" s="19">
        <v>-36834.479999999901</v>
      </c>
      <c r="I263" s="19">
        <v>1.036208</v>
      </c>
      <c r="J263" s="19">
        <v>36834.479999000003</v>
      </c>
      <c r="K263" s="19">
        <v>1.036208</v>
      </c>
      <c r="L263" s="19"/>
      <c r="M263" s="19"/>
      <c r="N263" s="19"/>
      <c r="O263" s="19"/>
      <c r="P263" s="19">
        <f t="shared" si="4"/>
        <v>0</v>
      </c>
      <c r="Q263" s="19"/>
    </row>
    <row r="264" spans="1:17" hidden="1" x14ac:dyDescent="0.25">
      <c r="A264" t="s">
        <v>51</v>
      </c>
      <c r="B264" t="s">
        <v>4497</v>
      </c>
      <c r="C264" t="s">
        <v>4500</v>
      </c>
      <c r="D264" t="s">
        <v>4497</v>
      </c>
      <c r="E264" t="s">
        <v>55</v>
      </c>
      <c r="F264">
        <v>0</v>
      </c>
      <c r="G264">
        <v>0</v>
      </c>
      <c r="H264" s="19">
        <v>-136828.34999999899</v>
      </c>
      <c r="I264" s="19">
        <v>2.5845910000000001</v>
      </c>
      <c r="J264" s="19">
        <v>136828.349996</v>
      </c>
      <c r="K264" s="19"/>
      <c r="L264" s="19">
        <v>2.5845910000000001</v>
      </c>
      <c r="M264" s="19"/>
      <c r="N264" s="19"/>
      <c r="O264" s="19"/>
      <c r="P264" s="19">
        <f t="shared" si="4"/>
        <v>0</v>
      </c>
      <c r="Q264" s="19"/>
    </row>
    <row r="265" spans="1:17" hidden="1" x14ac:dyDescent="0.25">
      <c r="A265" t="s">
        <v>51</v>
      </c>
      <c r="B265" t="s">
        <v>4499</v>
      </c>
      <c r="C265" t="s">
        <v>4499</v>
      </c>
      <c r="D265" t="s">
        <v>4499</v>
      </c>
      <c r="E265" t="s">
        <v>55</v>
      </c>
      <c r="F265">
        <v>0</v>
      </c>
      <c r="G265">
        <v>0</v>
      </c>
      <c r="H265" s="19">
        <v>-187.77</v>
      </c>
      <c r="I265" s="19">
        <v>0</v>
      </c>
      <c r="J265" s="19">
        <v>187.77</v>
      </c>
      <c r="K265" s="19"/>
      <c r="L265" s="19"/>
      <c r="M265" s="19"/>
      <c r="N265" s="19"/>
      <c r="O265" s="19"/>
      <c r="P265" s="19">
        <f t="shared" si="4"/>
        <v>0</v>
      </c>
      <c r="Q265" s="19"/>
    </row>
    <row r="266" spans="1:17" hidden="1" x14ac:dyDescent="0.25">
      <c r="A266" t="s">
        <v>51</v>
      </c>
      <c r="B266" t="s">
        <v>4507</v>
      </c>
      <c r="C266" t="s">
        <v>4507</v>
      </c>
      <c r="D266" t="s">
        <v>4502</v>
      </c>
      <c r="E266" t="s">
        <v>93</v>
      </c>
      <c r="F266">
        <v>0</v>
      </c>
      <c r="G266">
        <v>1</v>
      </c>
      <c r="H266" s="19">
        <v>-412.53</v>
      </c>
      <c r="I266" s="19">
        <v>0</v>
      </c>
      <c r="J266" s="19">
        <v>412.53</v>
      </c>
      <c r="K266" s="19">
        <v>0</v>
      </c>
      <c r="L266" s="19">
        <v>0</v>
      </c>
      <c r="M266" s="19">
        <v>0</v>
      </c>
      <c r="N266" s="19">
        <v>8995.1</v>
      </c>
      <c r="O266" s="19">
        <v>8995.1</v>
      </c>
      <c r="P266" s="19">
        <f t="shared" si="4"/>
        <v>0</v>
      </c>
      <c r="Q266" s="19"/>
    </row>
    <row r="267" spans="1:17" hidden="1" x14ac:dyDescent="0.25">
      <c r="A267" t="s">
        <v>51</v>
      </c>
      <c r="B267" t="s">
        <v>4496</v>
      </c>
      <c r="C267" t="s">
        <v>4496</v>
      </c>
      <c r="D267" t="s">
        <v>4497</v>
      </c>
      <c r="E267" t="s">
        <v>55</v>
      </c>
      <c r="F267">
        <v>0</v>
      </c>
      <c r="G267">
        <v>0</v>
      </c>
      <c r="H267" s="19">
        <v>-482455.989999999</v>
      </c>
      <c r="I267" s="19">
        <v>36.928052000000001</v>
      </c>
      <c r="J267" s="19">
        <v>482455.98999500001</v>
      </c>
      <c r="K267" s="19">
        <v>10.545384</v>
      </c>
      <c r="L267" s="19">
        <v>26.382667999999999</v>
      </c>
      <c r="M267" s="19"/>
      <c r="N267" s="19"/>
      <c r="O267" s="19"/>
      <c r="P267" s="19">
        <f t="shared" si="4"/>
        <v>0</v>
      </c>
      <c r="Q267" s="19"/>
    </row>
    <row r="268" spans="1:17" hidden="1" x14ac:dyDescent="0.25">
      <c r="A268" t="s">
        <v>51</v>
      </c>
      <c r="B268" t="s">
        <v>4497</v>
      </c>
      <c r="C268" t="s">
        <v>4497</v>
      </c>
      <c r="D268" t="s">
        <v>4497</v>
      </c>
      <c r="E268" t="s">
        <v>55</v>
      </c>
      <c r="F268">
        <v>0</v>
      </c>
      <c r="G268">
        <v>0</v>
      </c>
      <c r="H268" s="19">
        <v>-334509.68</v>
      </c>
      <c r="I268" s="19">
        <v>0</v>
      </c>
      <c r="J268" s="19">
        <v>334509.68</v>
      </c>
      <c r="K268" s="19"/>
      <c r="L268" s="19"/>
      <c r="M268" s="19"/>
      <c r="N268" s="19"/>
      <c r="O268" s="19"/>
      <c r="P268" s="19">
        <f t="shared" si="4"/>
        <v>0</v>
      </c>
      <c r="Q268" s="19"/>
    </row>
    <row r="269" spans="1:17" hidden="1" x14ac:dyDescent="0.25">
      <c r="A269" t="s">
        <v>51</v>
      </c>
      <c r="B269" t="s">
        <v>4503</v>
      </c>
      <c r="C269" t="s">
        <v>4503</v>
      </c>
      <c r="D269" t="s">
        <v>4497</v>
      </c>
      <c r="E269" t="s">
        <v>55</v>
      </c>
      <c r="F269">
        <v>0</v>
      </c>
      <c r="G269">
        <v>0</v>
      </c>
      <c r="H269" s="19">
        <v>-146480.43</v>
      </c>
      <c r="I269" s="19">
        <v>0.70538999999999996</v>
      </c>
      <c r="J269" s="19">
        <v>146480.43</v>
      </c>
      <c r="K269" s="19">
        <v>0.29391200000000001</v>
      </c>
      <c r="L269" s="19">
        <v>0.41147800000000001</v>
      </c>
      <c r="M269" s="19"/>
      <c r="N269" s="19"/>
      <c r="O269" s="19"/>
      <c r="P269" s="19">
        <f t="shared" si="4"/>
        <v>0</v>
      </c>
      <c r="Q269" s="19"/>
    </row>
    <row r="270" spans="1:17" hidden="1" x14ac:dyDescent="0.25">
      <c r="A270" t="s">
        <v>51</v>
      </c>
      <c r="B270" t="s">
        <v>4504</v>
      </c>
      <c r="C270" t="s">
        <v>4504</v>
      </c>
      <c r="D270" t="s">
        <v>4504</v>
      </c>
      <c r="E270" t="s">
        <v>55</v>
      </c>
      <c r="F270">
        <v>0</v>
      </c>
      <c r="G270">
        <v>0</v>
      </c>
      <c r="H270" s="19">
        <v>-577814.34</v>
      </c>
      <c r="I270" s="19">
        <v>3.8661880000000002</v>
      </c>
      <c r="J270" s="19">
        <v>577814.34</v>
      </c>
      <c r="K270" s="19">
        <v>0.54830699999999999</v>
      </c>
      <c r="L270" s="19">
        <v>0.24634400000000001</v>
      </c>
      <c r="M270" s="19">
        <v>3.0715370000000002</v>
      </c>
      <c r="N270" s="19"/>
      <c r="O270" s="19"/>
      <c r="P270" s="19">
        <f t="shared" si="4"/>
        <v>0</v>
      </c>
      <c r="Q270" s="19">
        <v>1</v>
      </c>
    </row>
    <row r="271" spans="1:17" hidden="1" x14ac:dyDescent="0.25">
      <c r="A271" t="s">
        <v>51</v>
      </c>
      <c r="B271" t="s">
        <v>4500</v>
      </c>
      <c r="C271" t="s">
        <v>4500</v>
      </c>
      <c r="D271" t="s">
        <v>4497</v>
      </c>
      <c r="E271" t="s">
        <v>55</v>
      </c>
      <c r="F271">
        <v>0</v>
      </c>
      <c r="G271">
        <v>0</v>
      </c>
      <c r="H271" s="19">
        <v>-106471.019999999</v>
      </c>
      <c r="I271" s="19">
        <v>5.6317789999999999</v>
      </c>
      <c r="J271" s="19">
        <v>106471.019998</v>
      </c>
      <c r="K271" s="19">
        <v>2.6554220000000002</v>
      </c>
      <c r="L271" s="19">
        <v>2.9763570000000001</v>
      </c>
      <c r="M271" s="19"/>
      <c r="N271" s="19"/>
      <c r="O271" s="19"/>
      <c r="P271" s="19">
        <f t="shared" si="4"/>
        <v>0</v>
      </c>
      <c r="Q271" s="19"/>
    </row>
    <row r="272" spans="1:17" hidden="1" x14ac:dyDescent="0.25">
      <c r="A272" t="s">
        <v>51</v>
      </c>
      <c r="B272" t="s">
        <v>4506</v>
      </c>
      <c r="C272" t="s">
        <v>4506</v>
      </c>
      <c r="D272" t="s">
        <v>4506</v>
      </c>
      <c r="E272" t="s">
        <v>55</v>
      </c>
      <c r="F272">
        <v>0</v>
      </c>
      <c r="G272">
        <v>0</v>
      </c>
      <c r="H272" s="19">
        <v>-1159219.48</v>
      </c>
      <c r="I272" s="19">
        <v>613.13307599999996</v>
      </c>
      <c r="J272" s="19">
        <v>1159219.48</v>
      </c>
      <c r="K272" s="19">
        <v>86.962746999999993</v>
      </c>
      <c r="L272" s="19">
        <v>39.068308999999999</v>
      </c>
      <c r="M272" s="19">
        <v>487.10201999999998</v>
      </c>
      <c r="N272" s="19"/>
      <c r="O272" s="19"/>
      <c r="P272" s="19">
        <f t="shared" si="4"/>
        <v>0</v>
      </c>
      <c r="Q272" s="19"/>
    </row>
    <row r="273" spans="1:17" hidden="1" x14ac:dyDescent="0.25">
      <c r="A273" t="s">
        <v>47</v>
      </c>
      <c r="B273" t="s">
        <v>4505</v>
      </c>
      <c r="C273" t="s">
        <v>4505</v>
      </c>
      <c r="D273" t="s">
        <v>4497</v>
      </c>
      <c r="E273" t="s">
        <v>55</v>
      </c>
      <c r="F273">
        <v>0</v>
      </c>
      <c r="G273">
        <v>0</v>
      </c>
      <c r="H273" s="19">
        <v>-97567861.190323398</v>
      </c>
      <c r="I273" s="19">
        <v>8041.0927549999997</v>
      </c>
      <c r="J273" s="19">
        <v>97567861.190217003</v>
      </c>
      <c r="K273" s="19">
        <v>1262.328</v>
      </c>
      <c r="L273" s="19">
        <v>6778.7647550000002</v>
      </c>
      <c r="M273" s="19"/>
      <c r="N273" s="19"/>
      <c r="O273" s="19"/>
      <c r="P273" s="19">
        <f t="shared" si="4"/>
        <v>0</v>
      </c>
      <c r="Q273" s="19"/>
    </row>
    <row r="274" spans="1:17" hidden="1" x14ac:dyDescent="0.25">
      <c r="A274" t="s">
        <v>47</v>
      </c>
      <c r="B274" t="s">
        <v>4500</v>
      </c>
      <c r="C274" t="s">
        <v>4500</v>
      </c>
      <c r="D274" t="s">
        <v>4497</v>
      </c>
      <c r="E274" t="s">
        <v>55</v>
      </c>
      <c r="F274">
        <v>0</v>
      </c>
      <c r="G274">
        <v>0</v>
      </c>
      <c r="H274" s="19">
        <v>-1404415.03999999</v>
      </c>
      <c r="I274" s="19">
        <v>47.791057000000002</v>
      </c>
      <c r="J274" s="19">
        <v>1404415.039971</v>
      </c>
      <c r="K274" s="19">
        <v>24.985175000000002</v>
      </c>
      <c r="L274" s="19">
        <v>22.805882</v>
      </c>
      <c r="M274" s="19"/>
      <c r="N274" s="19"/>
      <c r="O274" s="19"/>
      <c r="P274" s="19">
        <f t="shared" si="4"/>
        <v>0</v>
      </c>
      <c r="Q274" s="19"/>
    </row>
    <row r="275" spans="1:17" hidden="1" x14ac:dyDescent="0.25">
      <c r="A275" t="s">
        <v>47</v>
      </c>
      <c r="B275" t="s">
        <v>4497</v>
      </c>
      <c r="C275" t="s">
        <v>4500</v>
      </c>
      <c r="D275" t="s">
        <v>4497</v>
      </c>
      <c r="E275" t="s">
        <v>55</v>
      </c>
      <c r="F275">
        <v>0</v>
      </c>
      <c r="G275">
        <v>0</v>
      </c>
      <c r="H275" s="19">
        <v>-2534678.98999999</v>
      </c>
      <c r="I275" s="19">
        <v>49.872937</v>
      </c>
      <c r="J275" s="19">
        <v>2534678.989908</v>
      </c>
      <c r="K275" s="19"/>
      <c r="L275" s="19">
        <v>49.872937</v>
      </c>
      <c r="M275" s="19"/>
      <c r="N275" s="19"/>
      <c r="O275" s="19"/>
      <c r="P275" s="19">
        <f t="shared" si="4"/>
        <v>0</v>
      </c>
      <c r="Q275" s="19"/>
    </row>
    <row r="276" spans="1:17" hidden="1" x14ac:dyDescent="0.25">
      <c r="A276" t="s">
        <v>47</v>
      </c>
      <c r="B276" t="s">
        <v>4499</v>
      </c>
      <c r="C276" t="s">
        <v>4499</v>
      </c>
      <c r="D276" t="s">
        <v>4499</v>
      </c>
      <c r="E276" t="s">
        <v>55</v>
      </c>
      <c r="F276">
        <v>0</v>
      </c>
      <c r="G276">
        <v>0</v>
      </c>
      <c r="H276" s="19">
        <v>-267.45999999999998</v>
      </c>
      <c r="I276" s="19">
        <v>0</v>
      </c>
      <c r="J276" s="19">
        <v>267.45999999999998</v>
      </c>
      <c r="K276" s="19"/>
      <c r="L276" s="19"/>
      <c r="M276" s="19"/>
      <c r="N276" s="19"/>
      <c r="O276" s="19"/>
      <c r="P276" s="19">
        <f t="shared" si="4"/>
        <v>0</v>
      </c>
      <c r="Q276" s="19"/>
    </row>
    <row r="277" spans="1:17" hidden="1" x14ac:dyDescent="0.25">
      <c r="A277" t="s">
        <v>47</v>
      </c>
      <c r="B277" t="s">
        <v>4504</v>
      </c>
      <c r="C277" t="s">
        <v>4504</v>
      </c>
      <c r="D277" t="s">
        <v>4504</v>
      </c>
      <c r="E277" t="s">
        <v>55</v>
      </c>
      <c r="F277">
        <v>0</v>
      </c>
      <c r="G277">
        <v>0</v>
      </c>
      <c r="H277" s="19">
        <v>-95577096.4799999</v>
      </c>
      <c r="I277" s="19">
        <v>639.09520899999995</v>
      </c>
      <c r="J277" s="19">
        <v>95577096.479996994</v>
      </c>
      <c r="K277" s="19">
        <v>90.640057999999996</v>
      </c>
      <c r="L277" s="19">
        <v>40.725597</v>
      </c>
      <c r="M277" s="19">
        <v>507.72955400000001</v>
      </c>
      <c r="N277" s="19"/>
      <c r="O277" s="19"/>
      <c r="P277" s="19">
        <f t="shared" si="4"/>
        <v>0</v>
      </c>
      <c r="Q277" s="19">
        <v>1</v>
      </c>
    </row>
    <row r="278" spans="1:17" hidden="1" x14ac:dyDescent="0.25">
      <c r="A278" t="s">
        <v>47</v>
      </c>
      <c r="B278" t="s">
        <v>4512</v>
      </c>
      <c r="C278" t="s">
        <v>4512</v>
      </c>
      <c r="D278" t="s">
        <v>4512</v>
      </c>
      <c r="E278" t="s">
        <v>55</v>
      </c>
      <c r="F278">
        <v>0</v>
      </c>
      <c r="G278">
        <v>0</v>
      </c>
      <c r="H278" s="19">
        <v>-94651877.140000001</v>
      </c>
      <c r="I278" s="19">
        <v>632.73840700000005</v>
      </c>
      <c r="J278" s="19">
        <v>94651877.140000001</v>
      </c>
      <c r="K278" s="19">
        <v>89.739453999999995</v>
      </c>
      <c r="L278" s="19">
        <v>40.321702999999999</v>
      </c>
      <c r="M278" s="19">
        <v>502.67725000000002</v>
      </c>
      <c r="N278" s="19"/>
      <c r="O278" s="19"/>
      <c r="P278" s="19">
        <f t="shared" si="4"/>
        <v>0</v>
      </c>
      <c r="Q278" s="19">
        <v>1</v>
      </c>
    </row>
    <row r="279" spans="1:17" hidden="1" x14ac:dyDescent="0.25">
      <c r="A279" t="s">
        <v>47</v>
      </c>
      <c r="B279" t="s">
        <v>4498</v>
      </c>
      <c r="C279" t="s">
        <v>4498</v>
      </c>
      <c r="D279" t="s">
        <v>4497</v>
      </c>
      <c r="E279" t="s">
        <v>55</v>
      </c>
      <c r="F279">
        <v>0</v>
      </c>
      <c r="G279">
        <v>0</v>
      </c>
      <c r="H279" s="19">
        <v>-328367.12999999902</v>
      </c>
      <c r="I279" s="19">
        <v>11.300782999999999</v>
      </c>
      <c r="J279" s="19">
        <v>328367.12999500002</v>
      </c>
      <c r="K279" s="19">
        <v>6.2020039999999996</v>
      </c>
      <c r="L279" s="19">
        <v>5.0987790000000004</v>
      </c>
      <c r="M279" s="19"/>
      <c r="N279" s="19"/>
      <c r="O279" s="19"/>
      <c r="P279" s="19">
        <f t="shared" si="4"/>
        <v>0</v>
      </c>
      <c r="Q279" s="19"/>
    </row>
    <row r="280" spans="1:17" hidden="1" x14ac:dyDescent="0.25">
      <c r="A280" t="s">
        <v>47</v>
      </c>
      <c r="B280" t="s">
        <v>4497</v>
      </c>
      <c r="C280" t="s">
        <v>4498</v>
      </c>
      <c r="D280" t="s">
        <v>4497</v>
      </c>
      <c r="E280" t="s">
        <v>55</v>
      </c>
      <c r="F280">
        <v>0</v>
      </c>
      <c r="G280">
        <v>0</v>
      </c>
      <c r="H280" s="19">
        <v>-942420.30999999901</v>
      </c>
      <c r="I280" s="19">
        <v>21.738931000000001</v>
      </c>
      <c r="J280" s="19">
        <v>942420.30997199996</v>
      </c>
      <c r="K280" s="19"/>
      <c r="L280" s="19">
        <v>21.738931000000001</v>
      </c>
      <c r="M280" s="19"/>
      <c r="N280" s="19"/>
      <c r="O280" s="19"/>
      <c r="P280" s="19">
        <f t="shared" si="4"/>
        <v>0</v>
      </c>
      <c r="Q280" s="19"/>
    </row>
    <row r="281" spans="1:17" hidden="1" x14ac:dyDescent="0.25">
      <c r="A281" t="s">
        <v>47</v>
      </c>
      <c r="B281" t="s">
        <v>4499</v>
      </c>
      <c r="C281" t="s">
        <v>4499</v>
      </c>
      <c r="D281" t="s">
        <v>4497</v>
      </c>
      <c r="E281" t="s">
        <v>55</v>
      </c>
      <c r="F281">
        <v>0</v>
      </c>
      <c r="G281">
        <v>0</v>
      </c>
      <c r="H281" s="19">
        <v>-16931.769999999899</v>
      </c>
      <c r="I281" s="19">
        <v>0</v>
      </c>
      <c r="J281" s="19">
        <v>16931.769999</v>
      </c>
      <c r="K281" s="19"/>
      <c r="L281" s="19"/>
      <c r="M281" s="19"/>
      <c r="N281" s="19"/>
      <c r="O281" s="19"/>
      <c r="P281" s="19">
        <f t="shared" si="4"/>
        <v>0</v>
      </c>
      <c r="Q281" s="19"/>
    </row>
    <row r="282" spans="1:17" hidden="1" x14ac:dyDescent="0.25">
      <c r="A282" t="s">
        <v>47</v>
      </c>
      <c r="B282" t="s">
        <v>4503</v>
      </c>
      <c r="C282" t="s">
        <v>4503</v>
      </c>
      <c r="D282" t="s">
        <v>4497</v>
      </c>
      <c r="E282" t="s">
        <v>55</v>
      </c>
      <c r="F282">
        <v>0</v>
      </c>
      <c r="G282">
        <v>0</v>
      </c>
      <c r="H282" s="19">
        <v>-139461035.051534</v>
      </c>
      <c r="I282" s="19">
        <v>1154.3607239999999</v>
      </c>
      <c r="J282" s="19">
        <v>139461035.05149001</v>
      </c>
      <c r="K282" s="19">
        <v>317.71578799999997</v>
      </c>
      <c r="L282" s="19">
        <v>836.64493600000003</v>
      </c>
      <c r="M282" s="19"/>
      <c r="N282" s="19"/>
      <c r="O282" s="19"/>
      <c r="P282" s="19">
        <f t="shared" si="4"/>
        <v>0</v>
      </c>
      <c r="Q282" s="19"/>
    </row>
    <row r="283" spans="1:17" hidden="1" x14ac:dyDescent="0.25">
      <c r="A283" t="s">
        <v>47</v>
      </c>
      <c r="B283" t="s">
        <v>4498</v>
      </c>
      <c r="C283" t="s">
        <v>4497</v>
      </c>
      <c r="D283" t="s">
        <v>4497</v>
      </c>
      <c r="E283" t="s">
        <v>55</v>
      </c>
      <c r="F283">
        <v>0</v>
      </c>
      <c r="G283">
        <v>0</v>
      </c>
      <c r="H283" s="19">
        <v>-261769.889999999</v>
      </c>
      <c r="I283" s="19">
        <v>18.692346000000001</v>
      </c>
      <c r="J283" s="19">
        <v>261769.88999200001</v>
      </c>
      <c r="K283" s="19">
        <v>18.692346000000001</v>
      </c>
      <c r="L283" s="19"/>
      <c r="M283" s="19"/>
      <c r="N283" s="19"/>
      <c r="O283" s="19"/>
      <c r="P283" s="19">
        <f t="shared" si="4"/>
        <v>0</v>
      </c>
      <c r="Q283" s="19"/>
    </row>
    <row r="284" spans="1:17" hidden="1" x14ac:dyDescent="0.25">
      <c r="A284" t="s">
        <v>47</v>
      </c>
      <c r="B284" t="s">
        <v>4506</v>
      </c>
      <c r="C284" t="s">
        <v>4506</v>
      </c>
      <c r="D284" t="s">
        <v>4506</v>
      </c>
      <c r="E284" t="s">
        <v>55</v>
      </c>
      <c r="F284">
        <v>0</v>
      </c>
      <c r="G284">
        <v>0</v>
      </c>
      <c r="H284" s="19">
        <v>-150976184.65559599</v>
      </c>
      <c r="I284" s="19">
        <v>17080.016524999999</v>
      </c>
      <c r="J284" s="19">
        <v>150976184.65559301</v>
      </c>
      <c r="K284" s="19">
        <v>2422.5164060000002</v>
      </c>
      <c r="L284" s="19">
        <v>1088.3234440000001</v>
      </c>
      <c r="M284" s="19">
        <v>13569.176675000001</v>
      </c>
      <c r="N284" s="19"/>
      <c r="O284" s="19"/>
      <c r="P284" s="19">
        <f t="shared" si="4"/>
        <v>0</v>
      </c>
      <c r="Q284" s="19"/>
    </row>
    <row r="285" spans="1:17" hidden="1" x14ac:dyDescent="0.25">
      <c r="A285" t="s">
        <v>47</v>
      </c>
      <c r="B285" t="s">
        <v>4496</v>
      </c>
      <c r="C285" t="s">
        <v>4496</v>
      </c>
      <c r="D285" t="s">
        <v>4497</v>
      </c>
      <c r="E285" t="s">
        <v>55</v>
      </c>
      <c r="F285">
        <v>0</v>
      </c>
      <c r="G285">
        <v>0</v>
      </c>
      <c r="H285" s="19">
        <v>-576052276.36068702</v>
      </c>
      <c r="I285" s="19">
        <v>87074.399353000001</v>
      </c>
      <c r="J285" s="19">
        <v>576052276.36039495</v>
      </c>
      <c r="K285" s="19">
        <v>15021.543653000001</v>
      </c>
      <c r="L285" s="19">
        <v>72052.8557</v>
      </c>
      <c r="M285" s="19"/>
      <c r="N285" s="19"/>
      <c r="O285" s="19"/>
      <c r="P285" s="19">
        <f t="shared" si="4"/>
        <v>0</v>
      </c>
      <c r="Q285" s="19"/>
    </row>
    <row r="286" spans="1:17" hidden="1" x14ac:dyDescent="0.25">
      <c r="A286" t="s">
        <v>47</v>
      </c>
      <c r="B286" t="s">
        <v>4497</v>
      </c>
      <c r="C286" t="s">
        <v>4497</v>
      </c>
      <c r="D286" t="s">
        <v>4497</v>
      </c>
      <c r="E286" t="s">
        <v>55</v>
      </c>
      <c r="F286">
        <v>0</v>
      </c>
      <c r="G286">
        <v>0</v>
      </c>
      <c r="H286" s="19">
        <v>-9843283.8274546899</v>
      </c>
      <c r="I286" s="19">
        <v>0</v>
      </c>
      <c r="J286" s="19">
        <v>9843283.8274360001</v>
      </c>
      <c r="K286" s="19"/>
      <c r="L286" s="19"/>
      <c r="M286" s="19"/>
      <c r="N286" s="19"/>
      <c r="O286" s="19"/>
      <c r="P286" s="19">
        <f t="shared" si="4"/>
        <v>0</v>
      </c>
      <c r="Q286" s="19"/>
    </row>
    <row r="287" spans="1:17" hidden="1" x14ac:dyDescent="0.25">
      <c r="A287" t="s">
        <v>47</v>
      </c>
      <c r="B287" t="s">
        <v>4500</v>
      </c>
      <c r="C287" t="s">
        <v>4497</v>
      </c>
      <c r="D287" t="s">
        <v>4497</v>
      </c>
      <c r="E287" t="s">
        <v>55</v>
      </c>
      <c r="F287">
        <v>0</v>
      </c>
      <c r="G287">
        <v>0</v>
      </c>
      <c r="H287" s="19">
        <v>-1612630.1999999899</v>
      </c>
      <c r="I287" s="19">
        <v>175.88861399999999</v>
      </c>
      <c r="J287" s="19">
        <v>1612630.19991</v>
      </c>
      <c r="K287" s="19">
        <v>175.88861399999999</v>
      </c>
      <c r="L287" s="19"/>
      <c r="M287" s="19"/>
      <c r="N287" s="19"/>
      <c r="O287" s="19"/>
      <c r="P287" s="19">
        <f t="shared" si="4"/>
        <v>0</v>
      </c>
      <c r="Q287" s="19"/>
    </row>
    <row r="288" spans="1:17" hidden="1" x14ac:dyDescent="0.25">
      <c r="A288" t="s">
        <v>41</v>
      </c>
      <c r="B288" t="s">
        <v>4504</v>
      </c>
      <c r="C288" t="s">
        <v>4504</v>
      </c>
      <c r="D288" t="s">
        <v>4504</v>
      </c>
      <c r="E288" t="s">
        <v>55</v>
      </c>
      <c r="F288">
        <v>0</v>
      </c>
      <c r="G288">
        <v>0</v>
      </c>
      <c r="H288" s="19">
        <v>-531605794.31840199</v>
      </c>
      <c r="I288" s="19">
        <v>3594.7465969999998</v>
      </c>
      <c r="J288" s="19">
        <v>531605794.31838202</v>
      </c>
      <c r="K288" s="19">
        <v>518.30373599999996</v>
      </c>
      <c r="L288" s="19">
        <v>228.72653600000001</v>
      </c>
      <c r="M288" s="19">
        <v>2847.7163249999999</v>
      </c>
      <c r="N288" s="19"/>
      <c r="O288" s="19"/>
      <c r="P288" s="19">
        <f t="shared" si="4"/>
        <v>0</v>
      </c>
      <c r="Q288" s="19">
        <v>1</v>
      </c>
    </row>
    <row r="289" spans="1:17" hidden="1" x14ac:dyDescent="0.25">
      <c r="A289" t="s">
        <v>41</v>
      </c>
      <c r="B289" t="s">
        <v>4501</v>
      </c>
      <c r="C289" t="s">
        <v>4501</v>
      </c>
      <c r="D289" t="s">
        <v>4502</v>
      </c>
      <c r="E289" t="s">
        <v>165</v>
      </c>
      <c r="F289">
        <v>0</v>
      </c>
      <c r="G289">
        <v>1</v>
      </c>
      <c r="H289" s="19">
        <v>-25001852.039999999</v>
      </c>
      <c r="I289" s="19">
        <v>92472.825236000004</v>
      </c>
      <c r="J289" s="19">
        <v>25001852.039999999</v>
      </c>
      <c r="K289" s="19">
        <v>681.69241799999998</v>
      </c>
      <c r="L289" s="19">
        <v>2368.1610700000001</v>
      </c>
      <c r="M289" s="19">
        <v>89422.971747999996</v>
      </c>
      <c r="N289" s="19">
        <v>8174</v>
      </c>
      <c r="O289" s="19">
        <v>8174</v>
      </c>
      <c r="P289" s="19">
        <f t="shared" si="4"/>
        <v>0</v>
      </c>
      <c r="Q289" s="19"/>
    </row>
    <row r="290" spans="1:17" hidden="1" x14ac:dyDescent="0.25">
      <c r="A290" t="s">
        <v>41</v>
      </c>
      <c r="B290" t="s">
        <v>4501</v>
      </c>
      <c r="C290" t="s">
        <v>4507</v>
      </c>
      <c r="D290" t="s">
        <v>4501</v>
      </c>
      <c r="E290" t="s">
        <v>62</v>
      </c>
      <c r="F290">
        <v>0</v>
      </c>
      <c r="G290">
        <v>1</v>
      </c>
      <c r="H290" s="19">
        <v>-246569597.77000001</v>
      </c>
      <c r="I290" s="19">
        <v>13764.943899</v>
      </c>
      <c r="J290" s="19">
        <v>246569597.77000001</v>
      </c>
      <c r="K290" s="19">
        <v>1819.602153</v>
      </c>
      <c r="L290" s="19">
        <v>7483.0681979999999</v>
      </c>
      <c r="M290" s="19">
        <v>4462.2735480000001</v>
      </c>
      <c r="N290" s="19">
        <v>8235.76</v>
      </c>
      <c r="O290" s="19">
        <v>8235.76</v>
      </c>
      <c r="P290" s="19">
        <f t="shared" si="4"/>
        <v>0</v>
      </c>
      <c r="Q290" s="19"/>
    </row>
    <row r="291" spans="1:17" hidden="1" x14ac:dyDescent="0.25">
      <c r="A291" t="s">
        <v>41</v>
      </c>
      <c r="B291" t="s">
        <v>4501</v>
      </c>
      <c r="C291" t="s">
        <v>4501</v>
      </c>
      <c r="D291" t="s">
        <v>4501</v>
      </c>
      <c r="E291" t="s">
        <v>62</v>
      </c>
      <c r="F291">
        <v>0</v>
      </c>
      <c r="G291">
        <v>1</v>
      </c>
      <c r="H291" s="19">
        <v>-319195100.58999997</v>
      </c>
      <c r="I291" s="19">
        <v>290609.66039099998</v>
      </c>
      <c r="J291" s="19">
        <v>319195100.58999997</v>
      </c>
      <c r="K291" s="19">
        <v>2189.575644</v>
      </c>
      <c r="L291" s="19">
        <v>4782.762753</v>
      </c>
      <c r="M291" s="19">
        <v>283637.321994</v>
      </c>
      <c r="N291" s="19">
        <v>41530.58</v>
      </c>
      <c r="O291" s="19">
        <v>41530.58</v>
      </c>
      <c r="P291" s="19">
        <f t="shared" si="4"/>
        <v>0</v>
      </c>
      <c r="Q291" s="19"/>
    </row>
    <row r="292" spans="1:17" hidden="1" x14ac:dyDescent="0.25">
      <c r="A292" t="s">
        <v>41</v>
      </c>
      <c r="B292" t="s">
        <v>4502</v>
      </c>
      <c r="C292" t="s">
        <v>4507</v>
      </c>
      <c r="D292" t="s">
        <v>4502</v>
      </c>
      <c r="E292" t="s">
        <v>193</v>
      </c>
      <c r="F292">
        <v>0</v>
      </c>
      <c r="G292">
        <v>1</v>
      </c>
      <c r="H292" s="19">
        <v>-1218.93</v>
      </c>
      <c r="I292" s="19">
        <v>0</v>
      </c>
      <c r="J292" s="19">
        <v>1218.93</v>
      </c>
      <c r="K292" s="19">
        <v>0</v>
      </c>
      <c r="L292" s="19">
        <v>0</v>
      </c>
      <c r="M292" s="19">
        <v>0</v>
      </c>
      <c r="N292" s="19">
        <v>7453.72</v>
      </c>
      <c r="O292" s="19">
        <v>7453.72</v>
      </c>
      <c r="P292" s="19">
        <f t="shared" si="4"/>
        <v>0</v>
      </c>
      <c r="Q292" s="19"/>
    </row>
    <row r="293" spans="1:17" hidden="1" x14ac:dyDescent="0.25">
      <c r="A293" t="s">
        <v>41</v>
      </c>
      <c r="B293" t="s">
        <v>4501</v>
      </c>
      <c r="C293" t="s">
        <v>4501</v>
      </c>
      <c r="D293" t="s">
        <v>4502</v>
      </c>
      <c r="E293" t="s">
        <v>326</v>
      </c>
      <c r="F293">
        <v>1</v>
      </c>
      <c r="G293">
        <v>1</v>
      </c>
      <c r="H293" s="19">
        <v>-37185.85</v>
      </c>
      <c r="I293" s="19">
        <v>0</v>
      </c>
      <c r="J293" s="19">
        <v>37185.85</v>
      </c>
      <c r="K293" s="19">
        <v>0</v>
      </c>
      <c r="L293" s="19">
        <v>0</v>
      </c>
      <c r="M293" s="19">
        <v>0</v>
      </c>
      <c r="N293" s="19">
        <v>229880</v>
      </c>
      <c r="O293" s="19"/>
      <c r="P293" s="19">
        <f t="shared" si="4"/>
        <v>-229880</v>
      </c>
      <c r="Q293" s="19"/>
    </row>
    <row r="294" spans="1:17" hidden="1" x14ac:dyDescent="0.25">
      <c r="A294" t="s">
        <v>41</v>
      </c>
      <c r="B294" t="s">
        <v>4508</v>
      </c>
      <c r="C294" t="s">
        <v>4508</v>
      </c>
      <c r="D294" t="s">
        <v>4497</v>
      </c>
      <c r="E294" t="s">
        <v>55</v>
      </c>
      <c r="F294">
        <v>0</v>
      </c>
      <c r="G294">
        <v>0</v>
      </c>
      <c r="H294" s="19">
        <v>-27613.289999999899</v>
      </c>
      <c r="I294" s="19">
        <v>2.61612</v>
      </c>
      <c r="J294" s="19">
        <v>27613.289997</v>
      </c>
      <c r="K294" s="19">
        <v>2.5530680000000001</v>
      </c>
      <c r="L294" s="19">
        <v>6.3051999999999997E-2</v>
      </c>
      <c r="M294" s="19"/>
      <c r="N294" s="19"/>
      <c r="O294" s="19"/>
      <c r="P294" s="19">
        <f t="shared" si="4"/>
        <v>0</v>
      </c>
      <c r="Q294" s="19"/>
    </row>
    <row r="295" spans="1:17" hidden="1" x14ac:dyDescent="0.25">
      <c r="A295" t="s">
        <v>41</v>
      </c>
      <c r="B295" t="s">
        <v>4501</v>
      </c>
      <c r="C295" t="s">
        <v>4501</v>
      </c>
      <c r="D295" t="s">
        <v>4502</v>
      </c>
      <c r="E295" t="s">
        <v>201</v>
      </c>
      <c r="F295">
        <v>0</v>
      </c>
      <c r="G295">
        <v>1</v>
      </c>
      <c r="H295" s="19">
        <v>-120402602.45999999</v>
      </c>
      <c r="I295" s="19">
        <v>86698.243864999997</v>
      </c>
      <c r="J295" s="19">
        <v>120402602.45999999</v>
      </c>
      <c r="K295" s="19">
        <v>664.26434800000004</v>
      </c>
      <c r="L295" s="19">
        <v>7719.2259480000002</v>
      </c>
      <c r="M295" s="19">
        <v>78314.753568999993</v>
      </c>
      <c r="N295" s="19">
        <v>3092.4</v>
      </c>
      <c r="O295" s="19">
        <v>3092.4</v>
      </c>
      <c r="P295" s="19">
        <f t="shared" si="4"/>
        <v>0</v>
      </c>
      <c r="Q295" s="19"/>
    </row>
    <row r="296" spans="1:17" hidden="1" x14ac:dyDescent="0.25">
      <c r="A296" t="s">
        <v>41</v>
      </c>
      <c r="B296" t="s">
        <v>4506</v>
      </c>
      <c r="C296" t="s">
        <v>4506</v>
      </c>
      <c r="D296" t="s">
        <v>4506</v>
      </c>
      <c r="E296" t="s">
        <v>55</v>
      </c>
      <c r="F296">
        <v>0</v>
      </c>
      <c r="G296">
        <v>0</v>
      </c>
      <c r="H296" s="19">
        <v>-553310336.52364802</v>
      </c>
      <c r="I296" s="19">
        <v>50042.143994999999</v>
      </c>
      <c r="J296" s="19">
        <v>553310336.52353001</v>
      </c>
      <c r="K296" s="19">
        <v>7168.7410710000004</v>
      </c>
      <c r="L296" s="19">
        <v>3185.6986619999998</v>
      </c>
      <c r="M296" s="19">
        <v>39687.704261999999</v>
      </c>
      <c r="N296" s="19"/>
      <c r="O296" s="19"/>
      <c r="P296" s="19">
        <f t="shared" si="4"/>
        <v>0</v>
      </c>
      <c r="Q296" s="19"/>
    </row>
    <row r="297" spans="1:17" hidden="1" x14ac:dyDescent="0.25">
      <c r="A297" t="s">
        <v>41</v>
      </c>
      <c r="B297" t="s">
        <v>4500</v>
      </c>
      <c r="C297" t="s">
        <v>4500</v>
      </c>
      <c r="D297" t="s">
        <v>4497</v>
      </c>
      <c r="E297" t="s">
        <v>55</v>
      </c>
      <c r="F297">
        <v>0</v>
      </c>
      <c r="G297">
        <v>0</v>
      </c>
      <c r="H297" s="19">
        <v>-2713032.6599999899</v>
      </c>
      <c r="I297" s="19">
        <v>120.00777600000001</v>
      </c>
      <c r="J297" s="19">
        <v>2713032.659914</v>
      </c>
      <c r="K297" s="19">
        <v>64.187762000000006</v>
      </c>
      <c r="L297" s="19">
        <v>55.820014</v>
      </c>
      <c r="M297" s="19"/>
      <c r="N297" s="19"/>
      <c r="O297" s="19"/>
      <c r="P297" s="19">
        <f t="shared" si="4"/>
        <v>0</v>
      </c>
      <c r="Q297" s="19"/>
    </row>
    <row r="298" spans="1:17" hidden="1" x14ac:dyDescent="0.25">
      <c r="A298" t="s">
        <v>41</v>
      </c>
      <c r="B298" t="s">
        <v>4499</v>
      </c>
      <c r="C298" t="s">
        <v>4499</v>
      </c>
      <c r="D298" t="s">
        <v>4499</v>
      </c>
      <c r="E298" t="s">
        <v>55</v>
      </c>
      <c r="F298">
        <v>0</v>
      </c>
      <c r="G298">
        <v>0</v>
      </c>
      <c r="H298" s="19">
        <v>-10616.42</v>
      </c>
      <c r="I298" s="19">
        <v>0</v>
      </c>
      <c r="J298" s="19">
        <v>10616.42</v>
      </c>
      <c r="K298" s="19"/>
      <c r="L298" s="19"/>
      <c r="M298" s="19"/>
      <c r="N298" s="19"/>
      <c r="O298" s="19"/>
      <c r="P298" s="19">
        <f t="shared" si="4"/>
        <v>0</v>
      </c>
      <c r="Q298" s="19"/>
    </row>
    <row r="299" spans="1:17" hidden="1" x14ac:dyDescent="0.25">
      <c r="A299" t="s">
        <v>41</v>
      </c>
      <c r="B299" t="s">
        <v>4501</v>
      </c>
      <c r="C299" t="s">
        <v>4501</v>
      </c>
      <c r="D299" t="s">
        <v>4502</v>
      </c>
      <c r="E299" t="s">
        <v>196</v>
      </c>
      <c r="F299">
        <v>0</v>
      </c>
      <c r="G299">
        <v>1</v>
      </c>
      <c r="H299" s="19">
        <v>-890.23</v>
      </c>
      <c r="I299" s="19">
        <v>0</v>
      </c>
      <c r="J299" s="19">
        <v>890.23</v>
      </c>
      <c r="K299" s="19">
        <v>0</v>
      </c>
      <c r="L299" s="19">
        <v>0</v>
      </c>
      <c r="M299" s="19">
        <v>0</v>
      </c>
      <c r="N299" s="19">
        <v>36824.67</v>
      </c>
      <c r="O299" s="19">
        <v>36824.67</v>
      </c>
      <c r="P299" s="19">
        <f t="shared" si="4"/>
        <v>0</v>
      </c>
      <c r="Q299" s="19"/>
    </row>
    <row r="300" spans="1:17" hidden="1" x14ac:dyDescent="0.25">
      <c r="A300" t="s">
        <v>41</v>
      </c>
      <c r="B300" t="s">
        <v>4501</v>
      </c>
      <c r="C300" t="s">
        <v>4501</v>
      </c>
      <c r="D300" t="s">
        <v>4502</v>
      </c>
      <c r="E300" t="s">
        <v>156</v>
      </c>
      <c r="F300">
        <v>0</v>
      </c>
      <c r="G300">
        <v>1</v>
      </c>
      <c r="H300" s="19">
        <v>-3440.66</v>
      </c>
      <c r="I300" s="19">
        <v>3.2057359999999999</v>
      </c>
      <c r="J300" s="19">
        <v>3440.66</v>
      </c>
      <c r="K300" s="19">
        <v>0.14299799999999999</v>
      </c>
      <c r="L300" s="19">
        <v>0.12886800000000001</v>
      </c>
      <c r="M300" s="19">
        <v>2.9338700000000002</v>
      </c>
      <c r="N300" s="19">
        <v>973</v>
      </c>
      <c r="O300" s="19">
        <v>973</v>
      </c>
      <c r="P300" s="19">
        <f t="shared" si="4"/>
        <v>0</v>
      </c>
      <c r="Q300" s="19"/>
    </row>
    <row r="301" spans="1:17" hidden="1" x14ac:dyDescent="0.25">
      <c r="A301" t="s">
        <v>41</v>
      </c>
      <c r="B301" t="s">
        <v>4501</v>
      </c>
      <c r="C301" t="s">
        <v>4501</v>
      </c>
      <c r="D301" t="s">
        <v>4502</v>
      </c>
      <c r="E301" t="s">
        <v>195</v>
      </c>
      <c r="F301">
        <v>0</v>
      </c>
      <c r="G301">
        <v>1</v>
      </c>
      <c r="H301" s="19">
        <v>-5397.37</v>
      </c>
      <c r="I301" s="19">
        <v>0</v>
      </c>
      <c r="J301" s="19">
        <v>5397.37</v>
      </c>
      <c r="K301" s="19">
        <v>0</v>
      </c>
      <c r="L301" s="19">
        <v>0</v>
      </c>
      <c r="M301" s="19">
        <v>0</v>
      </c>
      <c r="N301" s="19">
        <v>9345.77</v>
      </c>
      <c r="O301" s="19">
        <v>9345.77</v>
      </c>
      <c r="P301" s="19">
        <f t="shared" si="4"/>
        <v>0</v>
      </c>
      <c r="Q301" s="19"/>
    </row>
    <row r="302" spans="1:17" hidden="1" x14ac:dyDescent="0.25">
      <c r="A302" t="s">
        <v>41</v>
      </c>
      <c r="B302" t="s">
        <v>4498</v>
      </c>
      <c r="C302" t="s">
        <v>4497</v>
      </c>
      <c r="D302" t="s">
        <v>4497</v>
      </c>
      <c r="E302" t="s">
        <v>55</v>
      </c>
      <c r="F302">
        <v>0</v>
      </c>
      <c r="G302">
        <v>0</v>
      </c>
      <c r="H302" s="19">
        <v>-676288.72690268501</v>
      </c>
      <c r="I302" s="19">
        <v>42.191169000000002</v>
      </c>
      <c r="J302" s="19">
        <v>676288.726883</v>
      </c>
      <c r="K302" s="19">
        <v>42.191169000000002</v>
      </c>
      <c r="L302" s="19"/>
      <c r="M302" s="19"/>
      <c r="N302" s="19"/>
      <c r="O302" s="19"/>
      <c r="P302" s="19">
        <f t="shared" si="4"/>
        <v>0</v>
      </c>
      <c r="Q302" s="19"/>
    </row>
    <row r="303" spans="1:17" hidden="1" x14ac:dyDescent="0.25">
      <c r="A303" t="s">
        <v>41</v>
      </c>
      <c r="B303" t="s">
        <v>4501</v>
      </c>
      <c r="C303" t="s">
        <v>4501</v>
      </c>
      <c r="D303" t="s">
        <v>4502</v>
      </c>
      <c r="E303" t="s">
        <v>62</v>
      </c>
      <c r="F303">
        <v>0</v>
      </c>
      <c r="G303">
        <v>1</v>
      </c>
      <c r="H303" s="19">
        <v>-37575405.25</v>
      </c>
      <c r="I303" s="19">
        <v>5938.6120000000001</v>
      </c>
      <c r="J303" s="19">
        <v>37575405.25</v>
      </c>
      <c r="K303" s="19">
        <v>63.030197000000001</v>
      </c>
      <c r="L303" s="19">
        <v>624.58491300000003</v>
      </c>
      <c r="M303" s="19">
        <v>5250.9968900000003</v>
      </c>
      <c r="N303" s="19">
        <v>45083.839999999997</v>
      </c>
      <c r="O303" s="19">
        <v>45083.839999999997</v>
      </c>
      <c r="P303" s="19">
        <f t="shared" si="4"/>
        <v>0</v>
      </c>
      <c r="Q303" s="19"/>
    </row>
    <row r="304" spans="1:17" hidden="1" x14ac:dyDescent="0.25">
      <c r="A304" t="s">
        <v>41</v>
      </c>
      <c r="B304" t="s">
        <v>4501</v>
      </c>
      <c r="C304" t="s">
        <v>4501</v>
      </c>
      <c r="D304" t="s">
        <v>4501</v>
      </c>
      <c r="E304" t="s">
        <v>83</v>
      </c>
      <c r="F304">
        <v>0</v>
      </c>
      <c r="G304">
        <v>1</v>
      </c>
      <c r="H304" s="19">
        <v>-84734.89</v>
      </c>
      <c r="I304" s="19">
        <v>3.2390720000000002</v>
      </c>
      <c r="J304" s="19">
        <v>84734.89</v>
      </c>
      <c r="K304" s="19">
        <v>2.6190000000000001E-2</v>
      </c>
      <c r="L304" s="19">
        <v>5.0770000000000003E-2</v>
      </c>
      <c r="M304" s="19">
        <v>3.162112</v>
      </c>
      <c r="N304" s="19">
        <v>204232</v>
      </c>
      <c r="O304" s="19">
        <v>204232</v>
      </c>
      <c r="P304" s="19">
        <f t="shared" si="4"/>
        <v>0</v>
      </c>
      <c r="Q304" s="19"/>
    </row>
    <row r="305" spans="1:17" hidden="1" x14ac:dyDescent="0.25">
      <c r="A305" t="s">
        <v>41</v>
      </c>
      <c r="B305" t="s">
        <v>4511</v>
      </c>
      <c r="C305" t="s">
        <v>4512</v>
      </c>
      <c r="D305" t="s">
        <v>4512</v>
      </c>
      <c r="E305" t="s">
        <v>55</v>
      </c>
      <c r="F305">
        <v>0</v>
      </c>
      <c r="G305">
        <v>0</v>
      </c>
      <c r="H305" s="19">
        <v>-4289321.9400000004</v>
      </c>
      <c r="I305" s="19">
        <v>24.606974999999998</v>
      </c>
      <c r="J305" s="19">
        <v>4289321.9400000004</v>
      </c>
      <c r="K305" s="19">
        <v>0</v>
      </c>
      <c r="L305" s="19">
        <v>1.82725</v>
      </c>
      <c r="M305" s="19">
        <v>22.779724999999999</v>
      </c>
      <c r="N305" s="19"/>
      <c r="O305" s="19"/>
      <c r="P305" s="19">
        <f t="shared" si="4"/>
        <v>0</v>
      </c>
      <c r="Q305" s="19">
        <v>1</v>
      </c>
    </row>
    <row r="306" spans="1:17" hidden="1" x14ac:dyDescent="0.25">
      <c r="A306" t="s">
        <v>41</v>
      </c>
      <c r="B306" t="s">
        <v>4498</v>
      </c>
      <c r="C306" t="s">
        <v>4498</v>
      </c>
      <c r="D306" t="s">
        <v>4497</v>
      </c>
      <c r="E306" t="s">
        <v>55</v>
      </c>
      <c r="F306">
        <v>0</v>
      </c>
      <c r="G306">
        <v>0</v>
      </c>
      <c r="H306" s="19">
        <v>-1230913.3899999899</v>
      </c>
      <c r="I306" s="19">
        <v>38.962349000000003</v>
      </c>
      <c r="J306" s="19">
        <v>1230913.38998</v>
      </c>
      <c r="K306" s="19">
        <v>18.671340000000001</v>
      </c>
      <c r="L306" s="19">
        <v>20.291008999999999</v>
      </c>
      <c r="M306" s="19"/>
      <c r="N306" s="19"/>
      <c r="O306" s="19"/>
      <c r="P306" s="19">
        <f t="shared" si="4"/>
        <v>0</v>
      </c>
      <c r="Q306" s="19"/>
    </row>
    <row r="307" spans="1:17" hidden="1" x14ac:dyDescent="0.25">
      <c r="A307" t="s">
        <v>41</v>
      </c>
      <c r="B307" t="s">
        <v>4499</v>
      </c>
      <c r="C307" t="s">
        <v>4499</v>
      </c>
      <c r="D307" t="s">
        <v>4497</v>
      </c>
      <c r="E307" t="s">
        <v>55</v>
      </c>
      <c r="F307">
        <v>0</v>
      </c>
      <c r="G307">
        <v>0</v>
      </c>
      <c r="H307" s="19">
        <v>-175454.929999999</v>
      </c>
      <c r="I307" s="19">
        <v>0</v>
      </c>
      <c r="J307" s="19">
        <v>175454.92999500001</v>
      </c>
      <c r="K307" s="19"/>
      <c r="L307" s="19"/>
      <c r="M307" s="19"/>
      <c r="N307" s="19"/>
      <c r="O307" s="19"/>
      <c r="P307" s="19">
        <f t="shared" si="4"/>
        <v>0</v>
      </c>
      <c r="Q307" s="19"/>
    </row>
    <row r="308" spans="1:17" hidden="1" x14ac:dyDescent="0.25">
      <c r="A308" t="s">
        <v>41</v>
      </c>
      <c r="B308" t="s">
        <v>4501</v>
      </c>
      <c r="C308" t="s">
        <v>4501</v>
      </c>
      <c r="D308" t="s">
        <v>4502</v>
      </c>
      <c r="E308" t="s">
        <v>77</v>
      </c>
      <c r="F308">
        <v>0</v>
      </c>
      <c r="G308">
        <v>1</v>
      </c>
      <c r="H308" s="19">
        <v>-684817.56</v>
      </c>
      <c r="I308" s="19">
        <v>2611.5254070000001</v>
      </c>
      <c r="J308" s="19">
        <v>684817.56</v>
      </c>
      <c r="K308" s="19">
        <v>5.8327080000000002</v>
      </c>
      <c r="L308" s="19">
        <v>13.292484</v>
      </c>
      <c r="M308" s="19">
        <v>2592.4002150000001</v>
      </c>
      <c r="N308" s="19">
        <v>388577.43</v>
      </c>
      <c r="O308" s="19">
        <v>388577.43</v>
      </c>
      <c r="P308" s="19">
        <f t="shared" si="4"/>
        <v>0</v>
      </c>
      <c r="Q308" s="19"/>
    </row>
    <row r="309" spans="1:17" hidden="1" x14ac:dyDescent="0.25">
      <c r="A309" t="s">
        <v>41</v>
      </c>
      <c r="B309" t="s">
        <v>4497</v>
      </c>
      <c r="C309" t="s">
        <v>4497</v>
      </c>
      <c r="D309" t="s">
        <v>4497</v>
      </c>
      <c r="E309" t="s">
        <v>55</v>
      </c>
      <c r="F309">
        <v>0</v>
      </c>
      <c r="G309">
        <v>0</v>
      </c>
      <c r="H309" s="19">
        <v>-6504443.1453056196</v>
      </c>
      <c r="I309" s="19">
        <v>0</v>
      </c>
      <c r="J309" s="19">
        <v>6504443.1452890001</v>
      </c>
      <c r="K309" s="19"/>
      <c r="L309" s="19"/>
      <c r="M309" s="19"/>
      <c r="N309" s="19"/>
      <c r="O309" s="19"/>
      <c r="P309" s="19">
        <f t="shared" si="4"/>
        <v>0</v>
      </c>
      <c r="Q309" s="19"/>
    </row>
    <row r="310" spans="1:17" hidden="1" x14ac:dyDescent="0.25">
      <c r="A310" t="s">
        <v>41</v>
      </c>
      <c r="B310" t="s">
        <v>4496</v>
      </c>
      <c r="C310" t="s">
        <v>4496</v>
      </c>
      <c r="D310" t="s">
        <v>4497</v>
      </c>
      <c r="E310" t="s">
        <v>55</v>
      </c>
      <c r="F310">
        <v>0</v>
      </c>
      <c r="G310">
        <v>0</v>
      </c>
      <c r="H310" s="19">
        <v>-40149184.362588003</v>
      </c>
      <c r="I310" s="19">
        <v>33896.266535000002</v>
      </c>
      <c r="J310" s="19">
        <v>40149184.362558998</v>
      </c>
      <c r="K310" s="19">
        <v>5418.4071279999998</v>
      </c>
      <c r="L310" s="19">
        <v>28477.859407</v>
      </c>
      <c r="M310" s="19"/>
      <c r="N310" s="19"/>
      <c r="O310" s="19"/>
      <c r="P310" s="19">
        <f t="shared" si="4"/>
        <v>0</v>
      </c>
      <c r="Q310" s="19"/>
    </row>
    <row r="311" spans="1:17" hidden="1" x14ac:dyDescent="0.25">
      <c r="A311" t="s">
        <v>41</v>
      </c>
      <c r="B311" t="s">
        <v>4497</v>
      </c>
      <c r="C311" t="s">
        <v>4498</v>
      </c>
      <c r="D311" t="s">
        <v>4497</v>
      </c>
      <c r="E311" t="s">
        <v>55</v>
      </c>
      <c r="F311">
        <v>0</v>
      </c>
      <c r="G311">
        <v>0</v>
      </c>
      <c r="H311" s="19">
        <v>-1713343.48999999</v>
      </c>
      <c r="I311" s="19">
        <v>35.116317000000002</v>
      </c>
      <c r="J311" s="19">
        <v>1713343.489946</v>
      </c>
      <c r="K311" s="19"/>
      <c r="L311" s="19">
        <v>35.116317000000002</v>
      </c>
      <c r="M311" s="19"/>
      <c r="N311" s="19"/>
      <c r="O311" s="19"/>
      <c r="P311" s="19">
        <f t="shared" si="4"/>
        <v>0</v>
      </c>
      <c r="Q311" s="19"/>
    </row>
    <row r="312" spans="1:17" hidden="1" x14ac:dyDescent="0.25">
      <c r="A312" t="s">
        <v>41</v>
      </c>
      <c r="B312" t="s">
        <v>55</v>
      </c>
      <c r="C312" t="s">
        <v>55</v>
      </c>
      <c r="D312" t="s">
        <v>55</v>
      </c>
      <c r="E312" t="s">
        <v>55</v>
      </c>
      <c r="F312">
        <v>0</v>
      </c>
      <c r="G312">
        <v>0</v>
      </c>
      <c r="H312" s="19"/>
      <c r="I312" s="19">
        <v>0</v>
      </c>
      <c r="J312" s="19"/>
      <c r="K312" s="19"/>
      <c r="L312" s="19"/>
      <c r="M312" s="19"/>
      <c r="N312" s="19"/>
      <c r="O312" s="19"/>
      <c r="P312" s="19">
        <f t="shared" si="4"/>
        <v>0</v>
      </c>
      <c r="Q312" s="19"/>
    </row>
    <row r="313" spans="1:17" hidden="1" x14ac:dyDescent="0.25">
      <c r="A313" t="s">
        <v>41</v>
      </c>
      <c r="B313" t="s">
        <v>4505</v>
      </c>
      <c r="C313" t="s">
        <v>4505</v>
      </c>
      <c r="D313" t="s">
        <v>4497</v>
      </c>
      <c r="E313" t="s">
        <v>55</v>
      </c>
      <c r="F313">
        <v>0</v>
      </c>
      <c r="G313">
        <v>0</v>
      </c>
      <c r="H313" s="19">
        <v>-44176539.394990101</v>
      </c>
      <c r="I313" s="19">
        <v>3911.9216700000002</v>
      </c>
      <c r="J313" s="19">
        <v>44176539.394964002</v>
      </c>
      <c r="K313" s="19">
        <v>614.11159099999998</v>
      </c>
      <c r="L313" s="19">
        <v>3297.8100789999999</v>
      </c>
      <c r="M313" s="19"/>
      <c r="N313" s="19"/>
      <c r="O313" s="19"/>
      <c r="P313" s="19">
        <f t="shared" si="4"/>
        <v>0</v>
      </c>
      <c r="Q313" s="19"/>
    </row>
    <row r="314" spans="1:17" hidden="1" x14ac:dyDescent="0.25">
      <c r="A314" t="s">
        <v>41</v>
      </c>
      <c r="B314" t="s">
        <v>4497</v>
      </c>
      <c r="C314" t="s">
        <v>4500</v>
      </c>
      <c r="D314" t="s">
        <v>4497</v>
      </c>
      <c r="E314" t="s">
        <v>55</v>
      </c>
      <c r="F314">
        <v>0</v>
      </c>
      <c r="G314">
        <v>0</v>
      </c>
      <c r="H314" s="19">
        <v>-6043602.1299999896</v>
      </c>
      <c r="I314" s="19">
        <v>126.55376800000001</v>
      </c>
      <c r="J314" s="19">
        <v>6043602.1297840001</v>
      </c>
      <c r="K314" s="19"/>
      <c r="L314" s="19">
        <v>126.55376800000001</v>
      </c>
      <c r="M314" s="19"/>
      <c r="N314" s="19"/>
      <c r="O314" s="19"/>
      <c r="P314" s="19">
        <f t="shared" si="4"/>
        <v>0</v>
      </c>
      <c r="Q314" s="19"/>
    </row>
    <row r="315" spans="1:17" hidden="1" x14ac:dyDescent="0.25">
      <c r="A315" t="s">
        <v>41</v>
      </c>
      <c r="B315" t="s">
        <v>4503</v>
      </c>
      <c r="C315" t="s">
        <v>4503</v>
      </c>
      <c r="D315" t="s">
        <v>4497</v>
      </c>
      <c r="E315" t="s">
        <v>55</v>
      </c>
      <c r="F315">
        <v>0</v>
      </c>
      <c r="G315">
        <v>0</v>
      </c>
      <c r="H315" s="19">
        <v>-21472642.607116099</v>
      </c>
      <c r="I315" s="19">
        <v>115.583949</v>
      </c>
      <c r="J315" s="19">
        <v>21472642.607108999</v>
      </c>
      <c r="K315" s="19">
        <v>34.109900000000003</v>
      </c>
      <c r="L315" s="19">
        <v>81.474048999999994</v>
      </c>
      <c r="M315" s="19"/>
      <c r="N315" s="19"/>
      <c r="O315" s="19"/>
      <c r="P315" s="19">
        <f t="shared" si="4"/>
        <v>0</v>
      </c>
      <c r="Q315" s="19"/>
    </row>
    <row r="316" spans="1:17" hidden="1" x14ac:dyDescent="0.25">
      <c r="A316" t="s">
        <v>41</v>
      </c>
      <c r="B316" t="s">
        <v>4500</v>
      </c>
      <c r="C316" t="s">
        <v>4497</v>
      </c>
      <c r="D316" t="s">
        <v>4497</v>
      </c>
      <c r="E316" t="s">
        <v>55</v>
      </c>
      <c r="F316">
        <v>0</v>
      </c>
      <c r="G316">
        <v>0</v>
      </c>
      <c r="H316" s="19">
        <v>-4543212.4730973104</v>
      </c>
      <c r="I316" s="19">
        <v>669.57914600000004</v>
      </c>
      <c r="J316" s="19">
        <v>4543212.4728469998</v>
      </c>
      <c r="K316" s="19">
        <v>669.57914600000004</v>
      </c>
      <c r="L316" s="19"/>
      <c r="M316" s="19"/>
      <c r="N316" s="19"/>
      <c r="O316" s="19"/>
      <c r="P316" s="19">
        <f t="shared" si="4"/>
        <v>0</v>
      </c>
      <c r="Q316" s="19"/>
    </row>
    <row r="317" spans="1:17" hidden="1" x14ac:dyDescent="0.25">
      <c r="A317" t="s">
        <v>41</v>
      </c>
      <c r="B317" t="s">
        <v>4507</v>
      </c>
      <c r="C317" t="s">
        <v>4507</v>
      </c>
      <c r="D317" t="s">
        <v>4502</v>
      </c>
      <c r="E317" t="s">
        <v>93</v>
      </c>
      <c r="F317">
        <v>0</v>
      </c>
      <c r="G317">
        <v>1</v>
      </c>
      <c r="H317" s="19">
        <v>-69.099999999999994</v>
      </c>
      <c r="I317" s="19">
        <v>0</v>
      </c>
      <c r="J317" s="19">
        <v>69.099999999999994</v>
      </c>
      <c r="K317" s="19">
        <v>0</v>
      </c>
      <c r="L317" s="19">
        <v>0</v>
      </c>
      <c r="M317" s="19">
        <v>0</v>
      </c>
      <c r="N317" s="19">
        <v>8995.1</v>
      </c>
      <c r="O317" s="19">
        <v>8995.1</v>
      </c>
      <c r="P317" s="19">
        <f t="shared" si="4"/>
        <v>0</v>
      </c>
      <c r="Q317" s="19"/>
    </row>
    <row r="318" spans="1:17" hidden="1" x14ac:dyDescent="0.25">
      <c r="A318" t="s">
        <v>41</v>
      </c>
      <c r="B318" t="s">
        <v>4501</v>
      </c>
      <c r="C318" t="s">
        <v>4501</v>
      </c>
      <c r="D318" t="s">
        <v>4501</v>
      </c>
      <c r="E318" t="s">
        <v>127</v>
      </c>
      <c r="F318">
        <v>0</v>
      </c>
      <c r="G318">
        <v>1</v>
      </c>
      <c r="H318" s="19">
        <v>-8770.01</v>
      </c>
      <c r="I318" s="19">
        <v>2.472181</v>
      </c>
      <c r="J318" s="19">
        <v>8770.01</v>
      </c>
      <c r="K318" s="19">
        <v>5.7320000000000001E-3</v>
      </c>
      <c r="L318" s="19">
        <v>6.2430000000000003E-3</v>
      </c>
      <c r="M318" s="19">
        <v>2.4602059999999999</v>
      </c>
      <c r="N318" s="19">
        <v>25544.639999999999</v>
      </c>
      <c r="O318" s="19">
        <v>25544.639999999999</v>
      </c>
      <c r="P318" s="19">
        <f t="shared" si="4"/>
        <v>0</v>
      </c>
      <c r="Q318" s="19"/>
    </row>
    <row r="319" spans="1:17" hidden="1" x14ac:dyDescent="0.25">
      <c r="A319" t="s">
        <v>41</v>
      </c>
      <c r="B319" t="s">
        <v>4512</v>
      </c>
      <c r="C319" t="s">
        <v>4512</v>
      </c>
      <c r="D319" t="s">
        <v>4512</v>
      </c>
      <c r="E319" t="s">
        <v>55</v>
      </c>
      <c r="F319">
        <v>0</v>
      </c>
      <c r="G319">
        <v>0</v>
      </c>
      <c r="H319" s="19">
        <v>-1836565.53</v>
      </c>
      <c r="I319" s="19">
        <v>12.277245000000001</v>
      </c>
      <c r="J319" s="19">
        <v>1836565.53</v>
      </c>
      <c r="K319" s="19">
        <v>1.7412460000000001</v>
      </c>
      <c r="L319" s="19">
        <v>0.78237500000000004</v>
      </c>
      <c r="M319" s="19">
        <v>9.7536240000000003</v>
      </c>
      <c r="N319" s="19"/>
      <c r="O319" s="19"/>
      <c r="P319" s="19">
        <f t="shared" si="4"/>
        <v>0</v>
      </c>
      <c r="Q319" s="19">
        <v>1</v>
      </c>
    </row>
    <row r="320" spans="1:17" hidden="1" x14ac:dyDescent="0.25">
      <c r="A320" t="s">
        <v>48</v>
      </c>
      <c r="B320" t="s">
        <v>4497</v>
      </c>
      <c r="C320" t="s">
        <v>4500</v>
      </c>
      <c r="D320" t="s">
        <v>4497</v>
      </c>
      <c r="E320" t="s">
        <v>55</v>
      </c>
      <c r="F320">
        <v>0</v>
      </c>
      <c r="G320">
        <v>0</v>
      </c>
      <c r="H320" s="19">
        <v>-2256778.8699999899</v>
      </c>
      <c r="I320" s="19">
        <v>52.239069999999998</v>
      </c>
      <c r="J320" s="19">
        <v>2256778.8699059999</v>
      </c>
      <c r="K320" s="19"/>
      <c r="L320" s="19">
        <v>52.239069999999998</v>
      </c>
      <c r="M320" s="19"/>
      <c r="N320" s="19"/>
      <c r="O320" s="19"/>
      <c r="P320" s="19">
        <f t="shared" si="4"/>
        <v>0</v>
      </c>
      <c r="Q320" s="19"/>
    </row>
    <row r="321" spans="1:17" hidden="1" x14ac:dyDescent="0.25">
      <c r="A321" t="s">
        <v>48</v>
      </c>
      <c r="B321" t="s">
        <v>55</v>
      </c>
      <c r="C321" t="s">
        <v>55</v>
      </c>
      <c r="D321" t="s">
        <v>55</v>
      </c>
      <c r="E321" t="s">
        <v>55</v>
      </c>
      <c r="F321">
        <v>0</v>
      </c>
      <c r="G321">
        <v>0</v>
      </c>
      <c r="H321" s="19"/>
      <c r="I321" s="19">
        <v>0</v>
      </c>
      <c r="J321" s="19"/>
      <c r="K321" s="19"/>
      <c r="L321" s="19"/>
      <c r="M321" s="19"/>
      <c r="N321" s="19"/>
      <c r="O321" s="19"/>
      <c r="P321" s="19">
        <f t="shared" si="4"/>
        <v>0</v>
      </c>
      <c r="Q321" s="19"/>
    </row>
    <row r="322" spans="1:17" hidden="1" x14ac:dyDescent="0.25">
      <c r="A322" t="s">
        <v>48</v>
      </c>
      <c r="B322" t="s">
        <v>4497</v>
      </c>
      <c r="C322" t="s">
        <v>4497</v>
      </c>
      <c r="D322" t="s">
        <v>4497</v>
      </c>
      <c r="E322" t="s">
        <v>118</v>
      </c>
      <c r="F322">
        <v>0</v>
      </c>
      <c r="G322">
        <v>0</v>
      </c>
      <c r="H322" s="19">
        <v>-965.9</v>
      </c>
      <c r="I322" s="19">
        <v>0</v>
      </c>
      <c r="J322" s="19">
        <v>965.9</v>
      </c>
      <c r="K322" s="19"/>
      <c r="L322" s="19"/>
      <c r="M322" s="19"/>
      <c r="N322" s="19">
        <v>38004</v>
      </c>
      <c r="O322" s="19">
        <v>38004</v>
      </c>
      <c r="P322" s="19">
        <f t="shared" si="4"/>
        <v>0</v>
      </c>
      <c r="Q322" s="19"/>
    </row>
    <row r="323" spans="1:17" hidden="1" x14ac:dyDescent="0.25">
      <c r="A323" t="s">
        <v>48</v>
      </c>
      <c r="B323" t="s">
        <v>4498</v>
      </c>
      <c r="C323" t="s">
        <v>4498</v>
      </c>
      <c r="D323" t="s">
        <v>4497</v>
      </c>
      <c r="E323" t="s">
        <v>55</v>
      </c>
      <c r="F323">
        <v>0</v>
      </c>
      <c r="G323">
        <v>0</v>
      </c>
      <c r="H323" s="19">
        <v>-175942.109999999</v>
      </c>
      <c r="I323" s="19">
        <v>3.7263519999999999</v>
      </c>
      <c r="J323" s="19">
        <v>175942.10999699999</v>
      </c>
      <c r="K323" s="19">
        <v>1.499234</v>
      </c>
      <c r="L323" s="19">
        <v>2.2271179999999999</v>
      </c>
      <c r="M323" s="19"/>
      <c r="N323" s="19"/>
      <c r="O323" s="19"/>
      <c r="P323" s="19">
        <f t="shared" si="4"/>
        <v>0</v>
      </c>
      <c r="Q323" s="19"/>
    </row>
    <row r="324" spans="1:17" hidden="1" x14ac:dyDescent="0.25">
      <c r="A324" t="s">
        <v>48</v>
      </c>
      <c r="B324" t="s">
        <v>4501</v>
      </c>
      <c r="C324" t="s">
        <v>4501</v>
      </c>
      <c r="D324" t="s">
        <v>4502</v>
      </c>
      <c r="E324" t="s">
        <v>86</v>
      </c>
      <c r="F324">
        <v>0</v>
      </c>
      <c r="G324">
        <v>1</v>
      </c>
      <c r="H324" s="19">
        <v>-121425.35</v>
      </c>
      <c r="I324" s="19">
        <v>18.327760999999999</v>
      </c>
      <c r="J324" s="19">
        <v>121425.35</v>
      </c>
      <c r="K324" s="19">
        <v>0.194524</v>
      </c>
      <c r="L324" s="19">
        <v>1.9275960000000001</v>
      </c>
      <c r="M324" s="19">
        <v>16.205641</v>
      </c>
      <c r="N324" s="19">
        <v>15812.34</v>
      </c>
      <c r="O324" s="19">
        <v>15812.34</v>
      </c>
      <c r="P324" s="19">
        <f t="shared" ref="P324:P387" si="5">+O324-N324</f>
        <v>0</v>
      </c>
      <c r="Q324" s="19"/>
    </row>
    <row r="325" spans="1:17" hidden="1" x14ac:dyDescent="0.25">
      <c r="A325" t="s">
        <v>48</v>
      </c>
      <c r="B325" t="s">
        <v>4497</v>
      </c>
      <c r="C325" t="s">
        <v>4498</v>
      </c>
      <c r="D325" t="s">
        <v>4497</v>
      </c>
      <c r="E325" t="s">
        <v>55</v>
      </c>
      <c r="F325">
        <v>0</v>
      </c>
      <c r="G325">
        <v>0</v>
      </c>
      <c r="H325" s="19">
        <v>-544147.78999999899</v>
      </c>
      <c r="I325" s="19">
        <v>11.364067</v>
      </c>
      <c r="J325" s="19">
        <v>544147.78998400003</v>
      </c>
      <c r="K325" s="19"/>
      <c r="L325" s="19">
        <v>11.364067</v>
      </c>
      <c r="M325" s="19"/>
      <c r="N325" s="19"/>
      <c r="O325" s="19"/>
      <c r="P325" s="19">
        <f t="shared" si="5"/>
        <v>0</v>
      </c>
      <c r="Q325" s="19"/>
    </row>
    <row r="326" spans="1:17" hidden="1" x14ac:dyDescent="0.25">
      <c r="A326" t="s">
        <v>48</v>
      </c>
      <c r="B326" t="s">
        <v>4504</v>
      </c>
      <c r="C326" t="s">
        <v>4504</v>
      </c>
      <c r="D326" t="s">
        <v>4504</v>
      </c>
      <c r="E326" t="s">
        <v>55</v>
      </c>
      <c r="F326">
        <v>0</v>
      </c>
      <c r="G326">
        <v>0</v>
      </c>
      <c r="H326" s="19">
        <v>-63982843.109999903</v>
      </c>
      <c r="I326" s="19">
        <v>728.48352299999999</v>
      </c>
      <c r="J326" s="19">
        <v>63982843.109991997</v>
      </c>
      <c r="K326" s="19">
        <v>178.02427499999999</v>
      </c>
      <c r="L326" s="19">
        <v>35.021828999999997</v>
      </c>
      <c r="M326" s="19">
        <v>515.43741899999998</v>
      </c>
      <c r="N326" s="19"/>
      <c r="O326" s="19"/>
      <c r="P326" s="19">
        <f t="shared" si="5"/>
        <v>0</v>
      </c>
      <c r="Q326" s="19">
        <v>1</v>
      </c>
    </row>
    <row r="327" spans="1:17" hidden="1" x14ac:dyDescent="0.25">
      <c r="A327" t="s">
        <v>48</v>
      </c>
      <c r="B327" t="s">
        <v>4498</v>
      </c>
      <c r="C327" t="s">
        <v>4497</v>
      </c>
      <c r="D327" t="s">
        <v>4497</v>
      </c>
      <c r="E327" t="s">
        <v>55</v>
      </c>
      <c r="F327">
        <v>0</v>
      </c>
      <c r="G327">
        <v>0</v>
      </c>
      <c r="H327" s="19">
        <v>-1757957.3999999899</v>
      </c>
      <c r="I327" s="19">
        <v>204.65361200000001</v>
      </c>
      <c r="J327" s="19">
        <v>1757957.399889</v>
      </c>
      <c r="K327" s="19">
        <v>204.65361200000001</v>
      </c>
      <c r="L327" s="19"/>
      <c r="M327" s="19"/>
      <c r="N327" s="19"/>
      <c r="O327" s="19"/>
      <c r="P327" s="19">
        <f t="shared" si="5"/>
        <v>0</v>
      </c>
      <c r="Q327" s="19"/>
    </row>
    <row r="328" spans="1:17" hidden="1" x14ac:dyDescent="0.25">
      <c r="A328" t="s">
        <v>48</v>
      </c>
      <c r="B328" t="s">
        <v>4507</v>
      </c>
      <c r="C328" t="s">
        <v>4507</v>
      </c>
      <c r="D328" t="s">
        <v>4502</v>
      </c>
      <c r="E328" t="s">
        <v>117</v>
      </c>
      <c r="F328">
        <v>0</v>
      </c>
      <c r="G328">
        <v>1</v>
      </c>
      <c r="H328" s="19">
        <v>-860.11</v>
      </c>
      <c r="I328" s="19">
        <v>0</v>
      </c>
      <c r="J328" s="19">
        <v>860.11</v>
      </c>
      <c r="K328" s="19">
        <v>0</v>
      </c>
      <c r="L328" s="19">
        <v>0</v>
      </c>
      <c r="M328" s="19">
        <v>0</v>
      </c>
      <c r="N328" s="19">
        <v>4035200</v>
      </c>
      <c r="O328" s="19">
        <v>4035200</v>
      </c>
      <c r="P328" s="19">
        <f t="shared" si="5"/>
        <v>0</v>
      </c>
      <c r="Q328" s="19"/>
    </row>
    <row r="329" spans="1:17" hidden="1" x14ac:dyDescent="0.25">
      <c r="A329" t="s">
        <v>48</v>
      </c>
      <c r="B329" t="s">
        <v>4497</v>
      </c>
      <c r="C329" t="s">
        <v>4497</v>
      </c>
      <c r="D329" t="s">
        <v>4497</v>
      </c>
      <c r="E329" t="s">
        <v>55</v>
      </c>
      <c r="F329">
        <v>0</v>
      </c>
      <c r="G329">
        <v>0</v>
      </c>
      <c r="H329" s="19">
        <v>-333862.507295597</v>
      </c>
      <c r="I329" s="19">
        <v>0</v>
      </c>
      <c r="J329" s="19">
        <v>333862.50729099999</v>
      </c>
      <c r="K329" s="19"/>
      <c r="L329" s="19"/>
      <c r="M329" s="19"/>
      <c r="N329" s="19"/>
      <c r="O329" s="19"/>
      <c r="P329" s="19">
        <f t="shared" si="5"/>
        <v>0</v>
      </c>
      <c r="Q329" s="19"/>
    </row>
    <row r="330" spans="1:17" hidden="1" x14ac:dyDescent="0.25">
      <c r="A330" t="s">
        <v>48</v>
      </c>
      <c r="B330" t="s">
        <v>4501</v>
      </c>
      <c r="C330" t="s">
        <v>4501</v>
      </c>
      <c r="D330" t="s">
        <v>4502</v>
      </c>
      <c r="E330" t="s">
        <v>197</v>
      </c>
      <c r="F330">
        <v>0</v>
      </c>
      <c r="G330">
        <v>1</v>
      </c>
      <c r="H330" s="19">
        <v>-548990.66</v>
      </c>
      <c r="I330" s="19">
        <v>113.265259</v>
      </c>
      <c r="J330" s="19">
        <v>548990.66</v>
      </c>
      <c r="K330" s="19">
        <v>17.647811999999998</v>
      </c>
      <c r="L330" s="19">
        <v>1.206631</v>
      </c>
      <c r="M330" s="19">
        <v>94.410815999999997</v>
      </c>
      <c r="N330" s="19">
        <v>877913.4</v>
      </c>
      <c r="O330" s="19">
        <v>877913.4</v>
      </c>
      <c r="P330" s="19">
        <f t="shared" si="5"/>
        <v>0</v>
      </c>
      <c r="Q330" s="19"/>
    </row>
    <row r="331" spans="1:17" hidden="1" x14ac:dyDescent="0.25">
      <c r="A331" t="s">
        <v>48</v>
      </c>
      <c r="B331" t="s">
        <v>4500</v>
      </c>
      <c r="C331" t="s">
        <v>4500</v>
      </c>
      <c r="D331" t="s">
        <v>4497</v>
      </c>
      <c r="E331" t="s">
        <v>55</v>
      </c>
      <c r="F331">
        <v>0</v>
      </c>
      <c r="G331">
        <v>0</v>
      </c>
      <c r="H331" s="19">
        <v>-10046759.759999899</v>
      </c>
      <c r="I331" s="19">
        <v>717.84674099999995</v>
      </c>
      <c r="J331" s="19">
        <v>10046759.759493001</v>
      </c>
      <c r="K331" s="19">
        <v>380.749144</v>
      </c>
      <c r="L331" s="19">
        <v>337.09759700000001</v>
      </c>
      <c r="M331" s="19"/>
      <c r="N331" s="19"/>
      <c r="O331" s="19"/>
      <c r="P331" s="19">
        <f t="shared" si="5"/>
        <v>0</v>
      </c>
      <c r="Q331" s="19"/>
    </row>
    <row r="332" spans="1:17" hidden="1" x14ac:dyDescent="0.25">
      <c r="A332" t="s">
        <v>48</v>
      </c>
      <c r="B332" t="s">
        <v>4508</v>
      </c>
      <c r="C332" t="s">
        <v>4508</v>
      </c>
      <c r="D332" t="s">
        <v>4497</v>
      </c>
      <c r="E332" t="s">
        <v>55</v>
      </c>
      <c r="F332">
        <v>0</v>
      </c>
      <c r="G332">
        <v>0</v>
      </c>
      <c r="H332" s="19">
        <v>-2001578.9299999899</v>
      </c>
      <c r="I332" s="19">
        <v>174.56436099999999</v>
      </c>
      <c r="J332" s="19">
        <v>2001578.929886</v>
      </c>
      <c r="K332" s="19">
        <v>173.01778999999999</v>
      </c>
      <c r="L332" s="19">
        <v>1.5465709999999999</v>
      </c>
      <c r="M332" s="19"/>
      <c r="N332" s="19"/>
      <c r="O332" s="19"/>
      <c r="P332" s="19">
        <f t="shared" si="5"/>
        <v>0</v>
      </c>
      <c r="Q332" s="19"/>
    </row>
    <row r="333" spans="1:17" hidden="1" x14ac:dyDescent="0.25">
      <c r="A333" t="s">
        <v>48</v>
      </c>
      <c r="B333" t="s">
        <v>4501</v>
      </c>
      <c r="C333" t="s">
        <v>4501</v>
      </c>
      <c r="D333" t="s">
        <v>4502</v>
      </c>
      <c r="E333" t="s">
        <v>183</v>
      </c>
      <c r="F333">
        <v>0</v>
      </c>
      <c r="G333">
        <v>1</v>
      </c>
      <c r="H333" s="19">
        <v>-1636.9</v>
      </c>
      <c r="I333" s="19">
        <v>0</v>
      </c>
      <c r="J333" s="19">
        <v>1636.9</v>
      </c>
      <c r="K333" s="19">
        <v>0</v>
      </c>
      <c r="L333" s="19">
        <v>0</v>
      </c>
      <c r="M333" s="19">
        <v>0</v>
      </c>
      <c r="N333" s="19">
        <v>7145</v>
      </c>
      <c r="O333" s="19">
        <v>7145</v>
      </c>
      <c r="P333" s="19">
        <f t="shared" si="5"/>
        <v>0</v>
      </c>
      <c r="Q333" s="19"/>
    </row>
    <row r="334" spans="1:17" hidden="1" x14ac:dyDescent="0.25">
      <c r="A334" t="s">
        <v>48</v>
      </c>
      <c r="B334" t="s">
        <v>4500</v>
      </c>
      <c r="C334" t="s">
        <v>4497</v>
      </c>
      <c r="D334" t="s">
        <v>4497</v>
      </c>
      <c r="E334" t="s">
        <v>118</v>
      </c>
      <c r="F334">
        <v>0</v>
      </c>
      <c r="G334">
        <v>0</v>
      </c>
      <c r="H334" s="19">
        <v>-482945.19999999902</v>
      </c>
      <c r="I334" s="19">
        <v>58.073065</v>
      </c>
      <c r="J334" s="19">
        <v>482945.199975</v>
      </c>
      <c r="K334" s="19">
        <v>58.073065</v>
      </c>
      <c r="L334" s="19"/>
      <c r="M334" s="19"/>
      <c r="N334" s="19">
        <v>38004</v>
      </c>
      <c r="O334" s="19">
        <v>38004</v>
      </c>
      <c r="P334" s="19">
        <f t="shared" si="5"/>
        <v>0</v>
      </c>
      <c r="Q334" s="19"/>
    </row>
    <row r="335" spans="1:17" hidden="1" x14ac:dyDescent="0.25">
      <c r="A335" t="s">
        <v>48</v>
      </c>
      <c r="B335" t="s">
        <v>4506</v>
      </c>
      <c r="C335" t="s">
        <v>4506</v>
      </c>
      <c r="D335" t="s">
        <v>4506</v>
      </c>
      <c r="E335" t="s">
        <v>55</v>
      </c>
      <c r="F335">
        <v>0</v>
      </c>
      <c r="G335">
        <v>0</v>
      </c>
      <c r="H335" s="19">
        <v>-127137047.378803</v>
      </c>
      <c r="I335" s="19">
        <v>69876.999251000001</v>
      </c>
      <c r="J335" s="19">
        <v>127137047.37837</v>
      </c>
      <c r="K335" s="19">
        <v>18744.552092999998</v>
      </c>
      <c r="L335" s="19">
        <v>3103.0445800000002</v>
      </c>
      <c r="M335" s="19">
        <v>48029.402578000001</v>
      </c>
      <c r="N335" s="19"/>
      <c r="O335" s="19"/>
      <c r="P335" s="19">
        <f t="shared" si="5"/>
        <v>0</v>
      </c>
      <c r="Q335" s="19"/>
    </row>
    <row r="336" spans="1:17" hidden="1" x14ac:dyDescent="0.25">
      <c r="A336" t="s">
        <v>48</v>
      </c>
      <c r="B336" t="s">
        <v>4500</v>
      </c>
      <c r="C336" t="s">
        <v>4497</v>
      </c>
      <c r="D336" t="s">
        <v>4497</v>
      </c>
      <c r="E336" t="s">
        <v>55</v>
      </c>
      <c r="F336">
        <v>0</v>
      </c>
      <c r="G336">
        <v>0</v>
      </c>
      <c r="H336" s="19">
        <v>-89623403.129999906</v>
      </c>
      <c r="I336" s="19">
        <v>14202.064659</v>
      </c>
      <c r="J336" s="19">
        <v>89623403.124406993</v>
      </c>
      <c r="K336" s="19">
        <v>14202.064659</v>
      </c>
      <c r="L336" s="19"/>
      <c r="M336" s="19"/>
      <c r="N336" s="19"/>
      <c r="O336" s="19"/>
      <c r="P336" s="19">
        <f t="shared" si="5"/>
        <v>0</v>
      </c>
      <c r="Q336" s="19"/>
    </row>
    <row r="337" spans="1:17" hidden="1" x14ac:dyDescent="0.25">
      <c r="A337" t="s">
        <v>48</v>
      </c>
      <c r="B337" t="s">
        <v>4505</v>
      </c>
      <c r="C337" t="s">
        <v>4505</v>
      </c>
      <c r="D337" t="s">
        <v>4497</v>
      </c>
      <c r="E337" t="s">
        <v>55</v>
      </c>
      <c r="F337">
        <v>0</v>
      </c>
      <c r="G337">
        <v>0</v>
      </c>
      <c r="H337" s="19">
        <v>-11195157.4227044</v>
      </c>
      <c r="I337" s="19">
        <v>1313.880287</v>
      </c>
      <c r="J337" s="19">
        <v>11195157.422696</v>
      </c>
      <c r="K337" s="19">
        <v>206.25902099999999</v>
      </c>
      <c r="L337" s="19">
        <v>1107.6212660000001</v>
      </c>
      <c r="M337" s="19"/>
      <c r="N337" s="19"/>
      <c r="O337" s="19"/>
      <c r="P337" s="19">
        <f t="shared" si="5"/>
        <v>0</v>
      </c>
      <c r="Q337" s="19"/>
    </row>
    <row r="338" spans="1:17" hidden="1" x14ac:dyDescent="0.25">
      <c r="A338" t="s">
        <v>48</v>
      </c>
      <c r="B338" t="s">
        <v>4501</v>
      </c>
      <c r="C338" t="s">
        <v>4501</v>
      </c>
      <c r="D338" t="s">
        <v>4502</v>
      </c>
      <c r="E338" t="s">
        <v>122</v>
      </c>
      <c r="F338">
        <v>0</v>
      </c>
      <c r="G338">
        <v>1</v>
      </c>
      <c r="H338" s="19">
        <v>-42414.52</v>
      </c>
      <c r="I338" s="19">
        <v>1.409016</v>
      </c>
      <c r="J338" s="19">
        <v>42414.52</v>
      </c>
      <c r="K338" s="19">
        <v>5.2535999999999999E-2</v>
      </c>
      <c r="L338" s="19">
        <v>0.373062</v>
      </c>
      <c r="M338" s="19">
        <v>0.98341800000000001</v>
      </c>
      <c r="N338" s="19">
        <v>28527</v>
      </c>
      <c r="O338" s="19">
        <v>28527</v>
      </c>
      <c r="P338" s="19">
        <f t="shared" si="5"/>
        <v>0</v>
      </c>
      <c r="Q338" s="19"/>
    </row>
    <row r="339" spans="1:17" hidden="1" x14ac:dyDescent="0.25">
      <c r="A339" t="s">
        <v>48</v>
      </c>
      <c r="B339" t="s">
        <v>4499</v>
      </c>
      <c r="C339" t="s">
        <v>4499</v>
      </c>
      <c r="D339" t="s">
        <v>4497</v>
      </c>
      <c r="E339" t="s">
        <v>55</v>
      </c>
      <c r="F339">
        <v>0</v>
      </c>
      <c r="G339">
        <v>0</v>
      </c>
      <c r="H339" s="19">
        <v>-1104487.3999999899</v>
      </c>
      <c r="I339" s="19">
        <v>0</v>
      </c>
      <c r="J339" s="19">
        <v>1104487.3999580001</v>
      </c>
      <c r="K339" s="19"/>
      <c r="L339" s="19"/>
      <c r="M339" s="19"/>
      <c r="N339" s="19"/>
      <c r="O339" s="19"/>
      <c r="P339" s="19">
        <f t="shared" si="5"/>
        <v>0</v>
      </c>
      <c r="Q339" s="19"/>
    </row>
    <row r="340" spans="1:17" hidden="1" x14ac:dyDescent="0.25">
      <c r="A340" t="s">
        <v>48</v>
      </c>
      <c r="B340" t="s">
        <v>4503</v>
      </c>
      <c r="C340" t="s">
        <v>4503</v>
      </c>
      <c r="D340" t="s">
        <v>4497</v>
      </c>
      <c r="E340" t="s">
        <v>55</v>
      </c>
      <c r="F340">
        <v>0</v>
      </c>
      <c r="G340">
        <v>0</v>
      </c>
      <c r="H340" s="19">
        <v>-3261779.67</v>
      </c>
      <c r="I340" s="19">
        <v>52.274551000000002</v>
      </c>
      <c r="J340" s="19">
        <v>3261779.67</v>
      </c>
      <c r="K340" s="19">
        <v>13.458898</v>
      </c>
      <c r="L340" s="19">
        <v>38.815652999999998</v>
      </c>
      <c r="M340" s="19"/>
      <c r="N340" s="19"/>
      <c r="O340" s="19"/>
      <c r="P340" s="19">
        <f t="shared" si="5"/>
        <v>0</v>
      </c>
      <c r="Q340" s="19"/>
    </row>
    <row r="341" spans="1:17" hidden="1" x14ac:dyDescent="0.25">
      <c r="A341" t="s">
        <v>48</v>
      </c>
      <c r="B341" t="s">
        <v>4501</v>
      </c>
      <c r="C341" t="s">
        <v>4501</v>
      </c>
      <c r="D341" t="s">
        <v>4501</v>
      </c>
      <c r="E341" t="s">
        <v>186</v>
      </c>
      <c r="F341">
        <v>0</v>
      </c>
      <c r="G341">
        <v>1</v>
      </c>
      <c r="H341" s="19">
        <v>-7234.99</v>
      </c>
      <c r="I341" s="19">
        <v>0</v>
      </c>
      <c r="J341" s="19">
        <v>7234.99</v>
      </c>
      <c r="K341" s="19">
        <v>0</v>
      </c>
      <c r="L341" s="19">
        <v>0</v>
      </c>
      <c r="M341" s="19">
        <v>0</v>
      </c>
      <c r="N341" s="19">
        <v>7667.5</v>
      </c>
      <c r="O341" s="19">
        <v>7667.5</v>
      </c>
      <c r="P341" s="19">
        <f t="shared" si="5"/>
        <v>0</v>
      </c>
      <c r="Q341" s="19"/>
    </row>
    <row r="342" spans="1:17" hidden="1" x14ac:dyDescent="0.25">
      <c r="A342" t="s">
        <v>48</v>
      </c>
      <c r="B342" t="s">
        <v>4501</v>
      </c>
      <c r="C342" t="s">
        <v>4501</v>
      </c>
      <c r="D342" t="s">
        <v>4501</v>
      </c>
      <c r="E342" t="s">
        <v>97</v>
      </c>
      <c r="F342">
        <v>0</v>
      </c>
      <c r="G342">
        <v>1</v>
      </c>
      <c r="H342" s="19">
        <v>-187421.86</v>
      </c>
      <c r="I342" s="19">
        <v>0</v>
      </c>
      <c r="J342" s="19">
        <v>187421.86</v>
      </c>
      <c r="K342" s="19">
        <v>0</v>
      </c>
      <c r="L342" s="19">
        <v>0</v>
      </c>
      <c r="M342" s="19">
        <v>0</v>
      </c>
      <c r="N342" s="19">
        <v>1184922</v>
      </c>
      <c r="O342" s="19">
        <v>1184922</v>
      </c>
      <c r="P342" s="19">
        <f t="shared" si="5"/>
        <v>0</v>
      </c>
      <c r="Q342" s="19"/>
    </row>
    <row r="343" spans="1:17" hidden="1" x14ac:dyDescent="0.25">
      <c r="A343" t="s">
        <v>48</v>
      </c>
      <c r="B343" t="s">
        <v>4496</v>
      </c>
      <c r="C343" t="s">
        <v>4496</v>
      </c>
      <c r="D343" t="s">
        <v>4497</v>
      </c>
      <c r="E343" t="s">
        <v>55</v>
      </c>
      <c r="F343">
        <v>0</v>
      </c>
      <c r="G343">
        <v>0</v>
      </c>
      <c r="H343" s="19">
        <v>-32968722.099999901</v>
      </c>
      <c r="I343" s="19">
        <v>3305.4460039999999</v>
      </c>
      <c r="J343" s="19">
        <v>32968722.099987999</v>
      </c>
      <c r="K343" s="19">
        <v>589.31377799999996</v>
      </c>
      <c r="L343" s="19">
        <v>2716.1322260000002</v>
      </c>
      <c r="M343" s="19"/>
      <c r="N343" s="19"/>
      <c r="O343" s="19"/>
      <c r="P343" s="19">
        <f t="shared" si="5"/>
        <v>0</v>
      </c>
      <c r="Q343" s="19"/>
    </row>
    <row r="344" spans="1:17" hidden="1" x14ac:dyDescent="0.25">
      <c r="A344" t="s">
        <v>48</v>
      </c>
      <c r="B344" t="s">
        <v>4501</v>
      </c>
      <c r="C344" t="s">
        <v>4507</v>
      </c>
      <c r="D344" t="s">
        <v>4502</v>
      </c>
      <c r="E344" t="s">
        <v>118</v>
      </c>
      <c r="F344">
        <v>0</v>
      </c>
      <c r="G344">
        <v>1</v>
      </c>
      <c r="H344" s="19">
        <v>-6023382.6100000003</v>
      </c>
      <c r="I344" s="19">
        <v>2731.6402389999998</v>
      </c>
      <c r="J344" s="19">
        <v>6023382.6100000003</v>
      </c>
      <c r="K344" s="19">
        <v>965.77711999999997</v>
      </c>
      <c r="L344" s="19">
        <v>5.590382</v>
      </c>
      <c r="M344" s="19">
        <v>1760.272737</v>
      </c>
      <c r="N344" s="19">
        <v>3040.32</v>
      </c>
      <c r="O344" s="19">
        <v>3040.32</v>
      </c>
      <c r="P344" s="19">
        <f t="shared" si="5"/>
        <v>0</v>
      </c>
      <c r="Q344" s="19"/>
    </row>
    <row r="345" spans="1:17" hidden="1" x14ac:dyDescent="0.25">
      <c r="A345" t="s">
        <v>56</v>
      </c>
      <c r="B345" t="s">
        <v>4498</v>
      </c>
      <c r="C345" t="s">
        <v>4497</v>
      </c>
      <c r="D345" t="s">
        <v>4497</v>
      </c>
      <c r="E345" t="s">
        <v>55</v>
      </c>
      <c r="F345">
        <v>0</v>
      </c>
      <c r="G345">
        <v>0</v>
      </c>
      <c r="H345" s="19">
        <v>-72101.229999999894</v>
      </c>
      <c r="I345" s="19">
        <v>2.7938339999999999</v>
      </c>
      <c r="J345" s="19">
        <v>72101.229999000003</v>
      </c>
      <c r="K345" s="19">
        <v>2.7938339999999999</v>
      </c>
      <c r="L345" s="19"/>
      <c r="M345" s="19"/>
      <c r="N345" s="19"/>
      <c r="O345" s="19"/>
      <c r="P345" s="19">
        <f t="shared" si="5"/>
        <v>0</v>
      </c>
      <c r="Q345" s="19"/>
    </row>
    <row r="346" spans="1:17" hidden="1" x14ac:dyDescent="0.25">
      <c r="A346" t="s">
        <v>56</v>
      </c>
      <c r="B346" t="s">
        <v>4500</v>
      </c>
      <c r="C346" t="s">
        <v>4497</v>
      </c>
      <c r="D346" t="s">
        <v>4497</v>
      </c>
      <c r="E346" t="s">
        <v>55</v>
      </c>
      <c r="F346">
        <v>0</v>
      </c>
      <c r="G346">
        <v>0</v>
      </c>
      <c r="H346" s="19">
        <v>-52745.969999999899</v>
      </c>
      <c r="I346" s="19">
        <v>6.2476830000000003</v>
      </c>
      <c r="J346" s="19">
        <v>52745.969996</v>
      </c>
      <c r="K346" s="19">
        <v>6.2476830000000003</v>
      </c>
      <c r="L346" s="19"/>
      <c r="M346" s="19"/>
      <c r="N346" s="19"/>
      <c r="O346" s="19"/>
      <c r="P346" s="19">
        <f t="shared" si="5"/>
        <v>0</v>
      </c>
      <c r="Q346" s="19"/>
    </row>
    <row r="347" spans="1:17" hidden="1" x14ac:dyDescent="0.25">
      <c r="A347" t="s">
        <v>56</v>
      </c>
      <c r="B347" t="s">
        <v>4506</v>
      </c>
      <c r="C347" t="s">
        <v>4506</v>
      </c>
      <c r="D347" t="s">
        <v>4506</v>
      </c>
      <c r="E347" t="s">
        <v>55</v>
      </c>
      <c r="F347">
        <v>0</v>
      </c>
      <c r="G347">
        <v>0</v>
      </c>
      <c r="H347" s="19">
        <v>-175888.35</v>
      </c>
      <c r="I347" s="19">
        <v>9.9798930000000006</v>
      </c>
      <c r="J347" s="19">
        <v>175888.35</v>
      </c>
      <c r="K347" s="19">
        <v>3.3300649999999998</v>
      </c>
      <c r="L347" s="19">
        <v>0.55666400000000005</v>
      </c>
      <c r="M347" s="19">
        <v>6.0931639999999998</v>
      </c>
      <c r="N347" s="19"/>
      <c r="O347" s="19"/>
      <c r="P347" s="19">
        <f t="shared" si="5"/>
        <v>0</v>
      </c>
      <c r="Q347" s="19"/>
    </row>
    <row r="348" spans="1:17" hidden="1" x14ac:dyDescent="0.25">
      <c r="A348" t="s">
        <v>56</v>
      </c>
      <c r="B348" t="s">
        <v>4504</v>
      </c>
      <c r="C348" t="s">
        <v>4504</v>
      </c>
      <c r="D348" t="s">
        <v>4504</v>
      </c>
      <c r="E348" t="s">
        <v>55</v>
      </c>
      <c r="F348">
        <v>0</v>
      </c>
      <c r="G348">
        <v>0</v>
      </c>
      <c r="H348" s="19">
        <v>-25507738.359999999</v>
      </c>
      <c r="I348" s="19">
        <v>2348.6305050000001</v>
      </c>
      <c r="J348" s="19">
        <v>25507738.359999999</v>
      </c>
      <c r="K348" s="19">
        <v>783.68546500000002</v>
      </c>
      <c r="L348" s="19">
        <v>131.00325100000001</v>
      </c>
      <c r="M348" s="19">
        <v>1433.941789</v>
      </c>
      <c r="N348" s="19"/>
      <c r="O348" s="19"/>
      <c r="P348" s="19">
        <f t="shared" si="5"/>
        <v>0</v>
      </c>
      <c r="Q348" s="19">
        <v>1</v>
      </c>
    </row>
    <row r="349" spans="1:17" hidden="1" x14ac:dyDescent="0.25">
      <c r="A349" t="s">
        <v>56</v>
      </c>
      <c r="B349" t="s">
        <v>4497</v>
      </c>
      <c r="C349" t="s">
        <v>4497</v>
      </c>
      <c r="D349" t="s">
        <v>4497</v>
      </c>
      <c r="E349" t="s">
        <v>55</v>
      </c>
      <c r="F349">
        <v>0</v>
      </c>
      <c r="G349">
        <v>0</v>
      </c>
      <c r="H349" s="19">
        <v>-335.28</v>
      </c>
      <c r="I349" s="19">
        <v>0</v>
      </c>
      <c r="J349" s="19">
        <v>335.28</v>
      </c>
      <c r="K349" s="19"/>
      <c r="L349" s="19"/>
      <c r="M349" s="19"/>
      <c r="N349" s="19"/>
      <c r="O349" s="19"/>
      <c r="P349" s="19">
        <f t="shared" si="5"/>
        <v>0</v>
      </c>
      <c r="Q349" s="19"/>
    </row>
    <row r="350" spans="1:17" hidden="1" x14ac:dyDescent="0.25">
      <c r="A350" t="s">
        <v>44</v>
      </c>
      <c r="B350" t="s">
        <v>4500</v>
      </c>
      <c r="C350" t="s">
        <v>4497</v>
      </c>
      <c r="D350" t="s">
        <v>4497</v>
      </c>
      <c r="E350" t="s">
        <v>55</v>
      </c>
      <c r="F350">
        <v>0</v>
      </c>
      <c r="G350">
        <v>0</v>
      </c>
      <c r="H350" s="19">
        <v>-568064.62999999896</v>
      </c>
      <c r="I350" s="19">
        <v>202.992073</v>
      </c>
      <c r="J350" s="19">
        <v>568064.62994899997</v>
      </c>
      <c r="K350" s="19">
        <v>202.992073</v>
      </c>
      <c r="L350" s="19"/>
      <c r="M350" s="19"/>
      <c r="N350" s="19"/>
      <c r="O350" s="19"/>
      <c r="P350" s="19">
        <f t="shared" si="5"/>
        <v>0</v>
      </c>
      <c r="Q350" s="19"/>
    </row>
    <row r="351" spans="1:17" hidden="1" x14ac:dyDescent="0.25">
      <c r="A351" t="s">
        <v>44</v>
      </c>
      <c r="B351" t="s">
        <v>4497</v>
      </c>
      <c r="C351" t="s">
        <v>4497</v>
      </c>
      <c r="D351" t="s">
        <v>4497</v>
      </c>
      <c r="E351" t="s">
        <v>55</v>
      </c>
      <c r="F351">
        <v>0</v>
      </c>
      <c r="G351">
        <v>0</v>
      </c>
      <c r="H351" s="19">
        <v>-21791.1594704407</v>
      </c>
      <c r="I351" s="19">
        <v>0</v>
      </c>
      <c r="J351" s="19">
        <v>21791.159468000002</v>
      </c>
      <c r="K351" s="19"/>
      <c r="L351" s="19"/>
      <c r="M351" s="19"/>
      <c r="N351" s="19"/>
      <c r="O351" s="19"/>
      <c r="P351" s="19">
        <f t="shared" si="5"/>
        <v>0</v>
      </c>
      <c r="Q351" s="19"/>
    </row>
    <row r="352" spans="1:17" hidden="1" x14ac:dyDescent="0.25">
      <c r="A352" t="s">
        <v>44</v>
      </c>
      <c r="B352" t="s">
        <v>4504</v>
      </c>
      <c r="C352" t="s">
        <v>4504</v>
      </c>
      <c r="D352" t="s">
        <v>4504</v>
      </c>
      <c r="E352" t="s">
        <v>55</v>
      </c>
      <c r="F352">
        <v>0</v>
      </c>
      <c r="G352">
        <v>0</v>
      </c>
      <c r="H352" s="19">
        <v>-4718330.3299999898</v>
      </c>
      <c r="I352" s="19">
        <v>434.742209</v>
      </c>
      <c r="J352" s="19">
        <v>4718330.3299939996</v>
      </c>
      <c r="K352" s="19">
        <v>145.06374400000001</v>
      </c>
      <c r="L352" s="19">
        <v>24.249102000000001</v>
      </c>
      <c r="M352" s="19">
        <v>265.42936300000002</v>
      </c>
      <c r="N352" s="19"/>
      <c r="O352" s="19"/>
      <c r="P352" s="19">
        <f t="shared" si="5"/>
        <v>0</v>
      </c>
      <c r="Q352" s="19">
        <v>1</v>
      </c>
    </row>
    <row r="353" spans="1:17" hidden="1" x14ac:dyDescent="0.25">
      <c r="A353" t="s">
        <v>44</v>
      </c>
      <c r="B353" t="s">
        <v>4496</v>
      </c>
      <c r="C353" t="s">
        <v>4496</v>
      </c>
      <c r="D353" t="s">
        <v>4497</v>
      </c>
      <c r="E353" t="s">
        <v>55</v>
      </c>
      <c r="F353">
        <v>0</v>
      </c>
      <c r="G353">
        <v>0</v>
      </c>
      <c r="H353" s="19">
        <v>-22386155.320029199</v>
      </c>
      <c r="I353" s="19">
        <v>1280.4169750000001</v>
      </c>
      <c r="J353" s="19">
        <v>22386155.320028</v>
      </c>
      <c r="K353" s="19">
        <v>245.828002</v>
      </c>
      <c r="L353" s="19">
        <v>1034.5889729999999</v>
      </c>
      <c r="M353" s="19"/>
      <c r="N353" s="19"/>
      <c r="O353" s="19"/>
      <c r="P353" s="19">
        <f t="shared" si="5"/>
        <v>0</v>
      </c>
      <c r="Q353" s="19"/>
    </row>
    <row r="354" spans="1:17" hidden="1" x14ac:dyDescent="0.25">
      <c r="A354" t="s">
        <v>44</v>
      </c>
      <c r="B354" t="s">
        <v>4505</v>
      </c>
      <c r="C354" t="s">
        <v>4505</v>
      </c>
      <c r="D354" t="s">
        <v>4497</v>
      </c>
      <c r="E354" t="s">
        <v>55</v>
      </c>
      <c r="F354">
        <v>0</v>
      </c>
      <c r="G354">
        <v>0</v>
      </c>
      <c r="H354" s="19">
        <v>-8824954.8405003306</v>
      </c>
      <c r="I354" s="19">
        <v>786.651476</v>
      </c>
      <c r="J354" s="19">
        <v>8824954.8404959999</v>
      </c>
      <c r="K354" s="19">
        <v>123.4922</v>
      </c>
      <c r="L354" s="19">
        <v>663.15927599999998</v>
      </c>
      <c r="M354" s="19"/>
      <c r="N354" s="19"/>
      <c r="O354" s="19"/>
      <c r="P354" s="19">
        <f t="shared" si="5"/>
        <v>0</v>
      </c>
      <c r="Q354" s="19"/>
    </row>
    <row r="355" spans="1:17" hidden="1" x14ac:dyDescent="0.25">
      <c r="A355" t="s">
        <v>44</v>
      </c>
      <c r="B355" t="s">
        <v>4497</v>
      </c>
      <c r="C355" t="s">
        <v>4498</v>
      </c>
      <c r="D355" t="s">
        <v>4497</v>
      </c>
      <c r="E355" t="s">
        <v>55</v>
      </c>
      <c r="F355">
        <v>0</v>
      </c>
      <c r="G355">
        <v>0</v>
      </c>
      <c r="H355" s="19">
        <v>-84829.879999999903</v>
      </c>
      <c r="I355" s="19">
        <v>2.2962889999999998</v>
      </c>
      <c r="J355" s="19">
        <v>84829.879996999996</v>
      </c>
      <c r="K355" s="19"/>
      <c r="L355" s="19">
        <v>2.2962889999999998</v>
      </c>
      <c r="M355" s="19"/>
      <c r="N355" s="19"/>
      <c r="O355" s="19"/>
      <c r="P355" s="19">
        <f t="shared" si="5"/>
        <v>0</v>
      </c>
      <c r="Q355" s="19"/>
    </row>
    <row r="356" spans="1:17" hidden="1" x14ac:dyDescent="0.25">
      <c r="A356" t="s">
        <v>44</v>
      </c>
      <c r="B356" t="s">
        <v>4499</v>
      </c>
      <c r="C356" t="s">
        <v>4499</v>
      </c>
      <c r="D356" t="s">
        <v>4497</v>
      </c>
      <c r="E356" t="s">
        <v>55</v>
      </c>
      <c r="F356">
        <v>0</v>
      </c>
      <c r="G356">
        <v>0</v>
      </c>
      <c r="H356" s="19">
        <v>-127858.879999999</v>
      </c>
      <c r="I356" s="19">
        <v>0</v>
      </c>
      <c r="J356" s="19">
        <v>127858.879998</v>
      </c>
      <c r="K356" s="19"/>
      <c r="L356" s="19"/>
      <c r="M356" s="19"/>
      <c r="N356" s="19"/>
      <c r="O356" s="19"/>
      <c r="P356" s="19">
        <f t="shared" si="5"/>
        <v>0</v>
      </c>
      <c r="Q356" s="19"/>
    </row>
    <row r="357" spans="1:17" hidden="1" x14ac:dyDescent="0.25">
      <c r="A357" t="s">
        <v>44</v>
      </c>
      <c r="B357" t="s">
        <v>4500</v>
      </c>
      <c r="C357" t="s">
        <v>4500</v>
      </c>
      <c r="D357" t="s">
        <v>4497</v>
      </c>
      <c r="E357" t="s">
        <v>55</v>
      </c>
      <c r="F357">
        <v>0</v>
      </c>
      <c r="G357">
        <v>0</v>
      </c>
      <c r="H357" s="19">
        <v>-126861.909999999</v>
      </c>
      <c r="I357" s="19">
        <v>8.1720299999999995</v>
      </c>
      <c r="J357" s="19">
        <v>126861.909996</v>
      </c>
      <c r="K357" s="19">
        <v>4.2320250000000001</v>
      </c>
      <c r="L357" s="19">
        <v>3.9400050000000002</v>
      </c>
      <c r="M357" s="19"/>
      <c r="N357" s="19"/>
      <c r="O357" s="19"/>
      <c r="P357" s="19">
        <f t="shared" si="5"/>
        <v>0</v>
      </c>
      <c r="Q357" s="19"/>
    </row>
    <row r="358" spans="1:17" hidden="1" x14ac:dyDescent="0.25">
      <c r="A358" t="s">
        <v>44</v>
      </c>
      <c r="B358" t="s">
        <v>4497</v>
      </c>
      <c r="C358" t="s">
        <v>4500</v>
      </c>
      <c r="D358" t="s">
        <v>4497</v>
      </c>
      <c r="E358" t="s">
        <v>55</v>
      </c>
      <c r="F358">
        <v>0</v>
      </c>
      <c r="G358">
        <v>0</v>
      </c>
      <c r="H358" s="19">
        <v>-519053.88999999902</v>
      </c>
      <c r="I358" s="19">
        <v>11.857957000000001</v>
      </c>
      <c r="J358" s="19">
        <v>519053.88998199999</v>
      </c>
      <c r="K358" s="19"/>
      <c r="L358" s="19">
        <v>11.857957000000001</v>
      </c>
      <c r="M358" s="19"/>
      <c r="N358" s="19"/>
      <c r="O358" s="19"/>
      <c r="P358" s="19">
        <f t="shared" si="5"/>
        <v>0</v>
      </c>
      <c r="Q358" s="19"/>
    </row>
    <row r="359" spans="1:17" hidden="1" x14ac:dyDescent="0.25">
      <c r="A359" t="s">
        <v>44</v>
      </c>
      <c r="B359" t="s">
        <v>4498</v>
      </c>
      <c r="C359" t="s">
        <v>4498</v>
      </c>
      <c r="D359" t="s">
        <v>4497</v>
      </c>
      <c r="E359" t="s">
        <v>55</v>
      </c>
      <c r="F359">
        <v>0</v>
      </c>
      <c r="G359">
        <v>0</v>
      </c>
      <c r="H359" s="19">
        <v>-33854.080000000002</v>
      </c>
      <c r="I359" s="19">
        <v>1.21885</v>
      </c>
      <c r="J359" s="19">
        <v>33854.080000000002</v>
      </c>
      <c r="K359" s="19">
        <v>0.57742400000000005</v>
      </c>
      <c r="L359" s="19">
        <v>0.64142600000000005</v>
      </c>
      <c r="M359" s="19"/>
      <c r="N359" s="19"/>
      <c r="O359" s="19"/>
      <c r="P359" s="19">
        <f t="shared" si="5"/>
        <v>0</v>
      </c>
      <c r="Q359" s="19"/>
    </row>
    <row r="360" spans="1:17" hidden="1" x14ac:dyDescent="0.25">
      <c r="A360" t="s">
        <v>44</v>
      </c>
      <c r="B360" t="s">
        <v>4506</v>
      </c>
      <c r="C360" t="s">
        <v>4506</v>
      </c>
      <c r="D360" t="s">
        <v>4506</v>
      </c>
      <c r="E360" t="s">
        <v>55</v>
      </c>
      <c r="F360">
        <v>0</v>
      </c>
      <c r="G360">
        <v>0</v>
      </c>
      <c r="H360" s="19">
        <v>-23659240.689999901</v>
      </c>
      <c r="I360" s="19">
        <v>5398.978333</v>
      </c>
      <c r="J360" s="19">
        <v>23659240.689989999</v>
      </c>
      <c r="K360" s="19">
        <v>1801.5174460000001</v>
      </c>
      <c r="L360" s="19">
        <v>301.14756</v>
      </c>
      <c r="M360" s="19">
        <v>3296.3133269999998</v>
      </c>
      <c r="N360" s="19"/>
      <c r="O360" s="19"/>
      <c r="P360" s="19">
        <f t="shared" si="5"/>
        <v>0</v>
      </c>
      <c r="Q360" s="19"/>
    </row>
    <row r="361" spans="1:17" hidden="1" x14ac:dyDescent="0.25">
      <c r="A361" t="s">
        <v>44</v>
      </c>
      <c r="B361" t="s">
        <v>4503</v>
      </c>
      <c r="C361" t="s">
        <v>4503</v>
      </c>
      <c r="D361" t="s">
        <v>4497</v>
      </c>
      <c r="E361" t="s">
        <v>55</v>
      </c>
      <c r="F361">
        <v>0</v>
      </c>
      <c r="G361">
        <v>0</v>
      </c>
      <c r="H361" s="19">
        <v>-141837.88</v>
      </c>
      <c r="I361" s="19">
        <v>2.647351</v>
      </c>
      <c r="J361" s="19">
        <v>141837.88</v>
      </c>
      <c r="K361" s="19">
        <v>0.65686100000000003</v>
      </c>
      <c r="L361" s="19">
        <v>1.9904900000000001</v>
      </c>
      <c r="M361" s="19"/>
      <c r="N361" s="19"/>
      <c r="O361" s="19"/>
      <c r="P361" s="19">
        <f t="shared" si="5"/>
        <v>0</v>
      </c>
      <c r="Q361" s="19"/>
    </row>
    <row r="362" spans="1:17" hidden="1" x14ac:dyDescent="0.25">
      <c r="A362" t="s">
        <v>38</v>
      </c>
      <c r="B362" t="s">
        <v>4501</v>
      </c>
      <c r="C362" t="s">
        <v>4501</v>
      </c>
      <c r="D362" t="s">
        <v>4502</v>
      </c>
      <c r="E362" t="s">
        <v>101</v>
      </c>
      <c r="F362">
        <v>0</v>
      </c>
      <c r="G362">
        <v>1</v>
      </c>
      <c r="H362" s="19">
        <v>-385241.76</v>
      </c>
      <c r="I362" s="19">
        <v>180.21494000000001</v>
      </c>
      <c r="J362" s="19">
        <v>385241.76</v>
      </c>
      <c r="K362" s="19">
        <v>84.645314999999997</v>
      </c>
      <c r="L362" s="19">
        <v>4.2239069999999996</v>
      </c>
      <c r="M362" s="19">
        <v>91.345718000000005</v>
      </c>
      <c r="N362" s="19">
        <v>39813.06</v>
      </c>
      <c r="O362" s="19">
        <v>39813.06</v>
      </c>
      <c r="P362" s="19">
        <f t="shared" si="5"/>
        <v>0</v>
      </c>
      <c r="Q362" s="19"/>
    </row>
    <row r="363" spans="1:17" hidden="1" x14ac:dyDescent="0.25">
      <c r="A363" t="s">
        <v>38</v>
      </c>
      <c r="B363" t="s">
        <v>4501</v>
      </c>
      <c r="C363" t="s">
        <v>4501</v>
      </c>
      <c r="D363" t="s">
        <v>4502</v>
      </c>
      <c r="E363" t="s">
        <v>192</v>
      </c>
      <c r="F363">
        <v>0</v>
      </c>
      <c r="G363">
        <v>1</v>
      </c>
      <c r="H363" s="19">
        <v>-1380.39</v>
      </c>
      <c r="I363" s="19">
        <v>0</v>
      </c>
      <c r="J363" s="19">
        <v>1380.39</v>
      </c>
      <c r="K363" s="19">
        <v>0</v>
      </c>
      <c r="L363" s="19">
        <v>0</v>
      </c>
      <c r="M363" s="19">
        <v>0</v>
      </c>
      <c r="N363" s="19">
        <v>67734</v>
      </c>
      <c r="O363" s="19">
        <v>67734</v>
      </c>
      <c r="P363" s="19">
        <f t="shared" si="5"/>
        <v>0</v>
      </c>
      <c r="Q363" s="19"/>
    </row>
    <row r="364" spans="1:17" hidden="1" x14ac:dyDescent="0.25">
      <c r="A364" t="s">
        <v>38</v>
      </c>
      <c r="B364" t="s">
        <v>4500</v>
      </c>
      <c r="C364" t="s">
        <v>4497</v>
      </c>
      <c r="D364" t="s">
        <v>4497</v>
      </c>
      <c r="E364" t="s">
        <v>55</v>
      </c>
      <c r="F364">
        <v>0</v>
      </c>
      <c r="G364">
        <v>0</v>
      </c>
      <c r="H364" s="19">
        <v>-2350957.9399999902</v>
      </c>
      <c r="I364" s="19">
        <v>182.93868699999999</v>
      </c>
      <c r="J364" s="19">
        <v>2350957.9398699999</v>
      </c>
      <c r="K364" s="19">
        <v>182.93868699999999</v>
      </c>
      <c r="L364" s="19"/>
      <c r="M364" s="19"/>
      <c r="N364" s="19"/>
      <c r="O364" s="19"/>
      <c r="P364" s="19">
        <f t="shared" si="5"/>
        <v>0</v>
      </c>
      <c r="Q364" s="19"/>
    </row>
    <row r="365" spans="1:17" hidden="1" x14ac:dyDescent="0.25">
      <c r="A365" t="s">
        <v>38</v>
      </c>
      <c r="B365" t="s">
        <v>4503</v>
      </c>
      <c r="C365" t="s">
        <v>4503</v>
      </c>
      <c r="D365" t="s">
        <v>4497</v>
      </c>
      <c r="E365" t="s">
        <v>55</v>
      </c>
      <c r="F365">
        <v>0</v>
      </c>
      <c r="G365">
        <v>0</v>
      </c>
      <c r="H365" s="19">
        <v>-9850752.3365578502</v>
      </c>
      <c r="I365" s="19">
        <v>87.491845999999995</v>
      </c>
      <c r="J365" s="19">
        <v>9850752.3365550004</v>
      </c>
      <c r="K365" s="19">
        <v>23.437452</v>
      </c>
      <c r="L365" s="19">
        <v>64.054394000000002</v>
      </c>
      <c r="M365" s="19"/>
      <c r="N365" s="19"/>
      <c r="O365" s="19"/>
      <c r="P365" s="19">
        <f t="shared" si="5"/>
        <v>0</v>
      </c>
      <c r="Q365" s="19"/>
    </row>
    <row r="366" spans="1:17" hidden="1" x14ac:dyDescent="0.25">
      <c r="A366" t="s">
        <v>38</v>
      </c>
      <c r="B366" t="s">
        <v>4506</v>
      </c>
      <c r="C366" t="s">
        <v>4506</v>
      </c>
      <c r="D366" t="s">
        <v>4506</v>
      </c>
      <c r="E366" t="s">
        <v>55</v>
      </c>
      <c r="F366">
        <v>0</v>
      </c>
      <c r="G366">
        <v>0</v>
      </c>
      <c r="H366" s="19">
        <v>-90625432.679999903</v>
      </c>
      <c r="I366" s="19">
        <v>34347.040327000002</v>
      </c>
      <c r="J366" s="19">
        <v>90625432.679187998</v>
      </c>
      <c r="K366" s="19">
        <v>11460.833576000001</v>
      </c>
      <c r="L366" s="19">
        <v>1915.83053</v>
      </c>
      <c r="M366" s="19">
        <v>20970.376220999999</v>
      </c>
      <c r="N366" s="19"/>
      <c r="O366" s="19"/>
      <c r="P366" s="19">
        <f t="shared" si="5"/>
        <v>0</v>
      </c>
      <c r="Q366" s="19"/>
    </row>
    <row r="367" spans="1:17" hidden="1" x14ac:dyDescent="0.25">
      <c r="A367" t="s">
        <v>38</v>
      </c>
      <c r="B367" t="s">
        <v>4500</v>
      </c>
      <c r="C367" t="s">
        <v>4500</v>
      </c>
      <c r="D367" t="s">
        <v>4497</v>
      </c>
      <c r="E367" t="s">
        <v>55</v>
      </c>
      <c r="F367">
        <v>0</v>
      </c>
      <c r="G367">
        <v>0</v>
      </c>
      <c r="H367" s="19">
        <v>-865363.87999999896</v>
      </c>
      <c r="I367" s="19">
        <v>36.599773999999996</v>
      </c>
      <c r="J367" s="19">
        <v>865363.87997699995</v>
      </c>
      <c r="K367" s="19">
        <v>19.440131000000001</v>
      </c>
      <c r="L367" s="19">
        <v>17.159642999999999</v>
      </c>
      <c r="M367" s="19"/>
      <c r="N367" s="19"/>
      <c r="O367" s="19"/>
      <c r="P367" s="19">
        <f t="shared" si="5"/>
        <v>0</v>
      </c>
      <c r="Q367" s="19"/>
    </row>
    <row r="368" spans="1:17" hidden="1" x14ac:dyDescent="0.25">
      <c r="A368" t="s">
        <v>38</v>
      </c>
      <c r="B368" t="s">
        <v>4496</v>
      </c>
      <c r="C368" t="s">
        <v>4496</v>
      </c>
      <c r="D368" t="s">
        <v>4497</v>
      </c>
      <c r="E368" t="s">
        <v>55</v>
      </c>
      <c r="F368">
        <v>0</v>
      </c>
      <c r="G368">
        <v>0</v>
      </c>
      <c r="H368" s="19">
        <v>-33051206.723312698</v>
      </c>
      <c r="I368" s="19">
        <v>1171.652065</v>
      </c>
      <c r="J368" s="19">
        <v>33051206.723304</v>
      </c>
      <c r="K368" s="19">
        <v>239.31023500000001</v>
      </c>
      <c r="L368" s="19">
        <v>932.34182999999996</v>
      </c>
      <c r="M368" s="19"/>
      <c r="N368" s="19"/>
      <c r="O368" s="19"/>
      <c r="P368" s="19">
        <f t="shared" si="5"/>
        <v>0</v>
      </c>
      <c r="Q368" s="19"/>
    </row>
    <row r="369" spans="1:17" hidden="1" x14ac:dyDescent="0.25">
      <c r="A369" t="s">
        <v>38</v>
      </c>
      <c r="B369" t="s">
        <v>4498</v>
      </c>
      <c r="C369" t="s">
        <v>4497</v>
      </c>
      <c r="D369" t="s">
        <v>4497</v>
      </c>
      <c r="E369" t="s">
        <v>55</v>
      </c>
      <c r="F369">
        <v>0</v>
      </c>
      <c r="G369">
        <v>0</v>
      </c>
      <c r="H369" s="19">
        <v>-447229.84999999899</v>
      </c>
      <c r="I369" s="19">
        <v>31.700859000000001</v>
      </c>
      <c r="J369" s="19">
        <v>447229.84998699999</v>
      </c>
      <c r="K369" s="19">
        <v>31.700859000000001</v>
      </c>
      <c r="L369" s="19"/>
      <c r="M369" s="19"/>
      <c r="N369" s="19"/>
      <c r="O369" s="19"/>
      <c r="P369" s="19">
        <f t="shared" si="5"/>
        <v>0</v>
      </c>
      <c r="Q369" s="19"/>
    </row>
    <row r="370" spans="1:17" hidden="1" x14ac:dyDescent="0.25">
      <c r="A370" t="s">
        <v>38</v>
      </c>
      <c r="B370" t="s">
        <v>4497</v>
      </c>
      <c r="C370" t="s">
        <v>4500</v>
      </c>
      <c r="D370" t="s">
        <v>4497</v>
      </c>
      <c r="E370" t="s">
        <v>55</v>
      </c>
      <c r="F370">
        <v>0</v>
      </c>
      <c r="G370">
        <v>0</v>
      </c>
      <c r="H370" s="19">
        <v>-3164874.77999999</v>
      </c>
      <c r="I370" s="19">
        <v>56.185617999999998</v>
      </c>
      <c r="J370" s="19">
        <v>3164874.7798819998</v>
      </c>
      <c r="K370" s="19"/>
      <c r="L370" s="19">
        <v>56.185617999999998</v>
      </c>
      <c r="M370" s="19"/>
      <c r="N370" s="19"/>
      <c r="O370" s="19"/>
      <c r="P370" s="19">
        <f t="shared" si="5"/>
        <v>0</v>
      </c>
      <c r="Q370" s="19"/>
    </row>
    <row r="371" spans="1:17" hidden="1" x14ac:dyDescent="0.25">
      <c r="A371" t="s">
        <v>38</v>
      </c>
      <c r="B371" t="s">
        <v>4497</v>
      </c>
      <c r="C371" t="s">
        <v>4497</v>
      </c>
      <c r="D371" t="s">
        <v>4497</v>
      </c>
      <c r="E371" t="s">
        <v>55</v>
      </c>
      <c r="F371">
        <v>0</v>
      </c>
      <c r="G371">
        <v>0</v>
      </c>
      <c r="H371" s="19">
        <v>-1244993.1586255101</v>
      </c>
      <c r="I371" s="19">
        <v>0</v>
      </c>
      <c r="J371" s="19">
        <v>1244993.1586150001</v>
      </c>
      <c r="K371" s="19"/>
      <c r="L371" s="19"/>
      <c r="M371" s="19"/>
      <c r="N371" s="19"/>
      <c r="O371" s="19"/>
      <c r="P371" s="19">
        <f t="shared" si="5"/>
        <v>0</v>
      </c>
      <c r="Q371" s="19"/>
    </row>
    <row r="372" spans="1:17" hidden="1" x14ac:dyDescent="0.25">
      <c r="A372" t="s">
        <v>38</v>
      </c>
      <c r="B372" t="s">
        <v>4508</v>
      </c>
      <c r="C372" t="s">
        <v>4508</v>
      </c>
      <c r="D372" t="s">
        <v>4497</v>
      </c>
      <c r="E372" t="s">
        <v>55</v>
      </c>
      <c r="F372">
        <v>0</v>
      </c>
      <c r="G372">
        <v>0</v>
      </c>
      <c r="H372" s="19">
        <v>-22277.629999999899</v>
      </c>
      <c r="I372" s="19">
        <v>1.285971</v>
      </c>
      <c r="J372" s="19">
        <v>22277.629999000001</v>
      </c>
      <c r="K372" s="19">
        <v>1.244273</v>
      </c>
      <c r="L372" s="19">
        <v>4.1697999999999999E-2</v>
      </c>
      <c r="M372" s="19"/>
      <c r="N372" s="19"/>
      <c r="O372" s="19"/>
      <c r="P372" s="19">
        <f t="shared" si="5"/>
        <v>0</v>
      </c>
      <c r="Q372" s="19"/>
    </row>
    <row r="373" spans="1:17" hidden="1" x14ac:dyDescent="0.25">
      <c r="A373" t="s">
        <v>38</v>
      </c>
      <c r="B373" t="s">
        <v>4504</v>
      </c>
      <c r="C373" t="s">
        <v>4504</v>
      </c>
      <c r="D373" t="s">
        <v>4504</v>
      </c>
      <c r="E373" t="s">
        <v>55</v>
      </c>
      <c r="F373">
        <v>0</v>
      </c>
      <c r="G373">
        <v>0</v>
      </c>
      <c r="H373" s="19">
        <v>-20111460.2999999</v>
      </c>
      <c r="I373" s="19">
        <v>1853.414614</v>
      </c>
      <c r="J373" s="19">
        <v>20111460.299874</v>
      </c>
      <c r="K373" s="19">
        <v>618.44294200000002</v>
      </c>
      <c r="L373" s="19">
        <v>103.38000700000001</v>
      </c>
      <c r="M373" s="19">
        <v>1131.5916649999999</v>
      </c>
      <c r="N373" s="19"/>
      <c r="O373" s="19"/>
      <c r="P373" s="19">
        <f t="shared" si="5"/>
        <v>0</v>
      </c>
      <c r="Q373" s="19">
        <v>1</v>
      </c>
    </row>
    <row r="374" spans="1:17" hidden="1" x14ac:dyDescent="0.25">
      <c r="A374" t="s">
        <v>38</v>
      </c>
      <c r="B374" t="s">
        <v>4497</v>
      </c>
      <c r="C374" t="s">
        <v>4498</v>
      </c>
      <c r="D374" t="s">
        <v>4497</v>
      </c>
      <c r="E374" t="s">
        <v>55</v>
      </c>
      <c r="F374">
        <v>0</v>
      </c>
      <c r="G374">
        <v>0</v>
      </c>
      <c r="H374" s="19">
        <v>-986798.34999999905</v>
      </c>
      <c r="I374" s="19">
        <v>19.312951000000002</v>
      </c>
      <c r="J374" s="19">
        <v>986798.34996799997</v>
      </c>
      <c r="K374" s="19"/>
      <c r="L374" s="19">
        <v>19.312951000000002</v>
      </c>
      <c r="M374" s="19"/>
      <c r="N374" s="19"/>
      <c r="O374" s="19"/>
      <c r="P374" s="19">
        <f t="shared" si="5"/>
        <v>0</v>
      </c>
      <c r="Q374" s="19"/>
    </row>
    <row r="375" spans="1:17" hidden="1" x14ac:dyDescent="0.25">
      <c r="A375" t="s">
        <v>38</v>
      </c>
      <c r="B375" t="s">
        <v>4505</v>
      </c>
      <c r="C375" t="s">
        <v>4505</v>
      </c>
      <c r="D375" t="s">
        <v>4497</v>
      </c>
      <c r="E375" t="s">
        <v>55</v>
      </c>
      <c r="F375">
        <v>0</v>
      </c>
      <c r="G375">
        <v>0</v>
      </c>
      <c r="H375" s="19">
        <v>-69468823.491503805</v>
      </c>
      <c r="I375" s="19">
        <v>4539.0507459999999</v>
      </c>
      <c r="J375" s="19">
        <v>69468823.491470993</v>
      </c>
      <c r="K375" s="19">
        <v>712.56122300000004</v>
      </c>
      <c r="L375" s="19">
        <v>3826.4895230000002</v>
      </c>
      <c r="M375" s="19"/>
      <c r="N375" s="19"/>
      <c r="O375" s="19"/>
      <c r="P375" s="19">
        <f t="shared" si="5"/>
        <v>0</v>
      </c>
      <c r="Q375" s="19"/>
    </row>
    <row r="376" spans="1:17" hidden="1" x14ac:dyDescent="0.25">
      <c r="A376" t="s">
        <v>38</v>
      </c>
      <c r="B376" t="s">
        <v>4498</v>
      </c>
      <c r="C376" t="s">
        <v>4498</v>
      </c>
      <c r="D376" t="s">
        <v>4497</v>
      </c>
      <c r="E376" t="s">
        <v>55</v>
      </c>
      <c r="F376">
        <v>0</v>
      </c>
      <c r="G376">
        <v>0</v>
      </c>
      <c r="H376" s="19">
        <v>-324857.07999999903</v>
      </c>
      <c r="I376" s="19">
        <v>10.434585999999999</v>
      </c>
      <c r="J376" s="19">
        <v>324857.07999200001</v>
      </c>
      <c r="K376" s="19">
        <v>5.1537559999999996</v>
      </c>
      <c r="L376" s="19">
        <v>5.2808299999999999</v>
      </c>
      <c r="M376" s="19"/>
      <c r="N376" s="19"/>
      <c r="O376" s="19"/>
      <c r="P376" s="19">
        <f t="shared" si="5"/>
        <v>0</v>
      </c>
      <c r="Q376" s="19"/>
    </row>
    <row r="377" spans="1:17" hidden="1" x14ac:dyDescent="0.25">
      <c r="A377" t="s">
        <v>40</v>
      </c>
      <c r="B377" t="s">
        <v>4500</v>
      </c>
      <c r="C377" t="s">
        <v>4497</v>
      </c>
      <c r="D377" t="s">
        <v>4497</v>
      </c>
      <c r="E377" t="s">
        <v>55</v>
      </c>
      <c r="F377">
        <v>0</v>
      </c>
      <c r="G377">
        <v>0</v>
      </c>
      <c r="H377" s="19">
        <v>-1393028.70999999</v>
      </c>
      <c r="I377" s="19">
        <v>477.41302300000001</v>
      </c>
      <c r="J377" s="19">
        <v>1393028.709919</v>
      </c>
      <c r="K377" s="19">
        <v>477.41302300000001</v>
      </c>
      <c r="L377" s="19"/>
      <c r="M377" s="19"/>
      <c r="N377" s="19"/>
      <c r="O377" s="19"/>
      <c r="P377" s="19">
        <f t="shared" si="5"/>
        <v>0</v>
      </c>
      <c r="Q377" s="19"/>
    </row>
    <row r="378" spans="1:17" hidden="1" x14ac:dyDescent="0.25">
      <c r="A378" t="s">
        <v>40</v>
      </c>
      <c r="B378" t="s">
        <v>4498</v>
      </c>
      <c r="C378" t="s">
        <v>4497</v>
      </c>
      <c r="D378" t="s">
        <v>4497</v>
      </c>
      <c r="E378" t="s">
        <v>55</v>
      </c>
      <c r="F378">
        <v>0</v>
      </c>
      <c r="G378">
        <v>0</v>
      </c>
      <c r="H378" s="19">
        <v>-47912.5099999999</v>
      </c>
      <c r="I378" s="19">
        <v>5.9669059999999998</v>
      </c>
      <c r="J378" s="19">
        <v>47912.509999000002</v>
      </c>
      <c r="K378" s="19">
        <v>5.9669059999999998</v>
      </c>
      <c r="L378" s="19"/>
      <c r="M378" s="19"/>
      <c r="N378" s="19"/>
      <c r="O378" s="19"/>
      <c r="P378" s="19">
        <f t="shared" si="5"/>
        <v>0</v>
      </c>
      <c r="Q378" s="19"/>
    </row>
    <row r="379" spans="1:17" hidden="1" x14ac:dyDescent="0.25">
      <c r="A379" t="s">
        <v>40</v>
      </c>
      <c r="B379" t="s">
        <v>4505</v>
      </c>
      <c r="C379" t="s">
        <v>4505</v>
      </c>
      <c r="D379" t="s">
        <v>4497</v>
      </c>
      <c r="E379" t="s">
        <v>55</v>
      </c>
      <c r="F379">
        <v>0</v>
      </c>
      <c r="G379">
        <v>0</v>
      </c>
      <c r="H379" s="19">
        <v>-6119333.9799999902</v>
      </c>
      <c r="I379" s="19">
        <v>680.87107800000001</v>
      </c>
      <c r="J379" s="19">
        <v>6119333.979998</v>
      </c>
      <c r="K379" s="19">
        <v>106.88629899999999</v>
      </c>
      <c r="L379" s="19">
        <v>573.984779</v>
      </c>
      <c r="M379" s="19"/>
      <c r="N379" s="19"/>
      <c r="O379" s="19"/>
      <c r="P379" s="19">
        <f t="shared" si="5"/>
        <v>0</v>
      </c>
      <c r="Q379" s="19"/>
    </row>
    <row r="380" spans="1:17" hidden="1" x14ac:dyDescent="0.25">
      <c r="A380" t="s">
        <v>40</v>
      </c>
      <c r="B380" t="s">
        <v>4499</v>
      </c>
      <c r="C380" t="s">
        <v>4499</v>
      </c>
      <c r="D380" t="s">
        <v>4497</v>
      </c>
      <c r="E380" t="s">
        <v>55</v>
      </c>
      <c r="F380">
        <v>0</v>
      </c>
      <c r="G380">
        <v>0</v>
      </c>
      <c r="H380" s="19">
        <v>-357161.74999999901</v>
      </c>
      <c r="I380" s="19">
        <v>0</v>
      </c>
      <c r="J380" s="19">
        <v>357161.749992</v>
      </c>
      <c r="K380" s="19"/>
      <c r="L380" s="19"/>
      <c r="M380" s="19"/>
      <c r="N380" s="19"/>
      <c r="O380" s="19"/>
      <c r="P380" s="19">
        <f t="shared" si="5"/>
        <v>0</v>
      </c>
      <c r="Q380" s="19"/>
    </row>
    <row r="381" spans="1:17" hidden="1" x14ac:dyDescent="0.25">
      <c r="A381" t="s">
        <v>40</v>
      </c>
      <c r="B381" t="s">
        <v>4504</v>
      </c>
      <c r="C381" t="s">
        <v>4504</v>
      </c>
      <c r="D381" t="s">
        <v>4504</v>
      </c>
      <c r="E381" t="s">
        <v>55</v>
      </c>
      <c r="F381">
        <v>0</v>
      </c>
      <c r="G381">
        <v>0</v>
      </c>
      <c r="H381" s="19">
        <v>-13131853.7999999</v>
      </c>
      <c r="I381" s="19">
        <v>1209.6326819999999</v>
      </c>
      <c r="J381" s="19">
        <v>13131853.799981</v>
      </c>
      <c r="K381" s="19">
        <v>403.627342</v>
      </c>
      <c r="L381" s="19">
        <v>67.471247000000005</v>
      </c>
      <c r="M381" s="19">
        <v>738.53409299999998</v>
      </c>
      <c r="N381" s="19"/>
      <c r="O381" s="19"/>
      <c r="P381" s="19">
        <f t="shared" si="5"/>
        <v>0</v>
      </c>
      <c r="Q381" s="19">
        <v>1</v>
      </c>
    </row>
    <row r="382" spans="1:17" hidden="1" x14ac:dyDescent="0.25">
      <c r="A382" t="s">
        <v>40</v>
      </c>
      <c r="B382" t="s">
        <v>4503</v>
      </c>
      <c r="C382" t="s">
        <v>4503</v>
      </c>
      <c r="D382" t="s">
        <v>4497</v>
      </c>
      <c r="E382" t="s">
        <v>55</v>
      </c>
      <c r="F382">
        <v>0</v>
      </c>
      <c r="G382">
        <v>0</v>
      </c>
      <c r="H382" s="19">
        <v>-302872.78556491202</v>
      </c>
      <c r="I382" s="19">
        <v>2.1129099999999998</v>
      </c>
      <c r="J382" s="19">
        <v>302872.78556300001</v>
      </c>
      <c r="K382" s="19">
        <v>0.74759699999999996</v>
      </c>
      <c r="L382" s="19">
        <v>1.365313</v>
      </c>
      <c r="M382" s="19"/>
      <c r="N382" s="19"/>
      <c r="O382" s="19"/>
      <c r="P382" s="19">
        <f t="shared" si="5"/>
        <v>0</v>
      </c>
      <c r="Q382" s="19"/>
    </row>
    <row r="383" spans="1:17" hidden="1" x14ac:dyDescent="0.25">
      <c r="A383" t="s">
        <v>40</v>
      </c>
      <c r="B383" t="s">
        <v>4500</v>
      </c>
      <c r="C383" t="s">
        <v>4500</v>
      </c>
      <c r="D383" t="s">
        <v>4497</v>
      </c>
      <c r="E383" t="s">
        <v>55</v>
      </c>
      <c r="F383">
        <v>0</v>
      </c>
      <c r="G383">
        <v>0</v>
      </c>
      <c r="H383" s="19">
        <v>-79797.599999999904</v>
      </c>
      <c r="I383" s="19">
        <v>6.9852220000000003</v>
      </c>
      <c r="J383" s="19">
        <v>79797.599996999998</v>
      </c>
      <c r="K383" s="19">
        <v>3.5911200000000001</v>
      </c>
      <c r="L383" s="19">
        <v>3.3941020000000002</v>
      </c>
      <c r="M383" s="19"/>
      <c r="N383" s="19"/>
      <c r="O383" s="19"/>
      <c r="P383" s="19">
        <f t="shared" si="5"/>
        <v>0</v>
      </c>
      <c r="Q383" s="19"/>
    </row>
    <row r="384" spans="1:17" hidden="1" x14ac:dyDescent="0.25">
      <c r="A384" t="s">
        <v>40</v>
      </c>
      <c r="B384" t="s">
        <v>4496</v>
      </c>
      <c r="C384" t="s">
        <v>4496</v>
      </c>
      <c r="D384" t="s">
        <v>4497</v>
      </c>
      <c r="E384" t="s">
        <v>55</v>
      </c>
      <c r="F384">
        <v>0</v>
      </c>
      <c r="G384">
        <v>0</v>
      </c>
      <c r="H384" s="19">
        <v>-24253360.349999901</v>
      </c>
      <c r="I384" s="19">
        <v>25042.378835</v>
      </c>
      <c r="J384" s="19">
        <v>24253360.349994</v>
      </c>
      <c r="K384" s="19">
        <v>4053.5507600000001</v>
      </c>
      <c r="L384" s="19">
        <v>20988.828075000001</v>
      </c>
      <c r="M384" s="19"/>
      <c r="N384" s="19"/>
      <c r="O384" s="19"/>
      <c r="P384" s="19">
        <f t="shared" si="5"/>
        <v>0</v>
      </c>
      <c r="Q384" s="19"/>
    </row>
    <row r="385" spans="1:17" hidden="1" x14ac:dyDescent="0.25">
      <c r="A385" t="s">
        <v>40</v>
      </c>
      <c r="B385" t="s">
        <v>4497</v>
      </c>
      <c r="C385" t="s">
        <v>4498</v>
      </c>
      <c r="D385" t="s">
        <v>4497</v>
      </c>
      <c r="E385" t="s">
        <v>55</v>
      </c>
      <c r="F385">
        <v>0</v>
      </c>
      <c r="G385">
        <v>0</v>
      </c>
      <c r="H385" s="19">
        <v>-420931.34999999899</v>
      </c>
      <c r="I385" s="19">
        <v>10.145674</v>
      </c>
      <c r="J385" s="19">
        <v>420931.34998499998</v>
      </c>
      <c r="K385" s="19"/>
      <c r="L385" s="19">
        <v>10.145674</v>
      </c>
      <c r="M385" s="19"/>
      <c r="N385" s="19"/>
      <c r="O385" s="19"/>
      <c r="P385" s="19">
        <f t="shared" si="5"/>
        <v>0</v>
      </c>
      <c r="Q385" s="19"/>
    </row>
    <row r="386" spans="1:17" hidden="1" x14ac:dyDescent="0.25">
      <c r="A386" t="s">
        <v>40</v>
      </c>
      <c r="B386" t="s">
        <v>4497</v>
      </c>
      <c r="C386" t="s">
        <v>4500</v>
      </c>
      <c r="D386" t="s">
        <v>4497</v>
      </c>
      <c r="E386" t="s">
        <v>55</v>
      </c>
      <c r="F386">
        <v>0</v>
      </c>
      <c r="G386">
        <v>0</v>
      </c>
      <c r="H386" s="19">
        <v>-624256.44999999902</v>
      </c>
      <c r="I386" s="19">
        <v>11.158010000000001</v>
      </c>
      <c r="J386" s="19">
        <v>624256.44997700001</v>
      </c>
      <c r="K386" s="19"/>
      <c r="L386" s="19">
        <v>11.158010000000001</v>
      </c>
      <c r="M386" s="19"/>
      <c r="N386" s="19"/>
      <c r="O386" s="19"/>
      <c r="P386" s="19">
        <f t="shared" si="5"/>
        <v>0</v>
      </c>
      <c r="Q386" s="19"/>
    </row>
    <row r="387" spans="1:17" hidden="1" x14ac:dyDescent="0.25">
      <c r="A387" t="s">
        <v>40</v>
      </c>
      <c r="B387" t="s">
        <v>4498</v>
      </c>
      <c r="C387" t="s">
        <v>4498</v>
      </c>
      <c r="D387" t="s">
        <v>4497</v>
      </c>
      <c r="E387" t="s">
        <v>55</v>
      </c>
      <c r="F387">
        <v>0</v>
      </c>
      <c r="G387">
        <v>0</v>
      </c>
      <c r="H387" s="19">
        <v>-103783.97999999901</v>
      </c>
      <c r="I387" s="19">
        <v>6.326397</v>
      </c>
      <c r="J387" s="19">
        <v>103783.979999</v>
      </c>
      <c r="K387" s="19">
        <v>2.779776</v>
      </c>
      <c r="L387" s="19">
        <v>3.546621</v>
      </c>
      <c r="M387" s="19"/>
      <c r="N387" s="19"/>
      <c r="O387" s="19"/>
      <c r="P387" s="19">
        <f t="shared" si="5"/>
        <v>0</v>
      </c>
      <c r="Q387" s="19"/>
    </row>
    <row r="388" spans="1:17" hidden="1" x14ac:dyDescent="0.25">
      <c r="A388" t="s">
        <v>40</v>
      </c>
      <c r="B388" t="s">
        <v>4497</v>
      </c>
      <c r="C388" t="s">
        <v>4497</v>
      </c>
      <c r="D388" t="s">
        <v>4497</v>
      </c>
      <c r="E388" t="s">
        <v>55</v>
      </c>
      <c r="F388">
        <v>0</v>
      </c>
      <c r="G388">
        <v>0</v>
      </c>
      <c r="H388" s="19">
        <v>-2786716.5144350799</v>
      </c>
      <c r="I388" s="19">
        <v>0</v>
      </c>
      <c r="J388" s="19">
        <v>2786716.514434</v>
      </c>
      <c r="K388" s="19"/>
      <c r="L388" s="19"/>
      <c r="M388" s="19"/>
      <c r="N388" s="19"/>
      <c r="O388" s="19"/>
      <c r="P388" s="19">
        <f t="shared" ref="P388:P411" si="6">+O388-N388</f>
        <v>0</v>
      </c>
      <c r="Q388" s="19"/>
    </row>
    <row r="389" spans="1:17" hidden="1" x14ac:dyDescent="0.25">
      <c r="A389" t="s">
        <v>40</v>
      </c>
      <c r="B389" t="s">
        <v>4506</v>
      </c>
      <c r="C389" t="s">
        <v>4506</v>
      </c>
      <c r="D389" t="s">
        <v>4506</v>
      </c>
      <c r="E389" t="s">
        <v>55</v>
      </c>
      <c r="F389">
        <v>0</v>
      </c>
      <c r="G389">
        <v>0</v>
      </c>
      <c r="H389" s="19">
        <v>-37944935.019999899</v>
      </c>
      <c r="I389" s="19">
        <v>13344.214564</v>
      </c>
      <c r="J389" s="19">
        <v>37944935.019928999</v>
      </c>
      <c r="K389" s="19">
        <v>4452.6637650000002</v>
      </c>
      <c r="L389" s="19">
        <v>744.32200399999999</v>
      </c>
      <c r="M389" s="19">
        <v>8147.228795</v>
      </c>
      <c r="N389" s="19"/>
      <c r="O389" s="19"/>
      <c r="P389" s="19">
        <f t="shared" si="6"/>
        <v>0</v>
      </c>
      <c r="Q389" s="19"/>
    </row>
    <row r="390" spans="1:17" hidden="1" x14ac:dyDescent="0.25">
      <c r="A390" t="s">
        <v>59</v>
      </c>
      <c r="B390" t="s">
        <v>55</v>
      </c>
      <c r="C390" t="s">
        <v>55</v>
      </c>
      <c r="D390" t="s">
        <v>55</v>
      </c>
      <c r="E390" t="s">
        <v>55</v>
      </c>
      <c r="F390">
        <v>0</v>
      </c>
      <c r="G390">
        <v>0</v>
      </c>
      <c r="H390" s="19"/>
      <c r="I390" s="19">
        <v>0</v>
      </c>
      <c r="J390" s="19"/>
      <c r="K390" s="19"/>
      <c r="L390" s="19"/>
      <c r="M390" s="19"/>
      <c r="N390" s="19"/>
      <c r="O390" s="19"/>
      <c r="P390" s="19">
        <f t="shared" si="6"/>
        <v>0</v>
      </c>
      <c r="Q390" s="19"/>
    </row>
    <row r="391" spans="1:17" hidden="1" x14ac:dyDescent="0.25">
      <c r="A391" t="s">
        <v>59</v>
      </c>
      <c r="B391" t="s">
        <v>4497</v>
      </c>
      <c r="C391" t="s">
        <v>4498</v>
      </c>
      <c r="D391" t="s">
        <v>4497</v>
      </c>
      <c r="E391" t="s">
        <v>55</v>
      </c>
      <c r="F391">
        <v>0</v>
      </c>
      <c r="G391">
        <v>0</v>
      </c>
      <c r="H391" s="19">
        <v>-91951.729999999894</v>
      </c>
      <c r="I391" s="19">
        <v>2.8357579999999998</v>
      </c>
      <c r="J391" s="19">
        <v>91951.729997000002</v>
      </c>
      <c r="K391" s="19"/>
      <c r="L391" s="19">
        <v>2.8357579999999998</v>
      </c>
      <c r="M391" s="19"/>
      <c r="N391" s="19"/>
      <c r="O391" s="19"/>
      <c r="P391" s="19">
        <f t="shared" si="6"/>
        <v>0</v>
      </c>
      <c r="Q391" s="19"/>
    </row>
    <row r="392" spans="1:17" hidden="1" x14ac:dyDescent="0.25">
      <c r="A392" t="s">
        <v>59</v>
      </c>
      <c r="B392" t="s">
        <v>4504</v>
      </c>
      <c r="C392" t="s">
        <v>4504</v>
      </c>
      <c r="D392" t="s">
        <v>4504</v>
      </c>
      <c r="E392" t="s">
        <v>55</v>
      </c>
      <c r="F392">
        <v>0</v>
      </c>
      <c r="G392">
        <v>0</v>
      </c>
      <c r="H392" s="19">
        <v>-10221771.949999901</v>
      </c>
      <c r="I392" s="19">
        <v>969.43594099999996</v>
      </c>
      <c r="J392" s="19">
        <v>10221771.949949</v>
      </c>
      <c r="K392" s="19">
        <v>312.11271299999999</v>
      </c>
      <c r="L392" s="19">
        <v>54.697448999999999</v>
      </c>
      <c r="M392" s="19">
        <v>602.62577899999997</v>
      </c>
      <c r="N392" s="19"/>
      <c r="O392" s="19"/>
      <c r="P392" s="19">
        <f t="shared" si="6"/>
        <v>0</v>
      </c>
      <c r="Q392" s="19">
        <v>1</v>
      </c>
    </row>
    <row r="393" spans="1:17" hidden="1" x14ac:dyDescent="0.25">
      <c r="A393" t="s">
        <v>59</v>
      </c>
      <c r="B393" t="s">
        <v>4500</v>
      </c>
      <c r="C393" t="s">
        <v>4497</v>
      </c>
      <c r="D393" t="s">
        <v>4497</v>
      </c>
      <c r="E393" t="s">
        <v>55</v>
      </c>
      <c r="F393">
        <v>0</v>
      </c>
      <c r="G393">
        <v>0</v>
      </c>
      <c r="H393" s="19">
        <v>-550652.71999999904</v>
      </c>
      <c r="I393" s="19">
        <v>52.571691999999999</v>
      </c>
      <c r="J393" s="19">
        <v>550652.71996000002</v>
      </c>
      <c r="K393" s="19">
        <v>52.571691999999999</v>
      </c>
      <c r="L393" s="19"/>
      <c r="M393" s="19"/>
      <c r="N393" s="19"/>
      <c r="O393" s="19"/>
      <c r="P393" s="19">
        <f t="shared" si="6"/>
        <v>0</v>
      </c>
      <c r="Q393" s="19"/>
    </row>
    <row r="394" spans="1:17" hidden="1" x14ac:dyDescent="0.25">
      <c r="A394" t="s">
        <v>59</v>
      </c>
      <c r="B394" t="s">
        <v>4496</v>
      </c>
      <c r="C394" t="s">
        <v>4496</v>
      </c>
      <c r="D394" t="s">
        <v>4497</v>
      </c>
      <c r="E394" t="s">
        <v>55</v>
      </c>
      <c r="F394">
        <v>0</v>
      </c>
      <c r="G394">
        <v>0</v>
      </c>
      <c r="H394" s="19">
        <v>-2537349.5399999898</v>
      </c>
      <c r="I394" s="19">
        <v>52.46904</v>
      </c>
      <c r="J394" s="19">
        <v>2537349.539998</v>
      </c>
      <c r="K394" s="19">
        <v>14.580314</v>
      </c>
      <c r="L394" s="19">
        <v>37.888725999999998</v>
      </c>
      <c r="M394" s="19"/>
      <c r="N394" s="19"/>
      <c r="O394" s="19"/>
      <c r="P394" s="19">
        <f t="shared" si="6"/>
        <v>0</v>
      </c>
      <c r="Q394" s="19"/>
    </row>
    <row r="395" spans="1:17" hidden="1" x14ac:dyDescent="0.25">
      <c r="A395" t="s">
        <v>59</v>
      </c>
      <c r="B395" t="s">
        <v>4503</v>
      </c>
      <c r="C395" t="s">
        <v>4503</v>
      </c>
      <c r="D395" t="s">
        <v>4497</v>
      </c>
      <c r="E395" t="s">
        <v>55</v>
      </c>
      <c r="F395">
        <v>0</v>
      </c>
      <c r="G395">
        <v>0</v>
      </c>
      <c r="H395" s="19">
        <v>-255399.87</v>
      </c>
      <c r="I395" s="19">
        <v>0.36042999999999997</v>
      </c>
      <c r="J395" s="19">
        <v>255399.87</v>
      </c>
      <c r="K395" s="19">
        <v>0.15009800000000001</v>
      </c>
      <c r="L395" s="19">
        <v>0.21033199999999999</v>
      </c>
      <c r="M395" s="19"/>
      <c r="N395" s="19"/>
      <c r="O395" s="19"/>
      <c r="P395" s="19">
        <f t="shared" si="6"/>
        <v>0</v>
      </c>
      <c r="Q395" s="19"/>
    </row>
    <row r="396" spans="1:17" hidden="1" x14ac:dyDescent="0.25">
      <c r="A396" t="s">
        <v>59</v>
      </c>
      <c r="B396" t="s">
        <v>4499</v>
      </c>
      <c r="C396" t="s">
        <v>4499</v>
      </c>
      <c r="D396" t="s">
        <v>4499</v>
      </c>
      <c r="E396" t="s">
        <v>55</v>
      </c>
      <c r="F396">
        <v>0</v>
      </c>
      <c r="G396">
        <v>0</v>
      </c>
      <c r="H396" s="19">
        <v>1630549.15</v>
      </c>
      <c r="I396" s="19">
        <v>0</v>
      </c>
      <c r="J396" s="19">
        <v>-1630549.15</v>
      </c>
      <c r="K396" s="19"/>
      <c r="L396" s="19"/>
      <c r="M396" s="19"/>
      <c r="N396" s="19"/>
      <c r="O396" s="19"/>
      <c r="P396" s="19">
        <f t="shared" si="6"/>
        <v>0</v>
      </c>
      <c r="Q396" s="19"/>
    </row>
    <row r="397" spans="1:17" hidden="1" x14ac:dyDescent="0.25">
      <c r="A397" t="s">
        <v>59</v>
      </c>
      <c r="B397" t="s">
        <v>4500</v>
      </c>
      <c r="C397" t="s">
        <v>4500</v>
      </c>
      <c r="D397" t="s">
        <v>4497</v>
      </c>
      <c r="E397" t="s">
        <v>55</v>
      </c>
      <c r="F397">
        <v>0</v>
      </c>
      <c r="G397">
        <v>0</v>
      </c>
      <c r="H397" s="19">
        <v>-163138.84999999899</v>
      </c>
      <c r="I397" s="19">
        <v>7.9138260000000002</v>
      </c>
      <c r="J397" s="19">
        <v>163138.84999300001</v>
      </c>
      <c r="K397" s="19">
        <v>4.2790549999999996</v>
      </c>
      <c r="L397" s="19">
        <v>3.6347710000000002</v>
      </c>
      <c r="M397" s="19"/>
      <c r="N397" s="19"/>
      <c r="O397" s="19"/>
      <c r="P397" s="19">
        <f t="shared" si="6"/>
        <v>0</v>
      </c>
      <c r="Q397" s="19"/>
    </row>
    <row r="398" spans="1:17" hidden="1" x14ac:dyDescent="0.25">
      <c r="A398" t="s">
        <v>59</v>
      </c>
      <c r="B398" t="s">
        <v>4497</v>
      </c>
      <c r="C398" t="s">
        <v>4500</v>
      </c>
      <c r="D398" t="s">
        <v>4497</v>
      </c>
      <c r="E398" t="s">
        <v>55</v>
      </c>
      <c r="F398">
        <v>0</v>
      </c>
      <c r="G398">
        <v>0</v>
      </c>
      <c r="H398" s="19">
        <v>-647861.24999999895</v>
      </c>
      <c r="I398" s="19">
        <v>13.882593</v>
      </c>
      <c r="J398" s="19">
        <v>647861.24997400003</v>
      </c>
      <c r="K398" s="19"/>
      <c r="L398" s="19">
        <v>13.882593</v>
      </c>
      <c r="M398" s="19"/>
      <c r="N398" s="19"/>
      <c r="O398" s="19"/>
      <c r="P398" s="19">
        <f t="shared" si="6"/>
        <v>0</v>
      </c>
      <c r="Q398" s="19"/>
    </row>
    <row r="399" spans="1:17" hidden="1" x14ac:dyDescent="0.25">
      <c r="A399" t="s">
        <v>59</v>
      </c>
      <c r="B399" t="s">
        <v>4498</v>
      </c>
      <c r="C399" t="s">
        <v>4498</v>
      </c>
      <c r="D399" t="s">
        <v>4497</v>
      </c>
      <c r="E399" t="s">
        <v>55</v>
      </c>
      <c r="F399">
        <v>0</v>
      </c>
      <c r="G399">
        <v>0</v>
      </c>
      <c r="H399" s="19">
        <v>-57204.559999999903</v>
      </c>
      <c r="I399" s="19">
        <v>2.5887389999999999</v>
      </c>
      <c r="J399" s="19">
        <v>57204.559998999997</v>
      </c>
      <c r="K399" s="19">
        <v>1.4754389999999999</v>
      </c>
      <c r="L399" s="19">
        <v>1.1133</v>
      </c>
      <c r="M399" s="19"/>
      <c r="N399" s="19"/>
      <c r="O399" s="19"/>
      <c r="P399" s="19">
        <f t="shared" si="6"/>
        <v>0</v>
      </c>
      <c r="Q399" s="19"/>
    </row>
    <row r="400" spans="1:17" hidden="1" x14ac:dyDescent="0.25">
      <c r="A400" t="s">
        <v>59</v>
      </c>
      <c r="B400" t="s">
        <v>4498</v>
      </c>
      <c r="C400" t="s">
        <v>4497</v>
      </c>
      <c r="D400" t="s">
        <v>4497</v>
      </c>
      <c r="E400" t="s">
        <v>55</v>
      </c>
      <c r="F400">
        <v>0</v>
      </c>
      <c r="G400">
        <v>0</v>
      </c>
      <c r="H400" s="19">
        <v>-183044.639999999</v>
      </c>
      <c r="I400" s="19">
        <v>12.528650000000001</v>
      </c>
      <c r="J400" s="19">
        <v>183044.63999500001</v>
      </c>
      <c r="K400" s="19">
        <v>12.528650000000001</v>
      </c>
      <c r="L400" s="19"/>
      <c r="M400" s="19"/>
      <c r="N400" s="19"/>
      <c r="O400" s="19"/>
      <c r="P400" s="19">
        <f t="shared" si="6"/>
        <v>0</v>
      </c>
      <c r="Q400" s="19"/>
    </row>
    <row r="401" spans="1:17" hidden="1" x14ac:dyDescent="0.25">
      <c r="A401" t="s">
        <v>59</v>
      </c>
      <c r="B401" t="s">
        <v>4505</v>
      </c>
      <c r="C401" t="s">
        <v>4505</v>
      </c>
      <c r="D401" t="s">
        <v>4497</v>
      </c>
      <c r="E401" t="s">
        <v>55</v>
      </c>
      <c r="F401">
        <v>0</v>
      </c>
      <c r="G401">
        <v>0</v>
      </c>
      <c r="H401" s="19">
        <v>-3887730.6167148598</v>
      </c>
      <c r="I401" s="19">
        <v>892.87276799999995</v>
      </c>
      <c r="J401" s="19">
        <v>3887730.6167100002</v>
      </c>
      <c r="K401" s="19">
        <v>140.167306</v>
      </c>
      <c r="L401" s="19">
        <v>752.70546200000001</v>
      </c>
      <c r="M401" s="19"/>
      <c r="N401" s="19"/>
      <c r="O401" s="19"/>
      <c r="P401" s="19">
        <f t="shared" si="6"/>
        <v>0</v>
      </c>
      <c r="Q401" s="19"/>
    </row>
    <row r="402" spans="1:17" hidden="1" x14ac:dyDescent="0.25">
      <c r="A402" t="s">
        <v>59</v>
      </c>
      <c r="B402" t="s">
        <v>4497</v>
      </c>
      <c r="C402" t="s">
        <v>4497</v>
      </c>
      <c r="D402" t="s">
        <v>4497</v>
      </c>
      <c r="E402" t="s">
        <v>55</v>
      </c>
      <c r="F402">
        <v>0</v>
      </c>
      <c r="G402">
        <v>0</v>
      </c>
      <c r="H402" s="19">
        <v>-75117.153285133099</v>
      </c>
      <c r="I402" s="19">
        <v>0</v>
      </c>
      <c r="J402" s="19">
        <v>75117.153281000006</v>
      </c>
      <c r="K402" s="19"/>
      <c r="L402" s="19"/>
      <c r="M402" s="19"/>
      <c r="N402" s="19"/>
      <c r="O402" s="19"/>
      <c r="P402" s="19">
        <f t="shared" si="6"/>
        <v>0</v>
      </c>
      <c r="Q402" s="19"/>
    </row>
    <row r="403" spans="1:17" hidden="1" x14ac:dyDescent="0.25">
      <c r="A403" t="s">
        <v>59</v>
      </c>
      <c r="B403" t="s">
        <v>4506</v>
      </c>
      <c r="C403" t="s">
        <v>4506</v>
      </c>
      <c r="D403" t="s">
        <v>4506</v>
      </c>
      <c r="E403" t="s">
        <v>55</v>
      </c>
      <c r="F403">
        <v>0</v>
      </c>
      <c r="G403">
        <v>0</v>
      </c>
      <c r="H403" s="19">
        <v>-20264177.989999902</v>
      </c>
      <c r="I403" s="19">
        <v>7316.8090730000004</v>
      </c>
      <c r="J403" s="19">
        <v>20264177.989937998</v>
      </c>
      <c r="K403" s="19">
        <v>2053.0499439999999</v>
      </c>
      <c r="L403" s="19">
        <v>413.86741699999999</v>
      </c>
      <c r="M403" s="19">
        <v>4849.8917119999996</v>
      </c>
      <c r="N403" s="19"/>
      <c r="O403" s="19"/>
      <c r="P403" s="19">
        <f t="shared" si="6"/>
        <v>0</v>
      </c>
      <c r="Q403" s="19"/>
    </row>
    <row r="404" spans="1:17" hidden="1" x14ac:dyDescent="0.25">
      <c r="A404" t="s">
        <v>52</v>
      </c>
      <c r="B404" t="s">
        <v>4504</v>
      </c>
      <c r="C404" t="s">
        <v>4504</v>
      </c>
      <c r="D404" t="s">
        <v>4504</v>
      </c>
      <c r="E404" t="s">
        <v>55</v>
      </c>
      <c r="F404">
        <v>0</v>
      </c>
      <c r="G404">
        <v>0</v>
      </c>
      <c r="H404" s="19">
        <v>-393.02</v>
      </c>
      <c r="I404" s="19">
        <v>3.5892E-2</v>
      </c>
      <c r="J404" s="19">
        <v>393.02</v>
      </c>
      <c r="K404" s="19">
        <v>1.1976000000000001E-2</v>
      </c>
      <c r="L404" s="19">
        <v>1.9980000000000002E-3</v>
      </c>
      <c r="M404" s="19">
        <v>2.1918E-2</v>
      </c>
      <c r="N404" s="19"/>
      <c r="O404" s="19"/>
      <c r="P404" s="19">
        <f t="shared" si="6"/>
        <v>0</v>
      </c>
      <c r="Q404" s="19">
        <v>1</v>
      </c>
    </row>
    <row r="405" spans="1:17" hidden="1" x14ac:dyDescent="0.25">
      <c r="A405" t="s">
        <v>52</v>
      </c>
      <c r="B405" t="s">
        <v>4506</v>
      </c>
      <c r="C405" t="s">
        <v>4506</v>
      </c>
      <c r="D405" t="s">
        <v>4506</v>
      </c>
      <c r="E405" t="s">
        <v>55</v>
      </c>
      <c r="F405">
        <v>0</v>
      </c>
      <c r="G405">
        <v>0</v>
      </c>
      <c r="H405" s="19">
        <v>-52086.45</v>
      </c>
      <c r="I405" s="19">
        <v>17.358926</v>
      </c>
      <c r="J405" s="19">
        <v>52086.45</v>
      </c>
      <c r="K405" s="19">
        <v>5.7922830000000003</v>
      </c>
      <c r="L405" s="19">
        <v>0.96825499999999998</v>
      </c>
      <c r="M405" s="19">
        <v>10.598388</v>
      </c>
      <c r="N405" s="19"/>
      <c r="O405" s="19"/>
      <c r="P405" s="19">
        <f t="shared" si="6"/>
        <v>0</v>
      </c>
      <c r="Q405" s="19"/>
    </row>
    <row r="406" spans="1:17" hidden="1" x14ac:dyDescent="0.25">
      <c r="A406" t="s">
        <v>52</v>
      </c>
      <c r="B406" t="s">
        <v>4503</v>
      </c>
      <c r="C406" t="s">
        <v>4503</v>
      </c>
      <c r="D406" t="s">
        <v>4497</v>
      </c>
      <c r="E406" t="s">
        <v>55</v>
      </c>
      <c r="F406">
        <v>0</v>
      </c>
      <c r="G406">
        <v>0</v>
      </c>
      <c r="H406" s="19">
        <v>-85231.11</v>
      </c>
      <c r="I406" s="19">
        <v>0.11197600000000001</v>
      </c>
      <c r="J406" s="19">
        <v>85231.11</v>
      </c>
      <c r="K406" s="19">
        <v>4.6190000000000002E-2</v>
      </c>
      <c r="L406" s="19">
        <v>6.5785999999999997E-2</v>
      </c>
      <c r="M406" s="19"/>
      <c r="N406" s="19"/>
      <c r="O406" s="19"/>
      <c r="P406" s="19">
        <f t="shared" si="6"/>
        <v>0</v>
      </c>
      <c r="Q406" s="19"/>
    </row>
    <row r="407" spans="1:17" hidden="1" x14ac:dyDescent="0.25">
      <c r="A407" t="s">
        <v>43</v>
      </c>
      <c r="B407" t="s">
        <v>4499</v>
      </c>
      <c r="C407" t="s">
        <v>4499</v>
      </c>
      <c r="D407" t="s">
        <v>4499</v>
      </c>
      <c r="E407" t="s">
        <v>55</v>
      </c>
      <c r="F407">
        <v>0</v>
      </c>
      <c r="G407">
        <v>0</v>
      </c>
      <c r="H407" s="19">
        <v>-19992939.690000001</v>
      </c>
      <c r="I407" s="19">
        <v>0</v>
      </c>
      <c r="J407" s="19">
        <v>19992939.690000001</v>
      </c>
      <c r="K407" s="19"/>
      <c r="L407" s="19"/>
      <c r="M407" s="19"/>
      <c r="N407" s="19"/>
      <c r="O407" s="19"/>
      <c r="P407" s="19">
        <f t="shared" si="6"/>
        <v>0</v>
      </c>
      <c r="Q407" s="19"/>
    </row>
    <row r="408" spans="1:17" hidden="1" x14ac:dyDescent="0.25">
      <c r="A408" t="s">
        <v>43</v>
      </c>
      <c r="B408" t="s">
        <v>4506</v>
      </c>
      <c r="C408" t="s">
        <v>4506</v>
      </c>
      <c r="D408" t="s">
        <v>4506</v>
      </c>
      <c r="E408" t="s">
        <v>55</v>
      </c>
      <c r="F408">
        <v>0</v>
      </c>
      <c r="G408">
        <v>0</v>
      </c>
      <c r="H408" s="19">
        <v>-153986.26</v>
      </c>
      <c r="I408" s="19">
        <v>82.869743</v>
      </c>
      <c r="J408" s="19">
        <v>153986.26</v>
      </c>
      <c r="K408" s="19">
        <v>27.651768000000001</v>
      </c>
      <c r="L408" s="19">
        <v>4.6222649999999996</v>
      </c>
      <c r="M408" s="19">
        <v>50.595709999999997</v>
      </c>
      <c r="N408" s="19"/>
      <c r="O408" s="19"/>
      <c r="P408" s="19">
        <f t="shared" si="6"/>
        <v>0</v>
      </c>
      <c r="Q408" s="19"/>
    </row>
    <row r="409" spans="1:17" hidden="1" x14ac:dyDescent="0.25">
      <c r="A409" t="s">
        <v>43</v>
      </c>
      <c r="B409" t="s">
        <v>4504</v>
      </c>
      <c r="C409" t="s">
        <v>4504</v>
      </c>
      <c r="D409" t="s">
        <v>4504</v>
      </c>
      <c r="E409" t="s">
        <v>55</v>
      </c>
      <c r="F409">
        <v>0</v>
      </c>
      <c r="G409">
        <v>0</v>
      </c>
      <c r="H409" s="19">
        <v>-86718793.409999996</v>
      </c>
      <c r="I409" s="19">
        <v>7633.5875729999998</v>
      </c>
      <c r="J409" s="19">
        <v>86718793.409999996</v>
      </c>
      <c r="K409" s="19">
        <v>2524.4562420000002</v>
      </c>
      <c r="L409" s="19">
        <v>411.06406900000002</v>
      </c>
      <c r="M409" s="19">
        <v>4698.0672619999996</v>
      </c>
      <c r="N409" s="19"/>
      <c r="O409" s="19"/>
      <c r="P409" s="19">
        <f t="shared" si="6"/>
        <v>0</v>
      </c>
      <c r="Q409" s="19">
        <v>1</v>
      </c>
    </row>
    <row r="410" spans="1:17" hidden="1" x14ac:dyDescent="0.25">
      <c r="B410" t="s">
        <v>4499</v>
      </c>
      <c r="C410" t="s">
        <v>4499</v>
      </c>
      <c r="D410" t="s">
        <v>4499</v>
      </c>
      <c r="E410" t="s">
        <v>55</v>
      </c>
      <c r="F410">
        <v>0</v>
      </c>
      <c r="G410">
        <v>0</v>
      </c>
      <c r="H410" s="19">
        <v>-113017.05</v>
      </c>
      <c r="I410" s="19">
        <v>0</v>
      </c>
      <c r="J410" s="19">
        <v>113017.05</v>
      </c>
      <c r="K410" s="19"/>
      <c r="L410" s="19"/>
      <c r="M410" s="19"/>
      <c r="N410" s="19"/>
      <c r="O410" s="19"/>
      <c r="P410" s="19">
        <f t="shared" si="6"/>
        <v>0</v>
      </c>
      <c r="Q410" s="19"/>
    </row>
    <row r="411" spans="1:17" hidden="1" x14ac:dyDescent="0.25">
      <c r="B411" t="s">
        <v>55</v>
      </c>
      <c r="C411" t="s">
        <v>55</v>
      </c>
      <c r="D411" t="s">
        <v>55</v>
      </c>
      <c r="E411" t="s">
        <v>55</v>
      </c>
      <c r="F411">
        <v>0</v>
      </c>
      <c r="G411">
        <v>0</v>
      </c>
      <c r="H411" s="19"/>
      <c r="I411" s="19">
        <v>0</v>
      </c>
      <c r="J411" s="19"/>
      <c r="K411" s="19"/>
      <c r="L411" s="19"/>
      <c r="M411" s="19"/>
      <c r="N411" s="19"/>
      <c r="O411" s="19"/>
      <c r="P411" s="19">
        <f t="shared" si="6"/>
        <v>0</v>
      </c>
      <c r="Q411" s="19"/>
    </row>
  </sheetData>
  <autoFilter ref="A2:Q411">
    <filterColumn colId="0">
      <filters>
        <filter val="A"/>
      </filters>
    </filterColumn>
  </autoFilter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9"/>
  <sheetViews>
    <sheetView topLeftCell="E5" workbookViewId="0">
      <selection activeCell="L6" sqref="L6"/>
    </sheetView>
  </sheetViews>
  <sheetFormatPr defaultColWidth="8.85546875" defaultRowHeight="12.75" x14ac:dyDescent="0.2"/>
  <cols>
    <col min="1" max="1" width="4.42578125" style="23" customWidth="1"/>
    <col min="2" max="2" width="3.140625" style="23" customWidth="1"/>
    <col min="3" max="3" width="110.5703125" style="23" customWidth="1"/>
    <col min="4" max="4" width="21.5703125" style="23" customWidth="1"/>
    <col min="5" max="5" width="27" style="23" bestFit="1" customWidth="1"/>
    <col min="6" max="13" width="21.5703125" style="23" customWidth="1"/>
    <col min="14" max="14" width="23.5703125" style="23" customWidth="1"/>
    <col min="15" max="18" width="21" style="23" customWidth="1"/>
    <col min="19" max="19" width="17.42578125" style="23" bestFit="1" customWidth="1"/>
    <col min="20" max="21" width="8.85546875" style="23"/>
    <col min="22" max="22" width="11.28515625" style="23" bestFit="1" customWidth="1"/>
    <col min="23" max="16384" width="8.85546875" style="23"/>
  </cols>
  <sheetData>
    <row r="2" spans="1:22" ht="15" x14ac:dyDescent="0.25">
      <c r="C2" s="24" t="s">
        <v>4344</v>
      </c>
    </row>
    <row r="3" spans="1:22" ht="15" customHeight="1" x14ac:dyDescent="0.2">
      <c r="C3" s="25" t="s">
        <v>4345</v>
      </c>
      <c r="D3" s="26" t="s">
        <v>4346</v>
      </c>
      <c r="E3" s="26" t="s">
        <v>4347</v>
      </c>
      <c r="F3" s="26" t="s">
        <v>4348</v>
      </c>
      <c r="G3" s="26" t="s">
        <v>4349</v>
      </c>
      <c r="H3" s="26" t="s">
        <v>4350</v>
      </c>
      <c r="I3" s="26" t="s">
        <v>4351</v>
      </c>
      <c r="J3" s="26" t="s">
        <v>4352</v>
      </c>
      <c r="K3" s="26" t="s">
        <v>4353</v>
      </c>
      <c r="L3" s="26" t="s">
        <v>4354</v>
      </c>
      <c r="M3" s="26" t="s">
        <v>4355</v>
      </c>
      <c r="N3" s="26" t="s">
        <v>4356</v>
      </c>
      <c r="O3" s="26" t="s">
        <v>4357</v>
      </c>
      <c r="P3" s="26" t="s">
        <v>4358</v>
      </c>
      <c r="Q3" s="26" t="s">
        <v>4359</v>
      </c>
      <c r="R3" s="26" t="s">
        <v>4360</v>
      </c>
      <c r="S3" s="26" t="s">
        <v>4361</v>
      </c>
    </row>
    <row r="4" spans="1:22" ht="76.5" customHeight="1" x14ac:dyDescent="0.2">
      <c r="C4" s="27"/>
      <c r="D4" s="95" t="s">
        <v>4362</v>
      </c>
      <c r="E4" s="96"/>
      <c r="F4" s="96"/>
      <c r="G4" s="96"/>
      <c r="H4" s="97"/>
      <c r="I4" s="95" t="s">
        <v>4363</v>
      </c>
      <c r="J4" s="96"/>
      <c r="K4" s="97"/>
      <c r="L4" s="95" t="s">
        <v>4364</v>
      </c>
      <c r="M4" s="97"/>
      <c r="N4" s="91" t="s">
        <v>4365</v>
      </c>
      <c r="O4" s="91" t="s">
        <v>4366</v>
      </c>
      <c r="P4" s="91" t="s">
        <v>4367</v>
      </c>
      <c r="Q4" s="91" t="s">
        <v>4368</v>
      </c>
      <c r="R4" s="93" t="s">
        <v>4369</v>
      </c>
      <c r="S4" s="91" t="s">
        <v>4370</v>
      </c>
    </row>
    <row r="5" spans="1:22" ht="102" x14ac:dyDescent="0.2">
      <c r="C5" s="27"/>
      <c r="D5" s="28"/>
      <c r="E5" s="29" t="s">
        <v>4371</v>
      </c>
      <c r="F5" s="29" t="s">
        <v>4372</v>
      </c>
      <c r="G5" s="30" t="s">
        <v>4373</v>
      </c>
      <c r="H5" s="30" t="s">
        <v>4374</v>
      </c>
      <c r="I5" s="31"/>
      <c r="J5" s="29" t="s">
        <v>4375</v>
      </c>
      <c r="K5" s="29" t="s">
        <v>4374</v>
      </c>
      <c r="L5" s="32"/>
      <c r="M5" s="33" t="s">
        <v>4376</v>
      </c>
      <c r="N5" s="92"/>
      <c r="O5" s="92"/>
      <c r="P5" s="92"/>
      <c r="Q5" s="92"/>
      <c r="R5" s="94"/>
      <c r="S5" s="92"/>
    </row>
    <row r="6" spans="1:22" x14ac:dyDescent="0.2">
      <c r="B6" s="34">
        <v>1</v>
      </c>
      <c r="C6" s="35" t="s">
        <v>4377</v>
      </c>
      <c r="D6" s="36">
        <v>9547.2459899999994</v>
      </c>
      <c r="E6" s="36">
        <v>36.816486999999995</v>
      </c>
      <c r="F6" s="36">
        <v>129.12492100000003</v>
      </c>
      <c r="G6" s="36">
        <v>853.59692699999994</v>
      </c>
      <c r="H6" s="36">
        <v>400.68492599999996</v>
      </c>
      <c r="I6" s="36">
        <v>-321.20209499999999</v>
      </c>
      <c r="J6" s="36">
        <v>-43.288942000000006</v>
      </c>
      <c r="K6" s="36">
        <v>-260.53892400000001</v>
      </c>
      <c r="L6" s="37">
        <v>6701116</v>
      </c>
      <c r="M6" s="37">
        <v>3889502</v>
      </c>
      <c r="N6" s="38">
        <v>7.618158504820649E-2</v>
      </c>
      <c r="O6" s="36">
        <v>7294.8836790000005</v>
      </c>
      <c r="P6" s="36">
        <v>1257.213696</v>
      </c>
      <c r="Q6" s="36">
        <v>931.49854099999993</v>
      </c>
      <c r="R6" s="36">
        <v>63.650073000000006</v>
      </c>
      <c r="S6" s="39">
        <v>4</v>
      </c>
      <c r="U6" s="69">
        <f>+D6</f>
        <v>9547.2459899999994</v>
      </c>
      <c r="V6" s="69">
        <f>+L6</f>
        <v>6701116</v>
      </c>
    </row>
    <row r="7" spans="1:22" x14ac:dyDescent="0.2">
      <c r="A7" s="40" t="s">
        <v>57</v>
      </c>
      <c r="B7" s="34">
        <v>2</v>
      </c>
      <c r="C7" s="41" t="s">
        <v>4378</v>
      </c>
      <c r="D7" s="42">
        <v>348.64756</v>
      </c>
      <c r="E7" s="42">
        <v>0</v>
      </c>
      <c r="F7" s="42">
        <v>4.8106000000000003E-2</v>
      </c>
      <c r="G7" s="42">
        <v>45.154885</v>
      </c>
      <c r="H7" s="42">
        <v>25.925782000000002</v>
      </c>
      <c r="I7" s="42">
        <v>-8.085153</v>
      </c>
      <c r="J7" s="42">
        <v>-2.4145840000000001</v>
      </c>
      <c r="K7" s="42">
        <v>-5.0365399999999996</v>
      </c>
      <c r="L7" s="43">
        <v>1136823</v>
      </c>
      <c r="M7" s="43">
        <v>97707</v>
      </c>
      <c r="N7" s="44">
        <v>2.322898077243341E-3</v>
      </c>
      <c r="O7" s="45">
        <v>223.551188</v>
      </c>
      <c r="P7" s="45">
        <v>65.941243999999998</v>
      </c>
      <c r="Q7" s="45">
        <v>59.155127999999998</v>
      </c>
      <c r="R7" s="45">
        <v>0</v>
      </c>
      <c r="S7" s="46">
        <v>5</v>
      </c>
      <c r="U7" s="69">
        <f t="shared" ref="U7:U61" si="0">+D7</f>
        <v>348.64756</v>
      </c>
      <c r="V7" s="69">
        <f t="shared" ref="V7:V61" si="1">+L7</f>
        <v>1136823</v>
      </c>
    </row>
    <row r="8" spans="1:22" x14ac:dyDescent="0.2">
      <c r="A8" s="40" t="s">
        <v>45</v>
      </c>
      <c r="B8" s="34">
        <v>3</v>
      </c>
      <c r="C8" s="41" t="s">
        <v>4379</v>
      </c>
      <c r="D8" s="42">
        <v>14.118758</v>
      </c>
      <c r="E8" s="42">
        <v>0</v>
      </c>
      <c r="F8" s="42">
        <v>9.2E-5</v>
      </c>
      <c r="G8" s="42">
        <v>2.0182220000000002</v>
      </c>
      <c r="H8" s="42">
        <v>1.8096859999999999</v>
      </c>
      <c r="I8" s="42">
        <v>-1.2030460000000001</v>
      </c>
      <c r="J8" s="42">
        <v>-0.116567</v>
      </c>
      <c r="K8" s="42">
        <v>-1.057855</v>
      </c>
      <c r="L8" s="43">
        <v>37741</v>
      </c>
      <c r="M8" s="43">
        <v>6072</v>
      </c>
      <c r="N8" s="44">
        <v>4.8631755937140801E-5</v>
      </c>
      <c r="O8" s="45">
        <v>13.19721</v>
      </c>
      <c r="P8" s="45">
        <v>0.92154800000000003</v>
      </c>
      <c r="Q8" s="45">
        <v>0</v>
      </c>
      <c r="R8" s="45">
        <v>0</v>
      </c>
      <c r="S8" s="46">
        <v>2</v>
      </c>
      <c r="U8" s="69">
        <f t="shared" si="0"/>
        <v>14.118758</v>
      </c>
      <c r="V8" s="69">
        <f t="shared" si="1"/>
        <v>37741</v>
      </c>
    </row>
    <row r="9" spans="1:22" x14ac:dyDescent="0.2">
      <c r="A9" s="40" t="s">
        <v>4380</v>
      </c>
      <c r="B9" s="34">
        <v>4</v>
      </c>
      <c r="C9" s="47" t="s">
        <v>4381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3">
        <v>0</v>
      </c>
      <c r="M9" s="43">
        <v>0</v>
      </c>
      <c r="N9" s="44">
        <v>0</v>
      </c>
      <c r="O9" s="45">
        <v>0</v>
      </c>
      <c r="P9" s="45">
        <v>0</v>
      </c>
      <c r="Q9" s="45">
        <v>0</v>
      </c>
      <c r="R9" s="45">
        <v>0</v>
      </c>
      <c r="S9" s="46">
        <v>0</v>
      </c>
      <c r="U9" s="69">
        <f t="shared" si="0"/>
        <v>0</v>
      </c>
      <c r="V9" s="69">
        <f t="shared" si="1"/>
        <v>0</v>
      </c>
    </row>
    <row r="10" spans="1:22" x14ac:dyDescent="0.2">
      <c r="A10" s="40" t="s">
        <v>4382</v>
      </c>
      <c r="B10" s="34">
        <v>5</v>
      </c>
      <c r="C10" s="47" t="s">
        <v>4383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3">
        <v>0</v>
      </c>
      <c r="M10" s="43">
        <v>0</v>
      </c>
      <c r="N10" s="44">
        <v>0</v>
      </c>
      <c r="O10" s="45">
        <v>0</v>
      </c>
      <c r="P10" s="45">
        <v>0</v>
      </c>
      <c r="Q10" s="45">
        <v>0</v>
      </c>
      <c r="R10" s="45">
        <v>0</v>
      </c>
      <c r="S10" s="46">
        <v>0</v>
      </c>
      <c r="U10" s="69">
        <f t="shared" si="0"/>
        <v>0</v>
      </c>
      <c r="V10" s="69">
        <f t="shared" si="1"/>
        <v>0</v>
      </c>
    </row>
    <row r="11" spans="1:22" x14ac:dyDescent="0.2">
      <c r="A11" s="40" t="s">
        <v>4384</v>
      </c>
      <c r="B11" s="34">
        <v>6</v>
      </c>
      <c r="C11" s="47" t="s">
        <v>4385</v>
      </c>
      <c r="D11" s="42">
        <v>0.10184600000000001</v>
      </c>
      <c r="E11" s="42">
        <v>0</v>
      </c>
      <c r="F11" s="42">
        <v>0</v>
      </c>
      <c r="G11" s="42">
        <v>0</v>
      </c>
      <c r="H11" s="42">
        <v>0</v>
      </c>
      <c r="I11" s="42">
        <v>-3.8999999999999999E-5</v>
      </c>
      <c r="J11" s="42">
        <v>0</v>
      </c>
      <c r="K11" s="42">
        <v>0</v>
      </c>
      <c r="L11" s="43">
        <v>65</v>
      </c>
      <c r="M11" s="43">
        <v>24</v>
      </c>
      <c r="N11" s="44">
        <v>0</v>
      </c>
      <c r="O11" s="45">
        <v>0.10184600000000001</v>
      </c>
      <c r="P11" s="45">
        <v>0</v>
      </c>
      <c r="Q11" s="45">
        <v>0</v>
      </c>
      <c r="R11" s="45">
        <v>0</v>
      </c>
      <c r="S11" s="46">
        <v>0</v>
      </c>
      <c r="U11" s="69">
        <f t="shared" si="0"/>
        <v>0.10184600000000001</v>
      </c>
      <c r="V11" s="69">
        <f t="shared" si="1"/>
        <v>65</v>
      </c>
    </row>
    <row r="12" spans="1:22" x14ac:dyDescent="0.2">
      <c r="A12" s="40" t="s">
        <v>4386</v>
      </c>
      <c r="B12" s="34">
        <v>7</v>
      </c>
      <c r="C12" s="47" t="s">
        <v>4387</v>
      </c>
      <c r="D12" s="42">
        <v>13.962026</v>
      </c>
      <c r="E12" s="42">
        <v>0</v>
      </c>
      <c r="F12" s="42">
        <v>9.2E-5</v>
      </c>
      <c r="G12" s="42">
        <v>1.963875</v>
      </c>
      <c r="H12" s="42">
        <v>1.809156</v>
      </c>
      <c r="I12" s="42">
        <v>-1.201902</v>
      </c>
      <c r="J12" s="42">
        <v>-0.115934</v>
      </c>
      <c r="K12" s="42">
        <v>-1.0573840000000001</v>
      </c>
      <c r="L12" s="43">
        <v>37641</v>
      </c>
      <c r="M12" s="43">
        <v>6035</v>
      </c>
      <c r="N12" s="44">
        <v>4.9177677283510417E-5</v>
      </c>
      <c r="O12" s="45">
        <v>13.040478</v>
      </c>
      <c r="P12" s="45">
        <v>0.92154800000000003</v>
      </c>
      <c r="Q12" s="45">
        <v>0</v>
      </c>
      <c r="R12" s="45">
        <v>0</v>
      </c>
      <c r="S12" s="46">
        <v>2</v>
      </c>
      <c r="U12" s="69">
        <f t="shared" si="0"/>
        <v>13.962026</v>
      </c>
      <c r="V12" s="69">
        <f t="shared" si="1"/>
        <v>37641</v>
      </c>
    </row>
    <row r="13" spans="1:22" x14ac:dyDescent="0.2">
      <c r="A13" s="40" t="s">
        <v>4388</v>
      </c>
      <c r="B13" s="34">
        <v>8</v>
      </c>
      <c r="C13" s="47" t="s">
        <v>4389</v>
      </c>
      <c r="D13" s="42">
        <v>5.4886999999999998E-2</v>
      </c>
      <c r="E13" s="42">
        <v>0</v>
      </c>
      <c r="F13" s="42">
        <v>0</v>
      </c>
      <c r="G13" s="42">
        <v>5.4348E-2</v>
      </c>
      <c r="H13" s="42">
        <v>5.2999999999999998E-4</v>
      </c>
      <c r="I13" s="42">
        <v>-1.1050000000000001E-3</v>
      </c>
      <c r="J13" s="42">
        <v>-6.3299999999999999E-4</v>
      </c>
      <c r="K13" s="42">
        <v>-4.7100000000000001E-4</v>
      </c>
      <c r="L13" s="43">
        <v>36</v>
      </c>
      <c r="M13" s="43">
        <v>13</v>
      </c>
      <c r="N13" s="44">
        <v>0</v>
      </c>
      <c r="O13" s="45">
        <v>5.4886999999999998E-2</v>
      </c>
      <c r="P13" s="45">
        <v>0</v>
      </c>
      <c r="Q13" s="45">
        <v>0</v>
      </c>
      <c r="R13" s="45">
        <v>0</v>
      </c>
      <c r="S13" s="46">
        <v>2</v>
      </c>
      <c r="U13" s="69">
        <f t="shared" si="0"/>
        <v>5.4886999999999998E-2</v>
      </c>
      <c r="V13" s="69">
        <f t="shared" si="1"/>
        <v>36</v>
      </c>
    </row>
    <row r="14" spans="1:22" x14ac:dyDescent="0.2">
      <c r="A14" s="40" t="s">
        <v>53</v>
      </c>
      <c r="B14" s="34">
        <v>9</v>
      </c>
      <c r="C14" s="41" t="s">
        <v>4390</v>
      </c>
      <c r="D14" s="42">
        <v>2311.6609600000002</v>
      </c>
      <c r="E14" s="42">
        <v>0.20968300000000001</v>
      </c>
      <c r="F14" s="42">
        <v>10.032239000000001</v>
      </c>
      <c r="G14" s="42">
        <v>237.216475</v>
      </c>
      <c r="H14" s="42">
        <v>84.608832000000007</v>
      </c>
      <c r="I14" s="42">
        <v>-74.901349999999994</v>
      </c>
      <c r="J14" s="42">
        <v>-10.927852</v>
      </c>
      <c r="K14" s="42">
        <v>-59.252307999999999</v>
      </c>
      <c r="L14" s="43">
        <v>2075162</v>
      </c>
      <c r="M14" s="43">
        <v>1574170</v>
      </c>
      <c r="N14" s="44">
        <v>5.2647942150593909E-2</v>
      </c>
      <c r="O14" s="45">
        <v>2089.3961239999999</v>
      </c>
      <c r="P14" s="45">
        <v>174.11267000000001</v>
      </c>
      <c r="Q14" s="45">
        <v>48.116587000000003</v>
      </c>
      <c r="R14" s="45">
        <v>3.5577999999999999E-2</v>
      </c>
      <c r="S14" s="46">
        <v>2</v>
      </c>
      <c r="U14" s="69">
        <f t="shared" si="0"/>
        <v>2311.6609600000002</v>
      </c>
      <c r="V14" s="69">
        <f t="shared" si="1"/>
        <v>2075162</v>
      </c>
    </row>
    <row r="15" spans="1:22" x14ac:dyDescent="0.2">
      <c r="A15" s="40" t="s">
        <v>4391</v>
      </c>
      <c r="B15" s="34">
        <v>10</v>
      </c>
      <c r="C15" s="47" t="s">
        <v>4392</v>
      </c>
      <c r="D15" s="42">
        <v>314.64138100000002</v>
      </c>
      <c r="E15" s="42">
        <v>0</v>
      </c>
      <c r="F15" s="42">
        <v>0</v>
      </c>
      <c r="G15" s="42">
        <v>31.937245000000001</v>
      </c>
      <c r="H15" s="42">
        <v>10.73584</v>
      </c>
      <c r="I15" s="42">
        <v>-8.7563490000000002</v>
      </c>
      <c r="J15" s="42">
        <v>-1.6800930000000001</v>
      </c>
      <c r="K15" s="42">
        <v>-6.2359239999999998</v>
      </c>
      <c r="L15" s="43">
        <v>391597</v>
      </c>
      <c r="M15" s="43">
        <v>341601</v>
      </c>
      <c r="N15" s="44">
        <v>4.7957339801246286E-2</v>
      </c>
      <c r="O15" s="45">
        <v>272.61080399999997</v>
      </c>
      <c r="P15" s="45">
        <v>25.146231</v>
      </c>
      <c r="Q15" s="45">
        <v>16.884346000000001</v>
      </c>
      <c r="R15" s="45">
        <v>0</v>
      </c>
      <c r="S15" s="46">
        <v>2</v>
      </c>
      <c r="U15" s="69">
        <f t="shared" si="0"/>
        <v>314.64138100000002</v>
      </c>
      <c r="V15" s="69">
        <f t="shared" si="1"/>
        <v>391597</v>
      </c>
    </row>
    <row r="16" spans="1:22" x14ac:dyDescent="0.2">
      <c r="A16" s="40" t="s">
        <v>4393</v>
      </c>
      <c r="B16" s="34">
        <v>11</v>
      </c>
      <c r="C16" s="47" t="s">
        <v>4394</v>
      </c>
      <c r="D16" s="42">
        <v>235.604253</v>
      </c>
      <c r="E16" s="42">
        <v>0</v>
      </c>
      <c r="F16" s="42">
        <v>0</v>
      </c>
      <c r="G16" s="42">
        <v>7.2782499999999999</v>
      </c>
      <c r="H16" s="42">
        <v>0.35555599999999998</v>
      </c>
      <c r="I16" s="42">
        <v>-0.96314100000000002</v>
      </c>
      <c r="J16" s="42">
        <v>-0.41774299999999998</v>
      </c>
      <c r="K16" s="42">
        <v>-0.27662399999999998</v>
      </c>
      <c r="L16" s="43">
        <v>137620</v>
      </c>
      <c r="M16" s="43">
        <v>104248</v>
      </c>
      <c r="N16" s="44">
        <v>1.1620140280325555E-3</v>
      </c>
      <c r="O16" s="45">
        <v>173.30136100000001</v>
      </c>
      <c r="P16" s="45">
        <v>61.492992999999998</v>
      </c>
      <c r="Q16" s="45">
        <v>0.80989900000000004</v>
      </c>
      <c r="R16" s="45">
        <v>0</v>
      </c>
      <c r="S16" s="46">
        <v>2</v>
      </c>
      <c r="U16" s="69">
        <f t="shared" si="0"/>
        <v>235.604253</v>
      </c>
      <c r="V16" s="69">
        <f t="shared" si="1"/>
        <v>137620</v>
      </c>
    </row>
    <row r="17" spans="1:22" x14ac:dyDescent="0.2">
      <c r="A17" s="40" t="s">
        <v>4395</v>
      </c>
      <c r="B17" s="34">
        <v>12</v>
      </c>
      <c r="C17" s="47" t="s">
        <v>4396</v>
      </c>
      <c r="D17" s="42">
        <v>3.372252</v>
      </c>
      <c r="E17" s="42">
        <v>0</v>
      </c>
      <c r="F17" s="42">
        <v>0</v>
      </c>
      <c r="G17" s="42">
        <v>0</v>
      </c>
      <c r="H17" s="42">
        <v>0</v>
      </c>
      <c r="I17" s="42">
        <v>-5.1609999999999998E-3</v>
      </c>
      <c r="J17" s="42">
        <v>0</v>
      </c>
      <c r="K17" s="42">
        <v>0</v>
      </c>
      <c r="L17" s="43">
        <v>8560</v>
      </c>
      <c r="M17" s="43">
        <v>7523</v>
      </c>
      <c r="N17" s="44">
        <v>0.18258829274708313</v>
      </c>
      <c r="O17" s="45">
        <v>3.372252</v>
      </c>
      <c r="P17" s="45">
        <v>0</v>
      </c>
      <c r="Q17" s="45">
        <v>0</v>
      </c>
      <c r="R17" s="45">
        <v>0</v>
      </c>
      <c r="S17" s="46">
        <v>0</v>
      </c>
      <c r="U17" s="69">
        <f t="shared" si="0"/>
        <v>3.372252</v>
      </c>
      <c r="V17" s="69">
        <f t="shared" si="1"/>
        <v>8560</v>
      </c>
    </row>
    <row r="18" spans="1:22" x14ac:dyDescent="0.2">
      <c r="A18" s="40" t="s">
        <v>4397</v>
      </c>
      <c r="B18" s="34">
        <v>13</v>
      </c>
      <c r="C18" s="47" t="s">
        <v>4398</v>
      </c>
      <c r="D18" s="42">
        <v>101.489519</v>
      </c>
      <c r="E18" s="42">
        <v>0</v>
      </c>
      <c r="F18" s="42">
        <v>0</v>
      </c>
      <c r="G18" s="42">
        <v>15.990182000000001</v>
      </c>
      <c r="H18" s="42">
        <v>4.6158049999999999</v>
      </c>
      <c r="I18" s="42">
        <v>-4.8957160000000002</v>
      </c>
      <c r="J18" s="42">
        <v>-0.96970000000000001</v>
      </c>
      <c r="K18" s="42">
        <v>-3.5419399999999999</v>
      </c>
      <c r="L18" s="43">
        <v>36307</v>
      </c>
      <c r="M18" s="43">
        <v>29046</v>
      </c>
      <c r="N18" s="44">
        <v>0</v>
      </c>
      <c r="O18" s="45">
        <v>97.686887999999996</v>
      </c>
      <c r="P18" s="45">
        <v>3.3691960000000001</v>
      </c>
      <c r="Q18" s="45">
        <v>0.43343500000000001</v>
      </c>
      <c r="R18" s="45">
        <v>0</v>
      </c>
      <c r="S18" s="46">
        <v>2</v>
      </c>
      <c r="U18" s="69">
        <f t="shared" si="0"/>
        <v>101.489519</v>
      </c>
      <c r="V18" s="69">
        <f t="shared" si="1"/>
        <v>36307</v>
      </c>
    </row>
    <row r="19" spans="1:22" x14ac:dyDescent="0.2">
      <c r="A19" s="40" t="s">
        <v>4399</v>
      </c>
      <c r="B19" s="34">
        <v>14</v>
      </c>
      <c r="C19" s="47" t="s">
        <v>4400</v>
      </c>
      <c r="D19" s="42">
        <v>88.722936000000004</v>
      </c>
      <c r="E19" s="42">
        <v>0</v>
      </c>
      <c r="F19" s="42">
        <v>3.9490000000000003E-3</v>
      </c>
      <c r="G19" s="42">
        <v>14.298197</v>
      </c>
      <c r="H19" s="42">
        <v>8.9752410000000005</v>
      </c>
      <c r="I19" s="42">
        <v>-7.0558079999999999</v>
      </c>
      <c r="J19" s="42">
        <v>-0.83468500000000001</v>
      </c>
      <c r="K19" s="42">
        <v>-5.9773550000000002</v>
      </c>
      <c r="L19" s="43">
        <v>59408</v>
      </c>
      <c r="M19" s="43">
        <v>47506</v>
      </c>
      <c r="N19" s="44">
        <v>1.0801882400106228E-2</v>
      </c>
      <c r="O19" s="45">
        <v>77.941907</v>
      </c>
      <c r="P19" s="45">
        <v>8.5534890000000008</v>
      </c>
      <c r="Q19" s="45">
        <v>2.2275399999999999</v>
      </c>
      <c r="R19" s="45">
        <v>0</v>
      </c>
      <c r="S19" s="46">
        <v>2</v>
      </c>
      <c r="U19" s="69">
        <f t="shared" si="0"/>
        <v>88.722936000000004</v>
      </c>
      <c r="V19" s="69">
        <f t="shared" si="1"/>
        <v>59408</v>
      </c>
    </row>
    <row r="20" spans="1:22" x14ac:dyDescent="0.2">
      <c r="A20" s="40" t="s">
        <v>4401</v>
      </c>
      <c r="B20" s="34">
        <v>15</v>
      </c>
      <c r="C20" s="47" t="s">
        <v>4402</v>
      </c>
      <c r="D20" s="42">
        <v>50.922330000000002</v>
      </c>
      <c r="E20" s="42">
        <v>0</v>
      </c>
      <c r="F20" s="42">
        <v>0</v>
      </c>
      <c r="G20" s="42">
        <v>10.953735999999999</v>
      </c>
      <c r="H20" s="42">
        <v>6.669848</v>
      </c>
      <c r="I20" s="42">
        <v>-5.630331</v>
      </c>
      <c r="J20" s="42">
        <v>-0.67959599999999998</v>
      </c>
      <c r="K20" s="42">
        <v>-4.7625409999999997</v>
      </c>
      <c r="L20" s="43">
        <v>30277</v>
      </c>
      <c r="M20" s="43">
        <v>24249</v>
      </c>
      <c r="N20" s="44">
        <v>0</v>
      </c>
      <c r="O20" s="45">
        <v>47.612816000000002</v>
      </c>
      <c r="P20" s="45">
        <v>2.2573449999999999</v>
      </c>
      <c r="Q20" s="45">
        <v>1.05217</v>
      </c>
      <c r="R20" s="45">
        <v>0</v>
      </c>
      <c r="S20" s="46">
        <v>2</v>
      </c>
      <c r="U20" s="69">
        <f t="shared" si="0"/>
        <v>50.922330000000002</v>
      </c>
      <c r="V20" s="69">
        <f t="shared" si="1"/>
        <v>30277</v>
      </c>
    </row>
    <row r="21" spans="1:22" x14ac:dyDescent="0.2">
      <c r="A21" s="40" t="s">
        <v>4403</v>
      </c>
      <c r="B21" s="34">
        <v>16</v>
      </c>
      <c r="C21" s="47" t="s">
        <v>4404</v>
      </c>
      <c r="D21" s="42">
        <v>108.148797</v>
      </c>
      <c r="E21" s="42">
        <v>0</v>
      </c>
      <c r="F21" s="42">
        <v>0.79076900000000006</v>
      </c>
      <c r="G21" s="42">
        <v>12.641683</v>
      </c>
      <c r="H21" s="42">
        <v>4.7279600000000004</v>
      </c>
      <c r="I21" s="42">
        <v>-4.4207700000000001</v>
      </c>
      <c r="J21" s="42">
        <v>-0.64576699999999998</v>
      </c>
      <c r="K21" s="42">
        <v>-3.513293</v>
      </c>
      <c r="L21" s="43">
        <v>63532</v>
      </c>
      <c r="M21" s="43">
        <v>46764</v>
      </c>
      <c r="N21" s="44">
        <v>0.13263361903105608</v>
      </c>
      <c r="O21" s="45">
        <v>104.477114</v>
      </c>
      <c r="P21" s="45">
        <v>3.0905450000000001</v>
      </c>
      <c r="Q21" s="45">
        <v>0.58113700000000001</v>
      </c>
      <c r="R21" s="45">
        <v>0</v>
      </c>
      <c r="S21" s="46">
        <v>1</v>
      </c>
      <c r="U21" s="69">
        <f t="shared" si="0"/>
        <v>108.148797</v>
      </c>
      <c r="V21" s="69">
        <f t="shared" si="1"/>
        <v>63532</v>
      </c>
    </row>
    <row r="22" spans="1:22" x14ac:dyDescent="0.2">
      <c r="A22" s="40" t="s">
        <v>4405</v>
      </c>
      <c r="B22" s="34">
        <v>17</v>
      </c>
      <c r="C22" s="47" t="s">
        <v>4406</v>
      </c>
      <c r="D22" s="42">
        <v>121.851944</v>
      </c>
      <c r="E22" s="42">
        <v>0</v>
      </c>
      <c r="F22" s="42">
        <v>2.4324840000000001</v>
      </c>
      <c r="G22" s="42">
        <v>1.5631930000000001</v>
      </c>
      <c r="H22" s="42">
        <v>0.36395899999999998</v>
      </c>
      <c r="I22" s="42">
        <v>-0.36735699999999999</v>
      </c>
      <c r="J22" s="42">
        <v>-4.2548999999999997E-2</v>
      </c>
      <c r="K22" s="42">
        <v>-0.23669999999999999</v>
      </c>
      <c r="L22" s="43">
        <v>116006</v>
      </c>
      <c r="M22" s="43">
        <v>53244</v>
      </c>
      <c r="N22" s="44">
        <v>0.12624235204535392</v>
      </c>
      <c r="O22" s="45">
        <v>120.711794</v>
      </c>
      <c r="P22" s="45">
        <v>0.63944800000000002</v>
      </c>
      <c r="Q22" s="45">
        <v>0.50070099999999995</v>
      </c>
      <c r="R22" s="45">
        <v>0</v>
      </c>
      <c r="S22" s="46">
        <v>0</v>
      </c>
      <c r="U22" s="69">
        <f t="shared" si="0"/>
        <v>121.851944</v>
      </c>
      <c r="V22" s="69">
        <f t="shared" si="1"/>
        <v>116006</v>
      </c>
    </row>
    <row r="23" spans="1:22" x14ac:dyDescent="0.2">
      <c r="A23" s="40" t="s">
        <v>4407</v>
      </c>
      <c r="B23" s="34">
        <v>18</v>
      </c>
      <c r="C23" s="47" t="s">
        <v>4408</v>
      </c>
      <c r="D23" s="42">
        <v>27.673173999999999</v>
      </c>
      <c r="E23" s="42">
        <v>0</v>
      </c>
      <c r="F23" s="42">
        <v>0</v>
      </c>
      <c r="G23" s="42">
        <v>5.9054260000000003</v>
      </c>
      <c r="H23" s="42">
        <v>2.302562</v>
      </c>
      <c r="I23" s="42">
        <v>-2.3065769999999999</v>
      </c>
      <c r="J23" s="42">
        <v>-0.25159700000000002</v>
      </c>
      <c r="K23" s="42">
        <v>-1.990769</v>
      </c>
      <c r="L23" s="43">
        <v>14053</v>
      </c>
      <c r="M23" s="43">
        <v>9855</v>
      </c>
      <c r="N23" s="44">
        <v>0</v>
      </c>
      <c r="O23" s="45">
        <v>24.488330999999999</v>
      </c>
      <c r="P23" s="45">
        <v>1.6692070000000001</v>
      </c>
      <c r="Q23" s="45">
        <v>1.515636</v>
      </c>
      <c r="R23" s="45">
        <v>0</v>
      </c>
      <c r="S23" s="46">
        <v>3</v>
      </c>
      <c r="U23" s="69">
        <f t="shared" si="0"/>
        <v>27.673173999999999</v>
      </c>
      <c r="V23" s="69">
        <f t="shared" si="1"/>
        <v>14053</v>
      </c>
    </row>
    <row r="24" spans="1:22" x14ac:dyDescent="0.2">
      <c r="A24" s="40" t="s">
        <v>4409</v>
      </c>
      <c r="B24" s="34">
        <v>19</v>
      </c>
      <c r="C24" s="47" t="s">
        <v>4410</v>
      </c>
      <c r="D24" s="42">
        <v>0.45280100000000001</v>
      </c>
      <c r="E24" s="42">
        <v>0.108331</v>
      </c>
      <c r="F24" s="42">
        <v>1.1509999999999999E-3</v>
      </c>
      <c r="G24" s="42">
        <v>0.16450699999999999</v>
      </c>
      <c r="H24" s="42">
        <v>1.168E-3</v>
      </c>
      <c r="I24" s="42">
        <v>-4.1219999999999998E-3</v>
      </c>
      <c r="J24" s="42">
        <v>-2.117E-3</v>
      </c>
      <c r="K24" s="42">
        <v>-1.013E-3</v>
      </c>
      <c r="L24" s="43">
        <v>700</v>
      </c>
      <c r="M24" s="43">
        <v>400</v>
      </c>
      <c r="N24" s="44">
        <v>0</v>
      </c>
      <c r="O24" s="45">
        <v>0.45280100000000001</v>
      </c>
      <c r="P24" s="45">
        <v>0</v>
      </c>
      <c r="Q24" s="45">
        <v>0</v>
      </c>
      <c r="R24" s="45">
        <v>0</v>
      </c>
      <c r="S24" s="46">
        <v>2</v>
      </c>
      <c r="U24" s="69">
        <f t="shared" si="0"/>
        <v>0.45280100000000001</v>
      </c>
      <c r="V24" s="69">
        <f t="shared" si="1"/>
        <v>700</v>
      </c>
    </row>
    <row r="25" spans="1:22" x14ac:dyDescent="0.2">
      <c r="A25" s="40" t="s">
        <v>4411</v>
      </c>
      <c r="B25" s="34">
        <v>20</v>
      </c>
      <c r="C25" s="47" t="s">
        <v>4412</v>
      </c>
      <c r="D25" s="42">
        <v>133.27030199999999</v>
      </c>
      <c r="E25" s="42">
        <v>0.101352</v>
      </c>
      <c r="F25" s="42">
        <v>2.1410999999999999E-2</v>
      </c>
      <c r="G25" s="42">
        <v>11.134779999999999</v>
      </c>
      <c r="H25" s="42">
        <v>1.4952859999999999</v>
      </c>
      <c r="I25" s="42">
        <v>-1.7701899999999999</v>
      </c>
      <c r="J25" s="42">
        <v>-0.61497999999999997</v>
      </c>
      <c r="K25" s="42">
        <v>-0.91666099999999995</v>
      </c>
      <c r="L25" s="43">
        <v>132984</v>
      </c>
      <c r="M25" s="43">
        <v>75759</v>
      </c>
      <c r="N25" s="44">
        <v>3.5517767026224958E-3</v>
      </c>
      <c r="O25" s="45">
        <v>127.81242</v>
      </c>
      <c r="P25" s="45">
        <v>3.987269</v>
      </c>
      <c r="Q25" s="45">
        <v>1.4706129999999999</v>
      </c>
      <c r="R25" s="45">
        <v>0</v>
      </c>
      <c r="S25" s="46">
        <v>1</v>
      </c>
      <c r="U25" s="69">
        <f t="shared" si="0"/>
        <v>133.27030199999999</v>
      </c>
      <c r="V25" s="69">
        <f t="shared" si="1"/>
        <v>132984</v>
      </c>
    </row>
    <row r="26" spans="1:22" x14ac:dyDescent="0.2">
      <c r="A26" s="40" t="s">
        <v>4413</v>
      </c>
      <c r="B26" s="34">
        <v>21</v>
      </c>
      <c r="C26" s="47" t="s">
        <v>4414</v>
      </c>
      <c r="D26" s="42">
        <v>39.412751</v>
      </c>
      <c r="E26" s="42">
        <v>0</v>
      </c>
      <c r="F26" s="42">
        <v>0</v>
      </c>
      <c r="G26" s="42">
        <v>0.930064</v>
      </c>
      <c r="H26" s="42">
        <v>1.63E-4</v>
      </c>
      <c r="I26" s="42">
        <v>-6.3755999999999993E-2</v>
      </c>
      <c r="J26" s="42">
        <v>-2.5706E-2</v>
      </c>
      <c r="K26" s="42">
        <v>-1E-4</v>
      </c>
      <c r="L26" s="43">
        <v>26907</v>
      </c>
      <c r="M26" s="43">
        <v>15331</v>
      </c>
      <c r="N26" s="44">
        <v>3.7384887546919139E-3</v>
      </c>
      <c r="O26" s="45">
        <v>36.725107999999999</v>
      </c>
      <c r="P26" s="45">
        <v>2.687643</v>
      </c>
      <c r="Q26" s="45">
        <v>0</v>
      </c>
      <c r="R26" s="45">
        <v>0</v>
      </c>
      <c r="S26" s="46">
        <v>1</v>
      </c>
      <c r="U26" s="69">
        <f t="shared" si="0"/>
        <v>39.412751</v>
      </c>
      <c r="V26" s="69">
        <f t="shared" si="1"/>
        <v>26907</v>
      </c>
    </row>
    <row r="27" spans="1:22" x14ac:dyDescent="0.2">
      <c r="A27" s="40" t="s">
        <v>4415</v>
      </c>
      <c r="B27" s="34">
        <v>22</v>
      </c>
      <c r="C27" s="47" t="s">
        <v>4416</v>
      </c>
      <c r="D27" s="42">
        <v>95.247184000000004</v>
      </c>
      <c r="E27" s="42">
        <v>0</v>
      </c>
      <c r="F27" s="42">
        <v>2.7E-2</v>
      </c>
      <c r="G27" s="42">
        <v>22.701315000000001</v>
      </c>
      <c r="H27" s="42">
        <v>4.1722929999999998</v>
      </c>
      <c r="I27" s="42">
        <v>-2.945875</v>
      </c>
      <c r="J27" s="42">
        <v>-0.43121100000000001</v>
      </c>
      <c r="K27" s="42">
        <v>-2.3241290000000001</v>
      </c>
      <c r="L27" s="43">
        <v>77946</v>
      </c>
      <c r="M27" s="43">
        <v>44406</v>
      </c>
      <c r="N27" s="44">
        <v>1.3339696633302958E-3</v>
      </c>
      <c r="O27" s="45">
        <v>86.420587999999995</v>
      </c>
      <c r="P27" s="45">
        <v>6.6765040000000004</v>
      </c>
      <c r="Q27" s="45">
        <v>2.1500910000000002</v>
      </c>
      <c r="R27" s="45">
        <v>0</v>
      </c>
      <c r="S27" s="46">
        <v>2</v>
      </c>
      <c r="U27" s="69">
        <f t="shared" si="0"/>
        <v>95.247184000000004</v>
      </c>
      <c r="V27" s="69">
        <f t="shared" si="1"/>
        <v>77946</v>
      </c>
    </row>
    <row r="28" spans="1:22" x14ac:dyDescent="0.2">
      <c r="A28" s="40" t="s">
        <v>4417</v>
      </c>
      <c r="B28" s="34">
        <v>23</v>
      </c>
      <c r="C28" s="47" t="s">
        <v>4418</v>
      </c>
      <c r="D28" s="42">
        <v>214.717017</v>
      </c>
      <c r="E28" s="42">
        <v>0</v>
      </c>
      <c r="F28" s="42">
        <v>0.42135099999999998</v>
      </c>
      <c r="G28" s="42">
        <v>8.9056309999999996</v>
      </c>
      <c r="H28" s="42">
        <v>6.4233739999999999</v>
      </c>
      <c r="I28" s="42">
        <v>-6.2766409999999997</v>
      </c>
      <c r="J28" s="42">
        <v>-0.46853099999999998</v>
      </c>
      <c r="K28" s="42">
        <v>-5.5868330000000004</v>
      </c>
      <c r="L28" s="43">
        <v>170572</v>
      </c>
      <c r="M28" s="43">
        <v>70249</v>
      </c>
      <c r="N28" s="44">
        <v>1.1188135190373065E-2</v>
      </c>
      <c r="O28" s="45">
        <v>193.009446</v>
      </c>
      <c r="P28" s="45">
        <v>19.860071999999999</v>
      </c>
      <c r="Q28" s="45">
        <v>1.847499</v>
      </c>
      <c r="R28" s="45">
        <v>0</v>
      </c>
      <c r="S28" s="46">
        <v>1</v>
      </c>
      <c r="U28" s="69">
        <f t="shared" si="0"/>
        <v>214.717017</v>
      </c>
      <c r="V28" s="69">
        <f t="shared" si="1"/>
        <v>170572</v>
      </c>
    </row>
    <row r="29" spans="1:22" x14ac:dyDescent="0.2">
      <c r="A29" s="40" t="s">
        <v>4419</v>
      </c>
      <c r="B29" s="34">
        <v>24</v>
      </c>
      <c r="C29" s="47" t="s">
        <v>4420</v>
      </c>
      <c r="D29" s="42">
        <v>26.336921</v>
      </c>
      <c r="E29" s="42">
        <v>0</v>
      </c>
      <c r="F29" s="42">
        <v>0</v>
      </c>
      <c r="G29" s="42">
        <v>0.88392300000000001</v>
      </c>
      <c r="H29" s="42">
        <v>3.6871179999999999</v>
      </c>
      <c r="I29" s="42">
        <v>-3.6260889999999999</v>
      </c>
      <c r="J29" s="42">
        <v>-1.2038999999999999E-2</v>
      </c>
      <c r="K29" s="42">
        <v>-3.5694409999999999</v>
      </c>
      <c r="L29" s="43">
        <v>35889</v>
      </c>
      <c r="M29" s="43">
        <v>25677</v>
      </c>
      <c r="N29" s="44">
        <v>0</v>
      </c>
      <c r="O29" s="45">
        <v>24.864128999999998</v>
      </c>
      <c r="P29" s="45">
        <v>1.2990930000000001</v>
      </c>
      <c r="Q29" s="45">
        <v>0.17369899999999999</v>
      </c>
      <c r="R29" s="45">
        <v>0</v>
      </c>
      <c r="S29" s="46">
        <v>2</v>
      </c>
      <c r="U29" s="69">
        <f t="shared" si="0"/>
        <v>26.336921</v>
      </c>
      <c r="V29" s="69">
        <f t="shared" si="1"/>
        <v>35889</v>
      </c>
    </row>
    <row r="30" spans="1:22" x14ac:dyDescent="0.2">
      <c r="A30" s="40" t="s">
        <v>4421</v>
      </c>
      <c r="B30" s="34">
        <v>25</v>
      </c>
      <c r="C30" s="47" t="s">
        <v>4422</v>
      </c>
      <c r="D30" s="42">
        <v>265.57952</v>
      </c>
      <c r="E30" s="42">
        <v>0</v>
      </c>
      <c r="F30" s="42">
        <v>4.1349999999999998E-3</v>
      </c>
      <c r="G30" s="42">
        <v>55.982973999999999</v>
      </c>
      <c r="H30" s="42">
        <v>14.111988999999999</v>
      </c>
      <c r="I30" s="42">
        <v>-12.047017</v>
      </c>
      <c r="J30" s="42">
        <v>-2.333831</v>
      </c>
      <c r="K30" s="42">
        <v>-9.1858009999999997</v>
      </c>
      <c r="L30" s="43">
        <v>221421</v>
      </c>
      <c r="M30" s="43">
        <v>158592</v>
      </c>
      <c r="N30" s="44">
        <v>8.4834026393796296E-5</v>
      </c>
      <c r="O30" s="45">
        <v>241.89882399999999</v>
      </c>
      <c r="P30" s="45">
        <v>15.769526000000001</v>
      </c>
      <c r="Q30" s="45">
        <v>7.9111700000000003</v>
      </c>
      <c r="R30" s="45">
        <v>0</v>
      </c>
      <c r="S30" s="46">
        <v>2</v>
      </c>
      <c r="U30" s="69">
        <f t="shared" si="0"/>
        <v>265.57952</v>
      </c>
      <c r="V30" s="69">
        <f t="shared" si="1"/>
        <v>221421</v>
      </c>
    </row>
    <row r="31" spans="1:22" x14ac:dyDescent="0.2">
      <c r="A31" s="40" t="s">
        <v>4423</v>
      </c>
      <c r="B31" s="34">
        <v>26</v>
      </c>
      <c r="C31" s="47" t="s">
        <v>4424</v>
      </c>
      <c r="D31" s="42">
        <v>5.1979629999999997</v>
      </c>
      <c r="E31" s="42">
        <v>0</v>
      </c>
      <c r="F31" s="42">
        <v>0</v>
      </c>
      <c r="G31" s="42">
        <v>1.1395789999999999</v>
      </c>
      <c r="H31" s="42">
        <v>0.54982799999999998</v>
      </c>
      <c r="I31" s="42">
        <v>-0.58508300000000002</v>
      </c>
      <c r="J31" s="42">
        <v>-4.5633E-2</v>
      </c>
      <c r="K31" s="42">
        <v>-0.528775</v>
      </c>
      <c r="L31" s="43">
        <v>1905</v>
      </c>
      <c r="M31" s="43">
        <v>1587</v>
      </c>
      <c r="N31" s="44">
        <v>4.6739206980933682E-4</v>
      </c>
      <c r="O31" s="45">
        <v>4.5885800000000003</v>
      </c>
      <c r="P31" s="45">
        <v>0.60938300000000001</v>
      </c>
      <c r="Q31" s="45">
        <v>0</v>
      </c>
      <c r="R31" s="45">
        <v>0</v>
      </c>
      <c r="S31" s="46">
        <v>2</v>
      </c>
      <c r="U31" s="69">
        <f t="shared" si="0"/>
        <v>5.1979629999999997</v>
      </c>
      <c r="V31" s="69">
        <f t="shared" si="1"/>
        <v>1905</v>
      </c>
    </row>
    <row r="32" spans="1:22" x14ac:dyDescent="0.2">
      <c r="A32" s="40" t="s">
        <v>4425</v>
      </c>
      <c r="B32" s="34">
        <v>27</v>
      </c>
      <c r="C32" s="47" t="s">
        <v>4426</v>
      </c>
      <c r="D32" s="42">
        <v>34.644112999999997</v>
      </c>
      <c r="E32" s="42">
        <v>0</v>
      </c>
      <c r="F32" s="42">
        <v>0</v>
      </c>
      <c r="G32" s="42">
        <v>3.9905840000000001</v>
      </c>
      <c r="H32" s="42">
        <v>1.7744059999999999</v>
      </c>
      <c r="I32" s="42">
        <v>-1.830104</v>
      </c>
      <c r="J32" s="42">
        <v>-0.19172800000000001</v>
      </c>
      <c r="K32" s="42">
        <v>-1.5493209999999999</v>
      </c>
      <c r="L32" s="43">
        <v>17701</v>
      </c>
      <c r="M32" s="43">
        <v>15064</v>
      </c>
      <c r="N32" s="44">
        <v>9.7984940160321886E-4</v>
      </c>
      <c r="O32" s="45">
        <v>33.008772999999998</v>
      </c>
      <c r="P32" s="45">
        <v>0.64407000000000003</v>
      </c>
      <c r="Q32" s="45">
        <v>0.99126999999999998</v>
      </c>
      <c r="R32" s="45">
        <v>0</v>
      </c>
      <c r="S32" s="46">
        <v>1</v>
      </c>
      <c r="U32" s="69">
        <f t="shared" si="0"/>
        <v>34.644112999999997</v>
      </c>
      <c r="V32" s="69">
        <f t="shared" si="1"/>
        <v>17701</v>
      </c>
    </row>
    <row r="33" spans="1:22" x14ac:dyDescent="0.2">
      <c r="A33" s="40" t="s">
        <v>4427</v>
      </c>
      <c r="B33" s="34">
        <v>28</v>
      </c>
      <c r="C33" s="47" t="s">
        <v>4428</v>
      </c>
      <c r="D33" s="42">
        <v>41.204495000000001</v>
      </c>
      <c r="E33" s="42">
        <v>0</v>
      </c>
      <c r="F33" s="42">
        <v>1.0889999999999999E-3</v>
      </c>
      <c r="G33" s="42">
        <v>6.8067570000000002</v>
      </c>
      <c r="H33" s="42">
        <v>1.5530299999999999</v>
      </c>
      <c r="I33" s="42">
        <v>-1.3490979999999999</v>
      </c>
      <c r="J33" s="42">
        <v>-0.16692100000000001</v>
      </c>
      <c r="K33" s="42">
        <v>-1.0546180000000001</v>
      </c>
      <c r="L33" s="43">
        <v>16548</v>
      </c>
      <c r="M33" s="43">
        <v>13645</v>
      </c>
      <c r="N33" s="44">
        <v>2.1048431924682118E-4</v>
      </c>
      <c r="O33" s="45">
        <v>39.434396999999997</v>
      </c>
      <c r="P33" s="45">
        <v>0.96867000000000003</v>
      </c>
      <c r="Q33" s="45">
        <v>0.80142800000000003</v>
      </c>
      <c r="R33" s="45">
        <v>0</v>
      </c>
      <c r="S33" s="46">
        <v>2</v>
      </c>
      <c r="U33" s="69">
        <f t="shared" si="0"/>
        <v>41.204495000000001</v>
      </c>
      <c r="V33" s="69">
        <f t="shared" si="1"/>
        <v>16548</v>
      </c>
    </row>
    <row r="34" spans="1:22" x14ac:dyDescent="0.2">
      <c r="A34" s="40" t="s">
        <v>4429</v>
      </c>
      <c r="B34" s="34">
        <v>29</v>
      </c>
      <c r="C34" s="47" t="s">
        <v>4430</v>
      </c>
      <c r="D34" s="42">
        <v>161.1103</v>
      </c>
      <c r="E34" s="42">
        <v>0</v>
      </c>
      <c r="F34" s="42">
        <v>6.3231089999999996</v>
      </c>
      <c r="G34" s="42">
        <v>5.1597039999999996</v>
      </c>
      <c r="H34" s="42">
        <v>2.308862</v>
      </c>
      <c r="I34" s="42">
        <v>-2.750956</v>
      </c>
      <c r="J34" s="42">
        <v>-0.106224</v>
      </c>
      <c r="K34" s="42">
        <v>-2.1489340000000001</v>
      </c>
      <c r="L34" s="43">
        <v>96723</v>
      </c>
      <c r="M34" s="43">
        <v>86783</v>
      </c>
      <c r="N34" s="44">
        <v>1.053387330662962E-2</v>
      </c>
      <c r="O34" s="45">
        <v>159.40471500000001</v>
      </c>
      <c r="P34" s="45">
        <v>0.90454900000000005</v>
      </c>
      <c r="Q34" s="45">
        <v>0.76545799999999997</v>
      </c>
      <c r="R34" s="45">
        <v>3.5577999999999999E-2</v>
      </c>
      <c r="S34" s="46">
        <v>1</v>
      </c>
      <c r="U34" s="69">
        <f t="shared" si="0"/>
        <v>161.1103</v>
      </c>
      <c r="V34" s="69">
        <f t="shared" si="1"/>
        <v>96723</v>
      </c>
    </row>
    <row r="35" spans="1:22" x14ac:dyDescent="0.2">
      <c r="A35" s="40" t="s">
        <v>4431</v>
      </c>
      <c r="B35" s="34">
        <v>30</v>
      </c>
      <c r="C35" s="47" t="s">
        <v>4432</v>
      </c>
      <c r="D35" s="42">
        <v>5.9188419999999997</v>
      </c>
      <c r="E35" s="42">
        <v>0</v>
      </c>
      <c r="F35" s="42">
        <v>0</v>
      </c>
      <c r="G35" s="42">
        <v>1.144358</v>
      </c>
      <c r="H35" s="42">
        <v>2.1991260000000001</v>
      </c>
      <c r="I35" s="42">
        <v>-1.9338580000000001</v>
      </c>
      <c r="J35" s="42">
        <v>-3.1372999999999998E-2</v>
      </c>
      <c r="K35" s="42">
        <v>-1.889651</v>
      </c>
      <c r="L35" s="43">
        <v>2700</v>
      </c>
      <c r="M35" s="43">
        <v>2402</v>
      </c>
      <c r="N35" s="44">
        <v>0</v>
      </c>
      <c r="O35" s="45">
        <v>4.8873879999999996</v>
      </c>
      <c r="P35" s="45">
        <v>1.0314540000000001</v>
      </c>
      <c r="Q35" s="45">
        <v>0</v>
      </c>
      <c r="R35" s="45">
        <v>0</v>
      </c>
      <c r="S35" s="46">
        <v>2</v>
      </c>
      <c r="U35" s="69">
        <f t="shared" si="0"/>
        <v>5.9188419999999997</v>
      </c>
      <c r="V35" s="69">
        <f t="shared" si="1"/>
        <v>2700</v>
      </c>
    </row>
    <row r="36" spans="1:22" x14ac:dyDescent="0.2">
      <c r="A36" s="40" t="s">
        <v>4433</v>
      </c>
      <c r="B36" s="34">
        <v>31</v>
      </c>
      <c r="C36" s="47" t="s">
        <v>4434</v>
      </c>
      <c r="D36" s="42">
        <v>77.324179000000001</v>
      </c>
      <c r="E36" s="42">
        <v>0</v>
      </c>
      <c r="F36" s="42">
        <v>0</v>
      </c>
      <c r="G36" s="42">
        <v>9.9093180000000007</v>
      </c>
      <c r="H36" s="42">
        <v>5.2820780000000003</v>
      </c>
      <c r="I36" s="42">
        <v>-3.6762039999999998</v>
      </c>
      <c r="J36" s="42">
        <v>-0.50887899999999997</v>
      </c>
      <c r="K36" s="42">
        <v>-3.0140539999999998</v>
      </c>
      <c r="L36" s="43">
        <v>26349</v>
      </c>
      <c r="M36" s="43">
        <v>17947</v>
      </c>
      <c r="N36" s="44">
        <v>0</v>
      </c>
      <c r="O36" s="45">
        <v>62.241740999999998</v>
      </c>
      <c r="P36" s="45">
        <v>8.2236159999999998</v>
      </c>
      <c r="Q36" s="45">
        <v>6.858822</v>
      </c>
      <c r="R36" s="45">
        <v>0</v>
      </c>
      <c r="S36" s="46">
        <v>3</v>
      </c>
      <c r="U36" s="69">
        <f t="shared" si="0"/>
        <v>77.324179000000001</v>
      </c>
      <c r="V36" s="69">
        <f t="shared" si="1"/>
        <v>26349</v>
      </c>
    </row>
    <row r="37" spans="1:22" x14ac:dyDescent="0.2">
      <c r="A37" s="40" t="s">
        <v>4435</v>
      </c>
      <c r="B37" s="34">
        <v>32</v>
      </c>
      <c r="C37" s="47" t="s">
        <v>4436</v>
      </c>
      <c r="D37" s="42">
        <v>26.567582999999999</v>
      </c>
      <c r="E37" s="42">
        <v>0</v>
      </c>
      <c r="F37" s="42">
        <v>0</v>
      </c>
      <c r="G37" s="42">
        <v>4.6178600000000003</v>
      </c>
      <c r="H37" s="42">
        <v>1.1096980000000001</v>
      </c>
      <c r="I37" s="42">
        <v>-0.55599299999999996</v>
      </c>
      <c r="J37" s="42">
        <v>-0.25538899999999998</v>
      </c>
      <c r="K37" s="42">
        <v>-0.237373</v>
      </c>
      <c r="L37" s="43">
        <v>9687</v>
      </c>
      <c r="M37" s="43">
        <v>7257</v>
      </c>
      <c r="N37" s="44">
        <v>4.6815878892091399E-2</v>
      </c>
      <c r="O37" s="45">
        <v>23.288321</v>
      </c>
      <c r="P37" s="45">
        <v>2.5503230000000001</v>
      </c>
      <c r="Q37" s="45">
        <v>0.728939</v>
      </c>
      <c r="R37" s="45">
        <v>0</v>
      </c>
      <c r="S37" s="46">
        <v>2</v>
      </c>
      <c r="U37" s="69">
        <f t="shared" si="0"/>
        <v>26.567582999999999</v>
      </c>
      <c r="V37" s="69">
        <f t="shared" si="1"/>
        <v>9687</v>
      </c>
    </row>
    <row r="38" spans="1:22" x14ac:dyDescent="0.2">
      <c r="A38" s="40" t="s">
        <v>4437</v>
      </c>
      <c r="B38" s="34">
        <v>33</v>
      </c>
      <c r="C38" s="47" t="s">
        <v>4438</v>
      </c>
      <c r="D38" s="42">
        <v>132.25040300000001</v>
      </c>
      <c r="E38" s="42">
        <v>0</v>
      </c>
      <c r="F38" s="42">
        <v>5.7910000000000001E-3</v>
      </c>
      <c r="G38" s="42">
        <v>3.1772079999999998</v>
      </c>
      <c r="H38" s="42">
        <v>1.193641</v>
      </c>
      <c r="I38" s="42">
        <v>-1.0851519999999999</v>
      </c>
      <c r="J38" s="42">
        <v>-0.211562</v>
      </c>
      <c r="K38" s="42">
        <v>-0.71045700000000001</v>
      </c>
      <c r="L38" s="43">
        <v>379769</v>
      </c>
      <c r="M38" s="43">
        <v>375037</v>
      </c>
      <c r="N38" s="44">
        <v>0.52084070693404572</v>
      </c>
      <c r="O38" s="45">
        <v>129.15562499999999</v>
      </c>
      <c r="P38" s="45">
        <v>2.6820460000000002</v>
      </c>
      <c r="Q38" s="45">
        <v>0.41273300000000002</v>
      </c>
      <c r="R38" s="45">
        <v>0</v>
      </c>
      <c r="S38" s="46">
        <v>1</v>
      </c>
      <c r="U38" s="69">
        <f t="shared" si="0"/>
        <v>132.25040300000001</v>
      </c>
      <c r="V38" s="69">
        <f t="shared" si="1"/>
        <v>379769</v>
      </c>
    </row>
    <row r="39" spans="1:22" x14ac:dyDescent="0.2">
      <c r="A39" s="40" t="s">
        <v>42</v>
      </c>
      <c r="B39" s="34">
        <v>34</v>
      </c>
      <c r="C39" s="41" t="s">
        <v>4439</v>
      </c>
      <c r="D39" s="42">
        <v>736.90288199999998</v>
      </c>
      <c r="E39" s="42">
        <v>36.605835999999996</v>
      </c>
      <c r="F39" s="42">
        <v>104.684859</v>
      </c>
      <c r="G39" s="42">
        <v>0.47840199999999999</v>
      </c>
      <c r="H39" s="42">
        <v>7.7360999999999999E-2</v>
      </c>
      <c r="I39" s="42">
        <v>-0.48904799999999998</v>
      </c>
      <c r="J39" s="42">
        <v>-5.2261000000000002E-2</v>
      </c>
      <c r="K39" s="42">
        <v>-6.0490000000000002E-2</v>
      </c>
      <c r="L39" s="43">
        <v>378933</v>
      </c>
      <c r="M39" s="43">
        <v>159754</v>
      </c>
      <c r="N39" s="44">
        <v>0.29143800153619048</v>
      </c>
      <c r="O39" s="45">
        <v>450.39650899999998</v>
      </c>
      <c r="P39" s="45">
        <v>157.99727200000001</v>
      </c>
      <c r="Q39" s="45">
        <v>128.50910099999999</v>
      </c>
      <c r="R39" s="45">
        <v>0</v>
      </c>
      <c r="S39" s="46">
        <v>4</v>
      </c>
      <c r="U39" s="69">
        <f t="shared" si="0"/>
        <v>736.90288199999998</v>
      </c>
      <c r="V39" s="69">
        <f t="shared" si="1"/>
        <v>378933</v>
      </c>
    </row>
    <row r="40" spans="1:22" x14ac:dyDescent="0.2">
      <c r="A40" s="40" t="s">
        <v>4440</v>
      </c>
      <c r="B40" s="34">
        <v>35</v>
      </c>
      <c r="C40" s="48" t="s">
        <v>4441</v>
      </c>
      <c r="D40" s="42">
        <v>736.39296999999999</v>
      </c>
      <c r="E40" s="42">
        <v>36.605835999999996</v>
      </c>
      <c r="F40" s="42">
        <v>104.63427799999999</v>
      </c>
      <c r="G40" s="42">
        <v>0.299321</v>
      </c>
      <c r="H40" s="42">
        <v>7.6231999999999994E-2</v>
      </c>
      <c r="I40" s="42">
        <v>-0.47727399999999998</v>
      </c>
      <c r="J40" s="42">
        <v>-4.2215999999999997E-2</v>
      </c>
      <c r="K40" s="42">
        <v>-5.9430999999999998E-2</v>
      </c>
      <c r="L40" s="43">
        <v>378301</v>
      </c>
      <c r="M40" s="43">
        <v>159612</v>
      </c>
      <c r="N40" s="44">
        <v>0.29153743879329103</v>
      </c>
      <c r="O40" s="45">
        <v>449.94458600000002</v>
      </c>
      <c r="P40" s="45">
        <v>157.93928199999999</v>
      </c>
      <c r="Q40" s="45">
        <v>128.50910099999999</v>
      </c>
      <c r="R40" s="45">
        <v>0</v>
      </c>
      <c r="S40" s="46">
        <v>4</v>
      </c>
      <c r="U40" s="69">
        <f t="shared" si="0"/>
        <v>736.39296999999999</v>
      </c>
      <c r="V40" s="69">
        <f t="shared" si="1"/>
        <v>378301</v>
      </c>
    </row>
    <row r="41" spans="1:22" x14ac:dyDescent="0.2">
      <c r="A41" s="40" t="s">
        <v>4442</v>
      </c>
      <c r="B41" s="34">
        <v>36</v>
      </c>
      <c r="C41" s="48" t="s">
        <v>4443</v>
      </c>
      <c r="D41" s="42">
        <v>367.81244299999997</v>
      </c>
      <c r="E41" s="42">
        <v>36.605835999999996</v>
      </c>
      <c r="F41" s="42">
        <v>12.714439</v>
      </c>
      <c r="G41" s="42">
        <v>0.226407</v>
      </c>
      <c r="H41" s="42">
        <v>1.7395000000000001E-2</v>
      </c>
      <c r="I41" s="42">
        <v>-0.35860599999999998</v>
      </c>
      <c r="J41" s="42">
        <v>-4.0333000000000001E-2</v>
      </c>
      <c r="K41" s="42">
        <v>-1.1240999999999999E-2</v>
      </c>
      <c r="L41" s="43">
        <v>142230</v>
      </c>
      <c r="M41" s="43">
        <v>76989</v>
      </c>
      <c r="N41" s="49">
        <v>0.19658703257399782</v>
      </c>
      <c r="O41" s="45">
        <v>81.364058999999997</v>
      </c>
      <c r="P41" s="45">
        <v>157.93928199999999</v>
      </c>
      <c r="Q41" s="45">
        <v>128.50910099999999</v>
      </c>
      <c r="R41" s="45">
        <v>0</v>
      </c>
      <c r="S41" s="46">
        <v>8</v>
      </c>
      <c r="U41" s="69">
        <f t="shared" si="0"/>
        <v>367.81244299999997</v>
      </c>
      <c r="V41" s="69">
        <f t="shared" si="1"/>
        <v>142230</v>
      </c>
    </row>
    <row r="42" spans="1:22" x14ac:dyDescent="0.2">
      <c r="A42" s="40" t="s">
        <v>4444</v>
      </c>
      <c r="B42" s="34">
        <v>37</v>
      </c>
      <c r="C42" s="48" t="s">
        <v>4445</v>
      </c>
      <c r="D42" s="42">
        <v>0.25622299999999998</v>
      </c>
      <c r="E42" s="42">
        <v>0</v>
      </c>
      <c r="F42" s="42">
        <v>5.0582000000000002E-2</v>
      </c>
      <c r="G42" s="42">
        <v>0.13595099999999999</v>
      </c>
      <c r="H42" s="42">
        <v>0</v>
      </c>
      <c r="I42" s="42">
        <v>-8.2290000000000002E-3</v>
      </c>
      <c r="J42" s="42">
        <v>-8.0339999999999995E-3</v>
      </c>
      <c r="K42" s="42">
        <v>0</v>
      </c>
      <c r="L42" s="43">
        <v>375</v>
      </c>
      <c r="M42" s="43">
        <v>86</v>
      </c>
      <c r="N42" s="44">
        <v>0.29420839297542717</v>
      </c>
      <c r="O42" s="45">
        <v>0.25622299999999998</v>
      </c>
      <c r="P42" s="45">
        <v>0</v>
      </c>
      <c r="Q42" s="45">
        <v>0</v>
      </c>
      <c r="R42" s="45">
        <v>0</v>
      </c>
      <c r="S42" s="46">
        <v>0</v>
      </c>
      <c r="U42" s="69">
        <f t="shared" si="0"/>
        <v>0.25622299999999998</v>
      </c>
      <c r="V42" s="69">
        <f t="shared" si="1"/>
        <v>375</v>
      </c>
    </row>
    <row r="43" spans="1:22" x14ac:dyDescent="0.2">
      <c r="A43" s="40" t="s">
        <v>4446</v>
      </c>
      <c r="B43" s="34">
        <v>38</v>
      </c>
      <c r="C43" s="48" t="s">
        <v>4447</v>
      </c>
      <c r="D43" s="42">
        <v>0.253689</v>
      </c>
      <c r="E43" s="42">
        <v>0</v>
      </c>
      <c r="F43" s="42">
        <v>0</v>
      </c>
      <c r="G43" s="42">
        <v>4.3131000000000003E-2</v>
      </c>
      <c r="H43" s="42">
        <v>1.129E-3</v>
      </c>
      <c r="I43" s="42">
        <v>-3.5460000000000001E-3</v>
      </c>
      <c r="J43" s="42">
        <v>-2.0119999999999999E-3</v>
      </c>
      <c r="K43" s="42">
        <v>-1.059E-3</v>
      </c>
      <c r="L43" s="43">
        <v>257</v>
      </c>
      <c r="M43" s="43">
        <v>55</v>
      </c>
      <c r="N43" s="44">
        <v>0</v>
      </c>
      <c r="O43" s="45">
        <v>0.19570000000000001</v>
      </c>
      <c r="P43" s="45">
        <v>5.799E-2</v>
      </c>
      <c r="Q43" s="45">
        <v>0</v>
      </c>
      <c r="R43" s="45">
        <v>0</v>
      </c>
      <c r="S43" s="46">
        <v>3</v>
      </c>
      <c r="U43" s="69">
        <f t="shared" si="0"/>
        <v>0.253689</v>
      </c>
      <c r="V43" s="69">
        <f t="shared" si="1"/>
        <v>257</v>
      </c>
    </row>
    <row r="44" spans="1:22" x14ac:dyDescent="0.2">
      <c r="A44" s="40" t="s">
        <v>50</v>
      </c>
      <c r="B44" s="34">
        <v>39</v>
      </c>
      <c r="C44" s="41" t="s">
        <v>4448</v>
      </c>
      <c r="D44" s="42">
        <v>88.021192999999997</v>
      </c>
      <c r="E44" s="42">
        <v>0</v>
      </c>
      <c r="F44" s="42">
        <v>2.4768999999999999E-2</v>
      </c>
      <c r="G44" s="42">
        <v>7.3631310000000001</v>
      </c>
      <c r="H44" s="42">
        <v>1.648163</v>
      </c>
      <c r="I44" s="42">
        <v>-1.6740759999999999</v>
      </c>
      <c r="J44" s="42">
        <v>-0.12829099999999999</v>
      </c>
      <c r="K44" s="42">
        <v>-1.454823</v>
      </c>
      <c r="L44" s="43">
        <v>22633</v>
      </c>
      <c r="M44" s="43">
        <v>10808</v>
      </c>
      <c r="N44" s="44">
        <v>3.3782273206241562E-4</v>
      </c>
      <c r="O44" s="45">
        <v>84.649184000000005</v>
      </c>
      <c r="P44" s="45">
        <v>2.2912020000000002</v>
      </c>
      <c r="Q44" s="45">
        <v>1.0808070000000001</v>
      </c>
      <c r="R44" s="45">
        <v>0</v>
      </c>
      <c r="S44" s="46">
        <v>1</v>
      </c>
      <c r="U44" s="69">
        <f t="shared" si="0"/>
        <v>88.021192999999997</v>
      </c>
      <c r="V44" s="69">
        <f t="shared" si="1"/>
        <v>22633</v>
      </c>
    </row>
    <row r="45" spans="1:22" x14ac:dyDescent="0.2">
      <c r="A45" s="40" t="s">
        <v>58</v>
      </c>
      <c r="B45" s="34">
        <v>40</v>
      </c>
      <c r="C45" s="41" t="s">
        <v>4449</v>
      </c>
      <c r="D45" s="42">
        <v>1052.8690039999999</v>
      </c>
      <c r="E45" s="42">
        <v>0</v>
      </c>
      <c r="F45" s="42">
        <v>4.1916969999999996</v>
      </c>
      <c r="G45" s="42">
        <v>66.456310999999999</v>
      </c>
      <c r="H45" s="42">
        <v>43.655763999999998</v>
      </c>
      <c r="I45" s="42">
        <v>-38.737589999999997</v>
      </c>
      <c r="J45" s="42">
        <v>-4.2140519999999997</v>
      </c>
      <c r="K45" s="42">
        <v>-32.438794000000001</v>
      </c>
      <c r="L45" s="43">
        <v>354692</v>
      </c>
      <c r="M45" s="43">
        <v>284927</v>
      </c>
      <c r="N45" s="44">
        <v>1.6657001142469353E-2</v>
      </c>
      <c r="O45" s="45">
        <v>894.56428800000003</v>
      </c>
      <c r="P45" s="45">
        <v>113.95056099999999</v>
      </c>
      <c r="Q45" s="45">
        <v>44.354154999999999</v>
      </c>
      <c r="R45" s="45">
        <v>0</v>
      </c>
      <c r="S45" s="46">
        <v>3</v>
      </c>
      <c r="U45" s="69">
        <f t="shared" si="0"/>
        <v>1052.8690039999999</v>
      </c>
      <c r="V45" s="69">
        <f t="shared" si="1"/>
        <v>354692</v>
      </c>
    </row>
    <row r="46" spans="1:22" x14ac:dyDescent="0.2">
      <c r="A46" s="40" t="s">
        <v>4450</v>
      </c>
      <c r="B46" s="34">
        <v>41</v>
      </c>
      <c r="C46" s="48" t="s">
        <v>4451</v>
      </c>
      <c r="D46" s="42">
        <v>716.19500200000004</v>
      </c>
      <c r="E46" s="42">
        <v>0</v>
      </c>
      <c r="F46" s="42">
        <v>2.279684</v>
      </c>
      <c r="G46" s="42">
        <v>39.695970000000003</v>
      </c>
      <c r="H46" s="42">
        <v>34.762314000000003</v>
      </c>
      <c r="I46" s="42">
        <v>-29.570540000000001</v>
      </c>
      <c r="J46" s="42">
        <v>-2.5389699999999999</v>
      </c>
      <c r="K46" s="42">
        <v>-25.85304</v>
      </c>
      <c r="L46" s="43">
        <v>173794</v>
      </c>
      <c r="M46" s="43">
        <v>143025</v>
      </c>
      <c r="N46" s="44">
        <v>8.074807463166165E-3</v>
      </c>
      <c r="O46" s="45">
        <v>605.49516700000004</v>
      </c>
      <c r="P46" s="45">
        <v>69.973017999999996</v>
      </c>
      <c r="Q46" s="45">
        <v>40.726816999999997</v>
      </c>
      <c r="R46" s="45">
        <v>0</v>
      </c>
      <c r="S46" s="46">
        <v>3</v>
      </c>
      <c r="U46" s="69">
        <f t="shared" si="0"/>
        <v>716.19500200000004</v>
      </c>
      <c r="V46" s="69">
        <f t="shared" si="1"/>
        <v>173794</v>
      </c>
    </row>
    <row r="47" spans="1:22" x14ac:dyDescent="0.2">
      <c r="A47" s="40" t="s">
        <v>4452</v>
      </c>
      <c r="B47" s="34">
        <v>42</v>
      </c>
      <c r="C47" s="48" t="s">
        <v>4453</v>
      </c>
      <c r="D47" s="42">
        <v>175.331774</v>
      </c>
      <c r="E47" s="42">
        <v>0</v>
      </c>
      <c r="F47" s="42">
        <v>1.197065</v>
      </c>
      <c r="G47" s="42">
        <v>4.9212680000000004</v>
      </c>
      <c r="H47" s="42">
        <v>2.149762</v>
      </c>
      <c r="I47" s="42">
        <v>-2.0226229999999998</v>
      </c>
      <c r="J47" s="42">
        <v>-0.30313400000000001</v>
      </c>
      <c r="K47" s="42">
        <v>-1.4038710000000001</v>
      </c>
      <c r="L47" s="43">
        <v>55661</v>
      </c>
      <c r="M47" s="43">
        <v>47689</v>
      </c>
      <c r="N47" s="44">
        <v>5.2265788738860806E-2</v>
      </c>
      <c r="O47" s="45">
        <v>140.30221800000001</v>
      </c>
      <c r="P47" s="45">
        <v>34.351193000000002</v>
      </c>
      <c r="Q47" s="45">
        <v>0.67836300000000005</v>
      </c>
      <c r="R47" s="45">
        <v>0</v>
      </c>
      <c r="S47" s="46">
        <v>3</v>
      </c>
      <c r="U47" s="69">
        <f t="shared" si="0"/>
        <v>175.331774</v>
      </c>
      <c r="V47" s="69">
        <f t="shared" si="1"/>
        <v>55661</v>
      </c>
    </row>
    <row r="48" spans="1:22" x14ac:dyDescent="0.2">
      <c r="A48" s="40" t="s">
        <v>4454</v>
      </c>
      <c r="B48" s="34">
        <v>43</v>
      </c>
      <c r="C48" s="48" t="s">
        <v>4455</v>
      </c>
      <c r="D48" s="42">
        <v>161.34222800000001</v>
      </c>
      <c r="E48" s="42">
        <v>0</v>
      </c>
      <c r="F48" s="42">
        <v>0.71494800000000003</v>
      </c>
      <c r="G48" s="42">
        <v>21.839072999999999</v>
      </c>
      <c r="H48" s="42">
        <v>6.7436879999999997</v>
      </c>
      <c r="I48" s="42">
        <v>-7.1444270000000003</v>
      </c>
      <c r="J48" s="42">
        <v>-1.3719479999999999</v>
      </c>
      <c r="K48" s="42">
        <v>-5.181883</v>
      </c>
      <c r="L48" s="43">
        <v>125237</v>
      </c>
      <c r="M48" s="43">
        <v>94212</v>
      </c>
      <c r="N48" s="44">
        <v>1.6056862565704908E-2</v>
      </c>
      <c r="O48" s="45">
        <v>148.76690300000001</v>
      </c>
      <c r="P48" s="45">
        <v>9.6263500000000004</v>
      </c>
      <c r="Q48" s="45">
        <v>2.9489749999999999</v>
      </c>
      <c r="R48" s="45">
        <v>0</v>
      </c>
      <c r="S48" s="46">
        <v>2</v>
      </c>
      <c r="U48" s="69">
        <f t="shared" si="0"/>
        <v>161.34222800000001</v>
      </c>
      <c r="V48" s="69">
        <f t="shared" si="1"/>
        <v>125237</v>
      </c>
    </row>
    <row r="49" spans="1:22" x14ac:dyDescent="0.2">
      <c r="A49" s="40" t="s">
        <v>46</v>
      </c>
      <c r="B49" s="34">
        <v>44</v>
      </c>
      <c r="C49" s="41" t="s">
        <v>4456</v>
      </c>
      <c r="D49" s="42">
        <v>1979.4220740000001</v>
      </c>
      <c r="E49" s="42">
        <v>2.7300000000000002E-4</v>
      </c>
      <c r="F49" s="42">
        <v>9.8268140000000006</v>
      </c>
      <c r="G49" s="42">
        <v>241.74128300000001</v>
      </c>
      <c r="H49" s="42">
        <v>79.077614999999994</v>
      </c>
      <c r="I49" s="42">
        <v>-68.336457999999993</v>
      </c>
      <c r="J49" s="42">
        <v>-11.297109000000001</v>
      </c>
      <c r="K49" s="42">
        <v>-52.202534999999997</v>
      </c>
      <c r="L49" s="43">
        <v>1432748</v>
      </c>
      <c r="M49" s="43">
        <v>1044351</v>
      </c>
      <c r="N49" s="44">
        <v>7.5520032472156537E-2</v>
      </c>
      <c r="O49" s="45">
        <v>1819.3611550000001</v>
      </c>
      <c r="P49" s="45">
        <v>118.55005300000001</v>
      </c>
      <c r="Q49" s="45">
        <v>41.510866</v>
      </c>
      <c r="R49" s="45">
        <v>0</v>
      </c>
      <c r="S49" s="46">
        <v>2</v>
      </c>
      <c r="U49" s="69">
        <f t="shared" si="0"/>
        <v>1979.4220740000001</v>
      </c>
      <c r="V49" s="69">
        <f t="shared" si="1"/>
        <v>1432748</v>
      </c>
    </row>
    <row r="50" spans="1:22" x14ac:dyDescent="0.2">
      <c r="A50" s="40" t="s">
        <v>39</v>
      </c>
      <c r="B50" s="34">
        <v>45</v>
      </c>
      <c r="C50" s="41" t="s">
        <v>4457</v>
      </c>
      <c r="D50" s="42">
        <v>781.08571199999994</v>
      </c>
      <c r="E50" s="42">
        <v>6.9499999999999998E-4</v>
      </c>
      <c r="F50" s="42">
        <v>0.297379</v>
      </c>
      <c r="G50" s="42">
        <v>52.008432999999997</v>
      </c>
      <c r="H50" s="42">
        <v>49.481811</v>
      </c>
      <c r="I50" s="42">
        <v>-31.309388999999999</v>
      </c>
      <c r="J50" s="42">
        <v>-3.7754460000000001</v>
      </c>
      <c r="K50" s="42">
        <v>-26.158550000000002</v>
      </c>
      <c r="L50" s="43">
        <v>954062</v>
      </c>
      <c r="M50" s="43">
        <v>607039</v>
      </c>
      <c r="N50" s="44">
        <v>0.28511703121451759</v>
      </c>
      <c r="O50" s="45">
        <v>577.46895700000005</v>
      </c>
      <c r="P50" s="45">
        <v>149.98089400000001</v>
      </c>
      <c r="Q50" s="45">
        <v>53.635860999999998</v>
      </c>
      <c r="R50" s="45">
        <v>0</v>
      </c>
      <c r="S50" s="46">
        <v>3</v>
      </c>
      <c r="U50" s="69">
        <f t="shared" si="0"/>
        <v>781.08571199999994</v>
      </c>
      <c r="V50" s="69">
        <f t="shared" si="1"/>
        <v>954062</v>
      </c>
    </row>
    <row r="51" spans="1:22" x14ac:dyDescent="0.2">
      <c r="A51" s="40" t="s">
        <v>4458</v>
      </c>
      <c r="B51" s="34">
        <v>46</v>
      </c>
      <c r="C51" s="48" t="s">
        <v>4459</v>
      </c>
      <c r="D51" s="42">
        <v>268.60497099999998</v>
      </c>
      <c r="E51" s="42">
        <v>0</v>
      </c>
      <c r="F51" s="42">
        <v>8.2475999999999994E-2</v>
      </c>
      <c r="G51" s="42">
        <v>42.324623000000003</v>
      </c>
      <c r="H51" s="42">
        <v>11.828011</v>
      </c>
      <c r="I51" s="42">
        <v>-11.635502000000001</v>
      </c>
      <c r="J51" s="42">
        <v>-2.5591569999999999</v>
      </c>
      <c r="K51" s="42">
        <v>-8.3305150000000001</v>
      </c>
      <c r="L51" s="43">
        <v>163762</v>
      </c>
      <c r="M51" s="43">
        <v>74437</v>
      </c>
      <c r="N51" s="44">
        <v>4.2935020711624852E-4</v>
      </c>
      <c r="O51" s="45">
        <v>244.47895</v>
      </c>
      <c r="P51" s="45">
        <v>22.315078</v>
      </c>
      <c r="Q51" s="45">
        <v>1.8109440000000001</v>
      </c>
      <c r="R51" s="45">
        <v>0</v>
      </c>
      <c r="S51" s="46">
        <v>3</v>
      </c>
      <c r="U51" s="69">
        <f t="shared" si="0"/>
        <v>268.60497099999998</v>
      </c>
      <c r="V51" s="69">
        <f t="shared" si="1"/>
        <v>163762</v>
      </c>
    </row>
    <row r="52" spans="1:22" x14ac:dyDescent="0.2">
      <c r="A52" s="40" t="s">
        <v>4460</v>
      </c>
      <c r="B52" s="34">
        <v>47</v>
      </c>
      <c r="C52" s="48" t="s">
        <v>4461</v>
      </c>
      <c r="D52" s="42">
        <v>5.9040980000000003</v>
      </c>
      <c r="E52" s="42">
        <v>0</v>
      </c>
      <c r="F52" s="42">
        <v>0</v>
      </c>
      <c r="G52" s="42">
        <v>0.179034</v>
      </c>
      <c r="H52" s="42">
        <v>2.6953999999999999E-2</v>
      </c>
      <c r="I52" s="42">
        <v>-3.9156000000000003E-2</v>
      </c>
      <c r="J52" s="42">
        <v>-7.9139999999999992E-3</v>
      </c>
      <c r="K52" s="42">
        <v>-2.1999999999999999E-2</v>
      </c>
      <c r="L52" s="43">
        <v>4486</v>
      </c>
      <c r="M52" s="43">
        <v>2636</v>
      </c>
      <c r="N52" s="44">
        <v>0</v>
      </c>
      <c r="O52" s="45">
        <v>3.0295489999999998</v>
      </c>
      <c r="P52" s="45">
        <v>2.729069</v>
      </c>
      <c r="Q52" s="45">
        <v>0.145481</v>
      </c>
      <c r="R52" s="45">
        <v>0</v>
      </c>
      <c r="S52" s="46">
        <v>5</v>
      </c>
      <c r="U52" s="69">
        <f t="shared" si="0"/>
        <v>5.9040980000000003</v>
      </c>
      <c r="V52" s="69">
        <f t="shared" si="1"/>
        <v>4486</v>
      </c>
    </row>
    <row r="53" spans="1:22" x14ac:dyDescent="0.2">
      <c r="A53" s="40" t="s">
        <v>4462</v>
      </c>
      <c r="B53" s="34">
        <v>48</v>
      </c>
      <c r="C53" s="48" t="s">
        <v>4463</v>
      </c>
      <c r="D53" s="42">
        <v>18.815949</v>
      </c>
      <c r="E53" s="42">
        <v>0</v>
      </c>
      <c r="F53" s="42">
        <v>0</v>
      </c>
      <c r="G53" s="42">
        <v>2.1999999999999999E-5</v>
      </c>
      <c r="H53" s="42">
        <v>13.085436</v>
      </c>
      <c r="I53" s="42">
        <v>-4.2601699999999996</v>
      </c>
      <c r="J53" s="42">
        <v>-1.0000000000000001E-5</v>
      </c>
      <c r="K53" s="42">
        <v>-4.2457440000000002</v>
      </c>
      <c r="L53" s="43">
        <v>3320</v>
      </c>
      <c r="M53" s="43">
        <v>1968</v>
      </c>
      <c r="N53" s="44">
        <v>7.1623282275085605E-5</v>
      </c>
      <c r="O53" s="45">
        <v>7.9792550000000002</v>
      </c>
      <c r="P53" s="45">
        <v>10.836694</v>
      </c>
      <c r="Q53" s="45">
        <v>0</v>
      </c>
      <c r="R53" s="45">
        <v>0</v>
      </c>
      <c r="S53" s="46">
        <v>4</v>
      </c>
      <c r="U53" s="69">
        <f t="shared" si="0"/>
        <v>18.815949</v>
      </c>
      <c r="V53" s="69">
        <f t="shared" si="1"/>
        <v>3320</v>
      </c>
    </row>
    <row r="54" spans="1:22" x14ac:dyDescent="0.2">
      <c r="A54" s="40" t="s">
        <v>4464</v>
      </c>
      <c r="B54" s="34">
        <v>49</v>
      </c>
      <c r="C54" s="48" t="s">
        <v>4465</v>
      </c>
      <c r="D54" s="42">
        <v>463.165818</v>
      </c>
      <c r="E54" s="42">
        <v>6.9499999999999998E-4</v>
      </c>
      <c r="F54" s="42">
        <v>0.21490300000000001</v>
      </c>
      <c r="G54" s="42">
        <v>8.8986859999999997</v>
      </c>
      <c r="H54" s="42">
        <v>23.909063</v>
      </c>
      <c r="I54" s="42">
        <v>-14.915346</v>
      </c>
      <c r="J54" s="42">
        <v>-1.174061</v>
      </c>
      <c r="K54" s="42">
        <v>-13.154951000000001</v>
      </c>
      <c r="L54" s="43">
        <v>772801</v>
      </c>
      <c r="M54" s="43">
        <v>520906</v>
      </c>
      <c r="N54" s="44">
        <v>0.4805712278413638</v>
      </c>
      <c r="O54" s="45">
        <v>297.38632699999999</v>
      </c>
      <c r="P54" s="45">
        <v>114.100054</v>
      </c>
      <c r="Q54" s="45">
        <v>51.679437</v>
      </c>
      <c r="R54" s="45">
        <v>0</v>
      </c>
      <c r="S54" s="46">
        <v>3</v>
      </c>
      <c r="U54" s="69">
        <f t="shared" si="0"/>
        <v>463.165818</v>
      </c>
      <c r="V54" s="69">
        <f t="shared" si="1"/>
        <v>772801</v>
      </c>
    </row>
    <row r="55" spans="1:22" x14ac:dyDescent="0.2">
      <c r="A55" s="40" t="s">
        <v>4466</v>
      </c>
      <c r="B55" s="34">
        <v>50</v>
      </c>
      <c r="C55" s="48" t="s">
        <v>4467</v>
      </c>
      <c r="D55" s="42">
        <v>24.594875999999999</v>
      </c>
      <c r="E55" s="42">
        <v>0</v>
      </c>
      <c r="F55" s="42">
        <v>0</v>
      </c>
      <c r="G55" s="42">
        <v>0.60606800000000005</v>
      </c>
      <c r="H55" s="42">
        <v>0.63234699999999999</v>
      </c>
      <c r="I55" s="42">
        <v>-0.45921400000000001</v>
      </c>
      <c r="J55" s="42">
        <v>-3.4304000000000001E-2</v>
      </c>
      <c r="K55" s="42">
        <v>-0.405339</v>
      </c>
      <c r="L55" s="43">
        <v>9691</v>
      </c>
      <c r="M55" s="43">
        <v>7093</v>
      </c>
      <c r="N55" s="44">
        <v>0</v>
      </c>
      <c r="O55" s="45">
        <v>24.594875999999999</v>
      </c>
      <c r="P55" s="45">
        <v>0</v>
      </c>
      <c r="Q55" s="45">
        <v>0</v>
      </c>
      <c r="R55" s="45">
        <v>0</v>
      </c>
      <c r="S55" s="46">
        <v>1</v>
      </c>
      <c r="U55" s="69">
        <f t="shared" si="0"/>
        <v>24.594875999999999</v>
      </c>
      <c r="V55" s="69">
        <f t="shared" si="1"/>
        <v>9691</v>
      </c>
    </row>
    <row r="56" spans="1:22" s="51" customFormat="1" x14ac:dyDescent="0.2">
      <c r="A56" s="40" t="s">
        <v>54</v>
      </c>
      <c r="B56" s="34">
        <v>51</v>
      </c>
      <c r="C56" s="50" t="s">
        <v>4468</v>
      </c>
      <c r="D56" s="42">
        <v>1063.2867510000001</v>
      </c>
      <c r="E56" s="42">
        <v>0</v>
      </c>
      <c r="F56" s="42">
        <v>1.8966E-2</v>
      </c>
      <c r="G56" s="42">
        <v>97.623124000000004</v>
      </c>
      <c r="H56" s="42">
        <v>86.351225999999997</v>
      </c>
      <c r="I56" s="42">
        <v>-70.324100999999999</v>
      </c>
      <c r="J56" s="42">
        <v>-4.6441749999999997</v>
      </c>
      <c r="K56" s="42">
        <v>-64.037858999999997</v>
      </c>
      <c r="L56" s="43">
        <v>193375</v>
      </c>
      <c r="M56" s="43">
        <v>90094</v>
      </c>
      <c r="N56" s="44">
        <v>2.763532506179903E-4</v>
      </c>
      <c r="O56" s="45">
        <v>457.05120699999998</v>
      </c>
      <c r="P56" s="45">
        <v>218.14800099999999</v>
      </c>
      <c r="Q56" s="45">
        <v>324.60422399999999</v>
      </c>
      <c r="R56" s="45">
        <v>63.483319000000002</v>
      </c>
      <c r="S56" s="46">
        <v>8</v>
      </c>
      <c r="U56" s="69">
        <f t="shared" si="0"/>
        <v>1063.2867510000001</v>
      </c>
      <c r="V56" s="69">
        <f t="shared" si="1"/>
        <v>193375</v>
      </c>
    </row>
    <row r="57" spans="1:22" x14ac:dyDescent="0.2">
      <c r="A57" s="40" t="s">
        <v>47</v>
      </c>
      <c r="B57" s="34">
        <v>52</v>
      </c>
      <c r="C57" s="41" t="s">
        <v>4469</v>
      </c>
      <c r="D57" s="42">
        <v>1171.231096</v>
      </c>
      <c r="E57" s="42">
        <v>0</v>
      </c>
      <c r="F57" s="42">
        <v>0</v>
      </c>
      <c r="G57" s="42">
        <v>103.536661</v>
      </c>
      <c r="H57" s="42">
        <v>28.048686</v>
      </c>
      <c r="I57" s="42">
        <v>-26.141884000000001</v>
      </c>
      <c r="J57" s="42">
        <v>-5.7186050000000002</v>
      </c>
      <c r="K57" s="42">
        <v>-18.839169999999999</v>
      </c>
      <c r="L57" s="43">
        <v>114947</v>
      </c>
      <c r="M57" s="43">
        <v>14580</v>
      </c>
      <c r="N57" s="44">
        <v>0</v>
      </c>
      <c r="O57" s="45">
        <v>685.24785699999995</v>
      </c>
      <c r="P57" s="45">
        <v>255.32025100000001</v>
      </c>
      <c r="Q57" s="45">
        <v>230.531812</v>
      </c>
      <c r="R57" s="45">
        <v>0.13117599999999999</v>
      </c>
      <c r="S57" s="46">
        <v>6</v>
      </c>
      <c r="U57" s="69">
        <f t="shared" si="0"/>
        <v>1171.231096</v>
      </c>
      <c r="V57" s="69">
        <f t="shared" si="1"/>
        <v>114947</v>
      </c>
    </row>
    <row r="58" spans="1:22" s="51" customFormat="1" x14ac:dyDescent="0.2">
      <c r="A58" s="40"/>
      <c r="B58" s="34">
        <v>53</v>
      </c>
      <c r="C58" s="52" t="s">
        <v>4470</v>
      </c>
      <c r="D58" s="53">
        <v>2992.0707979999997</v>
      </c>
      <c r="E58" s="53">
        <v>351.47054000000003</v>
      </c>
      <c r="F58" s="53">
        <v>9.7601080000000007</v>
      </c>
      <c r="G58" s="53">
        <v>206.64533900000001</v>
      </c>
      <c r="H58" s="53">
        <v>50.382795000000002</v>
      </c>
      <c r="I58" s="53">
        <v>-64.724278999999996</v>
      </c>
      <c r="J58" s="53">
        <v>-19.212288000000001</v>
      </c>
      <c r="K58" s="53">
        <v>-38.329481999999999</v>
      </c>
      <c r="L58" s="53">
        <v>815614</v>
      </c>
      <c r="M58" s="53">
        <v>621461</v>
      </c>
      <c r="N58" s="54">
        <v>0.23499638584643773</v>
      </c>
      <c r="O58" s="53">
        <v>2432.2645849999999</v>
      </c>
      <c r="P58" s="53">
        <v>354.27076099999999</v>
      </c>
      <c r="Q58" s="53">
        <v>204.50290000000001</v>
      </c>
      <c r="R58" s="53">
        <v>1.0325530000000001</v>
      </c>
      <c r="S58" s="55">
        <v>3</v>
      </c>
      <c r="U58" s="69">
        <f t="shared" si="0"/>
        <v>2992.0707979999997</v>
      </c>
      <c r="V58" s="69">
        <f t="shared" si="1"/>
        <v>815614</v>
      </c>
    </row>
    <row r="59" spans="1:22" s="51" customFormat="1" x14ac:dyDescent="0.2">
      <c r="A59" s="40" t="s">
        <v>51</v>
      </c>
      <c r="B59" s="34">
        <v>54</v>
      </c>
      <c r="C59" s="50" t="s">
        <v>4471</v>
      </c>
      <c r="D59" s="42">
        <v>3.46062</v>
      </c>
      <c r="E59" s="42">
        <v>0</v>
      </c>
      <c r="F59" s="42">
        <v>5.7000000000000003E-5</v>
      </c>
      <c r="G59" s="42">
        <v>0.175923</v>
      </c>
      <c r="H59" s="42">
        <v>5.0876999999999999E-2</v>
      </c>
      <c r="I59" s="42">
        <v>-0.40149099999999999</v>
      </c>
      <c r="J59" s="42">
        <v>-1.4942E-2</v>
      </c>
      <c r="K59" s="42">
        <v>-3.7402999999999999E-2</v>
      </c>
      <c r="L59" s="43">
        <v>734</v>
      </c>
      <c r="M59" s="43">
        <v>490</v>
      </c>
      <c r="N59" s="44">
        <v>7.9471307461216357E-5</v>
      </c>
      <c r="O59" s="45">
        <v>2.3523480000000001</v>
      </c>
      <c r="P59" s="45">
        <v>0.62791200000000003</v>
      </c>
      <c r="Q59" s="45">
        <v>0.14648</v>
      </c>
      <c r="R59" s="45">
        <v>0.33388000000000001</v>
      </c>
      <c r="S59" s="46">
        <v>11</v>
      </c>
      <c r="U59" s="69">
        <f t="shared" si="0"/>
        <v>3.46062</v>
      </c>
      <c r="V59" s="69">
        <f t="shared" si="1"/>
        <v>734</v>
      </c>
    </row>
    <row r="60" spans="1:22" s="51" customFormat="1" ht="15" x14ac:dyDescent="0.25">
      <c r="A60" s="40" t="s">
        <v>4472</v>
      </c>
      <c r="B60" s="34">
        <v>55</v>
      </c>
      <c r="C60" s="56" t="s">
        <v>4473</v>
      </c>
      <c r="D60" s="42">
        <v>2988.6101779999999</v>
      </c>
      <c r="E60" s="42">
        <v>351.47054000000003</v>
      </c>
      <c r="F60" s="42">
        <v>9.7600510000000007</v>
      </c>
      <c r="G60" s="42">
        <v>206.469416</v>
      </c>
      <c r="H60" s="42">
        <v>50.331918000000002</v>
      </c>
      <c r="I60" s="42">
        <v>-64.322788000000003</v>
      </c>
      <c r="J60" s="42">
        <v>-19.197346</v>
      </c>
      <c r="K60" s="42">
        <v>-38.292079000000001</v>
      </c>
      <c r="L60" s="57">
        <v>814880</v>
      </c>
      <c r="M60" s="58">
        <v>620971</v>
      </c>
      <c r="N60" s="59">
        <v>0.23526840465262808</v>
      </c>
      <c r="O60" s="46">
        <v>2429.912237</v>
      </c>
      <c r="P60" s="46">
        <v>353.64284900000001</v>
      </c>
      <c r="Q60" s="46">
        <v>204.35642000000001</v>
      </c>
      <c r="R60" s="46">
        <v>0.69867299999999999</v>
      </c>
      <c r="S60" s="60">
        <v>3</v>
      </c>
      <c r="U60" s="69">
        <f t="shared" si="0"/>
        <v>2988.6101779999999</v>
      </c>
      <c r="V60" s="69">
        <f t="shared" si="1"/>
        <v>814880</v>
      </c>
    </row>
    <row r="61" spans="1:22" x14ac:dyDescent="0.2">
      <c r="A61" s="40" t="s">
        <v>4474</v>
      </c>
      <c r="B61" s="34">
        <v>56</v>
      </c>
      <c r="C61" s="61" t="s">
        <v>4474</v>
      </c>
      <c r="D61" s="42">
        <v>12539.316788</v>
      </c>
      <c r="E61" s="42">
        <v>388.28702700000002</v>
      </c>
      <c r="F61" s="42">
        <v>138.88502900000003</v>
      </c>
      <c r="G61" s="42">
        <v>1060.242266</v>
      </c>
      <c r="H61" s="42">
        <v>451.06772099999995</v>
      </c>
      <c r="I61" s="42">
        <v>-385.92637400000001</v>
      </c>
      <c r="J61" s="42">
        <v>-62.501230000000007</v>
      </c>
      <c r="K61" s="42">
        <v>-298.86840599999999</v>
      </c>
      <c r="L61" s="42">
        <v>7516730</v>
      </c>
      <c r="M61" s="42">
        <v>4510963</v>
      </c>
      <c r="N61" s="62">
        <v>0.11407720055840095</v>
      </c>
      <c r="O61" s="42">
        <v>9727.1482639999995</v>
      </c>
      <c r="P61" s="42">
        <v>1611.484457</v>
      </c>
      <c r="Q61" s="42">
        <v>1136.0014409999999</v>
      </c>
      <c r="R61" s="42">
        <v>64.682625999999999</v>
      </c>
      <c r="S61" s="42">
        <v>3</v>
      </c>
      <c r="U61" s="69">
        <f t="shared" si="0"/>
        <v>12539.316788</v>
      </c>
      <c r="V61" s="69">
        <f t="shared" si="1"/>
        <v>7516730</v>
      </c>
    </row>
    <row r="62" spans="1:22" x14ac:dyDescent="0.2">
      <c r="C62" s="63" t="s">
        <v>4475</v>
      </c>
      <c r="D62" s="64"/>
      <c r="E62" s="64"/>
      <c r="F62" s="64"/>
      <c r="G62" s="64"/>
      <c r="H62" s="64"/>
      <c r="I62" s="64"/>
      <c r="J62" s="64"/>
      <c r="K62" s="64"/>
    </row>
    <row r="63" spans="1:22" x14ac:dyDescent="0.2">
      <c r="C63" s="65"/>
      <c r="D63" s="66" t="s">
        <v>4476</v>
      </c>
      <c r="E63" s="66" t="s">
        <v>4476</v>
      </c>
      <c r="F63" s="66">
        <v>1</v>
      </c>
      <c r="G63" s="66" t="s">
        <v>4476</v>
      </c>
      <c r="H63" s="66" t="s">
        <v>4476</v>
      </c>
      <c r="I63" s="66" t="s">
        <v>4477</v>
      </c>
      <c r="J63" s="66" t="s">
        <v>4477</v>
      </c>
      <c r="K63" s="66" t="s">
        <v>4477</v>
      </c>
      <c r="L63" s="40"/>
      <c r="M63" s="40"/>
      <c r="N63" s="40"/>
      <c r="O63" s="67" t="s">
        <v>4476</v>
      </c>
      <c r="P63" s="67" t="s">
        <v>4476</v>
      </c>
      <c r="Q63" s="67" t="s">
        <v>4476</v>
      </c>
      <c r="R63" s="67" t="s">
        <v>4476</v>
      </c>
      <c r="S63" s="67" t="s">
        <v>4476</v>
      </c>
    </row>
    <row r="64" spans="1:22" ht="11.45" customHeight="1" x14ac:dyDescent="0.2">
      <c r="D64" s="68"/>
      <c r="E64" s="68" t="s">
        <v>4478</v>
      </c>
      <c r="F64" s="68"/>
      <c r="G64" s="68" t="s">
        <v>4479</v>
      </c>
      <c r="H64" s="68" t="s">
        <v>4480</v>
      </c>
      <c r="I64" s="68"/>
      <c r="J64" s="68" t="s">
        <v>4479</v>
      </c>
      <c r="K64" s="68" t="s">
        <v>4480</v>
      </c>
      <c r="L64" s="40"/>
      <c r="M64" s="40"/>
      <c r="N64" s="40"/>
      <c r="O64" s="67">
        <v>-4</v>
      </c>
      <c r="P64" s="67" t="s">
        <v>4481</v>
      </c>
      <c r="Q64" s="67" t="s">
        <v>4482</v>
      </c>
      <c r="R64" s="67" t="s">
        <v>4483</v>
      </c>
      <c r="S64" s="67">
        <v>-1</v>
      </c>
    </row>
    <row r="65" spans="3:19" x14ac:dyDescent="0.2"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67"/>
      <c r="P65" s="67" t="s">
        <v>4484</v>
      </c>
      <c r="Q65" s="67" t="s">
        <v>4485</v>
      </c>
      <c r="R65" s="67">
        <v>-3</v>
      </c>
      <c r="S65" s="67">
        <v>-2</v>
      </c>
    </row>
    <row r="66" spans="3:19" x14ac:dyDescent="0.2"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67">
        <v>-2</v>
      </c>
      <c r="S66" s="40"/>
    </row>
    <row r="67" spans="3:19" x14ac:dyDescent="0.2">
      <c r="C67" s="69"/>
    </row>
    <row r="69" spans="3:19" x14ac:dyDescent="0.2">
      <c r="D69" s="69"/>
    </row>
  </sheetData>
  <mergeCells count="9">
    <mergeCell ref="Q4:Q5"/>
    <mergeCell ref="R4:R5"/>
    <mergeCell ref="S4:S5"/>
    <mergeCell ref="D4:H4"/>
    <mergeCell ref="I4:K4"/>
    <mergeCell ref="L4:M4"/>
    <mergeCell ref="N4:N5"/>
    <mergeCell ref="O4:O5"/>
    <mergeCell ref="P4:P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15"/>
  <sheetViews>
    <sheetView workbookViewId="0">
      <selection activeCell="X11" sqref="X11:Y15"/>
    </sheetView>
  </sheetViews>
  <sheetFormatPr defaultRowHeight="15" x14ac:dyDescent="0.25"/>
  <sheetData>
    <row r="2" spans="2:35" x14ac:dyDescent="0.25">
      <c r="B2" t="s">
        <v>4486</v>
      </c>
    </row>
    <row r="4" spans="2:35" x14ac:dyDescent="0.25">
      <c r="B4" s="20" t="s">
        <v>287</v>
      </c>
      <c r="C4" s="20" t="s">
        <v>288</v>
      </c>
      <c r="D4" s="20" t="s">
        <v>60</v>
      </c>
      <c r="E4" s="20" t="s">
        <v>289</v>
      </c>
      <c r="F4" s="20" t="s">
        <v>290</v>
      </c>
      <c r="G4" s="20" t="s">
        <v>291</v>
      </c>
      <c r="H4" s="20" t="s">
        <v>292</v>
      </c>
      <c r="I4" s="20" t="s">
        <v>293</v>
      </c>
      <c r="J4" s="20" t="s">
        <v>294</v>
      </c>
      <c r="K4" s="20" t="s">
        <v>295</v>
      </c>
      <c r="L4" s="20" t="s">
        <v>296</v>
      </c>
      <c r="M4" s="20" t="s">
        <v>297</v>
      </c>
      <c r="N4" s="20" t="s">
        <v>298</v>
      </c>
      <c r="O4" s="20" t="s">
        <v>299</v>
      </c>
      <c r="P4" s="20" t="s">
        <v>300</v>
      </c>
      <c r="Q4" s="20" t="s">
        <v>301</v>
      </c>
      <c r="R4" s="20" t="s">
        <v>302</v>
      </c>
      <c r="S4" s="20" t="s">
        <v>303</v>
      </c>
      <c r="T4" s="20" t="s">
        <v>304</v>
      </c>
      <c r="U4" s="20" t="s">
        <v>305</v>
      </c>
      <c r="V4" s="20" t="s">
        <v>306</v>
      </c>
      <c r="W4" s="20" t="s">
        <v>307</v>
      </c>
      <c r="X4" s="20" t="s">
        <v>308</v>
      </c>
      <c r="Y4" s="20" t="s">
        <v>309</v>
      </c>
      <c r="Z4" s="20" t="s">
        <v>310</v>
      </c>
      <c r="AA4" s="20" t="s">
        <v>311</v>
      </c>
      <c r="AB4" s="20" t="s">
        <v>312</v>
      </c>
      <c r="AC4" s="20" t="s">
        <v>313</v>
      </c>
      <c r="AD4" s="20" t="s">
        <v>314</v>
      </c>
      <c r="AE4" s="20"/>
    </row>
    <row r="5" spans="2:35" x14ac:dyDescent="0.25">
      <c r="B5" s="20" t="s">
        <v>343</v>
      </c>
      <c r="C5" s="20" t="s">
        <v>344</v>
      </c>
      <c r="D5" s="20" t="s">
        <v>315</v>
      </c>
      <c r="E5" s="20" t="s">
        <v>316</v>
      </c>
      <c r="F5" s="20" t="s">
        <v>345</v>
      </c>
      <c r="G5" s="20" t="s">
        <v>317</v>
      </c>
      <c r="H5" s="20" t="s">
        <v>55</v>
      </c>
      <c r="I5" s="20" t="s">
        <v>55</v>
      </c>
      <c r="J5" s="20" t="s">
        <v>55</v>
      </c>
      <c r="K5" s="20" t="s">
        <v>55</v>
      </c>
      <c r="L5" s="20" t="s">
        <v>55</v>
      </c>
      <c r="M5" s="20" t="s">
        <v>55</v>
      </c>
      <c r="N5" s="20" t="s">
        <v>55</v>
      </c>
      <c r="O5" s="20" t="s">
        <v>55</v>
      </c>
      <c r="P5" s="20" t="s">
        <v>343</v>
      </c>
      <c r="Q5" s="20" t="s">
        <v>318</v>
      </c>
      <c r="R5" s="20" t="s">
        <v>55</v>
      </c>
      <c r="S5" s="20" t="s">
        <v>343</v>
      </c>
      <c r="T5" s="20" t="s">
        <v>319</v>
      </c>
      <c r="U5" s="20" t="s">
        <v>343</v>
      </c>
      <c r="V5" s="20" t="s">
        <v>346</v>
      </c>
      <c r="W5" s="20" t="s">
        <v>320</v>
      </c>
      <c r="X5" s="20" t="s">
        <v>343</v>
      </c>
      <c r="Y5" s="20" t="s">
        <v>315</v>
      </c>
      <c r="Z5" s="20" t="s">
        <v>315</v>
      </c>
      <c r="AA5" s="20" t="s">
        <v>321</v>
      </c>
      <c r="AB5" s="20" t="s">
        <v>166</v>
      </c>
      <c r="AC5" s="20" t="s">
        <v>316</v>
      </c>
      <c r="AD5" s="20" t="s">
        <v>48</v>
      </c>
      <c r="AE5" s="22" t="e">
        <f>+VLOOKUP(Z5,'1. Input Junho 2025'!$A:$A,1,FALSE)</f>
        <v>#N/A</v>
      </c>
      <c r="AF5" s="22" t="e">
        <f>+VLOOKUP(AA5,'1. Input Junho 2025'!$A:$A,1,FALSE)</f>
        <v>#N/A</v>
      </c>
      <c r="AG5" s="22" t="str">
        <f>+VLOOKUP(AB5,'1. Input Junho 2025'!$A:$A,1,FALSE)</f>
        <v>PRISA</v>
      </c>
      <c r="AH5" s="22" t="e">
        <f>+VLOOKUP(AC5,'1. Input Junho 2025'!$A:$A,1,FALSE)</f>
        <v>#N/A</v>
      </c>
      <c r="AI5" s="22" t="e">
        <f>+VLOOKUP(AD5,'1. Input Junho 2025'!$A:$A,1,FALSE)</f>
        <v>#N/A</v>
      </c>
    </row>
    <row r="6" spans="2:35" x14ac:dyDescent="0.25">
      <c r="B6" s="20" t="s">
        <v>347</v>
      </c>
      <c r="C6" s="20" t="s">
        <v>348</v>
      </c>
      <c r="D6" s="20" t="s">
        <v>322</v>
      </c>
      <c r="E6" s="20" t="s">
        <v>316</v>
      </c>
      <c r="F6" s="20" t="s">
        <v>345</v>
      </c>
      <c r="G6" s="20" t="s">
        <v>317</v>
      </c>
      <c r="H6" s="20" t="s">
        <v>55</v>
      </c>
      <c r="I6" s="20" t="s">
        <v>55</v>
      </c>
      <c r="J6" s="20" t="s">
        <v>55</v>
      </c>
      <c r="K6" s="20" t="s">
        <v>55</v>
      </c>
      <c r="L6" s="20" t="s">
        <v>55</v>
      </c>
      <c r="M6" s="20" t="s">
        <v>55</v>
      </c>
      <c r="N6" s="20" t="s">
        <v>55</v>
      </c>
      <c r="O6" s="20" t="s">
        <v>55</v>
      </c>
      <c r="P6" s="20" t="s">
        <v>347</v>
      </c>
      <c r="Q6" s="20" t="s">
        <v>323</v>
      </c>
      <c r="R6" s="20" t="s">
        <v>55</v>
      </c>
      <c r="S6" s="20" t="s">
        <v>347</v>
      </c>
      <c r="T6" s="20" t="s">
        <v>324</v>
      </c>
      <c r="U6" s="20" t="s">
        <v>347</v>
      </c>
      <c r="V6" s="20" t="s">
        <v>346</v>
      </c>
      <c r="W6" s="20" t="s">
        <v>320</v>
      </c>
      <c r="X6" s="20" t="s">
        <v>347</v>
      </c>
      <c r="Y6" s="20" t="s">
        <v>322</v>
      </c>
      <c r="Z6" s="20" t="s">
        <v>322</v>
      </c>
      <c r="AA6" s="20" t="s">
        <v>325</v>
      </c>
      <c r="AB6" s="20" t="s">
        <v>326</v>
      </c>
      <c r="AC6" s="20" t="s">
        <v>316</v>
      </c>
      <c r="AD6" s="20" t="s">
        <v>48</v>
      </c>
      <c r="AE6" s="22" t="e">
        <f>+VLOOKUP(Z6,'1. Input Junho 2025'!$A:$A,1,FALSE)</f>
        <v>#N/A</v>
      </c>
      <c r="AF6" s="22" t="e">
        <f>+VLOOKUP(AA6,'1. Input Junho 2025'!$A:$A,1,FALSE)</f>
        <v>#N/A</v>
      </c>
      <c r="AG6" s="22" t="str">
        <f>+VLOOKUP(AB6,'1. Input Junho 2025'!$A:$A,1,FALSE)</f>
        <v>0S30G</v>
      </c>
      <c r="AH6" s="22" t="e">
        <f>+VLOOKUP(AC6,'1. Input Junho 2025'!$A:$A,1,FALSE)</f>
        <v>#N/A</v>
      </c>
      <c r="AI6" s="22" t="e">
        <f>+VLOOKUP(AD6,'1. Input Junho 2025'!$A:$A,1,FALSE)</f>
        <v>#N/A</v>
      </c>
    </row>
    <row r="7" spans="2:35" x14ac:dyDescent="0.25">
      <c r="B7" s="20" t="s">
        <v>349</v>
      </c>
      <c r="C7" s="20" t="s">
        <v>350</v>
      </c>
      <c r="D7" s="20" t="s">
        <v>327</v>
      </c>
      <c r="E7" s="20" t="s">
        <v>316</v>
      </c>
      <c r="F7" s="20" t="s">
        <v>345</v>
      </c>
      <c r="G7" s="20" t="s">
        <v>317</v>
      </c>
      <c r="H7" s="20" t="s">
        <v>55</v>
      </c>
      <c r="I7" s="20" t="s">
        <v>55</v>
      </c>
      <c r="J7" s="20" t="s">
        <v>55</v>
      </c>
      <c r="K7" s="20" t="s">
        <v>55</v>
      </c>
      <c r="L7" s="20" t="s">
        <v>55</v>
      </c>
      <c r="M7" s="20" t="s">
        <v>55</v>
      </c>
      <c r="N7" s="20" t="s">
        <v>55</v>
      </c>
      <c r="O7" s="20" t="s">
        <v>55</v>
      </c>
      <c r="P7" s="20" t="s">
        <v>349</v>
      </c>
      <c r="Q7" s="20" t="s">
        <v>328</v>
      </c>
      <c r="R7" s="20" t="s">
        <v>55</v>
      </c>
      <c r="S7" s="20" t="s">
        <v>349</v>
      </c>
      <c r="T7" s="20" t="s">
        <v>329</v>
      </c>
      <c r="U7" s="20" t="s">
        <v>349</v>
      </c>
      <c r="V7" s="20" t="s">
        <v>346</v>
      </c>
      <c r="W7" s="20" t="s">
        <v>320</v>
      </c>
      <c r="X7" s="20" t="s">
        <v>349</v>
      </c>
      <c r="Y7" s="20" t="s">
        <v>327</v>
      </c>
      <c r="Z7" s="20" t="s">
        <v>327</v>
      </c>
      <c r="AA7" s="20" t="s">
        <v>330</v>
      </c>
      <c r="AB7" s="20" t="s">
        <v>103</v>
      </c>
      <c r="AC7" s="20" t="s">
        <v>316</v>
      </c>
      <c r="AD7" s="20" t="s">
        <v>48</v>
      </c>
      <c r="AE7" s="22" t="e">
        <f>+VLOOKUP(Z7,'1. Input Junho 2025'!$A:$A,1,FALSE)</f>
        <v>#N/A</v>
      </c>
      <c r="AF7" s="22" t="e">
        <f>+VLOOKUP(AA7,'1. Input Junho 2025'!$A:$A,1,FALSE)</f>
        <v>#N/A</v>
      </c>
      <c r="AG7" s="22" t="str">
        <f>+VLOOKUP(AB7,'1. Input Junho 2025'!$A:$A,1,FALSE)</f>
        <v>CGYNG</v>
      </c>
      <c r="AH7" s="22" t="e">
        <f>+VLOOKUP(AC7,'1. Input Junho 2025'!$A:$A,1,FALSE)</f>
        <v>#N/A</v>
      </c>
      <c r="AI7" s="22" t="e">
        <f>+VLOOKUP(AD7,'1. Input Junho 2025'!$A:$A,1,FALSE)</f>
        <v>#N/A</v>
      </c>
    </row>
    <row r="8" spans="2:35" x14ac:dyDescent="0.25">
      <c r="B8" s="20" t="s">
        <v>351</v>
      </c>
      <c r="C8" s="20" t="s">
        <v>352</v>
      </c>
      <c r="D8" s="20" t="s">
        <v>331</v>
      </c>
      <c r="E8" s="20" t="s">
        <v>316</v>
      </c>
      <c r="F8" s="20" t="s">
        <v>345</v>
      </c>
      <c r="G8" s="20" t="s">
        <v>317</v>
      </c>
      <c r="H8" s="20" t="s">
        <v>55</v>
      </c>
      <c r="I8" s="20" t="s">
        <v>55</v>
      </c>
      <c r="J8" s="20" t="s">
        <v>55</v>
      </c>
      <c r="K8" s="20" t="s">
        <v>55</v>
      </c>
      <c r="L8" s="20" t="s">
        <v>55</v>
      </c>
      <c r="M8" s="20" t="s">
        <v>55</v>
      </c>
      <c r="N8" s="20" t="s">
        <v>55</v>
      </c>
      <c r="O8" s="20" t="s">
        <v>55</v>
      </c>
      <c r="P8" s="20" t="s">
        <v>351</v>
      </c>
      <c r="Q8" s="20" t="s">
        <v>332</v>
      </c>
      <c r="R8" s="20" t="s">
        <v>55</v>
      </c>
      <c r="S8" s="20" t="s">
        <v>351</v>
      </c>
      <c r="T8" s="20" t="s">
        <v>333</v>
      </c>
      <c r="U8" s="20" t="s">
        <v>351</v>
      </c>
      <c r="V8" s="20" t="s">
        <v>346</v>
      </c>
      <c r="W8" s="20" t="s">
        <v>320</v>
      </c>
      <c r="X8" s="20" t="s">
        <v>351</v>
      </c>
      <c r="Y8" s="20" t="s">
        <v>331</v>
      </c>
      <c r="Z8" s="20" t="s">
        <v>331</v>
      </c>
      <c r="AA8" s="20" t="s">
        <v>334</v>
      </c>
      <c r="AB8" s="20" t="s">
        <v>76</v>
      </c>
      <c r="AC8" s="20" t="s">
        <v>316</v>
      </c>
      <c r="AD8" s="20" t="s">
        <v>48</v>
      </c>
      <c r="AE8" s="22" t="e">
        <f>+VLOOKUP(Z8,'1. Input Junho 2025'!$A:$A,1,FALSE)</f>
        <v>#N/A</v>
      </c>
      <c r="AF8" s="22" t="e">
        <f>+VLOOKUP(AA8,'1. Input Junho 2025'!$A:$A,1,FALSE)</f>
        <v>#N/A</v>
      </c>
      <c r="AG8" s="22" t="str">
        <f>+VLOOKUP(AB8,'1. Input Junho 2025'!$A:$A,1,FALSE)</f>
        <v>5VFRG</v>
      </c>
      <c r="AH8" s="22" t="e">
        <f>+VLOOKUP(AC8,'1. Input Junho 2025'!$A:$A,1,FALSE)</f>
        <v>#N/A</v>
      </c>
      <c r="AI8" s="22" t="e">
        <f>+VLOOKUP(AD8,'1. Input Junho 2025'!$A:$A,1,FALSE)</f>
        <v>#N/A</v>
      </c>
    </row>
    <row r="9" spans="2:35" x14ac:dyDescent="0.25">
      <c r="B9" s="20" t="s">
        <v>353</v>
      </c>
      <c r="C9" s="20" t="s">
        <v>354</v>
      </c>
      <c r="D9" s="20" t="s">
        <v>335</v>
      </c>
      <c r="E9" s="20" t="s">
        <v>316</v>
      </c>
      <c r="F9" s="20" t="s">
        <v>345</v>
      </c>
      <c r="G9" s="20" t="s">
        <v>317</v>
      </c>
      <c r="H9" s="20" t="s">
        <v>353</v>
      </c>
      <c r="I9" s="20" t="s">
        <v>336</v>
      </c>
      <c r="J9" s="20" t="s">
        <v>337</v>
      </c>
      <c r="K9" s="20" t="s">
        <v>55</v>
      </c>
      <c r="L9" s="20" t="s">
        <v>55</v>
      </c>
      <c r="M9" s="20" t="s">
        <v>55</v>
      </c>
      <c r="N9" s="20" t="s">
        <v>55</v>
      </c>
      <c r="O9" s="20" t="s">
        <v>55</v>
      </c>
      <c r="P9" s="20" t="s">
        <v>353</v>
      </c>
      <c r="Q9" s="20" t="s">
        <v>338</v>
      </c>
      <c r="R9" s="20" t="s">
        <v>353</v>
      </c>
      <c r="S9" s="20" t="s">
        <v>353</v>
      </c>
      <c r="T9" s="20" t="s">
        <v>339</v>
      </c>
      <c r="U9" s="20" t="s">
        <v>353</v>
      </c>
      <c r="V9" s="20" t="s">
        <v>346</v>
      </c>
      <c r="W9" s="20" t="s">
        <v>320</v>
      </c>
      <c r="X9" s="20" t="s">
        <v>353</v>
      </c>
      <c r="Y9" s="20" t="s">
        <v>335</v>
      </c>
      <c r="Z9" s="20" t="s">
        <v>335</v>
      </c>
      <c r="AA9" s="20" t="s">
        <v>340</v>
      </c>
      <c r="AB9" s="20" t="s">
        <v>341</v>
      </c>
      <c r="AC9" s="20" t="s">
        <v>316</v>
      </c>
      <c r="AD9" s="20" t="s">
        <v>342</v>
      </c>
      <c r="AE9" s="22" t="e">
        <f>+VLOOKUP(Z9,'1. Input Junho 2025'!$A:$A,1,FALSE)</f>
        <v>#N/A</v>
      </c>
      <c r="AF9" s="22" t="e">
        <f>+VLOOKUP(AA9,'1. Input Junho 2025'!$A:$A,1,FALSE)</f>
        <v>#N/A</v>
      </c>
      <c r="AG9" s="22" t="str">
        <f>+VLOOKUP(AB9,'1. Input Junho 2025'!$A:$A,1,FALSE)</f>
        <v>1500G</v>
      </c>
      <c r="AH9" s="22" t="e">
        <f>+VLOOKUP(AC9,'1. Input Junho 2025'!$A:$A,1,FALSE)</f>
        <v>#N/A</v>
      </c>
      <c r="AI9" s="22" t="e">
        <f>+VLOOKUP(AD9,'1. Input Junho 2025'!$A:$A,1,FALSE)</f>
        <v>#N/A</v>
      </c>
    </row>
    <row r="11" spans="2:35" x14ac:dyDescent="0.25">
      <c r="X11" s="20" t="s">
        <v>343</v>
      </c>
      <c r="Y11" s="22" t="s">
        <v>166</v>
      </c>
    </row>
    <row r="12" spans="2:35" x14ac:dyDescent="0.25">
      <c r="X12" s="20" t="s">
        <v>347</v>
      </c>
      <c r="Y12" s="22" t="s">
        <v>326</v>
      </c>
    </row>
    <row r="13" spans="2:35" x14ac:dyDescent="0.25">
      <c r="X13" s="20" t="s">
        <v>349</v>
      </c>
      <c r="Y13" s="22" t="s">
        <v>103</v>
      </c>
    </row>
    <row r="14" spans="2:35" x14ac:dyDescent="0.25">
      <c r="X14" s="20" t="s">
        <v>351</v>
      </c>
      <c r="Y14" s="22" t="s">
        <v>76</v>
      </c>
    </row>
    <row r="15" spans="2:35" x14ac:dyDescent="0.25">
      <c r="X15" s="20" t="s">
        <v>353</v>
      </c>
      <c r="Y15" s="22" t="s">
        <v>341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>
      <selection activeCell="K20" sqref="K20"/>
    </sheetView>
  </sheetViews>
  <sheetFormatPr defaultRowHeight="15" x14ac:dyDescent="0.25"/>
  <cols>
    <col min="1" max="1" width="13.140625" bestFit="1" customWidth="1"/>
    <col min="2" max="3" width="12" bestFit="1" customWidth="1"/>
    <col min="4" max="4" width="12.28515625" bestFit="1" customWidth="1"/>
    <col min="5" max="7" width="0" hidden="1" customWidth="1"/>
    <col min="8" max="8" width="11.42578125" bestFit="1" customWidth="1"/>
  </cols>
  <sheetData>
    <row r="3" spans="1:11" x14ac:dyDescent="0.25">
      <c r="A3" s="70" t="s">
        <v>4514</v>
      </c>
      <c r="B3" t="s">
        <v>4523</v>
      </c>
      <c r="C3" t="s">
        <v>4524</v>
      </c>
      <c r="D3" t="s">
        <v>4525</v>
      </c>
      <c r="J3" s="70" t="s">
        <v>4493</v>
      </c>
      <c r="K3" s="71">
        <v>1</v>
      </c>
    </row>
    <row r="4" spans="1:11" x14ac:dyDescent="0.25">
      <c r="A4" s="71" t="s">
        <v>57</v>
      </c>
      <c r="B4" s="22">
        <v>6.6992859999999999</v>
      </c>
      <c r="C4" s="22">
        <v>77.850486000000004</v>
      </c>
      <c r="D4" s="22">
        <v>789.82551699999999</v>
      </c>
      <c r="E4">
        <v>6.6992859999999999</v>
      </c>
      <c r="F4">
        <v>77.850486000000004</v>
      </c>
      <c r="G4">
        <v>789.82551699999999</v>
      </c>
      <c r="H4" s="19">
        <f>+SUM(E4,F4,G4)</f>
        <v>874.37528899999995</v>
      </c>
    </row>
    <row r="5" spans="1:11" x14ac:dyDescent="0.25">
      <c r="A5" s="71" t="s">
        <v>53</v>
      </c>
      <c r="B5" s="22">
        <v>48249.316631999995</v>
      </c>
      <c r="C5" s="22">
        <v>8742.3776670000007</v>
      </c>
      <c r="D5" s="22">
        <v>423914.76590599993</v>
      </c>
      <c r="E5">
        <v>48249.316631999995</v>
      </c>
      <c r="F5">
        <v>8742.3776670000007</v>
      </c>
      <c r="G5">
        <v>423914.76590599993</v>
      </c>
      <c r="H5" s="19">
        <f t="shared" ref="H5:H16" si="0">+SUM(E5,F5,G5)</f>
        <v>480906.46020499989</v>
      </c>
      <c r="J5" s="70" t="s">
        <v>4514</v>
      </c>
      <c r="K5" t="s">
        <v>4517</v>
      </c>
    </row>
    <row r="6" spans="1:11" x14ac:dyDescent="0.25">
      <c r="A6" s="71" t="s">
        <v>42</v>
      </c>
      <c r="B6" s="22">
        <v>62509.137898000001</v>
      </c>
      <c r="C6" s="22">
        <v>3712.03404</v>
      </c>
      <c r="D6" s="22">
        <v>87008.577200000014</v>
      </c>
      <c r="E6">
        <v>62509.137898000001</v>
      </c>
      <c r="F6">
        <v>3712.03404</v>
      </c>
      <c r="G6">
        <v>87008.577200000014</v>
      </c>
      <c r="H6" s="19">
        <f t="shared" si="0"/>
        <v>153229.74913800001</v>
      </c>
      <c r="J6" s="71" t="s">
        <v>57</v>
      </c>
      <c r="K6" s="22">
        <v>874.37528899999995</v>
      </c>
    </row>
    <row r="7" spans="1:11" x14ac:dyDescent="0.25">
      <c r="A7" s="71" t="s">
        <v>50</v>
      </c>
      <c r="B7" s="22">
        <v>0.15965199999999999</v>
      </c>
      <c r="C7" s="22">
        <v>0.139733</v>
      </c>
      <c r="D7" s="22">
        <v>15.545375</v>
      </c>
      <c r="E7">
        <v>0.15965199999999999</v>
      </c>
      <c r="F7">
        <v>0.139733</v>
      </c>
      <c r="G7">
        <v>15.545375</v>
      </c>
      <c r="H7" s="19">
        <f t="shared" si="0"/>
        <v>15.844760000000001</v>
      </c>
      <c r="J7" s="71" t="s">
        <v>45</v>
      </c>
      <c r="K7" s="22">
        <v>0</v>
      </c>
    </row>
    <row r="8" spans="1:11" x14ac:dyDescent="0.25">
      <c r="A8" s="71" t="s">
        <v>58</v>
      </c>
      <c r="B8" s="22">
        <v>461.71583899999996</v>
      </c>
      <c r="C8" s="22">
        <v>182.07520099999999</v>
      </c>
      <c r="D8" s="22">
        <v>11632.711846</v>
      </c>
      <c r="E8">
        <v>461.71583899999996</v>
      </c>
      <c r="F8">
        <v>182.07520099999999</v>
      </c>
      <c r="G8">
        <v>11632.711846</v>
      </c>
      <c r="H8" s="19">
        <f t="shared" si="0"/>
        <v>12276.502886</v>
      </c>
      <c r="J8" s="71" t="s">
        <v>53</v>
      </c>
      <c r="K8" s="22">
        <v>480906.46020500001</v>
      </c>
    </row>
    <row r="9" spans="1:11" x14ac:dyDescent="0.25">
      <c r="A9" s="71" t="s">
        <v>46</v>
      </c>
      <c r="B9" s="22">
        <v>57348.027345999988</v>
      </c>
      <c r="C9" s="22">
        <v>11987.388364999999</v>
      </c>
      <c r="D9" s="22">
        <v>237481.884502</v>
      </c>
      <c r="E9">
        <v>57348.027345999988</v>
      </c>
      <c r="F9">
        <v>11987.388364999999</v>
      </c>
      <c r="G9">
        <v>237481.884502</v>
      </c>
      <c r="H9" s="19">
        <f t="shared" si="0"/>
        <v>306817.30021299998</v>
      </c>
      <c r="J9" s="71" t="s">
        <v>42</v>
      </c>
      <c r="K9" s="22">
        <v>153229.74913800001</v>
      </c>
    </row>
    <row r="10" spans="1:11" x14ac:dyDescent="0.25">
      <c r="A10" s="71" t="s">
        <v>39</v>
      </c>
      <c r="B10" s="22">
        <v>714.59981500000004</v>
      </c>
      <c r="C10" s="22">
        <v>606.34077000000002</v>
      </c>
      <c r="D10" s="22">
        <v>154657.03942200003</v>
      </c>
      <c r="E10">
        <v>714.59981500000004</v>
      </c>
      <c r="F10">
        <v>606.34077000000002</v>
      </c>
      <c r="G10">
        <v>154657.03942200003</v>
      </c>
      <c r="H10" s="19">
        <f t="shared" si="0"/>
        <v>155977.98000700003</v>
      </c>
      <c r="J10" s="71" t="s">
        <v>50</v>
      </c>
      <c r="K10" s="22">
        <v>15.844760000000001</v>
      </c>
    </row>
    <row r="11" spans="1:11" x14ac:dyDescent="0.25">
      <c r="A11" s="71" t="s">
        <v>54</v>
      </c>
      <c r="B11" s="22">
        <v>2.6</v>
      </c>
      <c r="C11" s="22">
        <v>1.216982</v>
      </c>
      <c r="D11" s="22">
        <v>305.91743000000002</v>
      </c>
      <c r="E11">
        <v>2.6</v>
      </c>
      <c r="F11">
        <v>1.216982</v>
      </c>
      <c r="G11">
        <v>305.91743000000002</v>
      </c>
      <c r="H11" s="19">
        <f t="shared" si="0"/>
        <v>309.73441200000002</v>
      </c>
      <c r="J11" s="71" t="s">
        <v>58</v>
      </c>
      <c r="K11" s="22">
        <v>12276.502886000002</v>
      </c>
    </row>
    <row r="12" spans="1:11" x14ac:dyDescent="0.25">
      <c r="A12" s="71" t="s">
        <v>49</v>
      </c>
      <c r="B12" s="22">
        <v>15.547202</v>
      </c>
      <c r="C12" s="22">
        <v>140.052086</v>
      </c>
      <c r="D12" s="22">
        <v>998.76455199999998</v>
      </c>
      <c r="E12">
        <v>15.547202</v>
      </c>
      <c r="F12">
        <v>140.052086</v>
      </c>
      <c r="G12">
        <v>998.76455199999998</v>
      </c>
      <c r="H12" s="19">
        <f t="shared" si="0"/>
        <v>1154.36384</v>
      </c>
      <c r="J12" s="71" t="s">
        <v>46</v>
      </c>
      <c r="K12" s="22">
        <v>306817.30021300004</v>
      </c>
    </row>
    <row r="13" spans="1:11" x14ac:dyDescent="0.25">
      <c r="A13" s="71" t="s">
        <v>41</v>
      </c>
      <c r="B13" s="22">
        <v>5424.172387999999</v>
      </c>
      <c r="C13" s="22">
        <v>22991.281247000003</v>
      </c>
      <c r="D13" s="22">
        <v>463689.27415199997</v>
      </c>
      <c r="E13">
        <v>5424.172387999999</v>
      </c>
      <c r="F13">
        <v>22991.281247000003</v>
      </c>
      <c r="G13">
        <v>463689.27415199997</v>
      </c>
      <c r="H13" s="19">
        <f t="shared" si="0"/>
        <v>492104.72778699995</v>
      </c>
      <c r="J13" s="71" t="s">
        <v>39</v>
      </c>
      <c r="K13" s="22">
        <v>155977.98000700001</v>
      </c>
    </row>
    <row r="14" spans="1:11" x14ac:dyDescent="0.25">
      <c r="A14" s="71" t="s">
        <v>48</v>
      </c>
      <c r="B14" s="22">
        <v>983.67199199999993</v>
      </c>
      <c r="C14" s="22">
        <v>9.0976710000000001</v>
      </c>
      <c r="D14" s="22">
        <v>1871.8726120000001</v>
      </c>
      <c r="E14">
        <v>983.67199199999993</v>
      </c>
      <c r="F14">
        <v>9.0976710000000001</v>
      </c>
      <c r="G14">
        <v>1871.8726120000001</v>
      </c>
      <c r="H14" s="19">
        <f t="shared" si="0"/>
        <v>2864.6422750000002</v>
      </c>
      <c r="J14" s="71" t="s">
        <v>54</v>
      </c>
      <c r="K14" s="22">
        <v>309.73441200000002</v>
      </c>
    </row>
    <row r="15" spans="1:11" x14ac:dyDescent="0.25">
      <c r="A15" s="71" t="s">
        <v>38</v>
      </c>
      <c r="B15" s="22">
        <v>84.645314999999997</v>
      </c>
      <c r="C15" s="22">
        <v>4.2239069999999996</v>
      </c>
      <c r="D15" s="22">
        <v>91.345718000000005</v>
      </c>
      <c r="E15">
        <v>84.645314999999997</v>
      </c>
      <c r="F15">
        <v>4.2239069999999996</v>
      </c>
      <c r="G15">
        <v>91.345718000000005</v>
      </c>
      <c r="H15" s="19">
        <f t="shared" si="0"/>
        <v>180.21494000000001</v>
      </c>
      <c r="J15" s="71" t="s">
        <v>49</v>
      </c>
      <c r="K15" s="22">
        <v>1154.3638400000002</v>
      </c>
    </row>
    <row r="16" spans="1:11" x14ac:dyDescent="0.25">
      <c r="A16" s="71" t="s">
        <v>4516</v>
      </c>
      <c r="B16" s="22">
        <v>175800.29336499999</v>
      </c>
      <c r="C16" s="22">
        <v>48454.078155000003</v>
      </c>
      <c r="D16" s="22">
        <v>1382457.5242320001</v>
      </c>
      <c r="E16">
        <v>175800.29336499999</v>
      </c>
      <c r="F16">
        <v>48454.078155000003</v>
      </c>
      <c r="G16">
        <v>1382457.5242320001</v>
      </c>
      <c r="H16" s="19">
        <f t="shared" si="0"/>
        <v>1606711.8957520002</v>
      </c>
      <c r="J16" s="71" t="s">
        <v>51</v>
      </c>
      <c r="K16" s="22">
        <v>0</v>
      </c>
    </row>
    <row r="17" spans="10:11" x14ac:dyDescent="0.25">
      <c r="J17" s="71" t="s">
        <v>41</v>
      </c>
      <c r="K17" s="22">
        <v>492104.72778699995</v>
      </c>
    </row>
    <row r="18" spans="10:11" x14ac:dyDescent="0.25">
      <c r="J18" s="71" t="s">
        <v>48</v>
      </c>
      <c r="K18" s="22">
        <v>2864.6422749999997</v>
      </c>
    </row>
    <row r="19" spans="10:11" x14ac:dyDescent="0.25">
      <c r="J19" s="71" t="s">
        <v>38</v>
      </c>
      <c r="K19" s="22">
        <v>180.21494000000001</v>
      </c>
    </row>
    <row r="20" spans="10:11" x14ac:dyDescent="0.25">
      <c r="J20" s="71" t="s">
        <v>4516</v>
      </c>
      <c r="K20" s="22">
        <v>1606711.8957519999</v>
      </c>
    </row>
  </sheetData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7838EF2-0532-43D2-A840-39246C77B5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00F722-3FA9-4BB0-AF73-FFD08296DCA8}"/>
</file>

<file path=customXml/itemProps3.xml><?xml version="1.0" encoding="utf-8"?>
<ds:datastoreItem xmlns:ds="http://schemas.openxmlformats.org/officeDocument/2006/customXml" ds:itemID="{A1437066-1DDC-4E28-A19F-A8A5C0C49FC2}">
  <ds:schemaRefs>
    <ds:schemaRef ds:uri="http://schemas.microsoft.com/office/2006/metadata/properties"/>
    <ds:schemaRef ds:uri="http://schemas.microsoft.com/office/infopath/2007/PartnerControls"/>
    <ds:schemaRef ds:uri="5cb916c8-9d68-4383-983a-69d9d45073d0"/>
    <ds:schemaRef ds:uri="15969c5d-4c62-4017-a58c-7372f95502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SCIB</vt:lpstr>
      <vt:lpstr>DQS4</vt:lpstr>
      <vt:lpstr>Sheet6</vt:lpstr>
      <vt:lpstr>DQS5</vt:lpstr>
      <vt:lpstr>Auxiliar &gt;&gt;</vt:lpstr>
      <vt:lpstr>1. Input Junho 2025</vt:lpstr>
      <vt:lpstr>Sheet5</vt:lpstr>
      <vt:lpstr>AS IS </vt:lpstr>
      <vt:lpstr>2. Emissões Reportadas</vt:lpstr>
      <vt:lpstr>3. Clientes KGL diferente</vt:lpstr>
      <vt:lpstr>ANL1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Andrea Ramos Cunto</dc:creator>
  <cp:lastModifiedBy>Hélder Filipe Felicidade Fernandes</cp:lastModifiedBy>
  <dcterms:created xsi:type="dcterms:W3CDTF">2024-07-04T16:12:13Z</dcterms:created>
  <dcterms:modified xsi:type="dcterms:W3CDTF">2025-10-15T16:04:40Z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2024-07-05T10:23:43Z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7d340efe-c6cd-41e5-9016-3e3a161ffb86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