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808873\Desktop\"/>
    </mc:Choice>
  </mc:AlternateContent>
  <bookViews>
    <workbookView xWindow="-4575" yWindow="-16320" windowWidth="29040" windowHeight="15840"/>
  </bookViews>
  <sheets>
    <sheet name="SCIB" sheetId="1" r:id="rId1"/>
    <sheet name="SCIB_AUX" sheetId="6" r:id="rId2"/>
    <sheet name="DQS4" sheetId="3" r:id="rId3"/>
    <sheet name="DQS4_AUX" sheetId="7" r:id="rId4"/>
    <sheet name="DQS5" sheetId="4" r:id="rId5"/>
    <sheet name="DQ5_AUX" sheetId="8" r:id="rId6"/>
  </sheets>
  <externalReferences>
    <externalReference r:id="rId7"/>
  </externalReferences>
  <definedNames>
    <definedName name="_xlnm._FilterDatabase" localSheetId="5" hidden="1">DQ5_AUX!$A$1:$M$546</definedName>
    <definedName name="_xlnm._FilterDatabase" localSheetId="3" hidden="1">DQS4_AUX!$B$1:$M$530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1" l="1"/>
  <c r="P6" i="1"/>
  <c r="P5" i="1"/>
  <c r="P4" i="1"/>
  <c r="P3" i="1"/>
  <c r="L7" i="1"/>
  <c r="K7" i="1"/>
  <c r="J7" i="1"/>
  <c r="D7" i="1"/>
  <c r="J7" i="4"/>
  <c r="I7" i="4"/>
  <c r="H7" i="4"/>
  <c r="D7" i="4"/>
  <c r="M546" i="8"/>
  <c r="L546" i="8"/>
  <c r="K546" i="8"/>
  <c r="J546" i="8"/>
  <c r="M545" i="8"/>
  <c r="L545" i="8"/>
  <c r="K545" i="8"/>
  <c r="J545" i="8"/>
  <c r="M544" i="8"/>
  <c r="L544" i="8"/>
  <c r="K544" i="8"/>
  <c r="J544" i="8"/>
  <c r="M543" i="8"/>
  <c r="L543" i="8"/>
  <c r="K543" i="8"/>
  <c r="J543" i="8"/>
  <c r="M542" i="8"/>
  <c r="L542" i="8"/>
  <c r="K542" i="8"/>
  <c r="J542" i="8"/>
  <c r="M541" i="8"/>
  <c r="L541" i="8"/>
  <c r="K541" i="8"/>
  <c r="J541" i="8"/>
  <c r="M540" i="8"/>
  <c r="L540" i="8"/>
  <c r="K540" i="8"/>
  <c r="J540" i="8"/>
  <c r="M539" i="8"/>
  <c r="L539" i="8"/>
  <c r="K539" i="8"/>
  <c r="J539" i="8"/>
  <c r="M538" i="8"/>
  <c r="L538" i="8"/>
  <c r="K538" i="8"/>
  <c r="J538" i="8"/>
  <c r="M537" i="8"/>
  <c r="L537" i="8"/>
  <c r="K537" i="8"/>
  <c r="J537" i="8"/>
  <c r="M536" i="8"/>
  <c r="L536" i="8"/>
  <c r="K536" i="8"/>
  <c r="J536" i="8"/>
  <c r="M535" i="8"/>
  <c r="L535" i="8"/>
  <c r="K535" i="8"/>
  <c r="J535" i="8"/>
  <c r="M534" i="8"/>
  <c r="L534" i="8"/>
  <c r="K534" i="8"/>
  <c r="J534" i="8"/>
  <c r="M533" i="8"/>
  <c r="L533" i="8"/>
  <c r="K533" i="8"/>
  <c r="J533" i="8"/>
  <c r="M532" i="8"/>
  <c r="L532" i="8"/>
  <c r="K532" i="8"/>
  <c r="J532" i="8"/>
  <c r="M531" i="8"/>
  <c r="L531" i="8"/>
  <c r="K531" i="8"/>
  <c r="J531" i="8"/>
  <c r="M530" i="8"/>
  <c r="L530" i="8"/>
  <c r="K530" i="8"/>
  <c r="J530" i="8"/>
  <c r="M529" i="8"/>
  <c r="L529" i="8"/>
  <c r="K529" i="8"/>
  <c r="J529" i="8"/>
  <c r="M528" i="8"/>
  <c r="L528" i="8"/>
  <c r="K528" i="8"/>
  <c r="J528" i="8"/>
  <c r="M527" i="8"/>
  <c r="L527" i="8"/>
  <c r="K527" i="8"/>
  <c r="J527" i="8"/>
  <c r="M526" i="8"/>
  <c r="L526" i="8"/>
  <c r="K526" i="8"/>
  <c r="J526" i="8"/>
  <c r="M525" i="8"/>
  <c r="L525" i="8"/>
  <c r="K525" i="8"/>
  <c r="J525" i="8"/>
  <c r="M524" i="8"/>
  <c r="L524" i="8"/>
  <c r="K524" i="8"/>
  <c r="J524" i="8"/>
  <c r="M523" i="8"/>
  <c r="L523" i="8"/>
  <c r="K523" i="8"/>
  <c r="J523" i="8"/>
  <c r="M522" i="8"/>
  <c r="L522" i="8"/>
  <c r="K522" i="8"/>
  <c r="J522" i="8"/>
  <c r="M521" i="8"/>
  <c r="L521" i="8"/>
  <c r="K521" i="8"/>
  <c r="J521" i="8"/>
  <c r="M520" i="8"/>
  <c r="L520" i="8"/>
  <c r="K520" i="8"/>
  <c r="J520" i="8"/>
  <c r="M519" i="8"/>
  <c r="L519" i="8"/>
  <c r="K519" i="8"/>
  <c r="J519" i="8"/>
  <c r="M518" i="8"/>
  <c r="L518" i="8"/>
  <c r="K518" i="8"/>
  <c r="J518" i="8"/>
  <c r="M517" i="8"/>
  <c r="L517" i="8"/>
  <c r="K517" i="8"/>
  <c r="J517" i="8"/>
  <c r="M516" i="8"/>
  <c r="L516" i="8"/>
  <c r="K516" i="8"/>
  <c r="J516" i="8"/>
  <c r="M515" i="8"/>
  <c r="L515" i="8"/>
  <c r="K515" i="8"/>
  <c r="J515" i="8"/>
  <c r="M514" i="8"/>
  <c r="L514" i="8"/>
  <c r="K514" i="8"/>
  <c r="J514" i="8"/>
  <c r="M513" i="8"/>
  <c r="L513" i="8"/>
  <c r="K513" i="8"/>
  <c r="J513" i="8"/>
  <c r="M512" i="8"/>
  <c r="L512" i="8"/>
  <c r="K512" i="8"/>
  <c r="J512" i="8"/>
  <c r="M511" i="8"/>
  <c r="L511" i="8"/>
  <c r="K511" i="8"/>
  <c r="J511" i="8"/>
  <c r="M510" i="8"/>
  <c r="L510" i="8"/>
  <c r="K510" i="8"/>
  <c r="J510" i="8"/>
  <c r="M509" i="8"/>
  <c r="L509" i="8"/>
  <c r="K509" i="8"/>
  <c r="J509" i="8"/>
  <c r="M508" i="8"/>
  <c r="L508" i="8"/>
  <c r="K508" i="8"/>
  <c r="J508" i="8"/>
  <c r="M507" i="8"/>
  <c r="L507" i="8"/>
  <c r="K507" i="8"/>
  <c r="J507" i="8"/>
  <c r="M506" i="8"/>
  <c r="L506" i="8"/>
  <c r="K506" i="8"/>
  <c r="J506" i="8"/>
  <c r="M505" i="8"/>
  <c r="L505" i="8"/>
  <c r="K505" i="8"/>
  <c r="J505" i="8"/>
  <c r="M504" i="8"/>
  <c r="L504" i="8"/>
  <c r="K504" i="8"/>
  <c r="J504" i="8"/>
  <c r="M503" i="8"/>
  <c r="L503" i="8"/>
  <c r="K503" i="8"/>
  <c r="J503" i="8"/>
  <c r="M502" i="8"/>
  <c r="L502" i="8"/>
  <c r="K502" i="8"/>
  <c r="J502" i="8"/>
  <c r="M501" i="8"/>
  <c r="L501" i="8"/>
  <c r="K501" i="8"/>
  <c r="J501" i="8"/>
  <c r="M500" i="8"/>
  <c r="L500" i="8"/>
  <c r="K500" i="8"/>
  <c r="J500" i="8"/>
  <c r="M499" i="8"/>
  <c r="L499" i="8"/>
  <c r="K499" i="8"/>
  <c r="J499" i="8"/>
  <c r="M498" i="8"/>
  <c r="L498" i="8"/>
  <c r="K498" i="8"/>
  <c r="J498" i="8"/>
  <c r="M497" i="8"/>
  <c r="L497" i="8"/>
  <c r="K497" i="8"/>
  <c r="J497" i="8"/>
  <c r="M496" i="8"/>
  <c r="L496" i="8"/>
  <c r="K496" i="8"/>
  <c r="J496" i="8"/>
  <c r="M495" i="8"/>
  <c r="L495" i="8"/>
  <c r="K495" i="8"/>
  <c r="J495" i="8"/>
  <c r="M494" i="8"/>
  <c r="L494" i="8"/>
  <c r="K494" i="8"/>
  <c r="J494" i="8"/>
  <c r="M493" i="8"/>
  <c r="L493" i="8"/>
  <c r="K493" i="8"/>
  <c r="J493" i="8"/>
  <c r="M492" i="8"/>
  <c r="L492" i="8"/>
  <c r="K492" i="8"/>
  <c r="J492" i="8"/>
  <c r="M491" i="8"/>
  <c r="L491" i="8"/>
  <c r="K491" i="8"/>
  <c r="J491" i="8"/>
  <c r="M490" i="8"/>
  <c r="L490" i="8"/>
  <c r="K490" i="8"/>
  <c r="J490" i="8"/>
  <c r="M489" i="8"/>
  <c r="L489" i="8"/>
  <c r="K489" i="8"/>
  <c r="J489" i="8"/>
  <c r="M488" i="8"/>
  <c r="L488" i="8"/>
  <c r="K488" i="8"/>
  <c r="J488" i="8"/>
  <c r="M487" i="8"/>
  <c r="L487" i="8"/>
  <c r="K487" i="8"/>
  <c r="J487" i="8"/>
  <c r="M486" i="8"/>
  <c r="L486" i="8"/>
  <c r="K486" i="8"/>
  <c r="J486" i="8"/>
  <c r="M485" i="8"/>
  <c r="L485" i="8"/>
  <c r="K485" i="8"/>
  <c r="J485" i="8"/>
  <c r="M484" i="8"/>
  <c r="L484" i="8"/>
  <c r="K484" i="8"/>
  <c r="J484" i="8"/>
  <c r="M483" i="8"/>
  <c r="L483" i="8"/>
  <c r="K483" i="8"/>
  <c r="J483" i="8"/>
  <c r="M482" i="8"/>
  <c r="L482" i="8"/>
  <c r="K482" i="8"/>
  <c r="J482" i="8"/>
  <c r="M481" i="8"/>
  <c r="L481" i="8"/>
  <c r="K481" i="8"/>
  <c r="J481" i="8"/>
  <c r="M480" i="8"/>
  <c r="L480" i="8"/>
  <c r="K480" i="8"/>
  <c r="J480" i="8"/>
  <c r="M479" i="8"/>
  <c r="L479" i="8"/>
  <c r="K479" i="8"/>
  <c r="J479" i="8"/>
  <c r="M478" i="8"/>
  <c r="L478" i="8"/>
  <c r="K478" i="8"/>
  <c r="J478" i="8"/>
  <c r="M477" i="8"/>
  <c r="L477" i="8"/>
  <c r="K477" i="8"/>
  <c r="J477" i="8"/>
  <c r="M476" i="8"/>
  <c r="L476" i="8"/>
  <c r="K476" i="8"/>
  <c r="J476" i="8"/>
  <c r="M475" i="8"/>
  <c r="L475" i="8"/>
  <c r="K475" i="8"/>
  <c r="J475" i="8"/>
  <c r="M474" i="8"/>
  <c r="L474" i="8"/>
  <c r="K474" i="8"/>
  <c r="J474" i="8"/>
  <c r="M473" i="8"/>
  <c r="L473" i="8"/>
  <c r="K473" i="8"/>
  <c r="J473" i="8"/>
  <c r="M472" i="8"/>
  <c r="L472" i="8"/>
  <c r="K472" i="8"/>
  <c r="J472" i="8"/>
  <c r="M471" i="8"/>
  <c r="L471" i="8"/>
  <c r="K471" i="8"/>
  <c r="J471" i="8"/>
  <c r="M470" i="8"/>
  <c r="L470" i="8"/>
  <c r="K470" i="8"/>
  <c r="J470" i="8"/>
  <c r="M469" i="8"/>
  <c r="L469" i="8"/>
  <c r="K469" i="8"/>
  <c r="J469" i="8"/>
  <c r="M468" i="8"/>
  <c r="L468" i="8"/>
  <c r="K468" i="8"/>
  <c r="J468" i="8"/>
  <c r="M467" i="8"/>
  <c r="L467" i="8"/>
  <c r="K467" i="8"/>
  <c r="J467" i="8"/>
  <c r="M466" i="8"/>
  <c r="L466" i="8"/>
  <c r="K466" i="8"/>
  <c r="J466" i="8"/>
  <c r="M465" i="8"/>
  <c r="L465" i="8"/>
  <c r="K465" i="8"/>
  <c r="J465" i="8"/>
  <c r="M464" i="8"/>
  <c r="L464" i="8"/>
  <c r="K464" i="8"/>
  <c r="J464" i="8"/>
  <c r="M463" i="8"/>
  <c r="L463" i="8"/>
  <c r="K463" i="8"/>
  <c r="J463" i="8"/>
  <c r="M462" i="8"/>
  <c r="L462" i="8"/>
  <c r="K462" i="8"/>
  <c r="J462" i="8"/>
  <c r="M461" i="8"/>
  <c r="L461" i="8"/>
  <c r="K461" i="8"/>
  <c r="J461" i="8"/>
  <c r="M460" i="8"/>
  <c r="L460" i="8"/>
  <c r="K460" i="8"/>
  <c r="J460" i="8"/>
  <c r="M459" i="8"/>
  <c r="L459" i="8"/>
  <c r="K459" i="8"/>
  <c r="J459" i="8"/>
  <c r="M458" i="8"/>
  <c r="L458" i="8"/>
  <c r="K458" i="8"/>
  <c r="J458" i="8"/>
  <c r="M457" i="8"/>
  <c r="L457" i="8"/>
  <c r="K457" i="8"/>
  <c r="J457" i="8"/>
  <c r="M456" i="8"/>
  <c r="L456" i="8"/>
  <c r="K456" i="8"/>
  <c r="J456" i="8"/>
  <c r="M455" i="8"/>
  <c r="L455" i="8"/>
  <c r="K455" i="8"/>
  <c r="J455" i="8"/>
  <c r="M454" i="8"/>
  <c r="L454" i="8"/>
  <c r="K454" i="8"/>
  <c r="J454" i="8"/>
  <c r="M453" i="8"/>
  <c r="L453" i="8"/>
  <c r="K453" i="8"/>
  <c r="J453" i="8"/>
  <c r="M452" i="8"/>
  <c r="L452" i="8"/>
  <c r="K452" i="8"/>
  <c r="J452" i="8"/>
  <c r="M451" i="8"/>
  <c r="L451" i="8"/>
  <c r="K451" i="8"/>
  <c r="J451" i="8"/>
  <c r="M450" i="8"/>
  <c r="L450" i="8"/>
  <c r="K450" i="8"/>
  <c r="J450" i="8"/>
  <c r="M449" i="8"/>
  <c r="L449" i="8"/>
  <c r="K449" i="8"/>
  <c r="J449" i="8"/>
  <c r="M448" i="8"/>
  <c r="L448" i="8"/>
  <c r="K448" i="8"/>
  <c r="J448" i="8"/>
  <c r="M447" i="8"/>
  <c r="L447" i="8"/>
  <c r="K447" i="8"/>
  <c r="J447" i="8"/>
  <c r="M446" i="8"/>
  <c r="L446" i="8"/>
  <c r="K446" i="8"/>
  <c r="J446" i="8"/>
  <c r="M445" i="8"/>
  <c r="L445" i="8"/>
  <c r="K445" i="8"/>
  <c r="J445" i="8"/>
  <c r="M444" i="8"/>
  <c r="L444" i="8"/>
  <c r="K444" i="8"/>
  <c r="J444" i="8"/>
  <c r="M443" i="8"/>
  <c r="L443" i="8"/>
  <c r="K443" i="8"/>
  <c r="J443" i="8"/>
  <c r="M442" i="8"/>
  <c r="L442" i="8"/>
  <c r="K442" i="8"/>
  <c r="J442" i="8"/>
  <c r="M441" i="8"/>
  <c r="L441" i="8"/>
  <c r="K441" i="8"/>
  <c r="J441" i="8"/>
  <c r="M440" i="8"/>
  <c r="L440" i="8"/>
  <c r="K440" i="8"/>
  <c r="J440" i="8"/>
  <c r="M439" i="8"/>
  <c r="L439" i="8"/>
  <c r="K439" i="8"/>
  <c r="J439" i="8"/>
  <c r="M438" i="8"/>
  <c r="L438" i="8"/>
  <c r="K438" i="8"/>
  <c r="J438" i="8"/>
  <c r="M437" i="8"/>
  <c r="L437" i="8"/>
  <c r="K437" i="8"/>
  <c r="J437" i="8"/>
  <c r="M436" i="8"/>
  <c r="L436" i="8"/>
  <c r="K436" i="8"/>
  <c r="J436" i="8"/>
  <c r="M435" i="8"/>
  <c r="L435" i="8"/>
  <c r="K435" i="8"/>
  <c r="J435" i="8"/>
  <c r="M434" i="8"/>
  <c r="L434" i="8"/>
  <c r="K434" i="8"/>
  <c r="J434" i="8"/>
  <c r="M433" i="8"/>
  <c r="L433" i="8"/>
  <c r="K433" i="8"/>
  <c r="J433" i="8"/>
  <c r="M432" i="8"/>
  <c r="L432" i="8"/>
  <c r="K432" i="8"/>
  <c r="J432" i="8"/>
  <c r="M431" i="8"/>
  <c r="L431" i="8"/>
  <c r="K431" i="8"/>
  <c r="J431" i="8"/>
  <c r="M430" i="8"/>
  <c r="L430" i="8"/>
  <c r="K430" i="8"/>
  <c r="J430" i="8"/>
  <c r="M429" i="8"/>
  <c r="L429" i="8"/>
  <c r="K429" i="8"/>
  <c r="J429" i="8"/>
  <c r="M428" i="8"/>
  <c r="L428" i="8"/>
  <c r="K428" i="8"/>
  <c r="J428" i="8"/>
  <c r="M427" i="8"/>
  <c r="L427" i="8"/>
  <c r="K427" i="8"/>
  <c r="J427" i="8"/>
  <c r="M426" i="8"/>
  <c r="L426" i="8"/>
  <c r="K426" i="8"/>
  <c r="J426" i="8"/>
  <c r="M425" i="8"/>
  <c r="L425" i="8"/>
  <c r="K425" i="8"/>
  <c r="J425" i="8"/>
  <c r="M424" i="8"/>
  <c r="L424" i="8"/>
  <c r="K424" i="8"/>
  <c r="J424" i="8"/>
  <c r="M423" i="8"/>
  <c r="L423" i="8"/>
  <c r="K423" i="8"/>
  <c r="J423" i="8"/>
  <c r="M422" i="8"/>
  <c r="L422" i="8"/>
  <c r="K422" i="8"/>
  <c r="J422" i="8"/>
  <c r="M421" i="8"/>
  <c r="L421" i="8"/>
  <c r="K421" i="8"/>
  <c r="J421" i="8"/>
  <c r="M420" i="8"/>
  <c r="L420" i="8"/>
  <c r="K420" i="8"/>
  <c r="J420" i="8"/>
  <c r="M419" i="8"/>
  <c r="L419" i="8"/>
  <c r="K419" i="8"/>
  <c r="J419" i="8"/>
  <c r="M418" i="8"/>
  <c r="L418" i="8"/>
  <c r="K418" i="8"/>
  <c r="J418" i="8"/>
  <c r="M417" i="8"/>
  <c r="L417" i="8"/>
  <c r="K417" i="8"/>
  <c r="J417" i="8"/>
  <c r="M416" i="8"/>
  <c r="L416" i="8"/>
  <c r="K416" i="8"/>
  <c r="J416" i="8"/>
  <c r="M415" i="8"/>
  <c r="L415" i="8"/>
  <c r="K415" i="8"/>
  <c r="J415" i="8"/>
  <c r="M414" i="8"/>
  <c r="L414" i="8"/>
  <c r="K414" i="8"/>
  <c r="J414" i="8"/>
  <c r="M413" i="8"/>
  <c r="L413" i="8"/>
  <c r="K413" i="8"/>
  <c r="J413" i="8"/>
  <c r="M412" i="8"/>
  <c r="L412" i="8"/>
  <c r="K412" i="8"/>
  <c r="J412" i="8"/>
  <c r="M411" i="8"/>
  <c r="L411" i="8"/>
  <c r="K411" i="8"/>
  <c r="J411" i="8"/>
  <c r="M410" i="8"/>
  <c r="L410" i="8"/>
  <c r="K410" i="8"/>
  <c r="J410" i="8"/>
  <c r="M409" i="8"/>
  <c r="L409" i="8"/>
  <c r="K409" i="8"/>
  <c r="J409" i="8"/>
  <c r="M408" i="8"/>
  <c r="L408" i="8"/>
  <c r="K408" i="8"/>
  <c r="J408" i="8"/>
  <c r="M407" i="8"/>
  <c r="L407" i="8"/>
  <c r="K407" i="8"/>
  <c r="J407" i="8"/>
  <c r="M406" i="8"/>
  <c r="L406" i="8"/>
  <c r="K406" i="8"/>
  <c r="J406" i="8"/>
  <c r="M405" i="8"/>
  <c r="L405" i="8"/>
  <c r="K405" i="8"/>
  <c r="J405" i="8"/>
  <c r="M404" i="8"/>
  <c r="L404" i="8"/>
  <c r="K404" i="8"/>
  <c r="J404" i="8"/>
  <c r="M403" i="8"/>
  <c r="L403" i="8"/>
  <c r="K403" i="8"/>
  <c r="J403" i="8"/>
  <c r="M402" i="8"/>
  <c r="L402" i="8"/>
  <c r="K402" i="8"/>
  <c r="J402" i="8"/>
  <c r="M401" i="8"/>
  <c r="L401" i="8"/>
  <c r="K401" i="8"/>
  <c r="J401" i="8"/>
  <c r="M400" i="8"/>
  <c r="L400" i="8"/>
  <c r="K400" i="8"/>
  <c r="J400" i="8"/>
  <c r="M399" i="8"/>
  <c r="L399" i="8"/>
  <c r="K399" i="8"/>
  <c r="J399" i="8"/>
  <c r="M398" i="8"/>
  <c r="L398" i="8"/>
  <c r="K398" i="8"/>
  <c r="J398" i="8"/>
  <c r="M397" i="8"/>
  <c r="L397" i="8"/>
  <c r="K397" i="8"/>
  <c r="J397" i="8"/>
  <c r="M396" i="8"/>
  <c r="L396" i="8"/>
  <c r="K396" i="8"/>
  <c r="J396" i="8"/>
  <c r="M395" i="8"/>
  <c r="L395" i="8"/>
  <c r="K395" i="8"/>
  <c r="J395" i="8"/>
  <c r="M394" i="8"/>
  <c r="L394" i="8"/>
  <c r="K394" i="8"/>
  <c r="J394" i="8"/>
  <c r="M393" i="8"/>
  <c r="L393" i="8"/>
  <c r="K393" i="8"/>
  <c r="J393" i="8"/>
  <c r="M392" i="8"/>
  <c r="L392" i="8"/>
  <c r="K392" i="8"/>
  <c r="J392" i="8"/>
  <c r="M391" i="8"/>
  <c r="L391" i="8"/>
  <c r="K391" i="8"/>
  <c r="J391" i="8"/>
  <c r="M390" i="8"/>
  <c r="L390" i="8"/>
  <c r="K390" i="8"/>
  <c r="J390" i="8"/>
  <c r="M389" i="8"/>
  <c r="L389" i="8"/>
  <c r="K389" i="8"/>
  <c r="J389" i="8"/>
  <c r="M388" i="8"/>
  <c r="L388" i="8"/>
  <c r="K388" i="8"/>
  <c r="J388" i="8"/>
  <c r="M387" i="8"/>
  <c r="L387" i="8"/>
  <c r="K387" i="8"/>
  <c r="J387" i="8"/>
  <c r="M386" i="8"/>
  <c r="L386" i="8"/>
  <c r="K386" i="8"/>
  <c r="J386" i="8"/>
  <c r="M385" i="8"/>
  <c r="L385" i="8"/>
  <c r="K385" i="8"/>
  <c r="J385" i="8"/>
  <c r="M384" i="8"/>
  <c r="L384" i="8"/>
  <c r="K384" i="8"/>
  <c r="J384" i="8"/>
  <c r="M383" i="8"/>
  <c r="L383" i="8"/>
  <c r="K383" i="8"/>
  <c r="J383" i="8"/>
  <c r="M382" i="8"/>
  <c r="L382" i="8"/>
  <c r="K382" i="8"/>
  <c r="J382" i="8"/>
  <c r="M381" i="8"/>
  <c r="L381" i="8"/>
  <c r="K381" i="8"/>
  <c r="J381" i="8"/>
  <c r="M380" i="8"/>
  <c r="L380" i="8"/>
  <c r="K380" i="8"/>
  <c r="J380" i="8"/>
  <c r="M379" i="8"/>
  <c r="L379" i="8"/>
  <c r="K379" i="8"/>
  <c r="J379" i="8"/>
  <c r="M378" i="8"/>
  <c r="L378" i="8"/>
  <c r="K378" i="8"/>
  <c r="J378" i="8"/>
  <c r="M377" i="8"/>
  <c r="L377" i="8"/>
  <c r="K377" i="8"/>
  <c r="J377" i="8"/>
  <c r="M376" i="8"/>
  <c r="L376" i="8"/>
  <c r="K376" i="8"/>
  <c r="J376" i="8"/>
  <c r="M375" i="8"/>
  <c r="L375" i="8"/>
  <c r="K375" i="8"/>
  <c r="J375" i="8"/>
  <c r="M374" i="8"/>
  <c r="L374" i="8"/>
  <c r="K374" i="8"/>
  <c r="J374" i="8"/>
  <c r="M373" i="8"/>
  <c r="L373" i="8"/>
  <c r="K373" i="8"/>
  <c r="J373" i="8"/>
  <c r="M372" i="8"/>
  <c r="L372" i="8"/>
  <c r="K372" i="8"/>
  <c r="J372" i="8"/>
  <c r="M371" i="8"/>
  <c r="L371" i="8"/>
  <c r="K371" i="8"/>
  <c r="J371" i="8"/>
  <c r="M370" i="8"/>
  <c r="L370" i="8"/>
  <c r="K370" i="8"/>
  <c r="J370" i="8"/>
  <c r="M369" i="8"/>
  <c r="L369" i="8"/>
  <c r="K369" i="8"/>
  <c r="J369" i="8"/>
  <c r="M368" i="8"/>
  <c r="L368" i="8"/>
  <c r="K368" i="8"/>
  <c r="J368" i="8"/>
  <c r="M367" i="8"/>
  <c r="L367" i="8"/>
  <c r="K367" i="8"/>
  <c r="J367" i="8"/>
  <c r="M366" i="8"/>
  <c r="L366" i="8"/>
  <c r="K366" i="8"/>
  <c r="J366" i="8"/>
  <c r="M365" i="8"/>
  <c r="L365" i="8"/>
  <c r="K365" i="8"/>
  <c r="J365" i="8"/>
  <c r="M364" i="8"/>
  <c r="L364" i="8"/>
  <c r="K364" i="8"/>
  <c r="J364" i="8"/>
  <c r="M363" i="8"/>
  <c r="L363" i="8"/>
  <c r="K363" i="8"/>
  <c r="J363" i="8"/>
  <c r="M362" i="8"/>
  <c r="L362" i="8"/>
  <c r="K362" i="8"/>
  <c r="J362" i="8"/>
  <c r="M361" i="8"/>
  <c r="L361" i="8"/>
  <c r="K361" i="8"/>
  <c r="J361" i="8"/>
  <c r="M360" i="8"/>
  <c r="L360" i="8"/>
  <c r="K360" i="8"/>
  <c r="J360" i="8"/>
  <c r="M359" i="8"/>
  <c r="L359" i="8"/>
  <c r="K359" i="8"/>
  <c r="J359" i="8"/>
  <c r="M358" i="8"/>
  <c r="L358" i="8"/>
  <c r="K358" i="8"/>
  <c r="J358" i="8"/>
  <c r="M357" i="8"/>
  <c r="L357" i="8"/>
  <c r="K357" i="8"/>
  <c r="J357" i="8"/>
  <c r="M356" i="8"/>
  <c r="L356" i="8"/>
  <c r="K356" i="8"/>
  <c r="J356" i="8"/>
  <c r="M355" i="8"/>
  <c r="L355" i="8"/>
  <c r="K355" i="8"/>
  <c r="J355" i="8"/>
  <c r="M354" i="8"/>
  <c r="L354" i="8"/>
  <c r="K354" i="8"/>
  <c r="J354" i="8"/>
  <c r="M353" i="8"/>
  <c r="L353" i="8"/>
  <c r="K353" i="8"/>
  <c r="J353" i="8"/>
  <c r="M352" i="8"/>
  <c r="L352" i="8"/>
  <c r="K352" i="8"/>
  <c r="J352" i="8"/>
  <c r="M351" i="8"/>
  <c r="L351" i="8"/>
  <c r="K351" i="8"/>
  <c r="J351" i="8"/>
  <c r="M350" i="8"/>
  <c r="L350" i="8"/>
  <c r="K350" i="8"/>
  <c r="J350" i="8"/>
  <c r="M349" i="8"/>
  <c r="L349" i="8"/>
  <c r="K349" i="8"/>
  <c r="J349" i="8"/>
  <c r="M348" i="8"/>
  <c r="L348" i="8"/>
  <c r="K348" i="8"/>
  <c r="J348" i="8"/>
  <c r="M347" i="8"/>
  <c r="L347" i="8"/>
  <c r="K347" i="8"/>
  <c r="J347" i="8"/>
  <c r="M346" i="8"/>
  <c r="L346" i="8"/>
  <c r="K346" i="8"/>
  <c r="J346" i="8"/>
  <c r="M345" i="8"/>
  <c r="L345" i="8"/>
  <c r="K345" i="8"/>
  <c r="J345" i="8"/>
  <c r="M344" i="8"/>
  <c r="L344" i="8"/>
  <c r="K344" i="8"/>
  <c r="J344" i="8"/>
  <c r="M343" i="8"/>
  <c r="L343" i="8"/>
  <c r="K343" i="8"/>
  <c r="J343" i="8"/>
  <c r="M342" i="8"/>
  <c r="L342" i="8"/>
  <c r="K342" i="8"/>
  <c r="J342" i="8"/>
  <c r="M341" i="8"/>
  <c r="L341" i="8"/>
  <c r="K341" i="8"/>
  <c r="J341" i="8"/>
  <c r="M340" i="8"/>
  <c r="L340" i="8"/>
  <c r="K340" i="8"/>
  <c r="J340" i="8"/>
  <c r="M339" i="8"/>
  <c r="L339" i="8"/>
  <c r="K339" i="8"/>
  <c r="J339" i="8"/>
  <c r="M338" i="8"/>
  <c r="L338" i="8"/>
  <c r="K338" i="8"/>
  <c r="J338" i="8"/>
  <c r="M337" i="8"/>
  <c r="L337" i="8"/>
  <c r="K337" i="8"/>
  <c r="J337" i="8"/>
  <c r="M336" i="8"/>
  <c r="L336" i="8"/>
  <c r="K336" i="8"/>
  <c r="J336" i="8"/>
  <c r="M335" i="8"/>
  <c r="L335" i="8"/>
  <c r="K335" i="8"/>
  <c r="J335" i="8"/>
  <c r="M334" i="8"/>
  <c r="L334" i="8"/>
  <c r="K334" i="8"/>
  <c r="J334" i="8"/>
  <c r="M333" i="8"/>
  <c r="L333" i="8"/>
  <c r="K333" i="8"/>
  <c r="J333" i="8"/>
  <c r="M332" i="8"/>
  <c r="L332" i="8"/>
  <c r="K332" i="8"/>
  <c r="J332" i="8"/>
  <c r="M331" i="8"/>
  <c r="L331" i="8"/>
  <c r="K331" i="8"/>
  <c r="J331" i="8"/>
  <c r="M330" i="8"/>
  <c r="L330" i="8"/>
  <c r="K330" i="8"/>
  <c r="J330" i="8"/>
  <c r="M329" i="8"/>
  <c r="L329" i="8"/>
  <c r="K329" i="8"/>
  <c r="J329" i="8"/>
  <c r="M328" i="8"/>
  <c r="L328" i="8"/>
  <c r="K328" i="8"/>
  <c r="J328" i="8"/>
  <c r="M327" i="8"/>
  <c r="L327" i="8"/>
  <c r="K327" i="8"/>
  <c r="J327" i="8"/>
  <c r="M326" i="8"/>
  <c r="L326" i="8"/>
  <c r="K326" i="8"/>
  <c r="J326" i="8"/>
  <c r="M325" i="8"/>
  <c r="L325" i="8"/>
  <c r="K325" i="8"/>
  <c r="J325" i="8"/>
  <c r="M324" i="8"/>
  <c r="L324" i="8"/>
  <c r="K324" i="8"/>
  <c r="J324" i="8"/>
  <c r="M323" i="8"/>
  <c r="L323" i="8"/>
  <c r="K323" i="8"/>
  <c r="J323" i="8"/>
  <c r="M322" i="8"/>
  <c r="L322" i="8"/>
  <c r="K322" i="8"/>
  <c r="J322" i="8"/>
  <c r="M321" i="8"/>
  <c r="L321" i="8"/>
  <c r="K321" i="8"/>
  <c r="J321" i="8"/>
  <c r="M320" i="8"/>
  <c r="L320" i="8"/>
  <c r="K320" i="8"/>
  <c r="J320" i="8"/>
  <c r="M319" i="8"/>
  <c r="L319" i="8"/>
  <c r="K319" i="8"/>
  <c r="J319" i="8"/>
  <c r="M318" i="8"/>
  <c r="L318" i="8"/>
  <c r="K318" i="8"/>
  <c r="J318" i="8"/>
  <c r="M317" i="8"/>
  <c r="L317" i="8"/>
  <c r="K317" i="8"/>
  <c r="J317" i="8"/>
  <c r="M316" i="8"/>
  <c r="L316" i="8"/>
  <c r="K316" i="8"/>
  <c r="J316" i="8"/>
  <c r="M315" i="8"/>
  <c r="L315" i="8"/>
  <c r="K315" i="8"/>
  <c r="J315" i="8"/>
  <c r="M314" i="8"/>
  <c r="L314" i="8"/>
  <c r="K314" i="8"/>
  <c r="J314" i="8"/>
  <c r="M313" i="8"/>
  <c r="L313" i="8"/>
  <c r="K313" i="8"/>
  <c r="J313" i="8"/>
  <c r="M312" i="8"/>
  <c r="L312" i="8"/>
  <c r="K312" i="8"/>
  <c r="J312" i="8"/>
  <c r="M311" i="8"/>
  <c r="L311" i="8"/>
  <c r="K311" i="8"/>
  <c r="J311" i="8"/>
  <c r="M310" i="8"/>
  <c r="L310" i="8"/>
  <c r="K310" i="8"/>
  <c r="J310" i="8"/>
  <c r="M309" i="8"/>
  <c r="L309" i="8"/>
  <c r="K309" i="8"/>
  <c r="J309" i="8"/>
  <c r="M308" i="8"/>
  <c r="L308" i="8"/>
  <c r="K308" i="8"/>
  <c r="J308" i="8"/>
  <c r="M307" i="8"/>
  <c r="L307" i="8"/>
  <c r="K307" i="8"/>
  <c r="J307" i="8"/>
  <c r="M306" i="8"/>
  <c r="L306" i="8"/>
  <c r="K306" i="8"/>
  <c r="J306" i="8"/>
  <c r="M305" i="8"/>
  <c r="L305" i="8"/>
  <c r="K305" i="8"/>
  <c r="J305" i="8"/>
  <c r="M304" i="8"/>
  <c r="L304" i="8"/>
  <c r="K304" i="8"/>
  <c r="J304" i="8"/>
  <c r="M303" i="8"/>
  <c r="L303" i="8"/>
  <c r="K303" i="8"/>
  <c r="J303" i="8"/>
  <c r="M302" i="8"/>
  <c r="L302" i="8"/>
  <c r="K302" i="8"/>
  <c r="J302" i="8"/>
  <c r="M301" i="8"/>
  <c r="L301" i="8"/>
  <c r="K301" i="8"/>
  <c r="J301" i="8"/>
  <c r="M300" i="8"/>
  <c r="L300" i="8"/>
  <c r="K300" i="8"/>
  <c r="J300" i="8"/>
  <c r="M299" i="8"/>
  <c r="L299" i="8"/>
  <c r="K299" i="8"/>
  <c r="J299" i="8"/>
  <c r="M298" i="8"/>
  <c r="L298" i="8"/>
  <c r="K298" i="8"/>
  <c r="J298" i="8"/>
  <c r="M297" i="8"/>
  <c r="L297" i="8"/>
  <c r="K297" i="8"/>
  <c r="J297" i="8"/>
  <c r="M296" i="8"/>
  <c r="L296" i="8"/>
  <c r="K296" i="8"/>
  <c r="J296" i="8"/>
  <c r="M295" i="8"/>
  <c r="L295" i="8"/>
  <c r="K295" i="8"/>
  <c r="J295" i="8"/>
  <c r="M294" i="8"/>
  <c r="L294" i="8"/>
  <c r="K294" i="8"/>
  <c r="J294" i="8"/>
  <c r="M293" i="8"/>
  <c r="L293" i="8"/>
  <c r="K293" i="8"/>
  <c r="J293" i="8"/>
  <c r="M292" i="8"/>
  <c r="L292" i="8"/>
  <c r="K292" i="8"/>
  <c r="J292" i="8"/>
  <c r="M291" i="8"/>
  <c r="L291" i="8"/>
  <c r="K291" i="8"/>
  <c r="J291" i="8"/>
  <c r="M290" i="8"/>
  <c r="L290" i="8"/>
  <c r="K290" i="8"/>
  <c r="J290" i="8"/>
  <c r="M289" i="8"/>
  <c r="L289" i="8"/>
  <c r="K289" i="8"/>
  <c r="J289" i="8"/>
  <c r="M288" i="8"/>
  <c r="L288" i="8"/>
  <c r="K288" i="8"/>
  <c r="J288" i="8"/>
  <c r="M287" i="8"/>
  <c r="L287" i="8"/>
  <c r="K287" i="8"/>
  <c r="J287" i="8"/>
  <c r="M286" i="8"/>
  <c r="L286" i="8"/>
  <c r="K286" i="8"/>
  <c r="J286" i="8"/>
  <c r="M285" i="8"/>
  <c r="L285" i="8"/>
  <c r="K285" i="8"/>
  <c r="J285" i="8"/>
  <c r="M284" i="8"/>
  <c r="L284" i="8"/>
  <c r="K284" i="8"/>
  <c r="J284" i="8"/>
  <c r="M283" i="8"/>
  <c r="L283" i="8"/>
  <c r="K283" i="8"/>
  <c r="J283" i="8"/>
  <c r="M282" i="8"/>
  <c r="L282" i="8"/>
  <c r="K282" i="8"/>
  <c r="J282" i="8"/>
  <c r="M281" i="8"/>
  <c r="L281" i="8"/>
  <c r="K281" i="8"/>
  <c r="J281" i="8"/>
  <c r="M280" i="8"/>
  <c r="L280" i="8"/>
  <c r="K280" i="8"/>
  <c r="J280" i="8"/>
  <c r="M279" i="8"/>
  <c r="L279" i="8"/>
  <c r="K279" i="8"/>
  <c r="J279" i="8"/>
  <c r="M278" i="8"/>
  <c r="L278" i="8"/>
  <c r="K278" i="8"/>
  <c r="J278" i="8"/>
  <c r="M277" i="8"/>
  <c r="L277" i="8"/>
  <c r="K277" i="8"/>
  <c r="J277" i="8"/>
  <c r="M276" i="8"/>
  <c r="L276" i="8"/>
  <c r="K276" i="8"/>
  <c r="J276" i="8"/>
  <c r="M275" i="8"/>
  <c r="L275" i="8"/>
  <c r="K275" i="8"/>
  <c r="J275" i="8"/>
  <c r="M274" i="8"/>
  <c r="L274" i="8"/>
  <c r="K274" i="8"/>
  <c r="J274" i="8"/>
  <c r="M273" i="8"/>
  <c r="L273" i="8"/>
  <c r="K273" i="8"/>
  <c r="J273" i="8"/>
  <c r="M272" i="8"/>
  <c r="L272" i="8"/>
  <c r="K272" i="8"/>
  <c r="J272" i="8"/>
  <c r="M271" i="8"/>
  <c r="L271" i="8"/>
  <c r="K271" i="8"/>
  <c r="J271" i="8"/>
  <c r="M270" i="8"/>
  <c r="L270" i="8"/>
  <c r="K270" i="8"/>
  <c r="J270" i="8"/>
  <c r="M269" i="8"/>
  <c r="L269" i="8"/>
  <c r="K269" i="8"/>
  <c r="J269" i="8"/>
  <c r="M268" i="8"/>
  <c r="L268" i="8"/>
  <c r="K268" i="8"/>
  <c r="J268" i="8"/>
  <c r="M267" i="8"/>
  <c r="L267" i="8"/>
  <c r="K267" i="8"/>
  <c r="J267" i="8"/>
  <c r="M266" i="8"/>
  <c r="L266" i="8"/>
  <c r="K266" i="8"/>
  <c r="J266" i="8"/>
  <c r="M265" i="8"/>
  <c r="L265" i="8"/>
  <c r="K265" i="8"/>
  <c r="J265" i="8"/>
  <c r="M264" i="8"/>
  <c r="L264" i="8"/>
  <c r="K264" i="8"/>
  <c r="J264" i="8"/>
  <c r="M263" i="8"/>
  <c r="L263" i="8"/>
  <c r="K263" i="8"/>
  <c r="J263" i="8"/>
  <c r="M262" i="8"/>
  <c r="L262" i="8"/>
  <c r="K262" i="8"/>
  <c r="J262" i="8"/>
  <c r="M261" i="8"/>
  <c r="L261" i="8"/>
  <c r="K261" i="8"/>
  <c r="J261" i="8"/>
  <c r="M260" i="8"/>
  <c r="L260" i="8"/>
  <c r="K260" i="8"/>
  <c r="J260" i="8"/>
  <c r="M259" i="8"/>
  <c r="L259" i="8"/>
  <c r="K259" i="8"/>
  <c r="J259" i="8"/>
  <c r="M258" i="8"/>
  <c r="L258" i="8"/>
  <c r="K258" i="8"/>
  <c r="J258" i="8"/>
  <c r="M257" i="8"/>
  <c r="L257" i="8"/>
  <c r="K257" i="8"/>
  <c r="J257" i="8"/>
  <c r="M256" i="8"/>
  <c r="L256" i="8"/>
  <c r="K256" i="8"/>
  <c r="J256" i="8"/>
  <c r="M255" i="8"/>
  <c r="L255" i="8"/>
  <c r="K255" i="8"/>
  <c r="J255" i="8"/>
  <c r="M254" i="8"/>
  <c r="L254" i="8"/>
  <c r="K254" i="8"/>
  <c r="J254" i="8"/>
  <c r="M253" i="8"/>
  <c r="L253" i="8"/>
  <c r="K253" i="8"/>
  <c r="J253" i="8"/>
  <c r="M252" i="8"/>
  <c r="L252" i="8"/>
  <c r="K252" i="8"/>
  <c r="J252" i="8"/>
  <c r="M251" i="8"/>
  <c r="L251" i="8"/>
  <c r="K251" i="8"/>
  <c r="J251" i="8"/>
  <c r="M250" i="8"/>
  <c r="L250" i="8"/>
  <c r="K250" i="8"/>
  <c r="J250" i="8"/>
  <c r="M249" i="8"/>
  <c r="L249" i="8"/>
  <c r="K249" i="8"/>
  <c r="J249" i="8"/>
  <c r="M248" i="8"/>
  <c r="L248" i="8"/>
  <c r="K248" i="8"/>
  <c r="J248" i="8"/>
  <c r="M247" i="8"/>
  <c r="L247" i="8"/>
  <c r="K247" i="8"/>
  <c r="J247" i="8"/>
  <c r="M246" i="8"/>
  <c r="L246" i="8"/>
  <c r="K246" i="8"/>
  <c r="J246" i="8"/>
  <c r="M245" i="8"/>
  <c r="L245" i="8"/>
  <c r="K245" i="8"/>
  <c r="J245" i="8"/>
  <c r="M244" i="8"/>
  <c r="L244" i="8"/>
  <c r="K244" i="8"/>
  <c r="J244" i="8"/>
  <c r="M243" i="8"/>
  <c r="L243" i="8"/>
  <c r="K243" i="8"/>
  <c r="J243" i="8"/>
  <c r="M242" i="8"/>
  <c r="L242" i="8"/>
  <c r="K242" i="8"/>
  <c r="J242" i="8"/>
  <c r="M241" i="8"/>
  <c r="L241" i="8"/>
  <c r="K241" i="8"/>
  <c r="J241" i="8"/>
  <c r="M240" i="8"/>
  <c r="L240" i="8"/>
  <c r="K240" i="8"/>
  <c r="J240" i="8"/>
  <c r="M239" i="8"/>
  <c r="L239" i="8"/>
  <c r="K239" i="8"/>
  <c r="J239" i="8"/>
  <c r="M238" i="8"/>
  <c r="L238" i="8"/>
  <c r="K238" i="8"/>
  <c r="J238" i="8"/>
  <c r="M237" i="8"/>
  <c r="L237" i="8"/>
  <c r="K237" i="8"/>
  <c r="J237" i="8"/>
  <c r="M236" i="8"/>
  <c r="L236" i="8"/>
  <c r="K236" i="8"/>
  <c r="J236" i="8"/>
  <c r="M235" i="8"/>
  <c r="L235" i="8"/>
  <c r="K235" i="8"/>
  <c r="J235" i="8"/>
  <c r="M234" i="8"/>
  <c r="L234" i="8"/>
  <c r="K234" i="8"/>
  <c r="J234" i="8"/>
  <c r="M233" i="8"/>
  <c r="L233" i="8"/>
  <c r="K233" i="8"/>
  <c r="J233" i="8"/>
  <c r="M232" i="8"/>
  <c r="L232" i="8"/>
  <c r="K232" i="8"/>
  <c r="J232" i="8"/>
  <c r="M231" i="8"/>
  <c r="L231" i="8"/>
  <c r="K231" i="8"/>
  <c r="J231" i="8"/>
  <c r="M230" i="8"/>
  <c r="L230" i="8"/>
  <c r="K230" i="8"/>
  <c r="J230" i="8"/>
  <c r="M229" i="8"/>
  <c r="L229" i="8"/>
  <c r="K229" i="8"/>
  <c r="J229" i="8"/>
  <c r="M228" i="8"/>
  <c r="L228" i="8"/>
  <c r="K228" i="8"/>
  <c r="J228" i="8"/>
  <c r="M227" i="8"/>
  <c r="L227" i="8"/>
  <c r="K227" i="8"/>
  <c r="J227" i="8"/>
  <c r="M226" i="8"/>
  <c r="L226" i="8"/>
  <c r="K226" i="8"/>
  <c r="J226" i="8"/>
  <c r="M225" i="8"/>
  <c r="L225" i="8"/>
  <c r="K225" i="8"/>
  <c r="J225" i="8"/>
  <c r="M224" i="8"/>
  <c r="L224" i="8"/>
  <c r="K224" i="8"/>
  <c r="J224" i="8"/>
  <c r="M223" i="8"/>
  <c r="L223" i="8"/>
  <c r="K223" i="8"/>
  <c r="J223" i="8"/>
  <c r="M222" i="8"/>
  <c r="L222" i="8"/>
  <c r="K222" i="8"/>
  <c r="J222" i="8"/>
  <c r="M221" i="8"/>
  <c r="L221" i="8"/>
  <c r="K221" i="8"/>
  <c r="J221" i="8"/>
  <c r="M220" i="8"/>
  <c r="L220" i="8"/>
  <c r="K220" i="8"/>
  <c r="J220" i="8"/>
  <c r="M219" i="8"/>
  <c r="L219" i="8"/>
  <c r="K219" i="8"/>
  <c r="J219" i="8"/>
  <c r="M218" i="8"/>
  <c r="L218" i="8"/>
  <c r="K218" i="8"/>
  <c r="J218" i="8"/>
  <c r="M217" i="8"/>
  <c r="L217" i="8"/>
  <c r="K217" i="8"/>
  <c r="J217" i="8"/>
  <c r="M216" i="8"/>
  <c r="L216" i="8"/>
  <c r="K216" i="8"/>
  <c r="J216" i="8"/>
  <c r="M215" i="8"/>
  <c r="L215" i="8"/>
  <c r="K215" i="8"/>
  <c r="J215" i="8"/>
  <c r="M214" i="8"/>
  <c r="L214" i="8"/>
  <c r="K214" i="8"/>
  <c r="J214" i="8"/>
  <c r="M213" i="8"/>
  <c r="L213" i="8"/>
  <c r="K213" i="8"/>
  <c r="J213" i="8"/>
  <c r="M212" i="8"/>
  <c r="L212" i="8"/>
  <c r="K212" i="8"/>
  <c r="J212" i="8"/>
  <c r="M211" i="8"/>
  <c r="L211" i="8"/>
  <c r="K211" i="8"/>
  <c r="J211" i="8"/>
  <c r="M210" i="8"/>
  <c r="L210" i="8"/>
  <c r="K210" i="8"/>
  <c r="J210" i="8"/>
  <c r="M209" i="8"/>
  <c r="L209" i="8"/>
  <c r="K209" i="8"/>
  <c r="J209" i="8"/>
  <c r="M208" i="8"/>
  <c r="L208" i="8"/>
  <c r="K208" i="8"/>
  <c r="J208" i="8"/>
  <c r="M207" i="8"/>
  <c r="L207" i="8"/>
  <c r="K207" i="8"/>
  <c r="J207" i="8"/>
  <c r="M206" i="8"/>
  <c r="L206" i="8"/>
  <c r="K206" i="8"/>
  <c r="J206" i="8"/>
  <c r="M205" i="8"/>
  <c r="L205" i="8"/>
  <c r="K205" i="8"/>
  <c r="J205" i="8"/>
  <c r="M204" i="8"/>
  <c r="L204" i="8"/>
  <c r="K204" i="8"/>
  <c r="J204" i="8"/>
  <c r="M203" i="8"/>
  <c r="L203" i="8"/>
  <c r="K203" i="8"/>
  <c r="J203" i="8"/>
  <c r="M202" i="8"/>
  <c r="L202" i="8"/>
  <c r="K202" i="8"/>
  <c r="J202" i="8"/>
  <c r="M201" i="8"/>
  <c r="L201" i="8"/>
  <c r="K201" i="8"/>
  <c r="J201" i="8"/>
  <c r="M200" i="8"/>
  <c r="L200" i="8"/>
  <c r="K200" i="8"/>
  <c r="J200" i="8"/>
  <c r="M199" i="8"/>
  <c r="L199" i="8"/>
  <c r="K199" i="8"/>
  <c r="J199" i="8"/>
  <c r="M198" i="8"/>
  <c r="L198" i="8"/>
  <c r="K198" i="8"/>
  <c r="J198" i="8"/>
  <c r="M197" i="8"/>
  <c r="L197" i="8"/>
  <c r="K197" i="8"/>
  <c r="J197" i="8"/>
  <c r="M196" i="8"/>
  <c r="L196" i="8"/>
  <c r="K196" i="8"/>
  <c r="J196" i="8"/>
  <c r="M195" i="8"/>
  <c r="L195" i="8"/>
  <c r="K195" i="8"/>
  <c r="J195" i="8"/>
  <c r="M194" i="8"/>
  <c r="L194" i="8"/>
  <c r="K194" i="8"/>
  <c r="J194" i="8"/>
  <c r="M193" i="8"/>
  <c r="L193" i="8"/>
  <c r="K193" i="8"/>
  <c r="J193" i="8"/>
  <c r="M192" i="8"/>
  <c r="L192" i="8"/>
  <c r="K192" i="8"/>
  <c r="J192" i="8"/>
  <c r="M191" i="8"/>
  <c r="L191" i="8"/>
  <c r="K191" i="8"/>
  <c r="J191" i="8"/>
  <c r="M190" i="8"/>
  <c r="L190" i="8"/>
  <c r="K190" i="8"/>
  <c r="J190" i="8"/>
  <c r="M189" i="8"/>
  <c r="L189" i="8"/>
  <c r="K189" i="8"/>
  <c r="J189" i="8"/>
  <c r="M188" i="8"/>
  <c r="L188" i="8"/>
  <c r="K188" i="8"/>
  <c r="J188" i="8"/>
  <c r="M187" i="8"/>
  <c r="L187" i="8"/>
  <c r="K187" i="8"/>
  <c r="J187" i="8"/>
  <c r="M186" i="8"/>
  <c r="L186" i="8"/>
  <c r="K186" i="8"/>
  <c r="J186" i="8"/>
  <c r="M185" i="8"/>
  <c r="L185" i="8"/>
  <c r="K185" i="8"/>
  <c r="J185" i="8"/>
  <c r="M184" i="8"/>
  <c r="L184" i="8"/>
  <c r="K184" i="8"/>
  <c r="J184" i="8"/>
  <c r="M183" i="8"/>
  <c r="L183" i="8"/>
  <c r="K183" i="8"/>
  <c r="J183" i="8"/>
  <c r="M182" i="8"/>
  <c r="L182" i="8"/>
  <c r="K182" i="8"/>
  <c r="J182" i="8"/>
  <c r="M181" i="8"/>
  <c r="L181" i="8"/>
  <c r="K181" i="8"/>
  <c r="J181" i="8"/>
  <c r="M180" i="8"/>
  <c r="L180" i="8"/>
  <c r="K180" i="8"/>
  <c r="J180" i="8"/>
  <c r="M179" i="8"/>
  <c r="L179" i="8"/>
  <c r="K179" i="8"/>
  <c r="J179" i="8"/>
  <c r="M178" i="8"/>
  <c r="L178" i="8"/>
  <c r="K178" i="8"/>
  <c r="J178" i="8"/>
  <c r="M177" i="8"/>
  <c r="L177" i="8"/>
  <c r="K177" i="8"/>
  <c r="J177" i="8"/>
  <c r="M176" i="8"/>
  <c r="L176" i="8"/>
  <c r="K176" i="8"/>
  <c r="J176" i="8"/>
  <c r="M175" i="8"/>
  <c r="L175" i="8"/>
  <c r="K175" i="8"/>
  <c r="J175" i="8"/>
  <c r="M174" i="8"/>
  <c r="L174" i="8"/>
  <c r="K174" i="8"/>
  <c r="J174" i="8"/>
  <c r="M173" i="8"/>
  <c r="L173" i="8"/>
  <c r="K173" i="8"/>
  <c r="J173" i="8"/>
  <c r="M172" i="8"/>
  <c r="L172" i="8"/>
  <c r="K172" i="8"/>
  <c r="J172" i="8"/>
  <c r="M171" i="8"/>
  <c r="L171" i="8"/>
  <c r="K171" i="8"/>
  <c r="J171" i="8"/>
  <c r="M170" i="8"/>
  <c r="L170" i="8"/>
  <c r="K170" i="8"/>
  <c r="J170" i="8"/>
  <c r="M169" i="8"/>
  <c r="L169" i="8"/>
  <c r="K169" i="8"/>
  <c r="J169" i="8"/>
  <c r="M168" i="8"/>
  <c r="L168" i="8"/>
  <c r="K168" i="8"/>
  <c r="J168" i="8"/>
  <c r="M167" i="8"/>
  <c r="L167" i="8"/>
  <c r="K167" i="8"/>
  <c r="J167" i="8"/>
  <c r="M166" i="8"/>
  <c r="L166" i="8"/>
  <c r="K166" i="8"/>
  <c r="J166" i="8"/>
  <c r="M165" i="8"/>
  <c r="L165" i="8"/>
  <c r="K165" i="8"/>
  <c r="J165" i="8"/>
  <c r="M164" i="8"/>
  <c r="L164" i="8"/>
  <c r="K164" i="8"/>
  <c r="J164" i="8"/>
  <c r="M163" i="8"/>
  <c r="L163" i="8"/>
  <c r="K163" i="8"/>
  <c r="J163" i="8"/>
  <c r="M162" i="8"/>
  <c r="L162" i="8"/>
  <c r="K162" i="8"/>
  <c r="J162" i="8"/>
  <c r="M161" i="8"/>
  <c r="L161" i="8"/>
  <c r="K161" i="8"/>
  <c r="J161" i="8"/>
  <c r="M160" i="8"/>
  <c r="L160" i="8"/>
  <c r="K160" i="8"/>
  <c r="J160" i="8"/>
  <c r="M159" i="8"/>
  <c r="L159" i="8"/>
  <c r="K159" i="8"/>
  <c r="J159" i="8"/>
  <c r="M158" i="8"/>
  <c r="L158" i="8"/>
  <c r="K158" i="8"/>
  <c r="J158" i="8"/>
  <c r="M157" i="8"/>
  <c r="L157" i="8"/>
  <c r="K157" i="8"/>
  <c r="J157" i="8"/>
  <c r="M156" i="8"/>
  <c r="L156" i="8"/>
  <c r="K156" i="8"/>
  <c r="J156" i="8"/>
  <c r="M155" i="8"/>
  <c r="L155" i="8"/>
  <c r="K155" i="8"/>
  <c r="J155" i="8"/>
  <c r="M154" i="8"/>
  <c r="L154" i="8"/>
  <c r="K154" i="8"/>
  <c r="J154" i="8"/>
  <c r="M153" i="8"/>
  <c r="L153" i="8"/>
  <c r="K153" i="8"/>
  <c r="J153" i="8"/>
  <c r="M152" i="8"/>
  <c r="L152" i="8"/>
  <c r="K152" i="8"/>
  <c r="J152" i="8"/>
  <c r="M151" i="8"/>
  <c r="L151" i="8"/>
  <c r="K151" i="8"/>
  <c r="J151" i="8"/>
  <c r="M150" i="8"/>
  <c r="L150" i="8"/>
  <c r="K150" i="8"/>
  <c r="J150" i="8"/>
  <c r="M149" i="8"/>
  <c r="L149" i="8"/>
  <c r="K149" i="8"/>
  <c r="J149" i="8"/>
  <c r="M148" i="8"/>
  <c r="L148" i="8"/>
  <c r="K148" i="8"/>
  <c r="J148" i="8"/>
  <c r="M147" i="8"/>
  <c r="L147" i="8"/>
  <c r="K147" i="8"/>
  <c r="J147" i="8"/>
  <c r="M146" i="8"/>
  <c r="L146" i="8"/>
  <c r="K146" i="8"/>
  <c r="J146" i="8"/>
  <c r="M145" i="8"/>
  <c r="L145" i="8"/>
  <c r="K145" i="8"/>
  <c r="J145" i="8"/>
  <c r="M144" i="8"/>
  <c r="L144" i="8"/>
  <c r="K144" i="8"/>
  <c r="J144" i="8"/>
  <c r="M143" i="8"/>
  <c r="L143" i="8"/>
  <c r="K143" i="8"/>
  <c r="J143" i="8"/>
  <c r="M142" i="8"/>
  <c r="L142" i="8"/>
  <c r="K142" i="8"/>
  <c r="J142" i="8"/>
  <c r="M141" i="8"/>
  <c r="L141" i="8"/>
  <c r="K141" i="8"/>
  <c r="J141" i="8"/>
  <c r="M140" i="8"/>
  <c r="L140" i="8"/>
  <c r="K140" i="8"/>
  <c r="J140" i="8"/>
  <c r="M139" i="8"/>
  <c r="L139" i="8"/>
  <c r="K139" i="8"/>
  <c r="J139" i="8"/>
  <c r="M138" i="8"/>
  <c r="L138" i="8"/>
  <c r="K138" i="8"/>
  <c r="J138" i="8"/>
  <c r="M137" i="8"/>
  <c r="L137" i="8"/>
  <c r="K137" i="8"/>
  <c r="J137" i="8"/>
  <c r="M136" i="8"/>
  <c r="L136" i="8"/>
  <c r="K136" i="8"/>
  <c r="J136" i="8"/>
  <c r="M135" i="8"/>
  <c r="L135" i="8"/>
  <c r="K135" i="8"/>
  <c r="J135" i="8"/>
  <c r="M134" i="8"/>
  <c r="L134" i="8"/>
  <c r="K134" i="8"/>
  <c r="J134" i="8"/>
  <c r="M133" i="8"/>
  <c r="L133" i="8"/>
  <c r="K133" i="8"/>
  <c r="J133" i="8"/>
  <c r="M132" i="8"/>
  <c r="L132" i="8"/>
  <c r="K132" i="8"/>
  <c r="J132" i="8"/>
  <c r="M131" i="8"/>
  <c r="L131" i="8"/>
  <c r="K131" i="8"/>
  <c r="J131" i="8"/>
  <c r="M130" i="8"/>
  <c r="L130" i="8"/>
  <c r="K130" i="8"/>
  <c r="J130" i="8"/>
  <c r="M129" i="8"/>
  <c r="L129" i="8"/>
  <c r="K129" i="8"/>
  <c r="J129" i="8"/>
  <c r="M128" i="8"/>
  <c r="L128" i="8"/>
  <c r="K128" i="8"/>
  <c r="J128" i="8"/>
  <c r="M127" i="8"/>
  <c r="L127" i="8"/>
  <c r="K127" i="8"/>
  <c r="J127" i="8"/>
  <c r="M126" i="8"/>
  <c r="L126" i="8"/>
  <c r="K126" i="8"/>
  <c r="J126" i="8"/>
  <c r="M125" i="8"/>
  <c r="L125" i="8"/>
  <c r="K125" i="8"/>
  <c r="J125" i="8"/>
  <c r="M124" i="8"/>
  <c r="L124" i="8"/>
  <c r="K124" i="8"/>
  <c r="J124" i="8"/>
  <c r="M123" i="8"/>
  <c r="L123" i="8"/>
  <c r="K123" i="8"/>
  <c r="J123" i="8"/>
  <c r="M122" i="8"/>
  <c r="L122" i="8"/>
  <c r="K122" i="8"/>
  <c r="J122" i="8"/>
  <c r="M121" i="8"/>
  <c r="L121" i="8"/>
  <c r="K121" i="8"/>
  <c r="J121" i="8"/>
  <c r="M120" i="8"/>
  <c r="L120" i="8"/>
  <c r="K120" i="8"/>
  <c r="J120" i="8"/>
  <c r="M119" i="8"/>
  <c r="L119" i="8"/>
  <c r="K119" i="8"/>
  <c r="J119" i="8"/>
  <c r="M118" i="8"/>
  <c r="L118" i="8"/>
  <c r="K118" i="8"/>
  <c r="J118" i="8"/>
  <c r="M117" i="8"/>
  <c r="L117" i="8"/>
  <c r="K117" i="8"/>
  <c r="J117" i="8"/>
  <c r="M116" i="8"/>
  <c r="L116" i="8"/>
  <c r="K116" i="8"/>
  <c r="J116" i="8"/>
  <c r="M115" i="8"/>
  <c r="L115" i="8"/>
  <c r="K115" i="8"/>
  <c r="J115" i="8"/>
  <c r="M114" i="8"/>
  <c r="L114" i="8"/>
  <c r="K114" i="8"/>
  <c r="J114" i="8"/>
  <c r="M113" i="8"/>
  <c r="L113" i="8"/>
  <c r="K113" i="8"/>
  <c r="J113" i="8"/>
  <c r="M112" i="8"/>
  <c r="L112" i="8"/>
  <c r="K112" i="8"/>
  <c r="J112" i="8"/>
  <c r="M111" i="8"/>
  <c r="L111" i="8"/>
  <c r="K111" i="8"/>
  <c r="J111" i="8"/>
  <c r="M110" i="8"/>
  <c r="L110" i="8"/>
  <c r="K110" i="8"/>
  <c r="J110" i="8"/>
  <c r="M109" i="8"/>
  <c r="L109" i="8"/>
  <c r="K109" i="8"/>
  <c r="J109" i="8"/>
  <c r="M108" i="8"/>
  <c r="L108" i="8"/>
  <c r="K108" i="8"/>
  <c r="J108" i="8"/>
  <c r="M107" i="8"/>
  <c r="L107" i="8"/>
  <c r="K107" i="8"/>
  <c r="J107" i="8"/>
  <c r="M106" i="8"/>
  <c r="L106" i="8"/>
  <c r="K106" i="8"/>
  <c r="J106" i="8"/>
  <c r="M105" i="8"/>
  <c r="L105" i="8"/>
  <c r="K105" i="8"/>
  <c r="J105" i="8"/>
  <c r="M104" i="8"/>
  <c r="L104" i="8"/>
  <c r="K104" i="8"/>
  <c r="J104" i="8"/>
  <c r="M103" i="8"/>
  <c r="L103" i="8"/>
  <c r="K103" i="8"/>
  <c r="J103" i="8"/>
  <c r="M102" i="8"/>
  <c r="L102" i="8"/>
  <c r="K102" i="8"/>
  <c r="J102" i="8"/>
  <c r="M101" i="8"/>
  <c r="L101" i="8"/>
  <c r="K101" i="8"/>
  <c r="J101" i="8"/>
  <c r="M100" i="8"/>
  <c r="L100" i="8"/>
  <c r="K100" i="8"/>
  <c r="J100" i="8"/>
  <c r="M99" i="8"/>
  <c r="L99" i="8"/>
  <c r="K99" i="8"/>
  <c r="J99" i="8"/>
  <c r="M98" i="8"/>
  <c r="L98" i="8"/>
  <c r="K98" i="8"/>
  <c r="J98" i="8"/>
  <c r="M97" i="8"/>
  <c r="L97" i="8"/>
  <c r="K97" i="8"/>
  <c r="J97" i="8"/>
  <c r="M96" i="8"/>
  <c r="L96" i="8"/>
  <c r="K96" i="8"/>
  <c r="J96" i="8"/>
  <c r="M95" i="8"/>
  <c r="L95" i="8"/>
  <c r="K95" i="8"/>
  <c r="J95" i="8"/>
  <c r="M94" i="8"/>
  <c r="L94" i="8"/>
  <c r="K94" i="8"/>
  <c r="J94" i="8"/>
  <c r="M93" i="8"/>
  <c r="L93" i="8"/>
  <c r="K93" i="8"/>
  <c r="J93" i="8"/>
  <c r="M92" i="8"/>
  <c r="L92" i="8"/>
  <c r="K92" i="8"/>
  <c r="J92" i="8"/>
  <c r="M91" i="8"/>
  <c r="L91" i="8"/>
  <c r="K91" i="8"/>
  <c r="J91" i="8"/>
  <c r="M90" i="8"/>
  <c r="L90" i="8"/>
  <c r="K90" i="8"/>
  <c r="J90" i="8"/>
  <c r="M89" i="8"/>
  <c r="L89" i="8"/>
  <c r="K89" i="8"/>
  <c r="J89" i="8"/>
  <c r="M88" i="8"/>
  <c r="L88" i="8"/>
  <c r="K88" i="8"/>
  <c r="J88" i="8"/>
  <c r="M87" i="8"/>
  <c r="L87" i="8"/>
  <c r="K87" i="8"/>
  <c r="J87" i="8"/>
  <c r="M86" i="8"/>
  <c r="L86" i="8"/>
  <c r="K86" i="8"/>
  <c r="J86" i="8"/>
  <c r="M85" i="8"/>
  <c r="L85" i="8"/>
  <c r="K85" i="8"/>
  <c r="J85" i="8"/>
  <c r="M84" i="8"/>
  <c r="L84" i="8"/>
  <c r="K84" i="8"/>
  <c r="J84" i="8"/>
  <c r="M83" i="8"/>
  <c r="L83" i="8"/>
  <c r="K83" i="8"/>
  <c r="J83" i="8"/>
  <c r="M82" i="8"/>
  <c r="L82" i="8"/>
  <c r="K82" i="8"/>
  <c r="J82" i="8"/>
  <c r="M81" i="8"/>
  <c r="L81" i="8"/>
  <c r="K81" i="8"/>
  <c r="J81" i="8"/>
  <c r="M80" i="8"/>
  <c r="L80" i="8"/>
  <c r="K80" i="8"/>
  <c r="J80" i="8"/>
  <c r="M79" i="8"/>
  <c r="L79" i="8"/>
  <c r="K79" i="8"/>
  <c r="J79" i="8"/>
  <c r="M78" i="8"/>
  <c r="L78" i="8"/>
  <c r="K78" i="8"/>
  <c r="J78" i="8"/>
  <c r="M77" i="8"/>
  <c r="L77" i="8"/>
  <c r="K77" i="8"/>
  <c r="J77" i="8"/>
  <c r="M76" i="8"/>
  <c r="L76" i="8"/>
  <c r="K76" i="8"/>
  <c r="J76" i="8"/>
  <c r="M75" i="8"/>
  <c r="L75" i="8"/>
  <c r="K75" i="8"/>
  <c r="J75" i="8"/>
  <c r="M74" i="8"/>
  <c r="L74" i="8"/>
  <c r="K74" i="8"/>
  <c r="J74" i="8"/>
  <c r="M73" i="8"/>
  <c r="L73" i="8"/>
  <c r="K73" i="8"/>
  <c r="J73" i="8"/>
  <c r="M72" i="8"/>
  <c r="L72" i="8"/>
  <c r="K72" i="8"/>
  <c r="J72" i="8"/>
  <c r="M71" i="8"/>
  <c r="L71" i="8"/>
  <c r="K71" i="8"/>
  <c r="J71" i="8"/>
  <c r="M70" i="8"/>
  <c r="L70" i="8"/>
  <c r="K70" i="8"/>
  <c r="J70" i="8"/>
  <c r="M69" i="8"/>
  <c r="L69" i="8"/>
  <c r="K69" i="8"/>
  <c r="J69" i="8"/>
  <c r="M68" i="8"/>
  <c r="L68" i="8"/>
  <c r="K68" i="8"/>
  <c r="J68" i="8"/>
  <c r="M67" i="8"/>
  <c r="L67" i="8"/>
  <c r="K67" i="8"/>
  <c r="J67" i="8"/>
  <c r="M66" i="8"/>
  <c r="L66" i="8"/>
  <c r="K66" i="8"/>
  <c r="J66" i="8"/>
  <c r="M65" i="8"/>
  <c r="L65" i="8"/>
  <c r="K65" i="8"/>
  <c r="J65" i="8"/>
  <c r="M64" i="8"/>
  <c r="L64" i="8"/>
  <c r="K64" i="8"/>
  <c r="J64" i="8"/>
  <c r="M63" i="8"/>
  <c r="L63" i="8"/>
  <c r="K63" i="8"/>
  <c r="J63" i="8"/>
  <c r="M62" i="8"/>
  <c r="L62" i="8"/>
  <c r="K62" i="8"/>
  <c r="J62" i="8"/>
  <c r="M61" i="8"/>
  <c r="L61" i="8"/>
  <c r="K61" i="8"/>
  <c r="J61" i="8"/>
  <c r="M60" i="8"/>
  <c r="L60" i="8"/>
  <c r="K60" i="8"/>
  <c r="J60" i="8"/>
  <c r="M59" i="8"/>
  <c r="L59" i="8"/>
  <c r="K59" i="8"/>
  <c r="J59" i="8"/>
  <c r="M58" i="8"/>
  <c r="L58" i="8"/>
  <c r="K58" i="8"/>
  <c r="J58" i="8"/>
  <c r="M57" i="8"/>
  <c r="L57" i="8"/>
  <c r="K57" i="8"/>
  <c r="J57" i="8"/>
  <c r="M56" i="8"/>
  <c r="L56" i="8"/>
  <c r="K56" i="8"/>
  <c r="J56" i="8"/>
  <c r="M55" i="8"/>
  <c r="L55" i="8"/>
  <c r="K55" i="8"/>
  <c r="J55" i="8"/>
  <c r="M54" i="8"/>
  <c r="L54" i="8"/>
  <c r="K54" i="8"/>
  <c r="J54" i="8"/>
  <c r="M53" i="8"/>
  <c r="L53" i="8"/>
  <c r="K53" i="8"/>
  <c r="J53" i="8"/>
  <c r="M52" i="8"/>
  <c r="L52" i="8"/>
  <c r="K52" i="8"/>
  <c r="J52" i="8"/>
  <c r="M51" i="8"/>
  <c r="L51" i="8"/>
  <c r="K51" i="8"/>
  <c r="J51" i="8"/>
  <c r="M50" i="8"/>
  <c r="L50" i="8"/>
  <c r="K50" i="8"/>
  <c r="J50" i="8"/>
  <c r="M49" i="8"/>
  <c r="L49" i="8"/>
  <c r="K49" i="8"/>
  <c r="J49" i="8"/>
  <c r="M48" i="8"/>
  <c r="L48" i="8"/>
  <c r="K48" i="8"/>
  <c r="J48" i="8"/>
  <c r="M47" i="8"/>
  <c r="L47" i="8"/>
  <c r="K47" i="8"/>
  <c r="J47" i="8"/>
  <c r="M46" i="8"/>
  <c r="L46" i="8"/>
  <c r="K46" i="8"/>
  <c r="J46" i="8"/>
  <c r="M45" i="8"/>
  <c r="L45" i="8"/>
  <c r="K45" i="8"/>
  <c r="J45" i="8"/>
  <c r="M44" i="8"/>
  <c r="L44" i="8"/>
  <c r="K44" i="8"/>
  <c r="J44" i="8"/>
  <c r="M43" i="8"/>
  <c r="L43" i="8"/>
  <c r="K43" i="8"/>
  <c r="J43" i="8"/>
  <c r="M42" i="8"/>
  <c r="L42" i="8"/>
  <c r="K42" i="8"/>
  <c r="J42" i="8"/>
  <c r="M41" i="8"/>
  <c r="L41" i="8"/>
  <c r="K41" i="8"/>
  <c r="J41" i="8"/>
  <c r="M40" i="8"/>
  <c r="L40" i="8"/>
  <c r="K40" i="8"/>
  <c r="J40" i="8"/>
  <c r="M39" i="8"/>
  <c r="L39" i="8"/>
  <c r="K39" i="8"/>
  <c r="J39" i="8"/>
  <c r="M38" i="8"/>
  <c r="L38" i="8"/>
  <c r="K38" i="8"/>
  <c r="J38" i="8"/>
  <c r="M37" i="8"/>
  <c r="L37" i="8"/>
  <c r="K37" i="8"/>
  <c r="J37" i="8"/>
  <c r="M36" i="8"/>
  <c r="L36" i="8"/>
  <c r="K36" i="8"/>
  <c r="J36" i="8"/>
  <c r="M35" i="8"/>
  <c r="L35" i="8"/>
  <c r="K35" i="8"/>
  <c r="J35" i="8"/>
  <c r="M34" i="8"/>
  <c r="L34" i="8"/>
  <c r="K34" i="8"/>
  <c r="J34" i="8"/>
  <c r="M33" i="8"/>
  <c r="L33" i="8"/>
  <c r="K33" i="8"/>
  <c r="J33" i="8"/>
  <c r="M32" i="8"/>
  <c r="L32" i="8"/>
  <c r="K32" i="8"/>
  <c r="J32" i="8"/>
  <c r="M31" i="8"/>
  <c r="L31" i="8"/>
  <c r="K31" i="8"/>
  <c r="J31" i="8"/>
  <c r="M30" i="8"/>
  <c r="L30" i="8"/>
  <c r="K30" i="8"/>
  <c r="J30" i="8"/>
  <c r="M29" i="8"/>
  <c r="L29" i="8"/>
  <c r="K29" i="8"/>
  <c r="J29" i="8"/>
  <c r="M28" i="8"/>
  <c r="L28" i="8"/>
  <c r="K28" i="8"/>
  <c r="J28" i="8"/>
  <c r="M27" i="8"/>
  <c r="L27" i="8"/>
  <c r="K27" i="8"/>
  <c r="J27" i="8"/>
  <c r="M26" i="8"/>
  <c r="L26" i="8"/>
  <c r="K26" i="8"/>
  <c r="J26" i="8"/>
  <c r="M25" i="8"/>
  <c r="L25" i="8"/>
  <c r="K25" i="8"/>
  <c r="J25" i="8"/>
  <c r="M24" i="8"/>
  <c r="L24" i="8"/>
  <c r="K24" i="8"/>
  <c r="J24" i="8"/>
  <c r="M23" i="8"/>
  <c r="L23" i="8"/>
  <c r="K23" i="8"/>
  <c r="J23" i="8"/>
  <c r="M22" i="8"/>
  <c r="L22" i="8"/>
  <c r="K22" i="8"/>
  <c r="J22" i="8"/>
  <c r="M21" i="8"/>
  <c r="L21" i="8"/>
  <c r="K21" i="8"/>
  <c r="J21" i="8"/>
  <c r="M20" i="8"/>
  <c r="L20" i="8"/>
  <c r="K20" i="8"/>
  <c r="J20" i="8"/>
  <c r="M19" i="8"/>
  <c r="L19" i="8"/>
  <c r="K19" i="8"/>
  <c r="J19" i="8"/>
  <c r="M18" i="8"/>
  <c r="L18" i="8"/>
  <c r="K18" i="8"/>
  <c r="J18" i="8"/>
  <c r="M17" i="8"/>
  <c r="L17" i="8"/>
  <c r="K17" i="8"/>
  <c r="J17" i="8"/>
  <c r="M16" i="8"/>
  <c r="L16" i="8"/>
  <c r="K16" i="8"/>
  <c r="J16" i="8"/>
  <c r="M15" i="8"/>
  <c r="L15" i="8"/>
  <c r="K15" i="8"/>
  <c r="J15" i="8"/>
  <c r="M14" i="8"/>
  <c r="L14" i="8"/>
  <c r="K14" i="8"/>
  <c r="J14" i="8"/>
  <c r="M13" i="8"/>
  <c r="L13" i="8"/>
  <c r="K13" i="8"/>
  <c r="J13" i="8"/>
  <c r="M12" i="8"/>
  <c r="L12" i="8"/>
  <c r="K12" i="8"/>
  <c r="J12" i="8"/>
  <c r="M11" i="8"/>
  <c r="L11" i="8"/>
  <c r="K11" i="8"/>
  <c r="J11" i="8"/>
  <c r="M10" i="8"/>
  <c r="L10" i="8"/>
  <c r="K10" i="8"/>
  <c r="J10" i="8"/>
  <c r="M9" i="8"/>
  <c r="L9" i="8"/>
  <c r="K9" i="8"/>
  <c r="J9" i="8"/>
  <c r="M8" i="8"/>
  <c r="L8" i="8"/>
  <c r="K8" i="8"/>
  <c r="J8" i="8"/>
  <c r="M7" i="8"/>
  <c r="L7" i="8"/>
  <c r="K7" i="8"/>
  <c r="J7" i="8"/>
  <c r="M6" i="8"/>
  <c r="L6" i="8"/>
  <c r="K6" i="8"/>
  <c r="J6" i="8"/>
  <c r="M5" i="8"/>
  <c r="L5" i="8"/>
  <c r="K5" i="8"/>
  <c r="J5" i="8"/>
  <c r="M4" i="8"/>
  <c r="L4" i="8"/>
  <c r="K4" i="8"/>
  <c r="J4" i="8"/>
  <c r="M3" i="8"/>
  <c r="L3" i="8"/>
  <c r="K3" i="8"/>
  <c r="J3" i="8"/>
  <c r="M2" i="8"/>
  <c r="L2" i="8"/>
  <c r="K2" i="8"/>
  <c r="J2" i="8"/>
  <c r="M7" i="3"/>
  <c r="L7" i="3"/>
  <c r="K7" i="3"/>
  <c r="J7" i="3"/>
  <c r="I7" i="3"/>
  <c r="H7" i="3"/>
  <c r="D7" i="3"/>
  <c r="O530" i="7"/>
  <c r="O529" i="7"/>
  <c r="O528" i="7"/>
  <c r="O527" i="7"/>
  <c r="O526" i="7"/>
  <c r="O525" i="7"/>
  <c r="O524" i="7"/>
  <c r="O523" i="7"/>
  <c r="O522" i="7"/>
  <c r="O521" i="7"/>
  <c r="O520" i="7"/>
  <c r="O519" i="7"/>
  <c r="O518" i="7"/>
  <c r="O517" i="7"/>
  <c r="O516" i="7"/>
  <c r="O515" i="7"/>
  <c r="O514" i="7"/>
  <c r="O513" i="7"/>
  <c r="O512" i="7"/>
  <c r="O511" i="7"/>
  <c r="O510" i="7"/>
  <c r="O509" i="7"/>
  <c r="O508" i="7"/>
  <c r="O507" i="7"/>
  <c r="O506" i="7"/>
  <c r="O505" i="7"/>
  <c r="O504" i="7"/>
  <c r="O503" i="7"/>
  <c r="O502" i="7"/>
  <c r="O501" i="7"/>
  <c r="O500" i="7"/>
  <c r="O499" i="7"/>
  <c r="O498" i="7"/>
  <c r="O497" i="7"/>
  <c r="O496" i="7"/>
  <c r="O495" i="7"/>
  <c r="O494" i="7"/>
  <c r="O493" i="7"/>
  <c r="O492" i="7"/>
  <c r="O491" i="7"/>
  <c r="O490" i="7"/>
  <c r="O489" i="7"/>
  <c r="O488" i="7"/>
  <c r="O487" i="7"/>
  <c r="O486" i="7"/>
  <c r="O485" i="7"/>
  <c r="O484" i="7"/>
  <c r="O483" i="7"/>
  <c r="O482" i="7"/>
  <c r="O481" i="7"/>
  <c r="O480" i="7"/>
  <c r="O479" i="7"/>
  <c r="O478" i="7"/>
  <c r="O477" i="7"/>
  <c r="O476" i="7"/>
  <c r="O475" i="7"/>
  <c r="O474" i="7"/>
  <c r="O473" i="7"/>
  <c r="O472" i="7"/>
  <c r="O471" i="7"/>
  <c r="O470" i="7"/>
  <c r="O469" i="7"/>
  <c r="O468" i="7"/>
  <c r="O467" i="7"/>
  <c r="O466" i="7"/>
  <c r="O465" i="7"/>
  <c r="O464" i="7"/>
  <c r="O463" i="7"/>
  <c r="O462" i="7"/>
  <c r="O461" i="7"/>
  <c r="O460" i="7"/>
  <c r="O459" i="7"/>
  <c r="O458" i="7"/>
  <c r="O457" i="7"/>
  <c r="O456" i="7"/>
  <c r="O455" i="7"/>
  <c r="O454" i="7"/>
  <c r="O453" i="7"/>
  <c r="O452" i="7"/>
  <c r="O451" i="7"/>
  <c r="O450" i="7"/>
  <c r="O449" i="7"/>
  <c r="O448" i="7"/>
  <c r="O447" i="7"/>
  <c r="O446" i="7"/>
  <c r="O445" i="7"/>
  <c r="O444" i="7"/>
  <c r="O443" i="7"/>
  <c r="O442" i="7"/>
  <c r="O441" i="7"/>
  <c r="O440" i="7"/>
  <c r="O439" i="7"/>
  <c r="O438" i="7"/>
  <c r="O437" i="7"/>
  <c r="O436" i="7"/>
  <c r="O435" i="7"/>
  <c r="O434" i="7"/>
  <c r="O433" i="7"/>
  <c r="O432" i="7"/>
  <c r="O431" i="7"/>
  <c r="O430" i="7"/>
  <c r="O429" i="7"/>
  <c r="O428" i="7"/>
  <c r="O427" i="7"/>
  <c r="O426" i="7"/>
  <c r="O425" i="7"/>
  <c r="O424" i="7"/>
  <c r="O423" i="7"/>
  <c r="O422" i="7"/>
  <c r="O421" i="7"/>
  <c r="O420" i="7"/>
  <c r="O419" i="7"/>
  <c r="O418" i="7"/>
  <c r="O417" i="7"/>
  <c r="O416" i="7"/>
  <c r="O415" i="7"/>
  <c r="O414" i="7"/>
  <c r="O413" i="7"/>
  <c r="O412" i="7"/>
  <c r="O411" i="7"/>
  <c r="O410" i="7"/>
  <c r="O409" i="7"/>
  <c r="O408" i="7"/>
  <c r="O407" i="7"/>
  <c r="O406" i="7"/>
  <c r="O405" i="7"/>
  <c r="O404" i="7"/>
  <c r="O403" i="7"/>
  <c r="O402" i="7"/>
  <c r="O401" i="7"/>
  <c r="O400" i="7"/>
  <c r="O399" i="7"/>
  <c r="O398" i="7"/>
  <c r="O397" i="7"/>
  <c r="O396" i="7"/>
  <c r="O395" i="7"/>
  <c r="O394" i="7"/>
  <c r="O393" i="7"/>
  <c r="O392" i="7"/>
  <c r="O391" i="7"/>
  <c r="O390" i="7"/>
  <c r="O389" i="7"/>
  <c r="O388" i="7"/>
  <c r="O387" i="7"/>
  <c r="O386" i="7"/>
  <c r="O385" i="7"/>
  <c r="O384" i="7"/>
  <c r="O383" i="7"/>
  <c r="O382" i="7"/>
  <c r="O381" i="7"/>
  <c r="O380" i="7"/>
  <c r="O379" i="7"/>
  <c r="O378" i="7"/>
  <c r="O377" i="7"/>
  <c r="O376" i="7"/>
  <c r="O375" i="7"/>
  <c r="O374" i="7"/>
  <c r="O373" i="7"/>
  <c r="O372" i="7"/>
  <c r="O371" i="7"/>
  <c r="O370" i="7"/>
  <c r="O369" i="7"/>
  <c r="O368" i="7"/>
  <c r="O367" i="7"/>
  <c r="O366" i="7"/>
  <c r="O365" i="7"/>
  <c r="O364" i="7"/>
  <c r="O363" i="7"/>
  <c r="O362" i="7"/>
  <c r="O361" i="7"/>
  <c r="O360" i="7"/>
  <c r="O359" i="7"/>
  <c r="O358" i="7"/>
  <c r="O357" i="7"/>
  <c r="O356" i="7"/>
  <c r="O355" i="7"/>
  <c r="O354" i="7"/>
  <c r="O353" i="7"/>
  <c r="O352" i="7"/>
  <c r="O351" i="7"/>
  <c r="O350" i="7"/>
  <c r="O349" i="7"/>
  <c r="O348" i="7"/>
  <c r="O347" i="7"/>
  <c r="O346" i="7"/>
  <c r="O345" i="7"/>
  <c r="O344" i="7"/>
  <c r="O343" i="7"/>
  <c r="O342" i="7"/>
  <c r="O341" i="7"/>
  <c r="O340" i="7"/>
  <c r="O339" i="7"/>
  <c r="O338" i="7"/>
  <c r="O337" i="7"/>
  <c r="O336" i="7"/>
  <c r="O335" i="7"/>
  <c r="O334" i="7"/>
  <c r="O333" i="7"/>
  <c r="O332" i="7"/>
  <c r="O331" i="7"/>
  <c r="O330" i="7"/>
  <c r="O329" i="7"/>
  <c r="O328" i="7"/>
  <c r="O327" i="7"/>
  <c r="O326" i="7"/>
  <c r="O325" i="7"/>
  <c r="O324" i="7"/>
  <c r="O323" i="7"/>
  <c r="O322" i="7"/>
  <c r="O321" i="7"/>
  <c r="O320" i="7"/>
  <c r="O319" i="7"/>
  <c r="O318" i="7"/>
  <c r="O317" i="7"/>
  <c r="O316" i="7"/>
  <c r="O315" i="7"/>
  <c r="O314" i="7"/>
  <c r="O313" i="7"/>
  <c r="O312" i="7"/>
  <c r="O311" i="7"/>
  <c r="O310" i="7"/>
  <c r="O309" i="7"/>
  <c r="O308" i="7"/>
  <c r="O307" i="7"/>
  <c r="O306" i="7"/>
  <c r="O305" i="7"/>
  <c r="O304" i="7"/>
  <c r="O303" i="7"/>
  <c r="O302" i="7"/>
  <c r="O301" i="7"/>
  <c r="O300" i="7"/>
  <c r="O299" i="7"/>
  <c r="O298" i="7"/>
  <c r="O297" i="7"/>
  <c r="O296" i="7"/>
  <c r="O295" i="7"/>
  <c r="O294" i="7"/>
  <c r="O293" i="7"/>
  <c r="O292" i="7"/>
  <c r="O291" i="7"/>
  <c r="O290" i="7"/>
  <c r="O289" i="7"/>
  <c r="O288" i="7"/>
  <c r="O287" i="7"/>
  <c r="O286" i="7"/>
  <c r="O285" i="7"/>
  <c r="O284" i="7"/>
  <c r="O283" i="7"/>
  <c r="O282" i="7"/>
  <c r="O281" i="7"/>
  <c r="O280" i="7"/>
  <c r="O279" i="7"/>
  <c r="O278" i="7"/>
  <c r="O277" i="7"/>
  <c r="O276" i="7"/>
  <c r="O275" i="7"/>
  <c r="O274" i="7"/>
  <c r="O273" i="7"/>
  <c r="O272" i="7"/>
  <c r="O271" i="7"/>
  <c r="O270" i="7"/>
  <c r="O269" i="7"/>
  <c r="O268" i="7"/>
  <c r="O267" i="7"/>
  <c r="O266" i="7"/>
  <c r="O265" i="7"/>
  <c r="O264" i="7"/>
  <c r="O263" i="7"/>
  <c r="O262" i="7"/>
  <c r="O261" i="7"/>
  <c r="O260" i="7"/>
  <c r="O259" i="7"/>
  <c r="O258" i="7"/>
  <c r="O257" i="7"/>
  <c r="O256" i="7"/>
  <c r="O255" i="7"/>
  <c r="O254" i="7"/>
  <c r="O253" i="7"/>
  <c r="O252" i="7"/>
  <c r="O251" i="7"/>
  <c r="O250" i="7"/>
  <c r="O249" i="7"/>
  <c r="O248" i="7"/>
  <c r="O247" i="7"/>
  <c r="O246" i="7"/>
  <c r="O245" i="7"/>
  <c r="O244" i="7"/>
  <c r="O243" i="7"/>
  <c r="O242" i="7"/>
  <c r="O241" i="7"/>
  <c r="O240" i="7"/>
  <c r="O239" i="7"/>
  <c r="O238" i="7"/>
  <c r="O237" i="7"/>
  <c r="O236" i="7"/>
  <c r="O235" i="7"/>
  <c r="O234" i="7"/>
  <c r="O233" i="7"/>
  <c r="O232" i="7"/>
  <c r="O231" i="7"/>
  <c r="O230" i="7"/>
  <c r="O229" i="7"/>
  <c r="O228" i="7"/>
  <c r="O227" i="7"/>
  <c r="O226" i="7"/>
  <c r="O225" i="7"/>
  <c r="O224" i="7"/>
  <c r="O223" i="7"/>
  <c r="O222" i="7"/>
  <c r="O221" i="7"/>
  <c r="O220" i="7"/>
  <c r="O219" i="7"/>
  <c r="O218" i="7"/>
  <c r="O217" i="7"/>
  <c r="O216" i="7"/>
  <c r="O215" i="7"/>
  <c r="O214" i="7"/>
  <c r="O213" i="7"/>
  <c r="O212" i="7"/>
  <c r="O211" i="7"/>
  <c r="O210" i="7"/>
  <c r="O209" i="7"/>
  <c r="O208" i="7"/>
  <c r="O207" i="7"/>
  <c r="O206" i="7"/>
  <c r="O205" i="7"/>
  <c r="O204" i="7"/>
  <c r="O203" i="7"/>
  <c r="O202" i="7"/>
  <c r="O201" i="7"/>
  <c r="O200" i="7"/>
  <c r="O199" i="7"/>
  <c r="O198" i="7"/>
  <c r="O197" i="7"/>
  <c r="O196" i="7"/>
  <c r="O195" i="7"/>
  <c r="O194" i="7"/>
  <c r="O193" i="7"/>
  <c r="O192" i="7"/>
  <c r="O191" i="7"/>
  <c r="O190" i="7"/>
  <c r="O189" i="7"/>
  <c r="O188" i="7"/>
  <c r="O187" i="7"/>
  <c r="O186" i="7"/>
  <c r="O185" i="7"/>
  <c r="O184" i="7"/>
  <c r="O183" i="7"/>
  <c r="O182" i="7"/>
  <c r="O181" i="7"/>
  <c r="O180" i="7"/>
  <c r="O179" i="7"/>
  <c r="O178" i="7"/>
  <c r="O177" i="7"/>
  <c r="O176" i="7"/>
  <c r="O175" i="7"/>
  <c r="O174" i="7"/>
  <c r="O173" i="7"/>
  <c r="O172" i="7"/>
  <c r="O171" i="7"/>
  <c r="O170" i="7"/>
  <c r="O169" i="7"/>
  <c r="O168" i="7"/>
  <c r="O167" i="7"/>
  <c r="O166" i="7"/>
  <c r="O165" i="7"/>
  <c r="O164" i="7"/>
  <c r="O163" i="7"/>
  <c r="O162" i="7"/>
  <c r="O161" i="7"/>
  <c r="O160" i="7"/>
  <c r="O159" i="7"/>
  <c r="O158" i="7"/>
  <c r="O157" i="7"/>
  <c r="O156" i="7"/>
  <c r="O155" i="7"/>
  <c r="O154" i="7"/>
  <c r="O153" i="7"/>
  <c r="O152" i="7"/>
  <c r="O151" i="7"/>
  <c r="O150" i="7"/>
  <c r="O149" i="7"/>
  <c r="O148" i="7"/>
  <c r="O147" i="7"/>
  <c r="O146" i="7"/>
  <c r="O145" i="7"/>
  <c r="O144" i="7"/>
  <c r="O143" i="7"/>
  <c r="O142" i="7"/>
  <c r="O141" i="7"/>
  <c r="O140" i="7"/>
  <c r="O139" i="7"/>
  <c r="O138" i="7"/>
  <c r="O137" i="7"/>
  <c r="O136" i="7"/>
  <c r="O135" i="7"/>
  <c r="O134" i="7"/>
  <c r="O133" i="7"/>
  <c r="O132" i="7"/>
  <c r="O131" i="7"/>
  <c r="O130" i="7"/>
  <c r="O129" i="7"/>
  <c r="O128" i="7"/>
  <c r="O127" i="7"/>
  <c r="O126" i="7"/>
  <c r="O125" i="7"/>
  <c r="O124" i="7"/>
  <c r="O123" i="7"/>
  <c r="O122" i="7"/>
  <c r="O121" i="7"/>
  <c r="O120" i="7"/>
  <c r="O119" i="7"/>
  <c r="O118" i="7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A530" i="7"/>
  <c r="A529" i="7"/>
  <c r="A528" i="7"/>
  <c r="A527" i="7"/>
  <c r="A526" i="7"/>
  <c r="A525" i="7"/>
  <c r="A524" i="7"/>
  <c r="A523" i="7"/>
  <c r="A522" i="7"/>
  <c r="A521" i="7"/>
  <c r="A520" i="7"/>
  <c r="A519" i="7"/>
  <c r="A518" i="7"/>
  <c r="A517" i="7"/>
  <c r="A516" i="7"/>
  <c r="A515" i="7"/>
  <c r="A514" i="7"/>
  <c r="A513" i="7"/>
  <c r="A512" i="7"/>
  <c r="A511" i="7"/>
  <c r="A510" i="7"/>
  <c r="A509" i="7"/>
  <c r="A508" i="7"/>
  <c r="A507" i="7"/>
  <c r="A506" i="7"/>
  <c r="A505" i="7"/>
  <c r="A504" i="7"/>
  <c r="A503" i="7"/>
  <c r="A502" i="7"/>
  <c r="A501" i="7"/>
  <c r="A500" i="7"/>
  <c r="A499" i="7"/>
  <c r="A498" i="7"/>
  <c r="A497" i="7"/>
  <c r="A496" i="7"/>
  <c r="A495" i="7"/>
  <c r="A494" i="7"/>
  <c r="A493" i="7"/>
  <c r="A492" i="7"/>
  <c r="A491" i="7"/>
  <c r="A490" i="7"/>
  <c r="A489" i="7"/>
  <c r="A488" i="7"/>
  <c r="A487" i="7"/>
  <c r="A486" i="7"/>
  <c r="A485" i="7"/>
  <c r="A484" i="7"/>
  <c r="A483" i="7"/>
  <c r="A482" i="7"/>
  <c r="A481" i="7"/>
  <c r="A480" i="7"/>
  <c r="A479" i="7"/>
  <c r="A478" i="7"/>
  <c r="A477" i="7"/>
  <c r="A476" i="7"/>
  <c r="A475" i="7"/>
  <c r="A474" i="7"/>
  <c r="A473" i="7"/>
  <c r="A472" i="7"/>
  <c r="A471" i="7"/>
  <c r="A470" i="7"/>
  <c r="A469" i="7"/>
  <c r="A468" i="7"/>
  <c r="A467" i="7"/>
  <c r="A466" i="7"/>
  <c r="A465" i="7"/>
  <c r="A464" i="7"/>
  <c r="A463" i="7"/>
  <c r="A462" i="7"/>
  <c r="A461" i="7"/>
  <c r="A460" i="7"/>
  <c r="A459" i="7"/>
  <c r="A458" i="7"/>
  <c r="A457" i="7"/>
  <c r="A456" i="7"/>
  <c r="A455" i="7"/>
  <c r="A454" i="7"/>
  <c r="A453" i="7"/>
  <c r="A452" i="7"/>
  <c r="A451" i="7"/>
  <c r="A450" i="7"/>
  <c r="A449" i="7"/>
  <c r="A448" i="7"/>
  <c r="A447" i="7"/>
  <c r="A446" i="7"/>
  <c r="A445" i="7"/>
  <c r="A444" i="7"/>
  <c r="A443" i="7"/>
  <c r="A442" i="7"/>
  <c r="A441" i="7"/>
  <c r="A440" i="7"/>
  <c r="A439" i="7"/>
  <c r="A438" i="7"/>
  <c r="A437" i="7"/>
  <c r="A436" i="7"/>
  <c r="A435" i="7"/>
  <c r="A434" i="7"/>
  <c r="A433" i="7"/>
  <c r="A432" i="7"/>
  <c r="A431" i="7"/>
  <c r="A430" i="7"/>
  <c r="A429" i="7"/>
  <c r="A428" i="7"/>
  <c r="A427" i="7"/>
  <c r="A426" i="7"/>
  <c r="A425" i="7"/>
  <c r="A424" i="7"/>
  <c r="A423" i="7"/>
  <c r="A422" i="7"/>
  <c r="A421" i="7"/>
  <c r="A420" i="7"/>
  <c r="A419" i="7"/>
  <c r="A418" i="7"/>
  <c r="A417" i="7"/>
  <c r="A416" i="7"/>
  <c r="A415" i="7"/>
  <c r="A414" i="7"/>
  <c r="A413" i="7"/>
  <c r="A412" i="7"/>
  <c r="A411" i="7"/>
  <c r="A410" i="7"/>
  <c r="A409" i="7"/>
  <c r="A408" i="7"/>
  <c r="A407" i="7"/>
  <c r="A406" i="7"/>
  <c r="A405" i="7"/>
  <c r="A404" i="7"/>
  <c r="A403" i="7"/>
  <c r="A402" i="7"/>
  <c r="A401" i="7"/>
  <c r="A400" i="7"/>
  <c r="A399" i="7"/>
  <c r="A398" i="7"/>
  <c r="A397" i="7"/>
  <c r="A396" i="7"/>
  <c r="A395" i="7"/>
  <c r="A394" i="7"/>
  <c r="A393" i="7"/>
  <c r="A392" i="7"/>
  <c r="A391" i="7"/>
  <c r="A390" i="7"/>
  <c r="A389" i="7"/>
  <c r="A388" i="7"/>
  <c r="A387" i="7"/>
  <c r="A386" i="7"/>
  <c r="A385" i="7"/>
  <c r="A384" i="7"/>
  <c r="A383" i="7"/>
  <c r="A382" i="7"/>
  <c r="A381" i="7"/>
  <c r="A380" i="7"/>
  <c r="A379" i="7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5" i="7"/>
  <c r="A364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V13" i="7" l="1"/>
  <c r="W13" i="7" s="1"/>
  <c r="V29" i="7"/>
  <c r="W29" i="7" s="1"/>
  <c r="V21" i="7"/>
  <c r="W21" i="7" s="1"/>
  <c r="V5" i="7"/>
  <c r="W5" i="7" s="1"/>
  <c r="V4" i="7"/>
  <c r="W4" i="7" s="1"/>
  <c r="V12" i="7"/>
  <c r="W12" i="7" s="1"/>
  <c r="V20" i="7"/>
  <c r="W20" i="7" s="1"/>
  <c r="V28" i="7"/>
  <c r="W28" i="7" s="1"/>
  <c r="V36" i="7"/>
  <c r="W36" i="7" s="1"/>
  <c r="V44" i="7"/>
  <c r="W44" i="7" s="1"/>
  <c r="V52" i="7"/>
  <c r="W52" i="7" s="1"/>
  <c r="V60" i="7"/>
  <c r="W60" i="7" s="1"/>
  <c r="V68" i="7"/>
  <c r="W68" i="7" s="1"/>
  <c r="V76" i="7"/>
  <c r="W76" i="7" s="1"/>
  <c r="V84" i="7"/>
  <c r="W84" i="7" s="1"/>
  <c r="V92" i="7"/>
  <c r="W92" i="7" s="1"/>
  <c r="V100" i="7"/>
  <c r="W100" i="7" s="1"/>
  <c r="V108" i="7"/>
  <c r="W108" i="7" s="1"/>
  <c r="V116" i="7"/>
  <c r="W116" i="7" s="1"/>
  <c r="V124" i="7"/>
  <c r="W124" i="7" s="1"/>
  <c r="V132" i="7"/>
  <c r="W132" i="7" s="1"/>
  <c r="V140" i="7"/>
  <c r="W140" i="7" s="1"/>
  <c r="V148" i="7"/>
  <c r="W148" i="7" s="1"/>
  <c r="V156" i="7"/>
  <c r="W156" i="7" s="1"/>
  <c r="V164" i="7"/>
  <c r="W164" i="7" s="1"/>
  <c r="V172" i="7"/>
  <c r="W172" i="7" s="1"/>
  <c r="V180" i="7"/>
  <c r="W180" i="7" s="1"/>
  <c r="V188" i="7"/>
  <c r="W188" i="7" s="1"/>
  <c r="V196" i="7"/>
  <c r="W196" i="7" s="1"/>
  <c r="V204" i="7"/>
  <c r="W204" i="7" s="1"/>
  <c r="V212" i="7"/>
  <c r="W212" i="7" s="1"/>
  <c r="V220" i="7"/>
  <c r="W220" i="7" s="1"/>
  <c r="V228" i="7"/>
  <c r="W228" i="7" s="1"/>
  <c r="V236" i="7"/>
  <c r="W236" i="7" s="1"/>
  <c r="V244" i="7"/>
  <c r="W244" i="7" s="1"/>
  <c r="V252" i="7"/>
  <c r="W252" i="7" s="1"/>
  <c r="V260" i="7"/>
  <c r="W260" i="7" s="1"/>
  <c r="V268" i="7"/>
  <c r="W268" i="7" s="1"/>
  <c r="V276" i="7"/>
  <c r="W276" i="7" s="1"/>
  <c r="V284" i="7"/>
  <c r="W284" i="7" s="1"/>
  <c r="V292" i="7"/>
  <c r="W292" i="7" s="1"/>
  <c r="V300" i="7"/>
  <c r="W300" i="7" s="1"/>
  <c r="V308" i="7"/>
  <c r="W308" i="7" s="1"/>
  <c r="V316" i="7"/>
  <c r="W316" i="7" s="1"/>
  <c r="V324" i="7"/>
  <c r="W324" i="7" s="1"/>
  <c r="V332" i="7"/>
  <c r="W332" i="7" s="1"/>
  <c r="V340" i="7"/>
  <c r="W340" i="7" s="1"/>
  <c r="V348" i="7"/>
  <c r="W348" i="7" s="1"/>
  <c r="V356" i="7"/>
  <c r="W356" i="7" s="1"/>
  <c r="V364" i="7"/>
  <c r="W364" i="7" s="1"/>
  <c r="V372" i="7"/>
  <c r="W372" i="7" s="1"/>
  <c r="V380" i="7"/>
  <c r="W380" i="7" s="1"/>
  <c r="V388" i="7"/>
  <c r="W388" i="7" s="1"/>
  <c r="V396" i="7"/>
  <c r="W396" i="7" s="1"/>
  <c r="V404" i="7"/>
  <c r="W404" i="7" s="1"/>
  <c r="V412" i="7"/>
  <c r="W412" i="7" s="1"/>
  <c r="V420" i="7"/>
  <c r="W420" i="7" s="1"/>
  <c r="V428" i="7"/>
  <c r="W428" i="7" s="1"/>
  <c r="V436" i="7"/>
  <c r="W436" i="7" s="1"/>
  <c r="V444" i="7"/>
  <c r="W444" i="7" s="1"/>
  <c r="V452" i="7"/>
  <c r="W452" i="7" s="1"/>
  <c r="V460" i="7"/>
  <c r="W460" i="7" s="1"/>
  <c r="V468" i="7"/>
  <c r="W468" i="7" s="1"/>
  <c r="V476" i="7"/>
  <c r="W476" i="7" s="1"/>
  <c r="V484" i="7"/>
  <c r="W484" i="7" s="1"/>
  <c r="V492" i="7"/>
  <c r="W492" i="7" s="1"/>
  <c r="V500" i="7"/>
  <c r="W500" i="7" s="1"/>
  <c r="V508" i="7"/>
  <c r="W508" i="7" s="1"/>
  <c r="V516" i="7"/>
  <c r="W516" i="7" s="1"/>
  <c r="V524" i="7"/>
  <c r="W524" i="7" s="1"/>
  <c r="V6" i="7"/>
  <c r="W6" i="7" s="1"/>
  <c r="V14" i="7"/>
  <c r="W14" i="7" s="1"/>
  <c r="V22" i="7"/>
  <c r="W22" i="7" s="1"/>
  <c r="V30" i="7"/>
  <c r="W30" i="7" s="1"/>
  <c r="V38" i="7"/>
  <c r="W38" i="7" s="1"/>
  <c r="V46" i="7"/>
  <c r="W46" i="7" s="1"/>
  <c r="V54" i="7"/>
  <c r="W54" i="7" s="1"/>
  <c r="V62" i="7"/>
  <c r="W62" i="7" s="1"/>
  <c r="V70" i="7"/>
  <c r="W70" i="7" s="1"/>
  <c r="V78" i="7"/>
  <c r="W78" i="7" s="1"/>
  <c r="V86" i="7"/>
  <c r="W86" i="7" s="1"/>
  <c r="V94" i="7"/>
  <c r="W94" i="7" s="1"/>
  <c r="V102" i="7"/>
  <c r="W102" i="7" s="1"/>
  <c r="V110" i="7"/>
  <c r="W110" i="7" s="1"/>
  <c r="V118" i="7"/>
  <c r="W118" i="7" s="1"/>
  <c r="V126" i="7"/>
  <c r="W126" i="7" s="1"/>
  <c r="V134" i="7"/>
  <c r="W134" i="7" s="1"/>
  <c r="V142" i="7"/>
  <c r="W142" i="7" s="1"/>
  <c r="V150" i="7"/>
  <c r="W150" i="7" s="1"/>
  <c r="V158" i="7"/>
  <c r="W158" i="7" s="1"/>
  <c r="V166" i="7"/>
  <c r="W166" i="7" s="1"/>
  <c r="V174" i="7"/>
  <c r="W174" i="7" s="1"/>
  <c r="V182" i="7"/>
  <c r="W182" i="7" s="1"/>
  <c r="V190" i="7"/>
  <c r="W190" i="7" s="1"/>
  <c r="V198" i="7"/>
  <c r="W198" i="7" s="1"/>
  <c r="V206" i="7"/>
  <c r="W206" i="7" s="1"/>
  <c r="V214" i="7"/>
  <c r="W214" i="7" s="1"/>
  <c r="V222" i="7"/>
  <c r="W222" i="7" s="1"/>
  <c r="V230" i="7"/>
  <c r="W230" i="7" s="1"/>
  <c r="V238" i="7"/>
  <c r="W238" i="7" s="1"/>
  <c r="V246" i="7"/>
  <c r="W246" i="7" s="1"/>
  <c r="V254" i="7"/>
  <c r="W254" i="7" s="1"/>
  <c r="V262" i="7"/>
  <c r="W262" i="7" s="1"/>
  <c r="V270" i="7"/>
  <c r="W270" i="7" s="1"/>
  <c r="V278" i="7"/>
  <c r="W278" i="7" s="1"/>
  <c r="V286" i="7"/>
  <c r="W286" i="7" s="1"/>
  <c r="V294" i="7"/>
  <c r="W294" i="7" s="1"/>
  <c r="V302" i="7"/>
  <c r="W302" i="7" s="1"/>
  <c r="V310" i="7"/>
  <c r="W310" i="7" s="1"/>
  <c r="V318" i="7"/>
  <c r="W318" i="7" s="1"/>
  <c r="V326" i="7"/>
  <c r="W326" i="7" s="1"/>
  <c r="V334" i="7"/>
  <c r="W334" i="7" s="1"/>
  <c r="V342" i="7"/>
  <c r="W342" i="7" s="1"/>
  <c r="V350" i="7"/>
  <c r="W350" i="7" s="1"/>
  <c r="V358" i="7"/>
  <c r="W358" i="7" s="1"/>
  <c r="V366" i="7"/>
  <c r="W366" i="7" s="1"/>
  <c r="V374" i="7"/>
  <c r="W374" i="7" s="1"/>
  <c r="V382" i="7"/>
  <c r="W382" i="7" s="1"/>
  <c r="V390" i="7"/>
  <c r="W390" i="7" s="1"/>
  <c r="V398" i="7"/>
  <c r="W398" i="7" s="1"/>
  <c r="V406" i="7"/>
  <c r="W406" i="7" s="1"/>
  <c r="V414" i="7"/>
  <c r="W414" i="7" s="1"/>
  <c r="V422" i="7"/>
  <c r="W422" i="7" s="1"/>
  <c r="V430" i="7"/>
  <c r="W430" i="7" s="1"/>
  <c r="V438" i="7"/>
  <c r="W438" i="7" s="1"/>
  <c r="V446" i="7"/>
  <c r="W446" i="7" s="1"/>
  <c r="V454" i="7"/>
  <c r="W454" i="7" s="1"/>
  <c r="V462" i="7"/>
  <c r="W462" i="7" s="1"/>
  <c r="V470" i="7"/>
  <c r="W470" i="7" s="1"/>
  <c r="V478" i="7"/>
  <c r="W478" i="7" s="1"/>
  <c r="V486" i="7"/>
  <c r="W486" i="7" s="1"/>
  <c r="V494" i="7"/>
  <c r="W494" i="7" s="1"/>
  <c r="V502" i="7"/>
  <c r="W502" i="7" s="1"/>
  <c r="V510" i="7"/>
  <c r="W510" i="7" s="1"/>
  <c r="V518" i="7"/>
  <c r="W518" i="7" s="1"/>
  <c r="V526" i="7"/>
  <c r="W526" i="7" s="1"/>
  <c r="V37" i="7"/>
  <c r="W37" i="7" s="1"/>
  <c r="V77" i="7"/>
  <c r="W77" i="7" s="1"/>
  <c r="V109" i="7"/>
  <c r="W109" i="7" s="1"/>
  <c r="V141" i="7"/>
  <c r="W141" i="7" s="1"/>
  <c r="V181" i="7"/>
  <c r="W181" i="7" s="1"/>
  <c r="V213" i="7"/>
  <c r="W213" i="7" s="1"/>
  <c r="V245" i="7"/>
  <c r="W245" i="7" s="1"/>
  <c r="V277" i="7"/>
  <c r="W277" i="7" s="1"/>
  <c r="V421" i="7"/>
  <c r="W421" i="7" s="1"/>
  <c r="V7" i="7"/>
  <c r="W7" i="7" s="1"/>
  <c r="V15" i="7"/>
  <c r="W15" i="7" s="1"/>
  <c r="V23" i="7"/>
  <c r="W23" i="7" s="1"/>
  <c r="V31" i="7"/>
  <c r="W31" i="7" s="1"/>
  <c r="V39" i="7"/>
  <c r="W39" i="7" s="1"/>
  <c r="V47" i="7"/>
  <c r="W47" i="7" s="1"/>
  <c r="V55" i="7"/>
  <c r="W55" i="7" s="1"/>
  <c r="V63" i="7"/>
  <c r="W63" i="7" s="1"/>
  <c r="V71" i="7"/>
  <c r="W71" i="7" s="1"/>
  <c r="V79" i="7"/>
  <c r="W79" i="7" s="1"/>
  <c r="V87" i="7"/>
  <c r="W87" i="7" s="1"/>
  <c r="V95" i="7"/>
  <c r="W95" i="7" s="1"/>
  <c r="V103" i="7"/>
  <c r="W103" i="7" s="1"/>
  <c r="V111" i="7"/>
  <c r="W111" i="7" s="1"/>
  <c r="V119" i="7"/>
  <c r="W119" i="7" s="1"/>
  <c r="V127" i="7"/>
  <c r="W127" i="7" s="1"/>
  <c r="V135" i="7"/>
  <c r="W135" i="7" s="1"/>
  <c r="V143" i="7"/>
  <c r="W143" i="7" s="1"/>
  <c r="V151" i="7"/>
  <c r="W151" i="7" s="1"/>
  <c r="V159" i="7"/>
  <c r="W159" i="7" s="1"/>
  <c r="V167" i="7"/>
  <c r="W167" i="7" s="1"/>
  <c r="V175" i="7"/>
  <c r="W175" i="7" s="1"/>
  <c r="V183" i="7"/>
  <c r="W183" i="7" s="1"/>
  <c r="V191" i="7"/>
  <c r="W191" i="7" s="1"/>
  <c r="V199" i="7"/>
  <c r="W199" i="7" s="1"/>
  <c r="V207" i="7"/>
  <c r="W207" i="7" s="1"/>
  <c r="V215" i="7"/>
  <c r="W215" i="7" s="1"/>
  <c r="V223" i="7"/>
  <c r="W223" i="7" s="1"/>
  <c r="V231" i="7"/>
  <c r="W231" i="7" s="1"/>
  <c r="V239" i="7"/>
  <c r="W239" i="7" s="1"/>
  <c r="V247" i="7"/>
  <c r="W247" i="7" s="1"/>
  <c r="V255" i="7"/>
  <c r="W255" i="7" s="1"/>
  <c r="V263" i="7"/>
  <c r="W263" i="7" s="1"/>
  <c r="V271" i="7"/>
  <c r="W271" i="7" s="1"/>
  <c r="V279" i="7"/>
  <c r="W279" i="7" s="1"/>
  <c r="V287" i="7"/>
  <c r="W287" i="7" s="1"/>
  <c r="V295" i="7"/>
  <c r="W295" i="7" s="1"/>
  <c r="V303" i="7"/>
  <c r="W303" i="7" s="1"/>
  <c r="V311" i="7"/>
  <c r="W311" i="7" s="1"/>
  <c r="V319" i="7"/>
  <c r="W319" i="7" s="1"/>
  <c r="V327" i="7"/>
  <c r="W327" i="7" s="1"/>
  <c r="V335" i="7"/>
  <c r="W335" i="7" s="1"/>
  <c r="V343" i="7"/>
  <c r="W343" i="7" s="1"/>
  <c r="V351" i="7"/>
  <c r="W351" i="7" s="1"/>
  <c r="V359" i="7"/>
  <c r="W359" i="7" s="1"/>
  <c r="V367" i="7"/>
  <c r="W367" i="7" s="1"/>
  <c r="V375" i="7"/>
  <c r="W375" i="7" s="1"/>
  <c r="V383" i="7"/>
  <c r="W383" i="7" s="1"/>
  <c r="V391" i="7"/>
  <c r="W391" i="7" s="1"/>
  <c r="V399" i="7"/>
  <c r="W399" i="7" s="1"/>
  <c r="V407" i="7"/>
  <c r="W407" i="7" s="1"/>
  <c r="V415" i="7"/>
  <c r="W415" i="7" s="1"/>
  <c r="V423" i="7"/>
  <c r="W423" i="7" s="1"/>
  <c r="V431" i="7"/>
  <c r="W431" i="7" s="1"/>
  <c r="V439" i="7"/>
  <c r="W439" i="7" s="1"/>
  <c r="V447" i="7"/>
  <c r="W447" i="7" s="1"/>
  <c r="V455" i="7"/>
  <c r="W455" i="7" s="1"/>
  <c r="V463" i="7"/>
  <c r="W463" i="7" s="1"/>
  <c r="V471" i="7"/>
  <c r="W471" i="7" s="1"/>
  <c r="V479" i="7"/>
  <c r="W479" i="7" s="1"/>
  <c r="V487" i="7"/>
  <c r="W487" i="7" s="1"/>
  <c r="V495" i="7"/>
  <c r="W495" i="7" s="1"/>
  <c r="V503" i="7"/>
  <c r="W503" i="7" s="1"/>
  <c r="V511" i="7"/>
  <c r="W511" i="7" s="1"/>
  <c r="V519" i="7"/>
  <c r="W519" i="7" s="1"/>
  <c r="V527" i="7"/>
  <c r="W527" i="7" s="1"/>
  <c r="V61" i="7"/>
  <c r="W61" i="7" s="1"/>
  <c r="V93" i="7"/>
  <c r="W93" i="7" s="1"/>
  <c r="V125" i="7"/>
  <c r="W125" i="7" s="1"/>
  <c r="V157" i="7"/>
  <c r="W157" i="7" s="1"/>
  <c r="V189" i="7"/>
  <c r="W189" i="7" s="1"/>
  <c r="V221" i="7"/>
  <c r="W221" i="7" s="1"/>
  <c r="V253" i="7"/>
  <c r="W253" i="7" s="1"/>
  <c r="V293" i="7"/>
  <c r="W293" i="7" s="1"/>
  <c r="V325" i="7"/>
  <c r="W325" i="7" s="1"/>
  <c r="V349" i="7"/>
  <c r="W349" i="7" s="1"/>
  <c r="V373" i="7"/>
  <c r="W373" i="7" s="1"/>
  <c r="V405" i="7"/>
  <c r="W405" i="7" s="1"/>
  <c r="V437" i="7"/>
  <c r="W437" i="7" s="1"/>
  <c r="V461" i="7"/>
  <c r="W461" i="7" s="1"/>
  <c r="V493" i="7"/>
  <c r="W493" i="7" s="1"/>
  <c r="V525" i="7"/>
  <c r="W525" i="7" s="1"/>
  <c r="V8" i="7"/>
  <c r="W8" i="7" s="1"/>
  <c r="V16" i="7"/>
  <c r="W16" i="7" s="1"/>
  <c r="V24" i="7"/>
  <c r="W24" i="7" s="1"/>
  <c r="V32" i="7"/>
  <c r="W32" i="7" s="1"/>
  <c r="V40" i="7"/>
  <c r="W40" i="7" s="1"/>
  <c r="V48" i="7"/>
  <c r="W48" i="7" s="1"/>
  <c r="V56" i="7"/>
  <c r="W56" i="7" s="1"/>
  <c r="V64" i="7"/>
  <c r="W64" i="7" s="1"/>
  <c r="V72" i="7"/>
  <c r="W72" i="7" s="1"/>
  <c r="V80" i="7"/>
  <c r="W80" i="7" s="1"/>
  <c r="V88" i="7"/>
  <c r="W88" i="7" s="1"/>
  <c r="V96" i="7"/>
  <c r="W96" i="7" s="1"/>
  <c r="V104" i="7"/>
  <c r="W104" i="7" s="1"/>
  <c r="V112" i="7"/>
  <c r="W112" i="7" s="1"/>
  <c r="V120" i="7"/>
  <c r="W120" i="7" s="1"/>
  <c r="V128" i="7"/>
  <c r="W128" i="7" s="1"/>
  <c r="V136" i="7"/>
  <c r="W136" i="7" s="1"/>
  <c r="V144" i="7"/>
  <c r="W144" i="7" s="1"/>
  <c r="V152" i="7"/>
  <c r="W152" i="7" s="1"/>
  <c r="V160" i="7"/>
  <c r="W160" i="7" s="1"/>
  <c r="V168" i="7"/>
  <c r="W168" i="7" s="1"/>
  <c r="V176" i="7"/>
  <c r="W176" i="7" s="1"/>
  <c r="V184" i="7"/>
  <c r="W184" i="7" s="1"/>
  <c r="V192" i="7"/>
  <c r="W192" i="7" s="1"/>
  <c r="V200" i="7"/>
  <c r="W200" i="7" s="1"/>
  <c r="V208" i="7"/>
  <c r="W208" i="7" s="1"/>
  <c r="V216" i="7"/>
  <c r="W216" i="7" s="1"/>
  <c r="V224" i="7"/>
  <c r="W224" i="7" s="1"/>
  <c r="V232" i="7"/>
  <c r="W232" i="7" s="1"/>
  <c r="V240" i="7"/>
  <c r="W240" i="7" s="1"/>
  <c r="V248" i="7"/>
  <c r="W248" i="7" s="1"/>
  <c r="V256" i="7"/>
  <c r="W256" i="7" s="1"/>
  <c r="V264" i="7"/>
  <c r="W264" i="7" s="1"/>
  <c r="V272" i="7"/>
  <c r="W272" i="7" s="1"/>
  <c r="V280" i="7"/>
  <c r="W280" i="7" s="1"/>
  <c r="V288" i="7"/>
  <c r="W288" i="7" s="1"/>
  <c r="V296" i="7"/>
  <c r="W296" i="7" s="1"/>
  <c r="V304" i="7"/>
  <c r="W304" i="7" s="1"/>
  <c r="V312" i="7"/>
  <c r="W312" i="7" s="1"/>
  <c r="V320" i="7"/>
  <c r="W320" i="7" s="1"/>
  <c r="V328" i="7"/>
  <c r="W328" i="7" s="1"/>
  <c r="V336" i="7"/>
  <c r="W336" i="7" s="1"/>
  <c r="V344" i="7"/>
  <c r="W344" i="7" s="1"/>
  <c r="V352" i="7"/>
  <c r="W352" i="7" s="1"/>
  <c r="V360" i="7"/>
  <c r="W360" i="7" s="1"/>
  <c r="V368" i="7"/>
  <c r="W368" i="7" s="1"/>
  <c r="V376" i="7"/>
  <c r="W376" i="7" s="1"/>
  <c r="V384" i="7"/>
  <c r="W384" i="7" s="1"/>
  <c r="V392" i="7"/>
  <c r="W392" i="7" s="1"/>
  <c r="V400" i="7"/>
  <c r="W400" i="7" s="1"/>
  <c r="V408" i="7"/>
  <c r="W408" i="7" s="1"/>
  <c r="V416" i="7"/>
  <c r="W416" i="7" s="1"/>
  <c r="V424" i="7"/>
  <c r="W424" i="7" s="1"/>
  <c r="V432" i="7"/>
  <c r="W432" i="7" s="1"/>
  <c r="V440" i="7"/>
  <c r="W440" i="7" s="1"/>
  <c r="V448" i="7"/>
  <c r="W448" i="7" s="1"/>
  <c r="V456" i="7"/>
  <c r="W456" i="7" s="1"/>
  <c r="V464" i="7"/>
  <c r="W464" i="7" s="1"/>
  <c r="V472" i="7"/>
  <c r="W472" i="7" s="1"/>
  <c r="V480" i="7"/>
  <c r="W480" i="7" s="1"/>
  <c r="V488" i="7"/>
  <c r="W488" i="7" s="1"/>
  <c r="V496" i="7"/>
  <c r="W496" i="7" s="1"/>
  <c r="V504" i="7"/>
  <c r="W504" i="7" s="1"/>
  <c r="V512" i="7"/>
  <c r="W512" i="7" s="1"/>
  <c r="V520" i="7"/>
  <c r="W520" i="7" s="1"/>
  <c r="V528" i="7"/>
  <c r="W528" i="7" s="1"/>
  <c r="V53" i="7"/>
  <c r="W53" i="7" s="1"/>
  <c r="V85" i="7"/>
  <c r="W85" i="7" s="1"/>
  <c r="V117" i="7"/>
  <c r="W117" i="7" s="1"/>
  <c r="V149" i="7"/>
  <c r="W149" i="7" s="1"/>
  <c r="V173" i="7"/>
  <c r="W173" i="7" s="1"/>
  <c r="V205" i="7"/>
  <c r="W205" i="7" s="1"/>
  <c r="V237" i="7"/>
  <c r="W237" i="7" s="1"/>
  <c r="V261" i="7"/>
  <c r="W261" i="7" s="1"/>
  <c r="V285" i="7"/>
  <c r="W285" i="7" s="1"/>
  <c r="V309" i="7"/>
  <c r="W309" i="7" s="1"/>
  <c r="V333" i="7"/>
  <c r="W333" i="7" s="1"/>
  <c r="V357" i="7"/>
  <c r="W357" i="7" s="1"/>
  <c r="V381" i="7"/>
  <c r="W381" i="7" s="1"/>
  <c r="V397" i="7"/>
  <c r="W397" i="7" s="1"/>
  <c r="V429" i="7"/>
  <c r="W429" i="7" s="1"/>
  <c r="V453" i="7"/>
  <c r="W453" i="7" s="1"/>
  <c r="V477" i="7"/>
  <c r="W477" i="7" s="1"/>
  <c r="V501" i="7"/>
  <c r="W501" i="7" s="1"/>
  <c r="V517" i="7"/>
  <c r="W517" i="7" s="1"/>
  <c r="V9" i="7"/>
  <c r="W9" i="7" s="1"/>
  <c r="V17" i="7"/>
  <c r="W17" i="7" s="1"/>
  <c r="V25" i="7"/>
  <c r="W25" i="7" s="1"/>
  <c r="V33" i="7"/>
  <c r="W33" i="7" s="1"/>
  <c r="V41" i="7"/>
  <c r="W41" i="7" s="1"/>
  <c r="V49" i="7"/>
  <c r="W49" i="7" s="1"/>
  <c r="V57" i="7"/>
  <c r="W57" i="7" s="1"/>
  <c r="V65" i="7"/>
  <c r="W65" i="7" s="1"/>
  <c r="V73" i="7"/>
  <c r="W73" i="7" s="1"/>
  <c r="V81" i="7"/>
  <c r="W81" i="7" s="1"/>
  <c r="V89" i="7"/>
  <c r="W89" i="7" s="1"/>
  <c r="V97" i="7"/>
  <c r="W97" i="7" s="1"/>
  <c r="V105" i="7"/>
  <c r="W105" i="7" s="1"/>
  <c r="V113" i="7"/>
  <c r="W113" i="7" s="1"/>
  <c r="V121" i="7"/>
  <c r="W121" i="7" s="1"/>
  <c r="V129" i="7"/>
  <c r="W129" i="7" s="1"/>
  <c r="V137" i="7"/>
  <c r="W137" i="7" s="1"/>
  <c r="V145" i="7"/>
  <c r="W145" i="7" s="1"/>
  <c r="V153" i="7"/>
  <c r="W153" i="7" s="1"/>
  <c r="V161" i="7"/>
  <c r="W161" i="7" s="1"/>
  <c r="V169" i="7"/>
  <c r="W169" i="7" s="1"/>
  <c r="V177" i="7"/>
  <c r="W177" i="7" s="1"/>
  <c r="V185" i="7"/>
  <c r="W185" i="7" s="1"/>
  <c r="V193" i="7"/>
  <c r="W193" i="7" s="1"/>
  <c r="V201" i="7"/>
  <c r="W201" i="7" s="1"/>
  <c r="V209" i="7"/>
  <c r="W209" i="7" s="1"/>
  <c r="V217" i="7"/>
  <c r="W217" i="7" s="1"/>
  <c r="V225" i="7"/>
  <c r="W225" i="7" s="1"/>
  <c r="V233" i="7"/>
  <c r="W233" i="7" s="1"/>
  <c r="V241" i="7"/>
  <c r="W241" i="7" s="1"/>
  <c r="V249" i="7"/>
  <c r="W249" i="7" s="1"/>
  <c r="V257" i="7"/>
  <c r="W257" i="7" s="1"/>
  <c r="V265" i="7"/>
  <c r="W265" i="7" s="1"/>
  <c r="V273" i="7"/>
  <c r="W273" i="7" s="1"/>
  <c r="V281" i="7"/>
  <c r="W281" i="7" s="1"/>
  <c r="V289" i="7"/>
  <c r="W289" i="7" s="1"/>
  <c r="V297" i="7"/>
  <c r="W297" i="7" s="1"/>
  <c r="V305" i="7"/>
  <c r="W305" i="7" s="1"/>
  <c r="V313" i="7"/>
  <c r="W313" i="7" s="1"/>
  <c r="V321" i="7"/>
  <c r="W321" i="7" s="1"/>
  <c r="V329" i="7"/>
  <c r="W329" i="7" s="1"/>
  <c r="V337" i="7"/>
  <c r="W337" i="7" s="1"/>
  <c r="V345" i="7"/>
  <c r="W345" i="7" s="1"/>
  <c r="V353" i="7"/>
  <c r="W353" i="7" s="1"/>
  <c r="V361" i="7"/>
  <c r="W361" i="7" s="1"/>
  <c r="V369" i="7"/>
  <c r="W369" i="7" s="1"/>
  <c r="V377" i="7"/>
  <c r="W377" i="7" s="1"/>
  <c r="V385" i="7"/>
  <c r="W385" i="7" s="1"/>
  <c r="V393" i="7"/>
  <c r="W393" i="7" s="1"/>
  <c r="V401" i="7"/>
  <c r="W401" i="7" s="1"/>
  <c r="V409" i="7"/>
  <c r="W409" i="7" s="1"/>
  <c r="V417" i="7"/>
  <c r="W417" i="7" s="1"/>
  <c r="V425" i="7"/>
  <c r="W425" i="7" s="1"/>
  <c r="V433" i="7"/>
  <c r="W433" i="7" s="1"/>
  <c r="V441" i="7"/>
  <c r="W441" i="7" s="1"/>
  <c r="V449" i="7"/>
  <c r="W449" i="7" s="1"/>
  <c r="V457" i="7"/>
  <c r="W457" i="7" s="1"/>
  <c r="V465" i="7"/>
  <c r="W465" i="7" s="1"/>
  <c r="V473" i="7"/>
  <c r="W473" i="7" s="1"/>
  <c r="V481" i="7"/>
  <c r="W481" i="7" s="1"/>
  <c r="V489" i="7"/>
  <c r="W489" i="7" s="1"/>
  <c r="V497" i="7"/>
  <c r="W497" i="7" s="1"/>
  <c r="V505" i="7"/>
  <c r="W505" i="7" s="1"/>
  <c r="V513" i="7"/>
  <c r="W513" i="7" s="1"/>
  <c r="V521" i="7"/>
  <c r="W521" i="7" s="1"/>
  <c r="V529" i="7"/>
  <c r="W529" i="7" s="1"/>
  <c r="V45" i="7"/>
  <c r="W45" i="7" s="1"/>
  <c r="V69" i="7"/>
  <c r="W69" i="7" s="1"/>
  <c r="V101" i="7"/>
  <c r="W101" i="7" s="1"/>
  <c r="V133" i="7"/>
  <c r="W133" i="7" s="1"/>
  <c r="V165" i="7"/>
  <c r="W165" i="7" s="1"/>
  <c r="V197" i="7"/>
  <c r="W197" i="7" s="1"/>
  <c r="V229" i="7"/>
  <c r="W229" i="7" s="1"/>
  <c r="V269" i="7"/>
  <c r="W269" i="7" s="1"/>
  <c r="V301" i="7"/>
  <c r="W301" i="7" s="1"/>
  <c r="V317" i="7"/>
  <c r="W317" i="7" s="1"/>
  <c r="V341" i="7"/>
  <c r="W341" i="7" s="1"/>
  <c r="V365" i="7"/>
  <c r="W365" i="7" s="1"/>
  <c r="V389" i="7"/>
  <c r="W389" i="7" s="1"/>
  <c r="V413" i="7"/>
  <c r="W413" i="7" s="1"/>
  <c r="V445" i="7"/>
  <c r="W445" i="7" s="1"/>
  <c r="V469" i="7"/>
  <c r="W469" i="7" s="1"/>
  <c r="V485" i="7"/>
  <c r="W485" i="7" s="1"/>
  <c r="V509" i="7"/>
  <c r="W509" i="7" s="1"/>
  <c r="V10" i="7"/>
  <c r="W10" i="7" s="1"/>
  <c r="V18" i="7"/>
  <c r="W18" i="7" s="1"/>
  <c r="V26" i="7"/>
  <c r="W26" i="7" s="1"/>
  <c r="V34" i="7"/>
  <c r="W34" i="7" s="1"/>
  <c r="V42" i="7"/>
  <c r="W42" i="7" s="1"/>
  <c r="V50" i="7"/>
  <c r="W50" i="7" s="1"/>
  <c r="V58" i="7"/>
  <c r="W58" i="7" s="1"/>
  <c r="V66" i="7"/>
  <c r="W66" i="7" s="1"/>
  <c r="V74" i="7"/>
  <c r="W74" i="7" s="1"/>
  <c r="V82" i="7"/>
  <c r="W82" i="7" s="1"/>
  <c r="V90" i="7"/>
  <c r="W90" i="7" s="1"/>
  <c r="V98" i="7"/>
  <c r="W98" i="7" s="1"/>
  <c r="V106" i="7"/>
  <c r="W106" i="7" s="1"/>
  <c r="V114" i="7"/>
  <c r="W114" i="7" s="1"/>
  <c r="V122" i="7"/>
  <c r="W122" i="7" s="1"/>
  <c r="V130" i="7"/>
  <c r="W130" i="7" s="1"/>
  <c r="V138" i="7"/>
  <c r="W138" i="7" s="1"/>
  <c r="V146" i="7"/>
  <c r="W146" i="7" s="1"/>
  <c r="V154" i="7"/>
  <c r="W154" i="7" s="1"/>
  <c r="V162" i="7"/>
  <c r="W162" i="7" s="1"/>
  <c r="V170" i="7"/>
  <c r="W170" i="7" s="1"/>
  <c r="V178" i="7"/>
  <c r="W178" i="7" s="1"/>
  <c r="V186" i="7"/>
  <c r="W186" i="7" s="1"/>
  <c r="V194" i="7"/>
  <c r="W194" i="7" s="1"/>
  <c r="V202" i="7"/>
  <c r="W202" i="7" s="1"/>
  <c r="V210" i="7"/>
  <c r="W210" i="7" s="1"/>
  <c r="V218" i="7"/>
  <c r="W218" i="7" s="1"/>
  <c r="V226" i="7"/>
  <c r="W226" i="7" s="1"/>
  <c r="V234" i="7"/>
  <c r="W234" i="7" s="1"/>
  <c r="V242" i="7"/>
  <c r="W242" i="7" s="1"/>
  <c r="V250" i="7"/>
  <c r="W250" i="7" s="1"/>
  <c r="V258" i="7"/>
  <c r="W258" i="7" s="1"/>
  <c r="V266" i="7"/>
  <c r="W266" i="7" s="1"/>
  <c r="V274" i="7"/>
  <c r="W274" i="7" s="1"/>
  <c r="V282" i="7"/>
  <c r="W282" i="7" s="1"/>
  <c r="V290" i="7"/>
  <c r="W290" i="7" s="1"/>
  <c r="V298" i="7"/>
  <c r="W298" i="7" s="1"/>
  <c r="V306" i="7"/>
  <c r="W306" i="7" s="1"/>
  <c r="V314" i="7"/>
  <c r="W314" i="7" s="1"/>
  <c r="V322" i="7"/>
  <c r="W322" i="7" s="1"/>
  <c r="V330" i="7"/>
  <c r="W330" i="7" s="1"/>
  <c r="V338" i="7"/>
  <c r="W338" i="7" s="1"/>
  <c r="V346" i="7"/>
  <c r="W346" i="7" s="1"/>
  <c r="V354" i="7"/>
  <c r="W354" i="7" s="1"/>
  <c r="V362" i="7"/>
  <c r="W362" i="7" s="1"/>
  <c r="V370" i="7"/>
  <c r="W370" i="7" s="1"/>
  <c r="V378" i="7"/>
  <c r="W378" i="7" s="1"/>
  <c r="V386" i="7"/>
  <c r="W386" i="7" s="1"/>
  <c r="V394" i="7"/>
  <c r="W394" i="7" s="1"/>
  <c r="V402" i="7"/>
  <c r="W402" i="7" s="1"/>
  <c r="V410" i="7"/>
  <c r="W410" i="7" s="1"/>
  <c r="V418" i="7"/>
  <c r="W418" i="7" s="1"/>
  <c r="V426" i="7"/>
  <c r="W426" i="7" s="1"/>
  <c r="V434" i="7"/>
  <c r="W434" i="7" s="1"/>
  <c r="V442" i="7"/>
  <c r="W442" i="7" s="1"/>
  <c r="V450" i="7"/>
  <c r="W450" i="7" s="1"/>
  <c r="V458" i="7"/>
  <c r="W458" i="7" s="1"/>
  <c r="V466" i="7"/>
  <c r="W466" i="7" s="1"/>
  <c r="V474" i="7"/>
  <c r="W474" i="7" s="1"/>
  <c r="V482" i="7"/>
  <c r="W482" i="7" s="1"/>
  <c r="V490" i="7"/>
  <c r="W490" i="7" s="1"/>
  <c r="V498" i="7"/>
  <c r="W498" i="7" s="1"/>
  <c r="V506" i="7"/>
  <c r="W506" i="7" s="1"/>
  <c r="V514" i="7"/>
  <c r="W514" i="7" s="1"/>
  <c r="V522" i="7"/>
  <c r="W522" i="7" s="1"/>
  <c r="V530" i="7"/>
  <c r="W530" i="7" s="1"/>
  <c r="V3" i="7"/>
  <c r="W3" i="7" s="1"/>
  <c r="V11" i="7"/>
  <c r="W11" i="7" s="1"/>
  <c r="V19" i="7"/>
  <c r="W19" i="7" s="1"/>
  <c r="V27" i="7"/>
  <c r="W27" i="7" s="1"/>
  <c r="V35" i="7"/>
  <c r="W35" i="7" s="1"/>
  <c r="V43" i="7"/>
  <c r="W43" i="7" s="1"/>
  <c r="V51" i="7"/>
  <c r="W51" i="7" s="1"/>
  <c r="V59" i="7"/>
  <c r="W59" i="7" s="1"/>
  <c r="V67" i="7"/>
  <c r="W67" i="7" s="1"/>
  <c r="V75" i="7"/>
  <c r="W75" i="7" s="1"/>
  <c r="V83" i="7"/>
  <c r="W83" i="7" s="1"/>
  <c r="V91" i="7"/>
  <c r="W91" i="7" s="1"/>
  <c r="V99" i="7"/>
  <c r="W99" i="7" s="1"/>
  <c r="V107" i="7"/>
  <c r="W107" i="7" s="1"/>
  <c r="V115" i="7"/>
  <c r="W115" i="7" s="1"/>
  <c r="V123" i="7"/>
  <c r="W123" i="7" s="1"/>
  <c r="V131" i="7"/>
  <c r="W131" i="7" s="1"/>
  <c r="V139" i="7"/>
  <c r="W139" i="7" s="1"/>
  <c r="V147" i="7"/>
  <c r="W147" i="7" s="1"/>
  <c r="V155" i="7"/>
  <c r="W155" i="7" s="1"/>
  <c r="V163" i="7"/>
  <c r="W163" i="7" s="1"/>
  <c r="V171" i="7"/>
  <c r="W171" i="7" s="1"/>
  <c r="V179" i="7"/>
  <c r="W179" i="7" s="1"/>
  <c r="V187" i="7"/>
  <c r="W187" i="7" s="1"/>
  <c r="V195" i="7"/>
  <c r="W195" i="7" s="1"/>
  <c r="V203" i="7"/>
  <c r="W203" i="7" s="1"/>
  <c r="V211" i="7"/>
  <c r="W211" i="7" s="1"/>
  <c r="V219" i="7"/>
  <c r="W219" i="7" s="1"/>
  <c r="V227" i="7"/>
  <c r="W227" i="7" s="1"/>
  <c r="V235" i="7"/>
  <c r="W235" i="7" s="1"/>
  <c r="V243" i="7"/>
  <c r="W243" i="7" s="1"/>
  <c r="V251" i="7"/>
  <c r="W251" i="7" s="1"/>
  <c r="V259" i="7"/>
  <c r="W259" i="7" s="1"/>
  <c r="V267" i="7"/>
  <c r="W267" i="7" s="1"/>
  <c r="V275" i="7"/>
  <c r="W275" i="7" s="1"/>
  <c r="V283" i="7"/>
  <c r="W283" i="7" s="1"/>
  <c r="V291" i="7"/>
  <c r="W291" i="7" s="1"/>
  <c r="V299" i="7"/>
  <c r="W299" i="7" s="1"/>
  <c r="V307" i="7"/>
  <c r="W307" i="7" s="1"/>
  <c r="V315" i="7"/>
  <c r="W315" i="7" s="1"/>
  <c r="V323" i="7"/>
  <c r="W323" i="7" s="1"/>
  <c r="V331" i="7"/>
  <c r="W331" i="7" s="1"/>
  <c r="V339" i="7"/>
  <c r="W339" i="7" s="1"/>
  <c r="V347" i="7"/>
  <c r="W347" i="7" s="1"/>
  <c r="V355" i="7"/>
  <c r="W355" i="7" s="1"/>
  <c r="V363" i="7"/>
  <c r="W363" i="7" s="1"/>
  <c r="V371" i="7"/>
  <c r="W371" i="7" s="1"/>
  <c r="V379" i="7"/>
  <c r="W379" i="7" s="1"/>
  <c r="V387" i="7"/>
  <c r="W387" i="7" s="1"/>
  <c r="V395" i="7"/>
  <c r="W395" i="7" s="1"/>
  <c r="V403" i="7"/>
  <c r="W403" i="7" s="1"/>
  <c r="V411" i="7"/>
  <c r="W411" i="7" s="1"/>
  <c r="V419" i="7"/>
  <c r="W419" i="7" s="1"/>
  <c r="V427" i="7"/>
  <c r="W427" i="7" s="1"/>
  <c r="V435" i="7"/>
  <c r="W435" i="7" s="1"/>
  <c r="V443" i="7"/>
  <c r="W443" i="7" s="1"/>
  <c r="V451" i="7"/>
  <c r="W451" i="7" s="1"/>
  <c r="V459" i="7"/>
  <c r="W459" i="7" s="1"/>
  <c r="V467" i="7"/>
  <c r="W467" i="7" s="1"/>
  <c r="V475" i="7"/>
  <c r="W475" i="7" s="1"/>
  <c r="V483" i="7"/>
  <c r="W483" i="7" s="1"/>
  <c r="V491" i="7"/>
  <c r="W491" i="7" s="1"/>
  <c r="V499" i="7"/>
  <c r="W499" i="7" s="1"/>
  <c r="V507" i="7"/>
  <c r="W507" i="7" s="1"/>
  <c r="V515" i="7"/>
  <c r="W515" i="7" s="1"/>
  <c r="V523" i="7"/>
  <c r="W523" i="7" s="1"/>
  <c r="O1" i="7"/>
  <c r="V2" i="7"/>
  <c r="W2" i="7" s="1"/>
  <c r="U530" i="7"/>
  <c r="T530" i="7"/>
  <c r="S530" i="7"/>
  <c r="R530" i="7"/>
  <c r="Q530" i="7"/>
  <c r="P530" i="7"/>
  <c r="N530" i="7"/>
  <c r="U529" i="7"/>
  <c r="T529" i="7"/>
  <c r="S529" i="7"/>
  <c r="R529" i="7"/>
  <c r="Q529" i="7"/>
  <c r="P529" i="7"/>
  <c r="N529" i="7"/>
  <c r="U528" i="7"/>
  <c r="T528" i="7"/>
  <c r="S528" i="7"/>
  <c r="R528" i="7"/>
  <c r="Q528" i="7"/>
  <c r="P528" i="7"/>
  <c r="N528" i="7"/>
  <c r="U527" i="7"/>
  <c r="T527" i="7"/>
  <c r="S527" i="7"/>
  <c r="R527" i="7"/>
  <c r="Q527" i="7"/>
  <c r="P527" i="7"/>
  <c r="N527" i="7"/>
  <c r="U526" i="7"/>
  <c r="T526" i="7"/>
  <c r="S526" i="7"/>
  <c r="R526" i="7"/>
  <c r="Q526" i="7"/>
  <c r="P526" i="7"/>
  <c r="N526" i="7"/>
  <c r="U525" i="7"/>
  <c r="T525" i="7"/>
  <c r="S525" i="7"/>
  <c r="R525" i="7"/>
  <c r="Q525" i="7"/>
  <c r="P525" i="7"/>
  <c r="N525" i="7"/>
  <c r="U524" i="7"/>
  <c r="T524" i="7"/>
  <c r="S524" i="7"/>
  <c r="R524" i="7"/>
  <c r="Q524" i="7"/>
  <c r="P524" i="7"/>
  <c r="N524" i="7"/>
  <c r="U523" i="7"/>
  <c r="T523" i="7"/>
  <c r="S523" i="7"/>
  <c r="R523" i="7"/>
  <c r="Q523" i="7"/>
  <c r="P523" i="7"/>
  <c r="N523" i="7"/>
  <c r="U522" i="7"/>
  <c r="T522" i="7"/>
  <c r="S522" i="7"/>
  <c r="R522" i="7"/>
  <c r="Q522" i="7"/>
  <c r="P522" i="7"/>
  <c r="N522" i="7"/>
  <c r="U521" i="7"/>
  <c r="T521" i="7"/>
  <c r="S521" i="7"/>
  <c r="R521" i="7"/>
  <c r="Q521" i="7"/>
  <c r="P521" i="7"/>
  <c r="N521" i="7"/>
  <c r="U520" i="7"/>
  <c r="T520" i="7"/>
  <c r="S520" i="7"/>
  <c r="R520" i="7"/>
  <c r="Q520" i="7"/>
  <c r="P520" i="7"/>
  <c r="N520" i="7"/>
  <c r="U519" i="7"/>
  <c r="T519" i="7"/>
  <c r="S519" i="7"/>
  <c r="R519" i="7"/>
  <c r="Q519" i="7"/>
  <c r="P519" i="7"/>
  <c r="N519" i="7"/>
  <c r="U518" i="7"/>
  <c r="T518" i="7"/>
  <c r="S518" i="7"/>
  <c r="R518" i="7"/>
  <c r="Q518" i="7"/>
  <c r="P518" i="7"/>
  <c r="N518" i="7"/>
  <c r="U517" i="7"/>
  <c r="T517" i="7"/>
  <c r="S517" i="7"/>
  <c r="R517" i="7"/>
  <c r="Q517" i="7"/>
  <c r="P517" i="7"/>
  <c r="N517" i="7"/>
  <c r="U516" i="7"/>
  <c r="T516" i="7"/>
  <c r="S516" i="7"/>
  <c r="R516" i="7"/>
  <c r="Q516" i="7"/>
  <c r="P516" i="7"/>
  <c r="N516" i="7"/>
  <c r="U515" i="7"/>
  <c r="T515" i="7"/>
  <c r="S515" i="7"/>
  <c r="R515" i="7"/>
  <c r="Q515" i="7"/>
  <c r="P515" i="7"/>
  <c r="N515" i="7"/>
  <c r="U514" i="7"/>
  <c r="T514" i="7"/>
  <c r="S514" i="7"/>
  <c r="R514" i="7"/>
  <c r="Q514" i="7"/>
  <c r="P514" i="7"/>
  <c r="N514" i="7"/>
  <c r="U513" i="7"/>
  <c r="T513" i="7"/>
  <c r="S513" i="7"/>
  <c r="R513" i="7"/>
  <c r="Q513" i="7"/>
  <c r="P513" i="7"/>
  <c r="N513" i="7"/>
  <c r="U512" i="7"/>
  <c r="T512" i="7"/>
  <c r="S512" i="7"/>
  <c r="R512" i="7"/>
  <c r="Q512" i="7"/>
  <c r="P512" i="7"/>
  <c r="N512" i="7"/>
  <c r="U511" i="7"/>
  <c r="T511" i="7"/>
  <c r="S511" i="7"/>
  <c r="R511" i="7"/>
  <c r="Q511" i="7"/>
  <c r="P511" i="7"/>
  <c r="N511" i="7"/>
  <c r="U510" i="7"/>
  <c r="T510" i="7"/>
  <c r="S510" i="7"/>
  <c r="R510" i="7"/>
  <c r="Q510" i="7"/>
  <c r="P510" i="7"/>
  <c r="N510" i="7"/>
  <c r="U509" i="7"/>
  <c r="T509" i="7"/>
  <c r="S509" i="7"/>
  <c r="R509" i="7"/>
  <c r="Q509" i="7"/>
  <c r="P509" i="7"/>
  <c r="N509" i="7"/>
  <c r="U508" i="7"/>
  <c r="T508" i="7"/>
  <c r="S508" i="7"/>
  <c r="R508" i="7"/>
  <c r="Q508" i="7"/>
  <c r="P508" i="7"/>
  <c r="N508" i="7"/>
  <c r="U507" i="7"/>
  <c r="T507" i="7"/>
  <c r="S507" i="7"/>
  <c r="R507" i="7"/>
  <c r="Q507" i="7"/>
  <c r="P507" i="7"/>
  <c r="N507" i="7"/>
  <c r="U506" i="7"/>
  <c r="T506" i="7"/>
  <c r="S506" i="7"/>
  <c r="R506" i="7"/>
  <c r="Q506" i="7"/>
  <c r="P506" i="7"/>
  <c r="N506" i="7"/>
  <c r="U505" i="7"/>
  <c r="T505" i="7"/>
  <c r="S505" i="7"/>
  <c r="R505" i="7"/>
  <c r="Q505" i="7"/>
  <c r="P505" i="7"/>
  <c r="N505" i="7"/>
  <c r="U504" i="7"/>
  <c r="T504" i="7"/>
  <c r="S504" i="7"/>
  <c r="R504" i="7"/>
  <c r="Q504" i="7"/>
  <c r="P504" i="7"/>
  <c r="N504" i="7"/>
  <c r="U503" i="7"/>
  <c r="T503" i="7"/>
  <c r="S503" i="7"/>
  <c r="R503" i="7"/>
  <c r="Q503" i="7"/>
  <c r="P503" i="7"/>
  <c r="N503" i="7"/>
  <c r="U502" i="7"/>
  <c r="T502" i="7"/>
  <c r="S502" i="7"/>
  <c r="R502" i="7"/>
  <c r="Q502" i="7"/>
  <c r="P502" i="7"/>
  <c r="N502" i="7"/>
  <c r="U501" i="7"/>
  <c r="T501" i="7"/>
  <c r="S501" i="7"/>
  <c r="R501" i="7"/>
  <c r="Q501" i="7"/>
  <c r="P501" i="7"/>
  <c r="N501" i="7"/>
  <c r="U500" i="7"/>
  <c r="T500" i="7"/>
  <c r="S500" i="7"/>
  <c r="R500" i="7"/>
  <c r="Q500" i="7"/>
  <c r="P500" i="7"/>
  <c r="N500" i="7"/>
  <c r="U499" i="7"/>
  <c r="T499" i="7"/>
  <c r="S499" i="7"/>
  <c r="R499" i="7"/>
  <c r="Q499" i="7"/>
  <c r="P499" i="7"/>
  <c r="N499" i="7"/>
  <c r="U498" i="7"/>
  <c r="T498" i="7"/>
  <c r="S498" i="7"/>
  <c r="R498" i="7"/>
  <c r="Q498" i="7"/>
  <c r="P498" i="7"/>
  <c r="N498" i="7"/>
  <c r="U497" i="7"/>
  <c r="T497" i="7"/>
  <c r="S497" i="7"/>
  <c r="R497" i="7"/>
  <c r="Q497" i="7"/>
  <c r="P497" i="7"/>
  <c r="N497" i="7"/>
  <c r="U496" i="7"/>
  <c r="T496" i="7"/>
  <c r="S496" i="7"/>
  <c r="R496" i="7"/>
  <c r="Q496" i="7"/>
  <c r="P496" i="7"/>
  <c r="N496" i="7"/>
  <c r="U495" i="7"/>
  <c r="T495" i="7"/>
  <c r="S495" i="7"/>
  <c r="R495" i="7"/>
  <c r="Q495" i="7"/>
  <c r="P495" i="7"/>
  <c r="N495" i="7"/>
  <c r="U494" i="7"/>
  <c r="T494" i="7"/>
  <c r="S494" i="7"/>
  <c r="R494" i="7"/>
  <c r="Q494" i="7"/>
  <c r="P494" i="7"/>
  <c r="N494" i="7"/>
  <c r="U493" i="7"/>
  <c r="T493" i="7"/>
  <c r="S493" i="7"/>
  <c r="R493" i="7"/>
  <c r="Q493" i="7"/>
  <c r="P493" i="7"/>
  <c r="N493" i="7"/>
  <c r="U492" i="7"/>
  <c r="T492" i="7"/>
  <c r="S492" i="7"/>
  <c r="R492" i="7"/>
  <c r="Q492" i="7"/>
  <c r="P492" i="7"/>
  <c r="N492" i="7"/>
  <c r="U491" i="7"/>
  <c r="T491" i="7"/>
  <c r="S491" i="7"/>
  <c r="R491" i="7"/>
  <c r="Q491" i="7"/>
  <c r="P491" i="7"/>
  <c r="N491" i="7"/>
  <c r="U490" i="7"/>
  <c r="T490" i="7"/>
  <c r="S490" i="7"/>
  <c r="R490" i="7"/>
  <c r="Q490" i="7"/>
  <c r="P490" i="7"/>
  <c r="N490" i="7"/>
  <c r="U489" i="7"/>
  <c r="T489" i="7"/>
  <c r="S489" i="7"/>
  <c r="R489" i="7"/>
  <c r="Q489" i="7"/>
  <c r="P489" i="7"/>
  <c r="N489" i="7"/>
  <c r="U488" i="7"/>
  <c r="T488" i="7"/>
  <c r="S488" i="7"/>
  <c r="R488" i="7"/>
  <c r="Q488" i="7"/>
  <c r="P488" i="7"/>
  <c r="N488" i="7"/>
  <c r="U487" i="7"/>
  <c r="T487" i="7"/>
  <c r="S487" i="7"/>
  <c r="R487" i="7"/>
  <c r="Q487" i="7"/>
  <c r="P487" i="7"/>
  <c r="N487" i="7"/>
  <c r="U486" i="7"/>
  <c r="T486" i="7"/>
  <c r="S486" i="7"/>
  <c r="R486" i="7"/>
  <c r="Q486" i="7"/>
  <c r="P486" i="7"/>
  <c r="N486" i="7"/>
  <c r="U485" i="7"/>
  <c r="T485" i="7"/>
  <c r="S485" i="7"/>
  <c r="R485" i="7"/>
  <c r="Q485" i="7"/>
  <c r="P485" i="7"/>
  <c r="N485" i="7"/>
  <c r="U484" i="7"/>
  <c r="T484" i="7"/>
  <c r="S484" i="7"/>
  <c r="R484" i="7"/>
  <c r="Q484" i="7"/>
  <c r="P484" i="7"/>
  <c r="N484" i="7"/>
  <c r="U483" i="7"/>
  <c r="T483" i="7"/>
  <c r="S483" i="7"/>
  <c r="R483" i="7"/>
  <c r="Q483" i="7"/>
  <c r="P483" i="7"/>
  <c r="N483" i="7"/>
  <c r="U482" i="7"/>
  <c r="T482" i="7"/>
  <c r="S482" i="7"/>
  <c r="R482" i="7"/>
  <c r="Q482" i="7"/>
  <c r="P482" i="7"/>
  <c r="N482" i="7"/>
  <c r="U481" i="7"/>
  <c r="T481" i="7"/>
  <c r="S481" i="7"/>
  <c r="R481" i="7"/>
  <c r="Q481" i="7"/>
  <c r="P481" i="7"/>
  <c r="N481" i="7"/>
  <c r="U480" i="7"/>
  <c r="T480" i="7"/>
  <c r="S480" i="7"/>
  <c r="R480" i="7"/>
  <c r="Q480" i="7"/>
  <c r="P480" i="7"/>
  <c r="N480" i="7"/>
  <c r="U479" i="7"/>
  <c r="T479" i="7"/>
  <c r="S479" i="7"/>
  <c r="R479" i="7"/>
  <c r="Q479" i="7"/>
  <c r="P479" i="7"/>
  <c r="N479" i="7"/>
  <c r="U478" i="7"/>
  <c r="T478" i="7"/>
  <c r="S478" i="7"/>
  <c r="R478" i="7"/>
  <c r="Q478" i="7"/>
  <c r="P478" i="7"/>
  <c r="N478" i="7"/>
  <c r="U477" i="7"/>
  <c r="T477" i="7"/>
  <c r="S477" i="7"/>
  <c r="R477" i="7"/>
  <c r="Q477" i="7"/>
  <c r="P477" i="7"/>
  <c r="N477" i="7"/>
  <c r="U476" i="7"/>
  <c r="T476" i="7"/>
  <c r="S476" i="7"/>
  <c r="R476" i="7"/>
  <c r="Q476" i="7"/>
  <c r="P476" i="7"/>
  <c r="N476" i="7"/>
  <c r="U475" i="7"/>
  <c r="T475" i="7"/>
  <c r="S475" i="7"/>
  <c r="R475" i="7"/>
  <c r="Q475" i="7"/>
  <c r="P475" i="7"/>
  <c r="N475" i="7"/>
  <c r="U474" i="7"/>
  <c r="T474" i="7"/>
  <c r="S474" i="7"/>
  <c r="R474" i="7"/>
  <c r="Q474" i="7"/>
  <c r="P474" i="7"/>
  <c r="N474" i="7"/>
  <c r="U473" i="7"/>
  <c r="T473" i="7"/>
  <c r="S473" i="7"/>
  <c r="R473" i="7"/>
  <c r="Q473" i="7"/>
  <c r="P473" i="7"/>
  <c r="N473" i="7"/>
  <c r="U472" i="7"/>
  <c r="T472" i="7"/>
  <c r="S472" i="7"/>
  <c r="R472" i="7"/>
  <c r="Q472" i="7"/>
  <c r="P472" i="7"/>
  <c r="N472" i="7"/>
  <c r="U471" i="7"/>
  <c r="T471" i="7"/>
  <c r="S471" i="7"/>
  <c r="R471" i="7"/>
  <c r="Q471" i="7"/>
  <c r="P471" i="7"/>
  <c r="N471" i="7"/>
  <c r="U470" i="7"/>
  <c r="T470" i="7"/>
  <c r="S470" i="7"/>
  <c r="R470" i="7"/>
  <c r="Q470" i="7"/>
  <c r="P470" i="7"/>
  <c r="N470" i="7"/>
  <c r="U469" i="7"/>
  <c r="T469" i="7"/>
  <c r="S469" i="7"/>
  <c r="R469" i="7"/>
  <c r="Q469" i="7"/>
  <c r="P469" i="7"/>
  <c r="N469" i="7"/>
  <c r="U468" i="7"/>
  <c r="T468" i="7"/>
  <c r="S468" i="7"/>
  <c r="R468" i="7"/>
  <c r="Q468" i="7"/>
  <c r="P468" i="7"/>
  <c r="N468" i="7"/>
  <c r="U467" i="7"/>
  <c r="T467" i="7"/>
  <c r="S467" i="7"/>
  <c r="R467" i="7"/>
  <c r="Q467" i="7"/>
  <c r="P467" i="7"/>
  <c r="N467" i="7"/>
  <c r="U466" i="7"/>
  <c r="T466" i="7"/>
  <c r="S466" i="7"/>
  <c r="R466" i="7"/>
  <c r="Q466" i="7"/>
  <c r="P466" i="7"/>
  <c r="N466" i="7"/>
  <c r="U465" i="7"/>
  <c r="T465" i="7"/>
  <c r="S465" i="7"/>
  <c r="R465" i="7"/>
  <c r="Q465" i="7"/>
  <c r="P465" i="7"/>
  <c r="N465" i="7"/>
  <c r="U464" i="7"/>
  <c r="T464" i="7"/>
  <c r="S464" i="7"/>
  <c r="R464" i="7"/>
  <c r="Q464" i="7"/>
  <c r="P464" i="7"/>
  <c r="N464" i="7"/>
  <c r="U463" i="7"/>
  <c r="T463" i="7"/>
  <c r="S463" i="7"/>
  <c r="R463" i="7"/>
  <c r="Q463" i="7"/>
  <c r="P463" i="7"/>
  <c r="N463" i="7"/>
  <c r="U462" i="7"/>
  <c r="T462" i="7"/>
  <c r="S462" i="7"/>
  <c r="R462" i="7"/>
  <c r="Q462" i="7"/>
  <c r="P462" i="7"/>
  <c r="N462" i="7"/>
  <c r="U461" i="7"/>
  <c r="T461" i="7"/>
  <c r="S461" i="7"/>
  <c r="R461" i="7"/>
  <c r="Q461" i="7"/>
  <c r="P461" i="7"/>
  <c r="N461" i="7"/>
  <c r="U460" i="7"/>
  <c r="T460" i="7"/>
  <c r="S460" i="7"/>
  <c r="R460" i="7"/>
  <c r="Q460" i="7"/>
  <c r="P460" i="7"/>
  <c r="N460" i="7"/>
  <c r="U459" i="7"/>
  <c r="T459" i="7"/>
  <c r="S459" i="7"/>
  <c r="R459" i="7"/>
  <c r="Q459" i="7"/>
  <c r="P459" i="7"/>
  <c r="N459" i="7"/>
  <c r="U458" i="7"/>
  <c r="T458" i="7"/>
  <c r="S458" i="7"/>
  <c r="R458" i="7"/>
  <c r="Q458" i="7"/>
  <c r="P458" i="7"/>
  <c r="N458" i="7"/>
  <c r="U457" i="7"/>
  <c r="T457" i="7"/>
  <c r="S457" i="7"/>
  <c r="R457" i="7"/>
  <c r="Q457" i="7"/>
  <c r="P457" i="7"/>
  <c r="N457" i="7"/>
  <c r="U456" i="7"/>
  <c r="T456" i="7"/>
  <c r="S456" i="7"/>
  <c r="R456" i="7"/>
  <c r="Q456" i="7"/>
  <c r="P456" i="7"/>
  <c r="N456" i="7"/>
  <c r="U455" i="7"/>
  <c r="T455" i="7"/>
  <c r="S455" i="7"/>
  <c r="R455" i="7"/>
  <c r="Q455" i="7"/>
  <c r="P455" i="7"/>
  <c r="N455" i="7"/>
  <c r="U454" i="7"/>
  <c r="T454" i="7"/>
  <c r="S454" i="7"/>
  <c r="R454" i="7"/>
  <c r="Q454" i="7"/>
  <c r="P454" i="7"/>
  <c r="N454" i="7"/>
  <c r="U453" i="7"/>
  <c r="T453" i="7"/>
  <c r="S453" i="7"/>
  <c r="R453" i="7"/>
  <c r="Q453" i="7"/>
  <c r="P453" i="7"/>
  <c r="N453" i="7"/>
  <c r="U452" i="7"/>
  <c r="T452" i="7"/>
  <c r="S452" i="7"/>
  <c r="R452" i="7"/>
  <c r="Q452" i="7"/>
  <c r="P452" i="7"/>
  <c r="N452" i="7"/>
  <c r="U451" i="7"/>
  <c r="T451" i="7"/>
  <c r="S451" i="7"/>
  <c r="R451" i="7"/>
  <c r="Q451" i="7"/>
  <c r="P451" i="7"/>
  <c r="N451" i="7"/>
  <c r="U450" i="7"/>
  <c r="T450" i="7"/>
  <c r="S450" i="7"/>
  <c r="R450" i="7"/>
  <c r="Q450" i="7"/>
  <c r="P450" i="7"/>
  <c r="N450" i="7"/>
  <c r="U449" i="7"/>
  <c r="T449" i="7"/>
  <c r="S449" i="7"/>
  <c r="R449" i="7"/>
  <c r="Q449" i="7"/>
  <c r="P449" i="7"/>
  <c r="N449" i="7"/>
  <c r="U448" i="7"/>
  <c r="T448" i="7"/>
  <c r="S448" i="7"/>
  <c r="R448" i="7"/>
  <c r="Q448" i="7"/>
  <c r="P448" i="7"/>
  <c r="N448" i="7"/>
  <c r="U447" i="7"/>
  <c r="T447" i="7"/>
  <c r="S447" i="7"/>
  <c r="R447" i="7"/>
  <c r="Q447" i="7"/>
  <c r="P447" i="7"/>
  <c r="N447" i="7"/>
  <c r="U446" i="7"/>
  <c r="T446" i="7"/>
  <c r="S446" i="7"/>
  <c r="R446" i="7"/>
  <c r="Q446" i="7"/>
  <c r="P446" i="7"/>
  <c r="N446" i="7"/>
  <c r="U445" i="7"/>
  <c r="T445" i="7"/>
  <c r="S445" i="7"/>
  <c r="R445" i="7"/>
  <c r="Q445" i="7"/>
  <c r="P445" i="7"/>
  <c r="N445" i="7"/>
  <c r="U444" i="7"/>
  <c r="T444" i="7"/>
  <c r="S444" i="7"/>
  <c r="R444" i="7"/>
  <c r="Q444" i="7"/>
  <c r="P444" i="7"/>
  <c r="N444" i="7"/>
  <c r="U443" i="7"/>
  <c r="T443" i="7"/>
  <c r="S443" i="7"/>
  <c r="R443" i="7"/>
  <c r="Q443" i="7"/>
  <c r="P443" i="7"/>
  <c r="N443" i="7"/>
  <c r="U442" i="7"/>
  <c r="T442" i="7"/>
  <c r="S442" i="7"/>
  <c r="R442" i="7"/>
  <c r="Q442" i="7"/>
  <c r="P442" i="7"/>
  <c r="N442" i="7"/>
  <c r="U441" i="7"/>
  <c r="T441" i="7"/>
  <c r="S441" i="7"/>
  <c r="R441" i="7"/>
  <c r="Q441" i="7"/>
  <c r="P441" i="7"/>
  <c r="N441" i="7"/>
  <c r="U440" i="7"/>
  <c r="T440" i="7"/>
  <c r="S440" i="7"/>
  <c r="R440" i="7"/>
  <c r="Q440" i="7"/>
  <c r="P440" i="7"/>
  <c r="N440" i="7"/>
  <c r="U439" i="7"/>
  <c r="T439" i="7"/>
  <c r="S439" i="7"/>
  <c r="R439" i="7"/>
  <c r="Q439" i="7"/>
  <c r="P439" i="7"/>
  <c r="N439" i="7"/>
  <c r="U438" i="7"/>
  <c r="T438" i="7"/>
  <c r="S438" i="7"/>
  <c r="R438" i="7"/>
  <c r="Q438" i="7"/>
  <c r="P438" i="7"/>
  <c r="N438" i="7"/>
  <c r="U437" i="7"/>
  <c r="T437" i="7"/>
  <c r="S437" i="7"/>
  <c r="R437" i="7"/>
  <c r="Q437" i="7"/>
  <c r="P437" i="7"/>
  <c r="N437" i="7"/>
  <c r="U436" i="7"/>
  <c r="T436" i="7"/>
  <c r="S436" i="7"/>
  <c r="R436" i="7"/>
  <c r="Q436" i="7"/>
  <c r="P436" i="7"/>
  <c r="N436" i="7"/>
  <c r="U435" i="7"/>
  <c r="T435" i="7"/>
  <c r="S435" i="7"/>
  <c r="R435" i="7"/>
  <c r="Q435" i="7"/>
  <c r="P435" i="7"/>
  <c r="N435" i="7"/>
  <c r="U434" i="7"/>
  <c r="T434" i="7"/>
  <c r="S434" i="7"/>
  <c r="R434" i="7"/>
  <c r="Q434" i="7"/>
  <c r="P434" i="7"/>
  <c r="N434" i="7"/>
  <c r="U433" i="7"/>
  <c r="T433" i="7"/>
  <c r="S433" i="7"/>
  <c r="R433" i="7"/>
  <c r="Q433" i="7"/>
  <c r="P433" i="7"/>
  <c r="N433" i="7"/>
  <c r="U432" i="7"/>
  <c r="T432" i="7"/>
  <c r="S432" i="7"/>
  <c r="R432" i="7"/>
  <c r="Q432" i="7"/>
  <c r="P432" i="7"/>
  <c r="N432" i="7"/>
  <c r="U431" i="7"/>
  <c r="T431" i="7"/>
  <c r="S431" i="7"/>
  <c r="R431" i="7"/>
  <c r="Q431" i="7"/>
  <c r="P431" i="7"/>
  <c r="N431" i="7"/>
  <c r="U430" i="7"/>
  <c r="T430" i="7"/>
  <c r="S430" i="7"/>
  <c r="R430" i="7"/>
  <c r="Q430" i="7"/>
  <c r="P430" i="7"/>
  <c r="N430" i="7"/>
  <c r="U429" i="7"/>
  <c r="T429" i="7"/>
  <c r="S429" i="7"/>
  <c r="R429" i="7"/>
  <c r="Q429" i="7"/>
  <c r="P429" i="7"/>
  <c r="N429" i="7"/>
  <c r="U428" i="7"/>
  <c r="T428" i="7"/>
  <c r="S428" i="7"/>
  <c r="R428" i="7"/>
  <c r="Q428" i="7"/>
  <c r="P428" i="7"/>
  <c r="N428" i="7"/>
  <c r="U427" i="7"/>
  <c r="T427" i="7"/>
  <c r="S427" i="7"/>
  <c r="R427" i="7"/>
  <c r="Q427" i="7"/>
  <c r="P427" i="7"/>
  <c r="N427" i="7"/>
  <c r="U426" i="7"/>
  <c r="T426" i="7"/>
  <c r="S426" i="7"/>
  <c r="R426" i="7"/>
  <c r="Q426" i="7"/>
  <c r="P426" i="7"/>
  <c r="N426" i="7"/>
  <c r="U425" i="7"/>
  <c r="T425" i="7"/>
  <c r="S425" i="7"/>
  <c r="R425" i="7"/>
  <c r="Q425" i="7"/>
  <c r="P425" i="7"/>
  <c r="N425" i="7"/>
  <c r="U424" i="7"/>
  <c r="T424" i="7"/>
  <c r="S424" i="7"/>
  <c r="R424" i="7"/>
  <c r="Q424" i="7"/>
  <c r="P424" i="7"/>
  <c r="N424" i="7"/>
  <c r="U423" i="7"/>
  <c r="T423" i="7"/>
  <c r="S423" i="7"/>
  <c r="R423" i="7"/>
  <c r="Q423" i="7"/>
  <c r="P423" i="7"/>
  <c r="N423" i="7"/>
  <c r="U422" i="7"/>
  <c r="T422" i="7"/>
  <c r="S422" i="7"/>
  <c r="R422" i="7"/>
  <c r="Q422" i="7"/>
  <c r="P422" i="7"/>
  <c r="N422" i="7"/>
  <c r="U421" i="7"/>
  <c r="T421" i="7"/>
  <c r="S421" i="7"/>
  <c r="R421" i="7"/>
  <c r="Q421" i="7"/>
  <c r="P421" i="7"/>
  <c r="N421" i="7"/>
  <c r="U420" i="7"/>
  <c r="T420" i="7"/>
  <c r="S420" i="7"/>
  <c r="R420" i="7"/>
  <c r="Q420" i="7"/>
  <c r="P420" i="7"/>
  <c r="N420" i="7"/>
  <c r="U419" i="7"/>
  <c r="T419" i="7"/>
  <c r="S419" i="7"/>
  <c r="R419" i="7"/>
  <c r="Q419" i="7"/>
  <c r="P419" i="7"/>
  <c r="N419" i="7"/>
  <c r="U418" i="7"/>
  <c r="T418" i="7"/>
  <c r="S418" i="7"/>
  <c r="R418" i="7"/>
  <c r="Q418" i="7"/>
  <c r="P418" i="7"/>
  <c r="N418" i="7"/>
  <c r="U417" i="7"/>
  <c r="T417" i="7"/>
  <c r="S417" i="7"/>
  <c r="R417" i="7"/>
  <c r="Q417" i="7"/>
  <c r="P417" i="7"/>
  <c r="N417" i="7"/>
  <c r="U416" i="7"/>
  <c r="T416" i="7"/>
  <c r="S416" i="7"/>
  <c r="R416" i="7"/>
  <c r="Q416" i="7"/>
  <c r="P416" i="7"/>
  <c r="N416" i="7"/>
  <c r="U415" i="7"/>
  <c r="T415" i="7"/>
  <c r="S415" i="7"/>
  <c r="R415" i="7"/>
  <c r="Q415" i="7"/>
  <c r="P415" i="7"/>
  <c r="N415" i="7"/>
  <c r="U414" i="7"/>
  <c r="T414" i="7"/>
  <c r="S414" i="7"/>
  <c r="R414" i="7"/>
  <c r="Q414" i="7"/>
  <c r="P414" i="7"/>
  <c r="N414" i="7"/>
  <c r="U413" i="7"/>
  <c r="T413" i="7"/>
  <c r="S413" i="7"/>
  <c r="R413" i="7"/>
  <c r="Q413" i="7"/>
  <c r="P413" i="7"/>
  <c r="N413" i="7"/>
  <c r="U412" i="7"/>
  <c r="T412" i="7"/>
  <c r="S412" i="7"/>
  <c r="R412" i="7"/>
  <c r="Q412" i="7"/>
  <c r="P412" i="7"/>
  <c r="N412" i="7"/>
  <c r="U411" i="7"/>
  <c r="T411" i="7"/>
  <c r="S411" i="7"/>
  <c r="R411" i="7"/>
  <c r="Q411" i="7"/>
  <c r="P411" i="7"/>
  <c r="N411" i="7"/>
  <c r="U410" i="7"/>
  <c r="T410" i="7"/>
  <c r="S410" i="7"/>
  <c r="R410" i="7"/>
  <c r="Q410" i="7"/>
  <c r="P410" i="7"/>
  <c r="N410" i="7"/>
  <c r="U409" i="7"/>
  <c r="T409" i="7"/>
  <c r="S409" i="7"/>
  <c r="R409" i="7"/>
  <c r="Q409" i="7"/>
  <c r="P409" i="7"/>
  <c r="N409" i="7"/>
  <c r="U408" i="7"/>
  <c r="T408" i="7"/>
  <c r="S408" i="7"/>
  <c r="R408" i="7"/>
  <c r="Q408" i="7"/>
  <c r="P408" i="7"/>
  <c r="N408" i="7"/>
  <c r="U407" i="7"/>
  <c r="T407" i="7"/>
  <c r="S407" i="7"/>
  <c r="R407" i="7"/>
  <c r="Q407" i="7"/>
  <c r="P407" i="7"/>
  <c r="N407" i="7"/>
  <c r="U406" i="7"/>
  <c r="T406" i="7"/>
  <c r="S406" i="7"/>
  <c r="R406" i="7"/>
  <c r="Q406" i="7"/>
  <c r="P406" i="7"/>
  <c r="N406" i="7"/>
  <c r="U405" i="7"/>
  <c r="T405" i="7"/>
  <c r="S405" i="7"/>
  <c r="R405" i="7"/>
  <c r="Q405" i="7"/>
  <c r="P405" i="7"/>
  <c r="N405" i="7"/>
  <c r="U404" i="7"/>
  <c r="T404" i="7"/>
  <c r="S404" i="7"/>
  <c r="R404" i="7"/>
  <c r="Q404" i="7"/>
  <c r="P404" i="7"/>
  <c r="N404" i="7"/>
  <c r="U403" i="7"/>
  <c r="T403" i="7"/>
  <c r="S403" i="7"/>
  <c r="R403" i="7"/>
  <c r="Q403" i="7"/>
  <c r="P403" i="7"/>
  <c r="N403" i="7"/>
  <c r="U402" i="7"/>
  <c r="T402" i="7"/>
  <c r="S402" i="7"/>
  <c r="R402" i="7"/>
  <c r="Q402" i="7"/>
  <c r="P402" i="7"/>
  <c r="N402" i="7"/>
  <c r="U401" i="7"/>
  <c r="T401" i="7"/>
  <c r="S401" i="7"/>
  <c r="R401" i="7"/>
  <c r="Q401" i="7"/>
  <c r="P401" i="7"/>
  <c r="N401" i="7"/>
  <c r="U400" i="7"/>
  <c r="T400" i="7"/>
  <c r="S400" i="7"/>
  <c r="R400" i="7"/>
  <c r="Q400" i="7"/>
  <c r="P400" i="7"/>
  <c r="N400" i="7"/>
  <c r="U399" i="7"/>
  <c r="T399" i="7"/>
  <c r="S399" i="7"/>
  <c r="R399" i="7"/>
  <c r="Q399" i="7"/>
  <c r="P399" i="7"/>
  <c r="N399" i="7"/>
  <c r="U398" i="7"/>
  <c r="T398" i="7"/>
  <c r="S398" i="7"/>
  <c r="R398" i="7"/>
  <c r="Q398" i="7"/>
  <c r="P398" i="7"/>
  <c r="N398" i="7"/>
  <c r="U397" i="7"/>
  <c r="T397" i="7"/>
  <c r="S397" i="7"/>
  <c r="R397" i="7"/>
  <c r="Q397" i="7"/>
  <c r="P397" i="7"/>
  <c r="N397" i="7"/>
  <c r="U396" i="7"/>
  <c r="T396" i="7"/>
  <c r="S396" i="7"/>
  <c r="R396" i="7"/>
  <c r="Q396" i="7"/>
  <c r="P396" i="7"/>
  <c r="N396" i="7"/>
  <c r="U395" i="7"/>
  <c r="T395" i="7"/>
  <c r="S395" i="7"/>
  <c r="R395" i="7"/>
  <c r="Q395" i="7"/>
  <c r="P395" i="7"/>
  <c r="N395" i="7"/>
  <c r="U394" i="7"/>
  <c r="T394" i="7"/>
  <c r="S394" i="7"/>
  <c r="R394" i="7"/>
  <c r="Q394" i="7"/>
  <c r="P394" i="7"/>
  <c r="N394" i="7"/>
  <c r="U393" i="7"/>
  <c r="T393" i="7"/>
  <c r="S393" i="7"/>
  <c r="R393" i="7"/>
  <c r="Q393" i="7"/>
  <c r="P393" i="7"/>
  <c r="N393" i="7"/>
  <c r="U392" i="7"/>
  <c r="T392" i="7"/>
  <c r="S392" i="7"/>
  <c r="R392" i="7"/>
  <c r="Q392" i="7"/>
  <c r="P392" i="7"/>
  <c r="N392" i="7"/>
  <c r="U391" i="7"/>
  <c r="T391" i="7"/>
  <c r="S391" i="7"/>
  <c r="R391" i="7"/>
  <c r="Q391" i="7"/>
  <c r="P391" i="7"/>
  <c r="N391" i="7"/>
  <c r="U390" i="7"/>
  <c r="T390" i="7"/>
  <c r="S390" i="7"/>
  <c r="R390" i="7"/>
  <c r="Q390" i="7"/>
  <c r="P390" i="7"/>
  <c r="N390" i="7"/>
  <c r="U389" i="7"/>
  <c r="T389" i="7"/>
  <c r="S389" i="7"/>
  <c r="R389" i="7"/>
  <c r="Q389" i="7"/>
  <c r="P389" i="7"/>
  <c r="N389" i="7"/>
  <c r="U388" i="7"/>
  <c r="T388" i="7"/>
  <c r="S388" i="7"/>
  <c r="R388" i="7"/>
  <c r="Q388" i="7"/>
  <c r="P388" i="7"/>
  <c r="N388" i="7"/>
  <c r="U387" i="7"/>
  <c r="T387" i="7"/>
  <c r="S387" i="7"/>
  <c r="R387" i="7"/>
  <c r="Q387" i="7"/>
  <c r="P387" i="7"/>
  <c r="N387" i="7"/>
  <c r="U386" i="7"/>
  <c r="T386" i="7"/>
  <c r="S386" i="7"/>
  <c r="R386" i="7"/>
  <c r="Q386" i="7"/>
  <c r="P386" i="7"/>
  <c r="N386" i="7"/>
  <c r="U385" i="7"/>
  <c r="T385" i="7"/>
  <c r="S385" i="7"/>
  <c r="R385" i="7"/>
  <c r="Q385" i="7"/>
  <c r="P385" i="7"/>
  <c r="N385" i="7"/>
  <c r="U384" i="7"/>
  <c r="T384" i="7"/>
  <c r="S384" i="7"/>
  <c r="R384" i="7"/>
  <c r="Q384" i="7"/>
  <c r="P384" i="7"/>
  <c r="N384" i="7"/>
  <c r="U383" i="7"/>
  <c r="T383" i="7"/>
  <c r="S383" i="7"/>
  <c r="R383" i="7"/>
  <c r="Q383" i="7"/>
  <c r="P383" i="7"/>
  <c r="N383" i="7"/>
  <c r="U382" i="7"/>
  <c r="T382" i="7"/>
  <c r="S382" i="7"/>
  <c r="R382" i="7"/>
  <c r="Q382" i="7"/>
  <c r="P382" i="7"/>
  <c r="N382" i="7"/>
  <c r="U381" i="7"/>
  <c r="T381" i="7"/>
  <c r="S381" i="7"/>
  <c r="R381" i="7"/>
  <c r="Q381" i="7"/>
  <c r="P381" i="7"/>
  <c r="N381" i="7"/>
  <c r="U380" i="7"/>
  <c r="T380" i="7"/>
  <c r="S380" i="7"/>
  <c r="R380" i="7"/>
  <c r="Q380" i="7"/>
  <c r="P380" i="7"/>
  <c r="N380" i="7"/>
  <c r="U379" i="7"/>
  <c r="T379" i="7"/>
  <c r="S379" i="7"/>
  <c r="R379" i="7"/>
  <c r="Q379" i="7"/>
  <c r="P379" i="7"/>
  <c r="N379" i="7"/>
  <c r="U378" i="7"/>
  <c r="T378" i="7"/>
  <c r="S378" i="7"/>
  <c r="R378" i="7"/>
  <c r="Q378" i="7"/>
  <c r="P378" i="7"/>
  <c r="N378" i="7"/>
  <c r="U377" i="7"/>
  <c r="T377" i="7"/>
  <c r="S377" i="7"/>
  <c r="R377" i="7"/>
  <c r="Q377" i="7"/>
  <c r="P377" i="7"/>
  <c r="N377" i="7"/>
  <c r="U376" i="7"/>
  <c r="T376" i="7"/>
  <c r="S376" i="7"/>
  <c r="R376" i="7"/>
  <c r="Q376" i="7"/>
  <c r="P376" i="7"/>
  <c r="N376" i="7"/>
  <c r="U375" i="7"/>
  <c r="T375" i="7"/>
  <c r="S375" i="7"/>
  <c r="R375" i="7"/>
  <c r="Q375" i="7"/>
  <c r="P375" i="7"/>
  <c r="N375" i="7"/>
  <c r="U374" i="7"/>
  <c r="T374" i="7"/>
  <c r="S374" i="7"/>
  <c r="R374" i="7"/>
  <c r="Q374" i="7"/>
  <c r="P374" i="7"/>
  <c r="N374" i="7"/>
  <c r="U373" i="7"/>
  <c r="T373" i="7"/>
  <c r="S373" i="7"/>
  <c r="R373" i="7"/>
  <c r="Q373" i="7"/>
  <c r="P373" i="7"/>
  <c r="N373" i="7"/>
  <c r="U372" i="7"/>
  <c r="T372" i="7"/>
  <c r="S372" i="7"/>
  <c r="R372" i="7"/>
  <c r="Q372" i="7"/>
  <c r="P372" i="7"/>
  <c r="N372" i="7"/>
  <c r="U371" i="7"/>
  <c r="T371" i="7"/>
  <c r="S371" i="7"/>
  <c r="R371" i="7"/>
  <c r="Q371" i="7"/>
  <c r="P371" i="7"/>
  <c r="N371" i="7"/>
  <c r="U370" i="7"/>
  <c r="T370" i="7"/>
  <c r="S370" i="7"/>
  <c r="R370" i="7"/>
  <c r="Q370" i="7"/>
  <c r="P370" i="7"/>
  <c r="N370" i="7"/>
  <c r="U369" i="7"/>
  <c r="T369" i="7"/>
  <c r="S369" i="7"/>
  <c r="R369" i="7"/>
  <c r="Q369" i="7"/>
  <c r="P369" i="7"/>
  <c r="N369" i="7"/>
  <c r="U368" i="7"/>
  <c r="T368" i="7"/>
  <c r="S368" i="7"/>
  <c r="R368" i="7"/>
  <c r="Q368" i="7"/>
  <c r="P368" i="7"/>
  <c r="N368" i="7"/>
  <c r="U367" i="7"/>
  <c r="T367" i="7"/>
  <c r="S367" i="7"/>
  <c r="R367" i="7"/>
  <c r="Q367" i="7"/>
  <c r="P367" i="7"/>
  <c r="N367" i="7"/>
  <c r="U366" i="7"/>
  <c r="T366" i="7"/>
  <c r="S366" i="7"/>
  <c r="R366" i="7"/>
  <c r="Q366" i="7"/>
  <c r="P366" i="7"/>
  <c r="N366" i="7"/>
  <c r="U365" i="7"/>
  <c r="T365" i="7"/>
  <c r="S365" i="7"/>
  <c r="R365" i="7"/>
  <c r="Q365" i="7"/>
  <c r="P365" i="7"/>
  <c r="N365" i="7"/>
  <c r="U364" i="7"/>
  <c r="T364" i="7"/>
  <c r="S364" i="7"/>
  <c r="R364" i="7"/>
  <c r="Q364" i="7"/>
  <c r="P364" i="7"/>
  <c r="N364" i="7"/>
  <c r="U363" i="7"/>
  <c r="T363" i="7"/>
  <c r="S363" i="7"/>
  <c r="R363" i="7"/>
  <c r="Q363" i="7"/>
  <c r="P363" i="7"/>
  <c r="N363" i="7"/>
  <c r="U362" i="7"/>
  <c r="T362" i="7"/>
  <c r="S362" i="7"/>
  <c r="R362" i="7"/>
  <c r="Q362" i="7"/>
  <c r="P362" i="7"/>
  <c r="N362" i="7"/>
  <c r="U361" i="7"/>
  <c r="T361" i="7"/>
  <c r="S361" i="7"/>
  <c r="R361" i="7"/>
  <c r="Q361" i="7"/>
  <c r="P361" i="7"/>
  <c r="N361" i="7"/>
  <c r="U360" i="7"/>
  <c r="T360" i="7"/>
  <c r="S360" i="7"/>
  <c r="R360" i="7"/>
  <c r="Q360" i="7"/>
  <c r="P360" i="7"/>
  <c r="N360" i="7"/>
  <c r="U359" i="7"/>
  <c r="T359" i="7"/>
  <c r="S359" i="7"/>
  <c r="R359" i="7"/>
  <c r="Q359" i="7"/>
  <c r="P359" i="7"/>
  <c r="N359" i="7"/>
  <c r="U358" i="7"/>
  <c r="T358" i="7"/>
  <c r="S358" i="7"/>
  <c r="R358" i="7"/>
  <c r="Q358" i="7"/>
  <c r="P358" i="7"/>
  <c r="N358" i="7"/>
  <c r="U357" i="7"/>
  <c r="T357" i="7"/>
  <c r="S357" i="7"/>
  <c r="R357" i="7"/>
  <c r="Q357" i="7"/>
  <c r="P357" i="7"/>
  <c r="N357" i="7"/>
  <c r="U356" i="7"/>
  <c r="T356" i="7"/>
  <c r="S356" i="7"/>
  <c r="R356" i="7"/>
  <c r="Q356" i="7"/>
  <c r="P356" i="7"/>
  <c r="N356" i="7"/>
  <c r="U355" i="7"/>
  <c r="T355" i="7"/>
  <c r="S355" i="7"/>
  <c r="R355" i="7"/>
  <c r="Q355" i="7"/>
  <c r="P355" i="7"/>
  <c r="N355" i="7"/>
  <c r="U354" i="7"/>
  <c r="T354" i="7"/>
  <c r="S354" i="7"/>
  <c r="R354" i="7"/>
  <c r="Q354" i="7"/>
  <c r="P354" i="7"/>
  <c r="N354" i="7"/>
  <c r="U353" i="7"/>
  <c r="T353" i="7"/>
  <c r="S353" i="7"/>
  <c r="R353" i="7"/>
  <c r="Q353" i="7"/>
  <c r="P353" i="7"/>
  <c r="N353" i="7"/>
  <c r="U352" i="7"/>
  <c r="T352" i="7"/>
  <c r="S352" i="7"/>
  <c r="R352" i="7"/>
  <c r="Q352" i="7"/>
  <c r="P352" i="7"/>
  <c r="N352" i="7"/>
  <c r="U351" i="7"/>
  <c r="T351" i="7"/>
  <c r="S351" i="7"/>
  <c r="R351" i="7"/>
  <c r="Q351" i="7"/>
  <c r="P351" i="7"/>
  <c r="N351" i="7"/>
  <c r="U350" i="7"/>
  <c r="T350" i="7"/>
  <c r="S350" i="7"/>
  <c r="R350" i="7"/>
  <c r="Q350" i="7"/>
  <c r="P350" i="7"/>
  <c r="N350" i="7"/>
  <c r="U349" i="7"/>
  <c r="T349" i="7"/>
  <c r="S349" i="7"/>
  <c r="R349" i="7"/>
  <c r="Q349" i="7"/>
  <c r="P349" i="7"/>
  <c r="N349" i="7"/>
  <c r="U348" i="7"/>
  <c r="T348" i="7"/>
  <c r="S348" i="7"/>
  <c r="R348" i="7"/>
  <c r="Q348" i="7"/>
  <c r="P348" i="7"/>
  <c r="N348" i="7"/>
  <c r="U347" i="7"/>
  <c r="T347" i="7"/>
  <c r="S347" i="7"/>
  <c r="R347" i="7"/>
  <c r="Q347" i="7"/>
  <c r="P347" i="7"/>
  <c r="N347" i="7"/>
  <c r="U346" i="7"/>
  <c r="T346" i="7"/>
  <c r="S346" i="7"/>
  <c r="R346" i="7"/>
  <c r="Q346" i="7"/>
  <c r="P346" i="7"/>
  <c r="N346" i="7"/>
  <c r="U345" i="7"/>
  <c r="T345" i="7"/>
  <c r="S345" i="7"/>
  <c r="R345" i="7"/>
  <c r="Q345" i="7"/>
  <c r="P345" i="7"/>
  <c r="N345" i="7"/>
  <c r="U344" i="7"/>
  <c r="T344" i="7"/>
  <c r="S344" i="7"/>
  <c r="R344" i="7"/>
  <c r="Q344" i="7"/>
  <c r="P344" i="7"/>
  <c r="N344" i="7"/>
  <c r="U343" i="7"/>
  <c r="T343" i="7"/>
  <c r="S343" i="7"/>
  <c r="R343" i="7"/>
  <c r="Q343" i="7"/>
  <c r="P343" i="7"/>
  <c r="N343" i="7"/>
  <c r="U342" i="7"/>
  <c r="T342" i="7"/>
  <c r="S342" i="7"/>
  <c r="R342" i="7"/>
  <c r="Q342" i="7"/>
  <c r="P342" i="7"/>
  <c r="N342" i="7"/>
  <c r="U341" i="7"/>
  <c r="T341" i="7"/>
  <c r="S341" i="7"/>
  <c r="R341" i="7"/>
  <c r="Q341" i="7"/>
  <c r="P341" i="7"/>
  <c r="N341" i="7"/>
  <c r="U340" i="7"/>
  <c r="T340" i="7"/>
  <c r="S340" i="7"/>
  <c r="R340" i="7"/>
  <c r="Q340" i="7"/>
  <c r="P340" i="7"/>
  <c r="N340" i="7"/>
  <c r="U339" i="7"/>
  <c r="T339" i="7"/>
  <c r="S339" i="7"/>
  <c r="R339" i="7"/>
  <c r="Q339" i="7"/>
  <c r="P339" i="7"/>
  <c r="N339" i="7"/>
  <c r="U338" i="7"/>
  <c r="T338" i="7"/>
  <c r="S338" i="7"/>
  <c r="R338" i="7"/>
  <c r="Q338" i="7"/>
  <c r="P338" i="7"/>
  <c r="N338" i="7"/>
  <c r="U337" i="7"/>
  <c r="T337" i="7"/>
  <c r="S337" i="7"/>
  <c r="R337" i="7"/>
  <c r="Q337" i="7"/>
  <c r="P337" i="7"/>
  <c r="N337" i="7"/>
  <c r="U336" i="7"/>
  <c r="T336" i="7"/>
  <c r="S336" i="7"/>
  <c r="R336" i="7"/>
  <c r="Q336" i="7"/>
  <c r="P336" i="7"/>
  <c r="N336" i="7"/>
  <c r="U335" i="7"/>
  <c r="T335" i="7"/>
  <c r="S335" i="7"/>
  <c r="R335" i="7"/>
  <c r="Q335" i="7"/>
  <c r="P335" i="7"/>
  <c r="N335" i="7"/>
  <c r="U334" i="7"/>
  <c r="T334" i="7"/>
  <c r="S334" i="7"/>
  <c r="R334" i="7"/>
  <c r="Q334" i="7"/>
  <c r="P334" i="7"/>
  <c r="N334" i="7"/>
  <c r="U333" i="7"/>
  <c r="T333" i="7"/>
  <c r="S333" i="7"/>
  <c r="R333" i="7"/>
  <c r="Q333" i="7"/>
  <c r="P333" i="7"/>
  <c r="N333" i="7"/>
  <c r="U332" i="7"/>
  <c r="T332" i="7"/>
  <c r="S332" i="7"/>
  <c r="R332" i="7"/>
  <c r="Q332" i="7"/>
  <c r="P332" i="7"/>
  <c r="N332" i="7"/>
  <c r="U331" i="7"/>
  <c r="T331" i="7"/>
  <c r="S331" i="7"/>
  <c r="R331" i="7"/>
  <c r="Q331" i="7"/>
  <c r="P331" i="7"/>
  <c r="N331" i="7"/>
  <c r="U330" i="7"/>
  <c r="T330" i="7"/>
  <c r="S330" i="7"/>
  <c r="R330" i="7"/>
  <c r="Q330" i="7"/>
  <c r="P330" i="7"/>
  <c r="N330" i="7"/>
  <c r="U329" i="7"/>
  <c r="T329" i="7"/>
  <c r="S329" i="7"/>
  <c r="R329" i="7"/>
  <c r="Q329" i="7"/>
  <c r="P329" i="7"/>
  <c r="N329" i="7"/>
  <c r="U328" i="7"/>
  <c r="T328" i="7"/>
  <c r="S328" i="7"/>
  <c r="R328" i="7"/>
  <c r="Q328" i="7"/>
  <c r="P328" i="7"/>
  <c r="N328" i="7"/>
  <c r="U327" i="7"/>
  <c r="T327" i="7"/>
  <c r="S327" i="7"/>
  <c r="R327" i="7"/>
  <c r="Q327" i="7"/>
  <c r="P327" i="7"/>
  <c r="N327" i="7"/>
  <c r="U326" i="7"/>
  <c r="T326" i="7"/>
  <c r="S326" i="7"/>
  <c r="R326" i="7"/>
  <c r="Q326" i="7"/>
  <c r="P326" i="7"/>
  <c r="N326" i="7"/>
  <c r="U325" i="7"/>
  <c r="T325" i="7"/>
  <c r="S325" i="7"/>
  <c r="R325" i="7"/>
  <c r="Q325" i="7"/>
  <c r="P325" i="7"/>
  <c r="N325" i="7"/>
  <c r="U324" i="7"/>
  <c r="T324" i="7"/>
  <c r="S324" i="7"/>
  <c r="R324" i="7"/>
  <c r="Q324" i="7"/>
  <c r="P324" i="7"/>
  <c r="N324" i="7"/>
  <c r="U323" i="7"/>
  <c r="T323" i="7"/>
  <c r="S323" i="7"/>
  <c r="R323" i="7"/>
  <c r="Q323" i="7"/>
  <c r="P323" i="7"/>
  <c r="N323" i="7"/>
  <c r="U322" i="7"/>
  <c r="T322" i="7"/>
  <c r="S322" i="7"/>
  <c r="R322" i="7"/>
  <c r="Q322" i="7"/>
  <c r="P322" i="7"/>
  <c r="N322" i="7"/>
  <c r="U321" i="7"/>
  <c r="T321" i="7"/>
  <c r="S321" i="7"/>
  <c r="R321" i="7"/>
  <c r="Q321" i="7"/>
  <c r="P321" i="7"/>
  <c r="N321" i="7"/>
  <c r="U320" i="7"/>
  <c r="T320" i="7"/>
  <c r="S320" i="7"/>
  <c r="R320" i="7"/>
  <c r="Q320" i="7"/>
  <c r="P320" i="7"/>
  <c r="N320" i="7"/>
  <c r="U319" i="7"/>
  <c r="T319" i="7"/>
  <c r="S319" i="7"/>
  <c r="R319" i="7"/>
  <c r="Q319" i="7"/>
  <c r="P319" i="7"/>
  <c r="N319" i="7"/>
  <c r="U318" i="7"/>
  <c r="T318" i="7"/>
  <c r="S318" i="7"/>
  <c r="R318" i="7"/>
  <c r="Q318" i="7"/>
  <c r="P318" i="7"/>
  <c r="N318" i="7"/>
  <c r="U317" i="7"/>
  <c r="T317" i="7"/>
  <c r="S317" i="7"/>
  <c r="R317" i="7"/>
  <c r="Q317" i="7"/>
  <c r="P317" i="7"/>
  <c r="N317" i="7"/>
  <c r="U316" i="7"/>
  <c r="T316" i="7"/>
  <c r="S316" i="7"/>
  <c r="R316" i="7"/>
  <c r="Q316" i="7"/>
  <c r="P316" i="7"/>
  <c r="N316" i="7"/>
  <c r="U315" i="7"/>
  <c r="T315" i="7"/>
  <c r="S315" i="7"/>
  <c r="R315" i="7"/>
  <c r="Q315" i="7"/>
  <c r="P315" i="7"/>
  <c r="N315" i="7"/>
  <c r="U314" i="7"/>
  <c r="T314" i="7"/>
  <c r="S314" i="7"/>
  <c r="R314" i="7"/>
  <c r="Q314" i="7"/>
  <c r="P314" i="7"/>
  <c r="N314" i="7"/>
  <c r="U313" i="7"/>
  <c r="T313" i="7"/>
  <c r="S313" i="7"/>
  <c r="R313" i="7"/>
  <c r="Q313" i="7"/>
  <c r="P313" i="7"/>
  <c r="N313" i="7"/>
  <c r="U312" i="7"/>
  <c r="T312" i="7"/>
  <c r="S312" i="7"/>
  <c r="R312" i="7"/>
  <c r="Q312" i="7"/>
  <c r="P312" i="7"/>
  <c r="N312" i="7"/>
  <c r="U311" i="7"/>
  <c r="T311" i="7"/>
  <c r="S311" i="7"/>
  <c r="R311" i="7"/>
  <c r="Q311" i="7"/>
  <c r="P311" i="7"/>
  <c r="N311" i="7"/>
  <c r="U310" i="7"/>
  <c r="T310" i="7"/>
  <c r="S310" i="7"/>
  <c r="R310" i="7"/>
  <c r="Q310" i="7"/>
  <c r="P310" i="7"/>
  <c r="N310" i="7"/>
  <c r="U309" i="7"/>
  <c r="T309" i="7"/>
  <c r="S309" i="7"/>
  <c r="R309" i="7"/>
  <c r="Q309" i="7"/>
  <c r="P309" i="7"/>
  <c r="N309" i="7"/>
  <c r="U308" i="7"/>
  <c r="T308" i="7"/>
  <c r="S308" i="7"/>
  <c r="R308" i="7"/>
  <c r="Q308" i="7"/>
  <c r="P308" i="7"/>
  <c r="N308" i="7"/>
  <c r="U307" i="7"/>
  <c r="T307" i="7"/>
  <c r="S307" i="7"/>
  <c r="R307" i="7"/>
  <c r="Q307" i="7"/>
  <c r="P307" i="7"/>
  <c r="N307" i="7"/>
  <c r="U306" i="7"/>
  <c r="T306" i="7"/>
  <c r="S306" i="7"/>
  <c r="R306" i="7"/>
  <c r="Q306" i="7"/>
  <c r="P306" i="7"/>
  <c r="N306" i="7"/>
  <c r="U305" i="7"/>
  <c r="T305" i="7"/>
  <c r="S305" i="7"/>
  <c r="R305" i="7"/>
  <c r="Q305" i="7"/>
  <c r="P305" i="7"/>
  <c r="N305" i="7"/>
  <c r="U304" i="7"/>
  <c r="T304" i="7"/>
  <c r="S304" i="7"/>
  <c r="R304" i="7"/>
  <c r="Q304" i="7"/>
  <c r="P304" i="7"/>
  <c r="N304" i="7"/>
  <c r="U303" i="7"/>
  <c r="T303" i="7"/>
  <c r="S303" i="7"/>
  <c r="R303" i="7"/>
  <c r="Q303" i="7"/>
  <c r="P303" i="7"/>
  <c r="N303" i="7"/>
  <c r="U302" i="7"/>
  <c r="T302" i="7"/>
  <c r="S302" i="7"/>
  <c r="R302" i="7"/>
  <c r="Q302" i="7"/>
  <c r="P302" i="7"/>
  <c r="N302" i="7"/>
  <c r="U301" i="7"/>
  <c r="T301" i="7"/>
  <c r="S301" i="7"/>
  <c r="R301" i="7"/>
  <c r="Q301" i="7"/>
  <c r="P301" i="7"/>
  <c r="N301" i="7"/>
  <c r="U300" i="7"/>
  <c r="T300" i="7"/>
  <c r="S300" i="7"/>
  <c r="R300" i="7"/>
  <c r="Q300" i="7"/>
  <c r="P300" i="7"/>
  <c r="N300" i="7"/>
  <c r="U299" i="7"/>
  <c r="T299" i="7"/>
  <c r="S299" i="7"/>
  <c r="R299" i="7"/>
  <c r="Q299" i="7"/>
  <c r="P299" i="7"/>
  <c r="N299" i="7"/>
  <c r="U298" i="7"/>
  <c r="T298" i="7"/>
  <c r="S298" i="7"/>
  <c r="R298" i="7"/>
  <c r="Q298" i="7"/>
  <c r="P298" i="7"/>
  <c r="N298" i="7"/>
  <c r="U297" i="7"/>
  <c r="T297" i="7"/>
  <c r="S297" i="7"/>
  <c r="R297" i="7"/>
  <c r="Q297" i="7"/>
  <c r="P297" i="7"/>
  <c r="N297" i="7"/>
  <c r="U296" i="7"/>
  <c r="T296" i="7"/>
  <c r="S296" i="7"/>
  <c r="R296" i="7"/>
  <c r="Q296" i="7"/>
  <c r="P296" i="7"/>
  <c r="N296" i="7"/>
  <c r="U295" i="7"/>
  <c r="T295" i="7"/>
  <c r="S295" i="7"/>
  <c r="R295" i="7"/>
  <c r="Q295" i="7"/>
  <c r="P295" i="7"/>
  <c r="N295" i="7"/>
  <c r="U294" i="7"/>
  <c r="T294" i="7"/>
  <c r="S294" i="7"/>
  <c r="R294" i="7"/>
  <c r="Q294" i="7"/>
  <c r="P294" i="7"/>
  <c r="N294" i="7"/>
  <c r="U293" i="7"/>
  <c r="T293" i="7"/>
  <c r="S293" i="7"/>
  <c r="R293" i="7"/>
  <c r="Q293" i="7"/>
  <c r="P293" i="7"/>
  <c r="N293" i="7"/>
  <c r="U292" i="7"/>
  <c r="T292" i="7"/>
  <c r="S292" i="7"/>
  <c r="R292" i="7"/>
  <c r="Q292" i="7"/>
  <c r="P292" i="7"/>
  <c r="N292" i="7"/>
  <c r="U291" i="7"/>
  <c r="T291" i="7"/>
  <c r="S291" i="7"/>
  <c r="R291" i="7"/>
  <c r="Q291" i="7"/>
  <c r="P291" i="7"/>
  <c r="N291" i="7"/>
  <c r="U290" i="7"/>
  <c r="T290" i="7"/>
  <c r="S290" i="7"/>
  <c r="R290" i="7"/>
  <c r="Q290" i="7"/>
  <c r="P290" i="7"/>
  <c r="N290" i="7"/>
  <c r="U289" i="7"/>
  <c r="T289" i="7"/>
  <c r="S289" i="7"/>
  <c r="R289" i="7"/>
  <c r="Q289" i="7"/>
  <c r="P289" i="7"/>
  <c r="N289" i="7"/>
  <c r="U288" i="7"/>
  <c r="T288" i="7"/>
  <c r="S288" i="7"/>
  <c r="R288" i="7"/>
  <c r="Q288" i="7"/>
  <c r="P288" i="7"/>
  <c r="N288" i="7"/>
  <c r="U287" i="7"/>
  <c r="T287" i="7"/>
  <c r="S287" i="7"/>
  <c r="R287" i="7"/>
  <c r="Q287" i="7"/>
  <c r="P287" i="7"/>
  <c r="N287" i="7"/>
  <c r="U286" i="7"/>
  <c r="T286" i="7"/>
  <c r="S286" i="7"/>
  <c r="R286" i="7"/>
  <c r="Q286" i="7"/>
  <c r="P286" i="7"/>
  <c r="N286" i="7"/>
  <c r="U285" i="7"/>
  <c r="T285" i="7"/>
  <c r="S285" i="7"/>
  <c r="R285" i="7"/>
  <c r="Q285" i="7"/>
  <c r="P285" i="7"/>
  <c r="N285" i="7"/>
  <c r="U284" i="7"/>
  <c r="T284" i="7"/>
  <c r="S284" i="7"/>
  <c r="R284" i="7"/>
  <c r="Q284" i="7"/>
  <c r="P284" i="7"/>
  <c r="N284" i="7"/>
  <c r="U283" i="7"/>
  <c r="T283" i="7"/>
  <c r="S283" i="7"/>
  <c r="R283" i="7"/>
  <c r="Q283" i="7"/>
  <c r="P283" i="7"/>
  <c r="N283" i="7"/>
  <c r="U282" i="7"/>
  <c r="T282" i="7"/>
  <c r="S282" i="7"/>
  <c r="R282" i="7"/>
  <c r="Q282" i="7"/>
  <c r="P282" i="7"/>
  <c r="N282" i="7"/>
  <c r="U281" i="7"/>
  <c r="T281" i="7"/>
  <c r="S281" i="7"/>
  <c r="R281" i="7"/>
  <c r="Q281" i="7"/>
  <c r="P281" i="7"/>
  <c r="N281" i="7"/>
  <c r="U280" i="7"/>
  <c r="T280" i="7"/>
  <c r="S280" i="7"/>
  <c r="R280" i="7"/>
  <c r="Q280" i="7"/>
  <c r="P280" i="7"/>
  <c r="N280" i="7"/>
  <c r="U279" i="7"/>
  <c r="T279" i="7"/>
  <c r="S279" i="7"/>
  <c r="R279" i="7"/>
  <c r="Q279" i="7"/>
  <c r="P279" i="7"/>
  <c r="N279" i="7"/>
  <c r="U278" i="7"/>
  <c r="T278" i="7"/>
  <c r="S278" i="7"/>
  <c r="R278" i="7"/>
  <c r="Q278" i="7"/>
  <c r="P278" i="7"/>
  <c r="N278" i="7"/>
  <c r="U277" i="7"/>
  <c r="T277" i="7"/>
  <c r="S277" i="7"/>
  <c r="R277" i="7"/>
  <c r="Q277" i="7"/>
  <c r="P277" i="7"/>
  <c r="N277" i="7"/>
  <c r="U276" i="7"/>
  <c r="T276" i="7"/>
  <c r="S276" i="7"/>
  <c r="R276" i="7"/>
  <c r="Q276" i="7"/>
  <c r="P276" i="7"/>
  <c r="N276" i="7"/>
  <c r="U275" i="7"/>
  <c r="T275" i="7"/>
  <c r="S275" i="7"/>
  <c r="R275" i="7"/>
  <c r="Q275" i="7"/>
  <c r="P275" i="7"/>
  <c r="N275" i="7"/>
  <c r="U274" i="7"/>
  <c r="T274" i="7"/>
  <c r="S274" i="7"/>
  <c r="R274" i="7"/>
  <c r="Q274" i="7"/>
  <c r="P274" i="7"/>
  <c r="N274" i="7"/>
  <c r="U273" i="7"/>
  <c r="T273" i="7"/>
  <c r="S273" i="7"/>
  <c r="R273" i="7"/>
  <c r="Q273" i="7"/>
  <c r="P273" i="7"/>
  <c r="N273" i="7"/>
  <c r="U272" i="7"/>
  <c r="T272" i="7"/>
  <c r="S272" i="7"/>
  <c r="R272" i="7"/>
  <c r="Q272" i="7"/>
  <c r="P272" i="7"/>
  <c r="N272" i="7"/>
  <c r="U271" i="7"/>
  <c r="T271" i="7"/>
  <c r="S271" i="7"/>
  <c r="R271" i="7"/>
  <c r="Q271" i="7"/>
  <c r="P271" i="7"/>
  <c r="N271" i="7"/>
  <c r="U270" i="7"/>
  <c r="T270" i="7"/>
  <c r="S270" i="7"/>
  <c r="R270" i="7"/>
  <c r="Q270" i="7"/>
  <c r="P270" i="7"/>
  <c r="N270" i="7"/>
  <c r="U269" i="7"/>
  <c r="T269" i="7"/>
  <c r="S269" i="7"/>
  <c r="R269" i="7"/>
  <c r="Q269" i="7"/>
  <c r="P269" i="7"/>
  <c r="N269" i="7"/>
  <c r="U268" i="7"/>
  <c r="T268" i="7"/>
  <c r="S268" i="7"/>
  <c r="R268" i="7"/>
  <c r="Q268" i="7"/>
  <c r="P268" i="7"/>
  <c r="N268" i="7"/>
  <c r="U267" i="7"/>
  <c r="T267" i="7"/>
  <c r="S267" i="7"/>
  <c r="R267" i="7"/>
  <c r="Q267" i="7"/>
  <c r="P267" i="7"/>
  <c r="N267" i="7"/>
  <c r="U266" i="7"/>
  <c r="T266" i="7"/>
  <c r="S266" i="7"/>
  <c r="R266" i="7"/>
  <c r="Q266" i="7"/>
  <c r="P266" i="7"/>
  <c r="N266" i="7"/>
  <c r="U265" i="7"/>
  <c r="T265" i="7"/>
  <c r="S265" i="7"/>
  <c r="R265" i="7"/>
  <c r="Q265" i="7"/>
  <c r="P265" i="7"/>
  <c r="N265" i="7"/>
  <c r="U264" i="7"/>
  <c r="T264" i="7"/>
  <c r="S264" i="7"/>
  <c r="R264" i="7"/>
  <c r="Q264" i="7"/>
  <c r="P264" i="7"/>
  <c r="N264" i="7"/>
  <c r="U263" i="7"/>
  <c r="T263" i="7"/>
  <c r="S263" i="7"/>
  <c r="R263" i="7"/>
  <c r="Q263" i="7"/>
  <c r="P263" i="7"/>
  <c r="N263" i="7"/>
  <c r="U262" i="7"/>
  <c r="T262" i="7"/>
  <c r="S262" i="7"/>
  <c r="R262" i="7"/>
  <c r="Q262" i="7"/>
  <c r="P262" i="7"/>
  <c r="N262" i="7"/>
  <c r="U261" i="7"/>
  <c r="T261" i="7"/>
  <c r="S261" i="7"/>
  <c r="R261" i="7"/>
  <c r="Q261" i="7"/>
  <c r="P261" i="7"/>
  <c r="N261" i="7"/>
  <c r="U260" i="7"/>
  <c r="T260" i="7"/>
  <c r="S260" i="7"/>
  <c r="R260" i="7"/>
  <c r="Q260" i="7"/>
  <c r="P260" i="7"/>
  <c r="N260" i="7"/>
  <c r="U259" i="7"/>
  <c r="T259" i="7"/>
  <c r="S259" i="7"/>
  <c r="R259" i="7"/>
  <c r="Q259" i="7"/>
  <c r="P259" i="7"/>
  <c r="N259" i="7"/>
  <c r="U258" i="7"/>
  <c r="T258" i="7"/>
  <c r="S258" i="7"/>
  <c r="R258" i="7"/>
  <c r="Q258" i="7"/>
  <c r="P258" i="7"/>
  <c r="N258" i="7"/>
  <c r="U257" i="7"/>
  <c r="T257" i="7"/>
  <c r="S257" i="7"/>
  <c r="R257" i="7"/>
  <c r="Q257" i="7"/>
  <c r="P257" i="7"/>
  <c r="N257" i="7"/>
  <c r="U256" i="7"/>
  <c r="T256" i="7"/>
  <c r="S256" i="7"/>
  <c r="R256" i="7"/>
  <c r="Q256" i="7"/>
  <c r="P256" i="7"/>
  <c r="N256" i="7"/>
  <c r="U255" i="7"/>
  <c r="T255" i="7"/>
  <c r="S255" i="7"/>
  <c r="R255" i="7"/>
  <c r="Q255" i="7"/>
  <c r="P255" i="7"/>
  <c r="N255" i="7"/>
  <c r="U254" i="7"/>
  <c r="T254" i="7"/>
  <c r="S254" i="7"/>
  <c r="R254" i="7"/>
  <c r="Q254" i="7"/>
  <c r="P254" i="7"/>
  <c r="N254" i="7"/>
  <c r="U253" i="7"/>
  <c r="T253" i="7"/>
  <c r="S253" i="7"/>
  <c r="R253" i="7"/>
  <c r="Q253" i="7"/>
  <c r="P253" i="7"/>
  <c r="N253" i="7"/>
  <c r="U252" i="7"/>
  <c r="T252" i="7"/>
  <c r="S252" i="7"/>
  <c r="R252" i="7"/>
  <c r="Q252" i="7"/>
  <c r="P252" i="7"/>
  <c r="N252" i="7"/>
  <c r="U251" i="7"/>
  <c r="T251" i="7"/>
  <c r="S251" i="7"/>
  <c r="R251" i="7"/>
  <c r="Q251" i="7"/>
  <c r="P251" i="7"/>
  <c r="N251" i="7"/>
  <c r="U250" i="7"/>
  <c r="T250" i="7"/>
  <c r="S250" i="7"/>
  <c r="R250" i="7"/>
  <c r="Q250" i="7"/>
  <c r="P250" i="7"/>
  <c r="N250" i="7"/>
  <c r="U249" i="7"/>
  <c r="T249" i="7"/>
  <c r="S249" i="7"/>
  <c r="R249" i="7"/>
  <c r="Q249" i="7"/>
  <c r="P249" i="7"/>
  <c r="N249" i="7"/>
  <c r="U248" i="7"/>
  <c r="T248" i="7"/>
  <c r="S248" i="7"/>
  <c r="R248" i="7"/>
  <c r="Q248" i="7"/>
  <c r="P248" i="7"/>
  <c r="N248" i="7"/>
  <c r="U247" i="7"/>
  <c r="T247" i="7"/>
  <c r="S247" i="7"/>
  <c r="R247" i="7"/>
  <c r="Q247" i="7"/>
  <c r="P247" i="7"/>
  <c r="N247" i="7"/>
  <c r="U246" i="7"/>
  <c r="T246" i="7"/>
  <c r="S246" i="7"/>
  <c r="R246" i="7"/>
  <c r="Q246" i="7"/>
  <c r="P246" i="7"/>
  <c r="N246" i="7"/>
  <c r="U245" i="7"/>
  <c r="T245" i="7"/>
  <c r="S245" i="7"/>
  <c r="R245" i="7"/>
  <c r="Q245" i="7"/>
  <c r="P245" i="7"/>
  <c r="N245" i="7"/>
  <c r="U244" i="7"/>
  <c r="T244" i="7"/>
  <c r="S244" i="7"/>
  <c r="R244" i="7"/>
  <c r="Q244" i="7"/>
  <c r="P244" i="7"/>
  <c r="N244" i="7"/>
  <c r="U243" i="7"/>
  <c r="T243" i="7"/>
  <c r="S243" i="7"/>
  <c r="R243" i="7"/>
  <c r="Q243" i="7"/>
  <c r="P243" i="7"/>
  <c r="N243" i="7"/>
  <c r="U242" i="7"/>
  <c r="T242" i="7"/>
  <c r="S242" i="7"/>
  <c r="R242" i="7"/>
  <c r="Q242" i="7"/>
  <c r="P242" i="7"/>
  <c r="N242" i="7"/>
  <c r="U241" i="7"/>
  <c r="T241" i="7"/>
  <c r="S241" i="7"/>
  <c r="R241" i="7"/>
  <c r="Q241" i="7"/>
  <c r="P241" i="7"/>
  <c r="N241" i="7"/>
  <c r="U240" i="7"/>
  <c r="T240" i="7"/>
  <c r="S240" i="7"/>
  <c r="R240" i="7"/>
  <c r="Q240" i="7"/>
  <c r="P240" i="7"/>
  <c r="N240" i="7"/>
  <c r="U239" i="7"/>
  <c r="T239" i="7"/>
  <c r="S239" i="7"/>
  <c r="R239" i="7"/>
  <c r="Q239" i="7"/>
  <c r="P239" i="7"/>
  <c r="N239" i="7"/>
  <c r="U238" i="7"/>
  <c r="T238" i="7"/>
  <c r="S238" i="7"/>
  <c r="R238" i="7"/>
  <c r="Q238" i="7"/>
  <c r="P238" i="7"/>
  <c r="N238" i="7"/>
  <c r="U237" i="7"/>
  <c r="T237" i="7"/>
  <c r="S237" i="7"/>
  <c r="R237" i="7"/>
  <c r="Q237" i="7"/>
  <c r="P237" i="7"/>
  <c r="N237" i="7"/>
  <c r="U236" i="7"/>
  <c r="T236" i="7"/>
  <c r="S236" i="7"/>
  <c r="R236" i="7"/>
  <c r="Q236" i="7"/>
  <c r="P236" i="7"/>
  <c r="N236" i="7"/>
  <c r="U235" i="7"/>
  <c r="T235" i="7"/>
  <c r="S235" i="7"/>
  <c r="R235" i="7"/>
  <c r="Q235" i="7"/>
  <c r="P235" i="7"/>
  <c r="N235" i="7"/>
  <c r="U234" i="7"/>
  <c r="T234" i="7"/>
  <c r="S234" i="7"/>
  <c r="R234" i="7"/>
  <c r="Q234" i="7"/>
  <c r="P234" i="7"/>
  <c r="N234" i="7"/>
  <c r="U233" i="7"/>
  <c r="T233" i="7"/>
  <c r="S233" i="7"/>
  <c r="R233" i="7"/>
  <c r="Q233" i="7"/>
  <c r="P233" i="7"/>
  <c r="N233" i="7"/>
  <c r="U232" i="7"/>
  <c r="T232" i="7"/>
  <c r="S232" i="7"/>
  <c r="R232" i="7"/>
  <c r="Q232" i="7"/>
  <c r="P232" i="7"/>
  <c r="N232" i="7"/>
  <c r="U231" i="7"/>
  <c r="T231" i="7"/>
  <c r="S231" i="7"/>
  <c r="R231" i="7"/>
  <c r="Q231" i="7"/>
  <c r="P231" i="7"/>
  <c r="N231" i="7"/>
  <c r="U230" i="7"/>
  <c r="T230" i="7"/>
  <c r="S230" i="7"/>
  <c r="R230" i="7"/>
  <c r="Q230" i="7"/>
  <c r="P230" i="7"/>
  <c r="N230" i="7"/>
  <c r="U229" i="7"/>
  <c r="T229" i="7"/>
  <c r="S229" i="7"/>
  <c r="R229" i="7"/>
  <c r="Q229" i="7"/>
  <c r="P229" i="7"/>
  <c r="N229" i="7"/>
  <c r="U228" i="7"/>
  <c r="T228" i="7"/>
  <c r="S228" i="7"/>
  <c r="R228" i="7"/>
  <c r="Q228" i="7"/>
  <c r="P228" i="7"/>
  <c r="N228" i="7"/>
  <c r="U227" i="7"/>
  <c r="T227" i="7"/>
  <c r="S227" i="7"/>
  <c r="R227" i="7"/>
  <c r="Q227" i="7"/>
  <c r="P227" i="7"/>
  <c r="N227" i="7"/>
  <c r="U226" i="7"/>
  <c r="T226" i="7"/>
  <c r="S226" i="7"/>
  <c r="R226" i="7"/>
  <c r="Q226" i="7"/>
  <c r="P226" i="7"/>
  <c r="N226" i="7"/>
  <c r="U225" i="7"/>
  <c r="T225" i="7"/>
  <c r="S225" i="7"/>
  <c r="R225" i="7"/>
  <c r="Q225" i="7"/>
  <c r="P225" i="7"/>
  <c r="N225" i="7"/>
  <c r="U224" i="7"/>
  <c r="T224" i="7"/>
  <c r="S224" i="7"/>
  <c r="R224" i="7"/>
  <c r="Q224" i="7"/>
  <c r="P224" i="7"/>
  <c r="N224" i="7"/>
  <c r="U223" i="7"/>
  <c r="T223" i="7"/>
  <c r="S223" i="7"/>
  <c r="R223" i="7"/>
  <c r="Q223" i="7"/>
  <c r="P223" i="7"/>
  <c r="N223" i="7"/>
  <c r="U222" i="7"/>
  <c r="T222" i="7"/>
  <c r="S222" i="7"/>
  <c r="R222" i="7"/>
  <c r="Q222" i="7"/>
  <c r="P222" i="7"/>
  <c r="N222" i="7"/>
  <c r="U221" i="7"/>
  <c r="T221" i="7"/>
  <c r="S221" i="7"/>
  <c r="R221" i="7"/>
  <c r="Q221" i="7"/>
  <c r="P221" i="7"/>
  <c r="N221" i="7"/>
  <c r="U220" i="7"/>
  <c r="T220" i="7"/>
  <c r="S220" i="7"/>
  <c r="R220" i="7"/>
  <c r="Q220" i="7"/>
  <c r="P220" i="7"/>
  <c r="N220" i="7"/>
  <c r="U219" i="7"/>
  <c r="T219" i="7"/>
  <c r="S219" i="7"/>
  <c r="R219" i="7"/>
  <c r="Q219" i="7"/>
  <c r="P219" i="7"/>
  <c r="N219" i="7"/>
  <c r="U218" i="7"/>
  <c r="T218" i="7"/>
  <c r="S218" i="7"/>
  <c r="R218" i="7"/>
  <c r="Q218" i="7"/>
  <c r="P218" i="7"/>
  <c r="N218" i="7"/>
  <c r="U217" i="7"/>
  <c r="T217" i="7"/>
  <c r="S217" i="7"/>
  <c r="R217" i="7"/>
  <c r="Q217" i="7"/>
  <c r="P217" i="7"/>
  <c r="N217" i="7"/>
  <c r="U216" i="7"/>
  <c r="T216" i="7"/>
  <c r="S216" i="7"/>
  <c r="R216" i="7"/>
  <c r="Q216" i="7"/>
  <c r="P216" i="7"/>
  <c r="N216" i="7"/>
  <c r="U215" i="7"/>
  <c r="T215" i="7"/>
  <c r="S215" i="7"/>
  <c r="R215" i="7"/>
  <c r="Q215" i="7"/>
  <c r="P215" i="7"/>
  <c r="N215" i="7"/>
  <c r="U214" i="7"/>
  <c r="T214" i="7"/>
  <c r="S214" i="7"/>
  <c r="R214" i="7"/>
  <c r="Q214" i="7"/>
  <c r="P214" i="7"/>
  <c r="N214" i="7"/>
  <c r="U213" i="7"/>
  <c r="T213" i="7"/>
  <c r="S213" i="7"/>
  <c r="R213" i="7"/>
  <c r="Q213" i="7"/>
  <c r="P213" i="7"/>
  <c r="N213" i="7"/>
  <c r="U212" i="7"/>
  <c r="T212" i="7"/>
  <c r="S212" i="7"/>
  <c r="R212" i="7"/>
  <c r="Q212" i="7"/>
  <c r="P212" i="7"/>
  <c r="N212" i="7"/>
  <c r="U211" i="7"/>
  <c r="T211" i="7"/>
  <c r="S211" i="7"/>
  <c r="R211" i="7"/>
  <c r="Q211" i="7"/>
  <c r="P211" i="7"/>
  <c r="N211" i="7"/>
  <c r="U210" i="7"/>
  <c r="T210" i="7"/>
  <c r="S210" i="7"/>
  <c r="R210" i="7"/>
  <c r="Q210" i="7"/>
  <c r="P210" i="7"/>
  <c r="N210" i="7"/>
  <c r="U209" i="7"/>
  <c r="T209" i="7"/>
  <c r="S209" i="7"/>
  <c r="R209" i="7"/>
  <c r="Q209" i="7"/>
  <c r="P209" i="7"/>
  <c r="N209" i="7"/>
  <c r="U208" i="7"/>
  <c r="T208" i="7"/>
  <c r="S208" i="7"/>
  <c r="R208" i="7"/>
  <c r="Q208" i="7"/>
  <c r="P208" i="7"/>
  <c r="N208" i="7"/>
  <c r="U207" i="7"/>
  <c r="T207" i="7"/>
  <c r="S207" i="7"/>
  <c r="R207" i="7"/>
  <c r="Q207" i="7"/>
  <c r="P207" i="7"/>
  <c r="N207" i="7"/>
  <c r="U206" i="7"/>
  <c r="T206" i="7"/>
  <c r="S206" i="7"/>
  <c r="R206" i="7"/>
  <c r="Q206" i="7"/>
  <c r="P206" i="7"/>
  <c r="N206" i="7"/>
  <c r="U205" i="7"/>
  <c r="T205" i="7"/>
  <c r="S205" i="7"/>
  <c r="R205" i="7"/>
  <c r="Q205" i="7"/>
  <c r="P205" i="7"/>
  <c r="N205" i="7"/>
  <c r="U204" i="7"/>
  <c r="T204" i="7"/>
  <c r="S204" i="7"/>
  <c r="R204" i="7"/>
  <c r="Q204" i="7"/>
  <c r="P204" i="7"/>
  <c r="N204" i="7"/>
  <c r="U203" i="7"/>
  <c r="T203" i="7"/>
  <c r="S203" i="7"/>
  <c r="R203" i="7"/>
  <c r="Q203" i="7"/>
  <c r="P203" i="7"/>
  <c r="N203" i="7"/>
  <c r="U202" i="7"/>
  <c r="T202" i="7"/>
  <c r="S202" i="7"/>
  <c r="R202" i="7"/>
  <c r="Q202" i="7"/>
  <c r="P202" i="7"/>
  <c r="N202" i="7"/>
  <c r="U201" i="7"/>
  <c r="T201" i="7"/>
  <c r="S201" i="7"/>
  <c r="R201" i="7"/>
  <c r="Q201" i="7"/>
  <c r="P201" i="7"/>
  <c r="N201" i="7"/>
  <c r="U200" i="7"/>
  <c r="T200" i="7"/>
  <c r="S200" i="7"/>
  <c r="R200" i="7"/>
  <c r="Q200" i="7"/>
  <c r="P200" i="7"/>
  <c r="N200" i="7"/>
  <c r="U199" i="7"/>
  <c r="T199" i="7"/>
  <c r="S199" i="7"/>
  <c r="R199" i="7"/>
  <c r="Q199" i="7"/>
  <c r="P199" i="7"/>
  <c r="N199" i="7"/>
  <c r="U198" i="7"/>
  <c r="T198" i="7"/>
  <c r="S198" i="7"/>
  <c r="R198" i="7"/>
  <c r="Q198" i="7"/>
  <c r="P198" i="7"/>
  <c r="N198" i="7"/>
  <c r="U197" i="7"/>
  <c r="T197" i="7"/>
  <c r="S197" i="7"/>
  <c r="R197" i="7"/>
  <c r="Q197" i="7"/>
  <c r="P197" i="7"/>
  <c r="N197" i="7"/>
  <c r="U196" i="7"/>
  <c r="T196" i="7"/>
  <c r="S196" i="7"/>
  <c r="R196" i="7"/>
  <c r="Q196" i="7"/>
  <c r="P196" i="7"/>
  <c r="N196" i="7"/>
  <c r="U195" i="7"/>
  <c r="T195" i="7"/>
  <c r="S195" i="7"/>
  <c r="R195" i="7"/>
  <c r="Q195" i="7"/>
  <c r="P195" i="7"/>
  <c r="N195" i="7"/>
  <c r="U194" i="7"/>
  <c r="T194" i="7"/>
  <c r="S194" i="7"/>
  <c r="R194" i="7"/>
  <c r="Q194" i="7"/>
  <c r="P194" i="7"/>
  <c r="N194" i="7"/>
  <c r="U193" i="7"/>
  <c r="T193" i="7"/>
  <c r="S193" i="7"/>
  <c r="R193" i="7"/>
  <c r="Q193" i="7"/>
  <c r="P193" i="7"/>
  <c r="N193" i="7"/>
  <c r="U192" i="7"/>
  <c r="T192" i="7"/>
  <c r="S192" i="7"/>
  <c r="R192" i="7"/>
  <c r="Q192" i="7"/>
  <c r="P192" i="7"/>
  <c r="N192" i="7"/>
  <c r="U191" i="7"/>
  <c r="T191" i="7"/>
  <c r="S191" i="7"/>
  <c r="R191" i="7"/>
  <c r="Q191" i="7"/>
  <c r="P191" i="7"/>
  <c r="N191" i="7"/>
  <c r="U190" i="7"/>
  <c r="T190" i="7"/>
  <c r="S190" i="7"/>
  <c r="R190" i="7"/>
  <c r="Q190" i="7"/>
  <c r="P190" i="7"/>
  <c r="N190" i="7"/>
  <c r="U189" i="7"/>
  <c r="T189" i="7"/>
  <c r="S189" i="7"/>
  <c r="R189" i="7"/>
  <c r="Q189" i="7"/>
  <c r="P189" i="7"/>
  <c r="N189" i="7"/>
  <c r="U188" i="7"/>
  <c r="T188" i="7"/>
  <c r="S188" i="7"/>
  <c r="R188" i="7"/>
  <c r="Q188" i="7"/>
  <c r="P188" i="7"/>
  <c r="N188" i="7"/>
  <c r="U187" i="7"/>
  <c r="T187" i="7"/>
  <c r="S187" i="7"/>
  <c r="R187" i="7"/>
  <c r="Q187" i="7"/>
  <c r="P187" i="7"/>
  <c r="N187" i="7"/>
  <c r="U186" i="7"/>
  <c r="T186" i="7"/>
  <c r="S186" i="7"/>
  <c r="R186" i="7"/>
  <c r="Q186" i="7"/>
  <c r="P186" i="7"/>
  <c r="N186" i="7"/>
  <c r="U185" i="7"/>
  <c r="T185" i="7"/>
  <c r="S185" i="7"/>
  <c r="R185" i="7"/>
  <c r="Q185" i="7"/>
  <c r="P185" i="7"/>
  <c r="N185" i="7"/>
  <c r="U184" i="7"/>
  <c r="T184" i="7"/>
  <c r="S184" i="7"/>
  <c r="R184" i="7"/>
  <c r="Q184" i="7"/>
  <c r="P184" i="7"/>
  <c r="N184" i="7"/>
  <c r="U183" i="7"/>
  <c r="T183" i="7"/>
  <c r="S183" i="7"/>
  <c r="R183" i="7"/>
  <c r="Q183" i="7"/>
  <c r="P183" i="7"/>
  <c r="N183" i="7"/>
  <c r="U182" i="7"/>
  <c r="T182" i="7"/>
  <c r="S182" i="7"/>
  <c r="R182" i="7"/>
  <c r="Q182" i="7"/>
  <c r="P182" i="7"/>
  <c r="N182" i="7"/>
  <c r="U181" i="7"/>
  <c r="T181" i="7"/>
  <c r="S181" i="7"/>
  <c r="R181" i="7"/>
  <c r="Q181" i="7"/>
  <c r="P181" i="7"/>
  <c r="N181" i="7"/>
  <c r="U180" i="7"/>
  <c r="T180" i="7"/>
  <c r="S180" i="7"/>
  <c r="R180" i="7"/>
  <c r="Q180" i="7"/>
  <c r="P180" i="7"/>
  <c r="N180" i="7"/>
  <c r="U179" i="7"/>
  <c r="T179" i="7"/>
  <c r="S179" i="7"/>
  <c r="R179" i="7"/>
  <c r="Q179" i="7"/>
  <c r="P179" i="7"/>
  <c r="N179" i="7"/>
  <c r="U178" i="7"/>
  <c r="T178" i="7"/>
  <c r="S178" i="7"/>
  <c r="R178" i="7"/>
  <c r="Q178" i="7"/>
  <c r="P178" i="7"/>
  <c r="N178" i="7"/>
  <c r="U177" i="7"/>
  <c r="T177" i="7"/>
  <c r="S177" i="7"/>
  <c r="R177" i="7"/>
  <c r="Q177" i="7"/>
  <c r="P177" i="7"/>
  <c r="N177" i="7"/>
  <c r="U176" i="7"/>
  <c r="T176" i="7"/>
  <c r="S176" i="7"/>
  <c r="R176" i="7"/>
  <c r="Q176" i="7"/>
  <c r="P176" i="7"/>
  <c r="N176" i="7"/>
  <c r="U175" i="7"/>
  <c r="T175" i="7"/>
  <c r="S175" i="7"/>
  <c r="R175" i="7"/>
  <c r="Q175" i="7"/>
  <c r="P175" i="7"/>
  <c r="N175" i="7"/>
  <c r="U174" i="7"/>
  <c r="T174" i="7"/>
  <c r="S174" i="7"/>
  <c r="R174" i="7"/>
  <c r="Q174" i="7"/>
  <c r="P174" i="7"/>
  <c r="N174" i="7"/>
  <c r="U173" i="7"/>
  <c r="T173" i="7"/>
  <c r="S173" i="7"/>
  <c r="R173" i="7"/>
  <c r="Q173" i="7"/>
  <c r="P173" i="7"/>
  <c r="N173" i="7"/>
  <c r="U172" i="7"/>
  <c r="T172" i="7"/>
  <c r="S172" i="7"/>
  <c r="R172" i="7"/>
  <c r="Q172" i="7"/>
  <c r="P172" i="7"/>
  <c r="N172" i="7"/>
  <c r="U171" i="7"/>
  <c r="T171" i="7"/>
  <c r="S171" i="7"/>
  <c r="R171" i="7"/>
  <c r="Q171" i="7"/>
  <c r="P171" i="7"/>
  <c r="N171" i="7"/>
  <c r="U170" i="7"/>
  <c r="T170" i="7"/>
  <c r="S170" i="7"/>
  <c r="R170" i="7"/>
  <c r="Q170" i="7"/>
  <c r="P170" i="7"/>
  <c r="N170" i="7"/>
  <c r="U169" i="7"/>
  <c r="T169" i="7"/>
  <c r="S169" i="7"/>
  <c r="R169" i="7"/>
  <c r="Q169" i="7"/>
  <c r="P169" i="7"/>
  <c r="N169" i="7"/>
  <c r="U168" i="7"/>
  <c r="T168" i="7"/>
  <c r="S168" i="7"/>
  <c r="R168" i="7"/>
  <c r="Q168" i="7"/>
  <c r="P168" i="7"/>
  <c r="N168" i="7"/>
  <c r="U167" i="7"/>
  <c r="T167" i="7"/>
  <c r="S167" i="7"/>
  <c r="R167" i="7"/>
  <c r="Q167" i="7"/>
  <c r="P167" i="7"/>
  <c r="N167" i="7"/>
  <c r="U166" i="7"/>
  <c r="T166" i="7"/>
  <c r="S166" i="7"/>
  <c r="R166" i="7"/>
  <c r="Q166" i="7"/>
  <c r="P166" i="7"/>
  <c r="N166" i="7"/>
  <c r="U165" i="7"/>
  <c r="T165" i="7"/>
  <c r="S165" i="7"/>
  <c r="R165" i="7"/>
  <c r="Q165" i="7"/>
  <c r="P165" i="7"/>
  <c r="N165" i="7"/>
  <c r="U164" i="7"/>
  <c r="T164" i="7"/>
  <c r="S164" i="7"/>
  <c r="R164" i="7"/>
  <c r="Q164" i="7"/>
  <c r="P164" i="7"/>
  <c r="N164" i="7"/>
  <c r="U163" i="7"/>
  <c r="T163" i="7"/>
  <c r="S163" i="7"/>
  <c r="R163" i="7"/>
  <c r="Q163" i="7"/>
  <c r="P163" i="7"/>
  <c r="N163" i="7"/>
  <c r="U162" i="7"/>
  <c r="T162" i="7"/>
  <c r="S162" i="7"/>
  <c r="R162" i="7"/>
  <c r="Q162" i="7"/>
  <c r="P162" i="7"/>
  <c r="N162" i="7"/>
  <c r="U161" i="7"/>
  <c r="T161" i="7"/>
  <c r="S161" i="7"/>
  <c r="R161" i="7"/>
  <c r="Q161" i="7"/>
  <c r="P161" i="7"/>
  <c r="N161" i="7"/>
  <c r="U160" i="7"/>
  <c r="T160" i="7"/>
  <c r="S160" i="7"/>
  <c r="R160" i="7"/>
  <c r="Q160" i="7"/>
  <c r="P160" i="7"/>
  <c r="N160" i="7"/>
  <c r="U159" i="7"/>
  <c r="T159" i="7"/>
  <c r="S159" i="7"/>
  <c r="R159" i="7"/>
  <c r="Q159" i="7"/>
  <c r="P159" i="7"/>
  <c r="N159" i="7"/>
  <c r="U158" i="7"/>
  <c r="T158" i="7"/>
  <c r="S158" i="7"/>
  <c r="R158" i="7"/>
  <c r="Q158" i="7"/>
  <c r="P158" i="7"/>
  <c r="N158" i="7"/>
  <c r="U157" i="7"/>
  <c r="T157" i="7"/>
  <c r="S157" i="7"/>
  <c r="R157" i="7"/>
  <c r="Q157" i="7"/>
  <c r="P157" i="7"/>
  <c r="N157" i="7"/>
  <c r="U156" i="7"/>
  <c r="T156" i="7"/>
  <c r="S156" i="7"/>
  <c r="R156" i="7"/>
  <c r="Q156" i="7"/>
  <c r="P156" i="7"/>
  <c r="N156" i="7"/>
  <c r="U155" i="7"/>
  <c r="T155" i="7"/>
  <c r="S155" i="7"/>
  <c r="R155" i="7"/>
  <c r="Q155" i="7"/>
  <c r="P155" i="7"/>
  <c r="N155" i="7"/>
  <c r="U154" i="7"/>
  <c r="T154" i="7"/>
  <c r="S154" i="7"/>
  <c r="R154" i="7"/>
  <c r="Q154" i="7"/>
  <c r="P154" i="7"/>
  <c r="N154" i="7"/>
  <c r="U153" i="7"/>
  <c r="T153" i="7"/>
  <c r="S153" i="7"/>
  <c r="R153" i="7"/>
  <c r="Q153" i="7"/>
  <c r="P153" i="7"/>
  <c r="N153" i="7"/>
  <c r="U152" i="7"/>
  <c r="T152" i="7"/>
  <c r="S152" i="7"/>
  <c r="R152" i="7"/>
  <c r="Q152" i="7"/>
  <c r="P152" i="7"/>
  <c r="N152" i="7"/>
  <c r="U151" i="7"/>
  <c r="T151" i="7"/>
  <c r="S151" i="7"/>
  <c r="R151" i="7"/>
  <c r="Q151" i="7"/>
  <c r="P151" i="7"/>
  <c r="N151" i="7"/>
  <c r="U150" i="7"/>
  <c r="T150" i="7"/>
  <c r="S150" i="7"/>
  <c r="R150" i="7"/>
  <c r="Q150" i="7"/>
  <c r="P150" i="7"/>
  <c r="N150" i="7"/>
  <c r="U149" i="7"/>
  <c r="T149" i="7"/>
  <c r="S149" i="7"/>
  <c r="R149" i="7"/>
  <c r="Q149" i="7"/>
  <c r="P149" i="7"/>
  <c r="N149" i="7"/>
  <c r="U148" i="7"/>
  <c r="T148" i="7"/>
  <c r="S148" i="7"/>
  <c r="R148" i="7"/>
  <c r="Q148" i="7"/>
  <c r="P148" i="7"/>
  <c r="N148" i="7"/>
  <c r="U147" i="7"/>
  <c r="T147" i="7"/>
  <c r="S147" i="7"/>
  <c r="R147" i="7"/>
  <c r="Q147" i="7"/>
  <c r="P147" i="7"/>
  <c r="N147" i="7"/>
  <c r="U146" i="7"/>
  <c r="T146" i="7"/>
  <c r="S146" i="7"/>
  <c r="R146" i="7"/>
  <c r="Q146" i="7"/>
  <c r="P146" i="7"/>
  <c r="N146" i="7"/>
  <c r="U145" i="7"/>
  <c r="T145" i="7"/>
  <c r="S145" i="7"/>
  <c r="R145" i="7"/>
  <c r="Q145" i="7"/>
  <c r="P145" i="7"/>
  <c r="N145" i="7"/>
  <c r="U144" i="7"/>
  <c r="T144" i="7"/>
  <c r="S144" i="7"/>
  <c r="R144" i="7"/>
  <c r="Q144" i="7"/>
  <c r="P144" i="7"/>
  <c r="N144" i="7"/>
  <c r="U143" i="7"/>
  <c r="T143" i="7"/>
  <c r="S143" i="7"/>
  <c r="R143" i="7"/>
  <c r="Q143" i="7"/>
  <c r="P143" i="7"/>
  <c r="N143" i="7"/>
  <c r="U142" i="7"/>
  <c r="T142" i="7"/>
  <c r="S142" i="7"/>
  <c r="R142" i="7"/>
  <c r="Q142" i="7"/>
  <c r="P142" i="7"/>
  <c r="N142" i="7"/>
  <c r="U141" i="7"/>
  <c r="T141" i="7"/>
  <c r="S141" i="7"/>
  <c r="R141" i="7"/>
  <c r="Q141" i="7"/>
  <c r="P141" i="7"/>
  <c r="N141" i="7"/>
  <c r="U140" i="7"/>
  <c r="T140" i="7"/>
  <c r="S140" i="7"/>
  <c r="R140" i="7"/>
  <c r="Q140" i="7"/>
  <c r="P140" i="7"/>
  <c r="N140" i="7"/>
  <c r="U139" i="7"/>
  <c r="T139" i="7"/>
  <c r="S139" i="7"/>
  <c r="R139" i="7"/>
  <c r="Q139" i="7"/>
  <c r="P139" i="7"/>
  <c r="N139" i="7"/>
  <c r="U138" i="7"/>
  <c r="T138" i="7"/>
  <c r="S138" i="7"/>
  <c r="R138" i="7"/>
  <c r="Q138" i="7"/>
  <c r="P138" i="7"/>
  <c r="N138" i="7"/>
  <c r="U137" i="7"/>
  <c r="T137" i="7"/>
  <c r="S137" i="7"/>
  <c r="R137" i="7"/>
  <c r="Q137" i="7"/>
  <c r="P137" i="7"/>
  <c r="N137" i="7"/>
  <c r="U136" i="7"/>
  <c r="T136" i="7"/>
  <c r="S136" i="7"/>
  <c r="R136" i="7"/>
  <c r="Q136" i="7"/>
  <c r="P136" i="7"/>
  <c r="N136" i="7"/>
  <c r="U135" i="7"/>
  <c r="T135" i="7"/>
  <c r="S135" i="7"/>
  <c r="R135" i="7"/>
  <c r="Q135" i="7"/>
  <c r="P135" i="7"/>
  <c r="N135" i="7"/>
  <c r="U134" i="7"/>
  <c r="T134" i="7"/>
  <c r="S134" i="7"/>
  <c r="R134" i="7"/>
  <c r="Q134" i="7"/>
  <c r="P134" i="7"/>
  <c r="N134" i="7"/>
  <c r="U133" i="7"/>
  <c r="T133" i="7"/>
  <c r="S133" i="7"/>
  <c r="R133" i="7"/>
  <c r="Q133" i="7"/>
  <c r="P133" i="7"/>
  <c r="N133" i="7"/>
  <c r="U132" i="7"/>
  <c r="T132" i="7"/>
  <c r="S132" i="7"/>
  <c r="R132" i="7"/>
  <c r="Q132" i="7"/>
  <c r="P132" i="7"/>
  <c r="N132" i="7"/>
  <c r="U131" i="7"/>
  <c r="T131" i="7"/>
  <c r="S131" i="7"/>
  <c r="R131" i="7"/>
  <c r="Q131" i="7"/>
  <c r="P131" i="7"/>
  <c r="N131" i="7"/>
  <c r="U130" i="7"/>
  <c r="T130" i="7"/>
  <c r="S130" i="7"/>
  <c r="R130" i="7"/>
  <c r="Q130" i="7"/>
  <c r="P130" i="7"/>
  <c r="N130" i="7"/>
  <c r="U129" i="7"/>
  <c r="T129" i="7"/>
  <c r="S129" i="7"/>
  <c r="R129" i="7"/>
  <c r="Q129" i="7"/>
  <c r="P129" i="7"/>
  <c r="N129" i="7"/>
  <c r="U128" i="7"/>
  <c r="T128" i="7"/>
  <c r="S128" i="7"/>
  <c r="R128" i="7"/>
  <c r="Q128" i="7"/>
  <c r="P128" i="7"/>
  <c r="N128" i="7"/>
  <c r="U127" i="7"/>
  <c r="T127" i="7"/>
  <c r="S127" i="7"/>
  <c r="R127" i="7"/>
  <c r="Q127" i="7"/>
  <c r="P127" i="7"/>
  <c r="N127" i="7"/>
  <c r="U126" i="7"/>
  <c r="T126" i="7"/>
  <c r="S126" i="7"/>
  <c r="R126" i="7"/>
  <c r="Q126" i="7"/>
  <c r="P126" i="7"/>
  <c r="N126" i="7"/>
  <c r="U125" i="7"/>
  <c r="T125" i="7"/>
  <c r="S125" i="7"/>
  <c r="R125" i="7"/>
  <c r="Q125" i="7"/>
  <c r="P125" i="7"/>
  <c r="N125" i="7"/>
  <c r="U124" i="7"/>
  <c r="T124" i="7"/>
  <c r="S124" i="7"/>
  <c r="R124" i="7"/>
  <c r="Q124" i="7"/>
  <c r="P124" i="7"/>
  <c r="N124" i="7"/>
  <c r="U123" i="7"/>
  <c r="T123" i="7"/>
  <c r="S123" i="7"/>
  <c r="R123" i="7"/>
  <c r="Q123" i="7"/>
  <c r="P123" i="7"/>
  <c r="N123" i="7"/>
  <c r="U122" i="7"/>
  <c r="T122" i="7"/>
  <c r="S122" i="7"/>
  <c r="R122" i="7"/>
  <c r="Q122" i="7"/>
  <c r="P122" i="7"/>
  <c r="N122" i="7"/>
  <c r="U121" i="7"/>
  <c r="T121" i="7"/>
  <c r="S121" i="7"/>
  <c r="R121" i="7"/>
  <c r="Q121" i="7"/>
  <c r="P121" i="7"/>
  <c r="N121" i="7"/>
  <c r="U120" i="7"/>
  <c r="T120" i="7"/>
  <c r="S120" i="7"/>
  <c r="R120" i="7"/>
  <c r="Q120" i="7"/>
  <c r="P120" i="7"/>
  <c r="N120" i="7"/>
  <c r="U119" i="7"/>
  <c r="T119" i="7"/>
  <c r="S119" i="7"/>
  <c r="R119" i="7"/>
  <c r="Q119" i="7"/>
  <c r="P119" i="7"/>
  <c r="N119" i="7"/>
  <c r="U118" i="7"/>
  <c r="T118" i="7"/>
  <c r="S118" i="7"/>
  <c r="R118" i="7"/>
  <c r="Q118" i="7"/>
  <c r="P118" i="7"/>
  <c r="N118" i="7"/>
  <c r="U117" i="7"/>
  <c r="T117" i="7"/>
  <c r="S117" i="7"/>
  <c r="R117" i="7"/>
  <c r="Q117" i="7"/>
  <c r="P117" i="7"/>
  <c r="N117" i="7"/>
  <c r="U116" i="7"/>
  <c r="T116" i="7"/>
  <c r="S116" i="7"/>
  <c r="R116" i="7"/>
  <c r="Q116" i="7"/>
  <c r="P116" i="7"/>
  <c r="N116" i="7"/>
  <c r="U115" i="7"/>
  <c r="T115" i="7"/>
  <c r="S115" i="7"/>
  <c r="R115" i="7"/>
  <c r="Q115" i="7"/>
  <c r="P115" i="7"/>
  <c r="N115" i="7"/>
  <c r="U114" i="7"/>
  <c r="T114" i="7"/>
  <c r="S114" i="7"/>
  <c r="R114" i="7"/>
  <c r="Q114" i="7"/>
  <c r="P114" i="7"/>
  <c r="N114" i="7"/>
  <c r="U113" i="7"/>
  <c r="T113" i="7"/>
  <c r="S113" i="7"/>
  <c r="R113" i="7"/>
  <c r="Q113" i="7"/>
  <c r="P113" i="7"/>
  <c r="N113" i="7"/>
  <c r="U112" i="7"/>
  <c r="T112" i="7"/>
  <c r="S112" i="7"/>
  <c r="R112" i="7"/>
  <c r="Q112" i="7"/>
  <c r="P112" i="7"/>
  <c r="N112" i="7"/>
  <c r="U111" i="7"/>
  <c r="T111" i="7"/>
  <c r="S111" i="7"/>
  <c r="R111" i="7"/>
  <c r="Q111" i="7"/>
  <c r="P111" i="7"/>
  <c r="N111" i="7"/>
  <c r="U110" i="7"/>
  <c r="T110" i="7"/>
  <c r="S110" i="7"/>
  <c r="R110" i="7"/>
  <c r="Q110" i="7"/>
  <c r="P110" i="7"/>
  <c r="N110" i="7"/>
  <c r="U109" i="7"/>
  <c r="T109" i="7"/>
  <c r="S109" i="7"/>
  <c r="R109" i="7"/>
  <c r="Q109" i="7"/>
  <c r="P109" i="7"/>
  <c r="N109" i="7"/>
  <c r="U108" i="7"/>
  <c r="T108" i="7"/>
  <c r="S108" i="7"/>
  <c r="R108" i="7"/>
  <c r="Q108" i="7"/>
  <c r="P108" i="7"/>
  <c r="N108" i="7"/>
  <c r="U107" i="7"/>
  <c r="T107" i="7"/>
  <c r="S107" i="7"/>
  <c r="R107" i="7"/>
  <c r="Q107" i="7"/>
  <c r="P107" i="7"/>
  <c r="N107" i="7"/>
  <c r="U106" i="7"/>
  <c r="T106" i="7"/>
  <c r="S106" i="7"/>
  <c r="R106" i="7"/>
  <c r="Q106" i="7"/>
  <c r="P106" i="7"/>
  <c r="N106" i="7"/>
  <c r="U105" i="7"/>
  <c r="T105" i="7"/>
  <c r="S105" i="7"/>
  <c r="R105" i="7"/>
  <c r="Q105" i="7"/>
  <c r="P105" i="7"/>
  <c r="N105" i="7"/>
  <c r="U104" i="7"/>
  <c r="T104" i="7"/>
  <c r="S104" i="7"/>
  <c r="R104" i="7"/>
  <c r="Q104" i="7"/>
  <c r="P104" i="7"/>
  <c r="N104" i="7"/>
  <c r="U103" i="7"/>
  <c r="T103" i="7"/>
  <c r="S103" i="7"/>
  <c r="R103" i="7"/>
  <c r="Q103" i="7"/>
  <c r="P103" i="7"/>
  <c r="N103" i="7"/>
  <c r="U102" i="7"/>
  <c r="T102" i="7"/>
  <c r="S102" i="7"/>
  <c r="R102" i="7"/>
  <c r="Q102" i="7"/>
  <c r="P102" i="7"/>
  <c r="N102" i="7"/>
  <c r="U101" i="7"/>
  <c r="T101" i="7"/>
  <c r="S101" i="7"/>
  <c r="R101" i="7"/>
  <c r="Q101" i="7"/>
  <c r="P101" i="7"/>
  <c r="N101" i="7"/>
  <c r="U100" i="7"/>
  <c r="T100" i="7"/>
  <c r="S100" i="7"/>
  <c r="R100" i="7"/>
  <c r="Q100" i="7"/>
  <c r="P100" i="7"/>
  <c r="N100" i="7"/>
  <c r="U99" i="7"/>
  <c r="T99" i="7"/>
  <c r="S99" i="7"/>
  <c r="R99" i="7"/>
  <c r="Q99" i="7"/>
  <c r="P99" i="7"/>
  <c r="N99" i="7"/>
  <c r="U98" i="7"/>
  <c r="T98" i="7"/>
  <c r="S98" i="7"/>
  <c r="R98" i="7"/>
  <c r="Q98" i="7"/>
  <c r="P98" i="7"/>
  <c r="N98" i="7"/>
  <c r="U97" i="7"/>
  <c r="T97" i="7"/>
  <c r="S97" i="7"/>
  <c r="R97" i="7"/>
  <c r="Q97" i="7"/>
  <c r="P97" i="7"/>
  <c r="N97" i="7"/>
  <c r="U96" i="7"/>
  <c r="T96" i="7"/>
  <c r="S96" i="7"/>
  <c r="R96" i="7"/>
  <c r="Q96" i="7"/>
  <c r="P96" i="7"/>
  <c r="N96" i="7"/>
  <c r="U95" i="7"/>
  <c r="T95" i="7"/>
  <c r="S95" i="7"/>
  <c r="R95" i="7"/>
  <c r="Q95" i="7"/>
  <c r="P95" i="7"/>
  <c r="N95" i="7"/>
  <c r="U94" i="7"/>
  <c r="T94" i="7"/>
  <c r="S94" i="7"/>
  <c r="R94" i="7"/>
  <c r="Q94" i="7"/>
  <c r="P94" i="7"/>
  <c r="N94" i="7"/>
  <c r="U93" i="7"/>
  <c r="T93" i="7"/>
  <c r="S93" i="7"/>
  <c r="R93" i="7"/>
  <c r="Q93" i="7"/>
  <c r="P93" i="7"/>
  <c r="N93" i="7"/>
  <c r="U92" i="7"/>
  <c r="T92" i="7"/>
  <c r="S92" i="7"/>
  <c r="R92" i="7"/>
  <c r="Q92" i="7"/>
  <c r="P92" i="7"/>
  <c r="N92" i="7"/>
  <c r="U91" i="7"/>
  <c r="T91" i="7"/>
  <c r="S91" i="7"/>
  <c r="R91" i="7"/>
  <c r="Q91" i="7"/>
  <c r="P91" i="7"/>
  <c r="N91" i="7"/>
  <c r="U90" i="7"/>
  <c r="T90" i="7"/>
  <c r="S90" i="7"/>
  <c r="R90" i="7"/>
  <c r="Q90" i="7"/>
  <c r="P90" i="7"/>
  <c r="N90" i="7"/>
  <c r="U89" i="7"/>
  <c r="T89" i="7"/>
  <c r="S89" i="7"/>
  <c r="R89" i="7"/>
  <c r="Q89" i="7"/>
  <c r="P89" i="7"/>
  <c r="N89" i="7"/>
  <c r="U88" i="7"/>
  <c r="T88" i="7"/>
  <c r="S88" i="7"/>
  <c r="R88" i="7"/>
  <c r="Q88" i="7"/>
  <c r="P88" i="7"/>
  <c r="N88" i="7"/>
  <c r="U87" i="7"/>
  <c r="T87" i="7"/>
  <c r="S87" i="7"/>
  <c r="R87" i="7"/>
  <c r="Q87" i="7"/>
  <c r="P87" i="7"/>
  <c r="N87" i="7"/>
  <c r="U86" i="7"/>
  <c r="T86" i="7"/>
  <c r="S86" i="7"/>
  <c r="R86" i="7"/>
  <c r="Q86" i="7"/>
  <c r="P86" i="7"/>
  <c r="N86" i="7"/>
  <c r="U85" i="7"/>
  <c r="T85" i="7"/>
  <c r="S85" i="7"/>
  <c r="R85" i="7"/>
  <c r="Q85" i="7"/>
  <c r="P85" i="7"/>
  <c r="N85" i="7"/>
  <c r="U84" i="7"/>
  <c r="T84" i="7"/>
  <c r="S84" i="7"/>
  <c r="R84" i="7"/>
  <c r="Q84" i="7"/>
  <c r="P84" i="7"/>
  <c r="N84" i="7"/>
  <c r="U83" i="7"/>
  <c r="T83" i="7"/>
  <c r="S83" i="7"/>
  <c r="R83" i="7"/>
  <c r="Q83" i="7"/>
  <c r="P83" i="7"/>
  <c r="N83" i="7"/>
  <c r="U82" i="7"/>
  <c r="T82" i="7"/>
  <c r="S82" i="7"/>
  <c r="R82" i="7"/>
  <c r="Q82" i="7"/>
  <c r="P82" i="7"/>
  <c r="N82" i="7"/>
  <c r="U81" i="7"/>
  <c r="T81" i="7"/>
  <c r="S81" i="7"/>
  <c r="R81" i="7"/>
  <c r="Q81" i="7"/>
  <c r="P81" i="7"/>
  <c r="N81" i="7"/>
  <c r="U80" i="7"/>
  <c r="T80" i="7"/>
  <c r="S80" i="7"/>
  <c r="R80" i="7"/>
  <c r="Q80" i="7"/>
  <c r="P80" i="7"/>
  <c r="N80" i="7"/>
  <c r="U79" i="7"/>
  <c r="T79" i="7"/>
  <c r="S79" i="7"/>
  <c r="R79" i="7"/>
  <c r="Q79" i="7"/>
  <c r="P79" i="7"/>
  <c r="N79" i="7"/>
  <c r="U78" i="7"/>
  <c r="T78" i="7"/>
  <c r="S78" i="7"/>
  <c r="R78" i="7"/>
  <c r="Q78" i="7"/>
  <c r="P78" i="7"/>
  <c r="N78" i="7"/>
  <c r="U77" i="7"/>
  <c r="T77" i="7"/>
  <c r="S77" i="7"/>
  <c r="R77" i="7"/>
  <c r="Q77" i="7"/>
  <c r="P77" i="7"/>
  <c r="N77" i="7"/>
  <c r="U76" i="7"/>
  <c r="T76" i="7"/>
  <c r="S76" i="7"/>
  <c r="R76" i="7"/>
  <c r="Q76" i="7"/>
  <c r="P76" i="7"/>
  <c r="N76" i="7"/>
  <c r="U75" i="7"/>
  <c r="T75" i="7"/>
  <c r="S75" i="7"/>
  <c r="R75" i="7"/>
  <c r="Q75" i="7"/>
  <c r="P75" i="7"/>
  <c r="N75" i="7"/>
  <c r="U74" i="7"/>
  <c r="T74" i="7"/>
  <c r="S74" i="7"/>
  <c r="R74" i="7"/>
  <c r="Q74" i="7"/>
  <c r="P74" i="7"/>
  <c r="N74" i="7"/>
  <c r="U73" i="7"/>
  <c r="T73" i="7"/>
  <c r="S73" i="7"/>
  <c r="R73" i="7"/>
  <c r="Q73" i="7"/>
  <c r="P73" i="7"/>
  <c r="N73" i="7"/>
  <c r="U72" i="7"/>
  <c r="T72" i="7"/>
  <c r="S72" i="7"/>
  <c r="R72" i="7"/>
  <c r="Q72" i="7"/>
  <c r="P72" i="7"/>
  <c r="N72" i="7"/>
  <c r="U71" i="7"/>
  <c r="T71" i="7"/>
  <c r="S71" i="7"/>
  <c r="R71" i="7"/>
  <c r="Q71" i="7"/>
  <c r="P71" i="7"/>
  <c r="N71" i="7"/>
  <c r="U70" i="7"/>
  <c r="T70" i="7"/>
  <c r="S70" i="7"/>
  <c r="R70" i="7"/>
  <c r="Q70" i="7"/>
  <c r="P70" i="7"/>
  <c r="N70" i="7"/>
  <c r="U69" i="7"/>
  <c r="T69" i="7"/>
  <c r="S69" i="7"/>
  <c r="R69" i="7"/>
  <c r="Q69" i="7"/>
  <c r="P69" i="7"/>
  <c r="N69" i="7"/>
  <c r="U68" i="7"/>
  <c r="T68" i="7"/>
  <c r="S68" i="7"/>
  <c r="R68" i="7"/>
  <c r="Q68" i="7"/>
  <c r="P68" i="7"/>
  <c r="N68" i="7"/>
  <c r="U67" i="7"/>
  <c r="T67" i="7"/>
  <c r="S67" i="7"/>
  <c r="R67" i="7"/>
  <c r="Q67" i="7"/>
  <c r="P67" i="7"/>
  <c r="N67" i="7"/>
  <c r="U66" i="7"/>
  <c r="T66" i="7"/>
  <c r="S66" i="7"/>
  <c r="R66" i="7"/>
  <c r="Q66" i="7"/>
  <c r="P66" i="7"/>
  <c r="N66" i="7"/>
  <c r="U65" i="7"/>
  <c r="T65" i="7"/>
  <c r="S65" i="7"/>
  <c r="R65" i="7"/>
  <c r="Q65" i="7"/>
  <c r="P65" i="7"/>
  <c r="N65" i="7"/>
  <c r="U64" i="7"/>
  <c r="T64" i="7"/>
  <c r="S64" i="7"/>
  <c r="R64" i="7"/>
  <c r="Q64" i="7"/>
  <c r="P64" i="7"/>
  <c r="N64" i="7"/>
  <c r="U63" i="7"/>
  <c r="T63" i="7"/>
  <c r="S63" i="7"/>
  <c r="R63" i="7"/>
  <c r="Q63" i="7"/>
  <c r="P63" i="7"/>
  <c r="N63" i="7"/>
  <c r="U62" i="7"/>
  <c r="T62" i="7"/>
  <c r="S62" i="7"/>
  <c r="R62" i="7"/>
  <c r="Q62" i="7"/>
  <c r="P62" i="7"/>
  <c r="N62" i="7"/>
  <c r="U61" i="7"/>
  <c r="T61" i="7"/>
  <c r="S61" i="7"/>
  <c r="R61" i="7"/>
  <c r="Q61" i="7"/>
  <c r="P61" i="7"/>
  <c r="N61" i="7"/>
  <c r="U60" i="7"/>
  <c r="T60" i="7"/>
  <c r="S60" i="7"/>
  <c r="R60" i="7"/>
  <c r="Q60" i="7"/>
  <c r="P60" i="7"/>
  <c r="N60" i="7"/>
  <c r="U59" i="7"/>
  <c r="T59" i="7"/>
  <c r="S59" i="7"/>
  <c r="R59" i="7"/>
  <c r="Q59" i="7"/>
  <c r="P59" i="7"/>
  <c r="N59" i="7"/>
  <c r="U58" i="7"/>
  <c r="T58" i="7"/>
  <c r="S58" i="7"/>
  <c r="R58" i="7"/>
  <c r="Q58" i="7"/>
  <c r="P58" i="7"/>
  <c r="N58" i="7"/>
  <c r="U57" i="7"/>
  <c r="T57" i="7"/>
  <c r="S57" i="7"/>
  <c r="R57" i="7"/>
  <c r="Q57" i="7"/>
  <c r="P57" i="7"/>
  <c r="N57" i="7"/>
  <c r="U56" i="7"/>
  <c r="T56" i="7"/>
  <c r="S56" i="7"/>
  <c r="R56" i="7"/>
  <c r="Q56" i="7"/>
  <c r="P56" i="7"/>
  <c r="N56" i="7"/>
  <c r="U55" i="7"/>
  <c r="T55" i="7"/>
  <c r="S55" i="7"/>
  <c r="R55" i="7"/>
  <c r="Q55" i="7"/>
  <c r="P55" i="7"/>
  <c r="N55" i="7"/>
  <c r="U54" i="7"/>
  <c r="T54" i="7"/>
  <c r="S54" i="7"/>
  <c r="R54" i="7"/>
  <c r="Q54" i="7"/>
  <c r="P54" i="7"/>
  <c r="N54" i="7"/>
  <c r="U53" i="7"/>
  <c r="T53" i="7"/>
  <c r="S53" i="7"/>
  <c r="R53" i="7"/>
  <c r="Q53" i="7"/>
  <c r="P53" i="7"/>
  <c r="N53" i="7"/>
  <c r="U52" i="7"/>
  <c r="T52" i="7"/>
  <c r="S52" i="7"/>
  <c r="R52" i="7"/>
  <c r="Q52" i="7"/>
  <c r="P52" i="7"/>
  <c r="N52" i="7"/>
  <c r="U51" i="7"/>
  <c r="T51" i="7"/>
  <c r="S51" i="7"/>
  <c r="R51" i="7"/>
  <c r="Q51" i="7"/>
  <c r="P51" i="7"/>
  <c r="N51" i="7"/>
  <c r="U50" i="7"/>
  <c r="T50" i="7"/>
  <c r="S50" i="7"/>
  <c r="R50" i="7"/>
  <c r="Q50" i="7"/>
  <c r="P50" i="7"/>
  <c r="N50" i="7"/>
  <c r="U49" i="7"/>
  <c r="T49" i="7"/>
  <c r="S49" i="7"/>
  <c r="R49" i="7"/>
  <c r="Q49" i="7"/>
  <c r="P49" i="7"/>
  <c r="N49" i="7"/>
  <c r="U48" i="7"/>
  <c r="T48" i="7"/>
  <c r="S48" i="7"/>
  <c r="R48" i="7"/>
  <c r="Q48" i="7"/>
  <c r="P48" i="7"/>
  <c r="N48" i="7"/>
  <c r="U47" i="7"/>
  <c r="T47" i="7"/>
  <c r="S47" i="7"/>
  <c r="R47" i="7"/>
  <c r="Q47" i="7"/>
  <c r="P47" i="7"/>
  <c r="N47" i="7"/>
  <c r="U46" i="7"/>
  <c r="T46" i="7"/>
  <c r="S46" i="7"/>
  <c r="R46" i="7"/>
  <c r="Q46" i="7"/>
  <c r="P46" i="7"/>
  <c r="N46" i="7"/>
  <c r="U45" i="7"/>
  <c r="T45" i="7"/>
  <c r="S45" i="7"/>
  <c r="R45" i="7"/>
  <c r="Q45" i="7"/>
  <c r="P45" i="7"/>
  <c r="N45" i="7"/>
  <c r="U44" i="7"/>
  <c r="T44" i="7"/>
  <c r="S44" i="7"/>
  <c r="R44" i="7"/>
  <c r="Q44" i="7"/>
  <c r="P44" i="7"/>
  <c r="N44" i="7"/>
  <c r="U43" i="7"/>
  <c r="T43" i="7"/>
  <c r="S43" i="7"/>
  <c r="R43" i="7"/>
  <c r="Q43" i="7"/>
  <c r="P43" i="7"/>
  <c r="N43" i="7"/>
  <c r="U42" i="7"/>
  <c r="T42" i="7"/>
  <c r="S42" i="7"/>
  <c r="R42" i="7"/>
  <c r="Q42" i="7"/>
  <c r="P42" i="7"/>
  <c r="N42" i="7"/>
  <c r="U41" i="7"/>
  <c r="T41" i="7"/>
  <c r="S41" i="7"/>
  <c r="R41" i="7"/>
  <c r="Q41" i="7"/>
  <c r="P41" i="7"/>
  <c r="N41" i="7"/>
  <c r="U40" i="7"/>
  <c r="T40" i="7"/>
  <c r="S40" i="7"/>
  <c r="R40" i="7"/>
  <c r="Q40" i="7"/>
  <c r="P40" i="7"/>
  <c r="N40" i="7"/>
  <c r="U39" i="7"/>
  <c r="T39" i="7"/>
  <c r="S39" i="7"/>
  <c r="R39" i="7"/>
  <c r="Q39" i="7"/>
  <c r="P39" i="7"/>
  <c r="N39" i="7"/>
  <c r="U38" i="7"/>
  <c r="T38" i="7"/>
  <c r="S38" i="7"/>
  <c r="R38" i="7"/>
  <c r="Q38" i="7"/>
  <c r="P38" i="7"/>
  <c r="N38" i="7"/>
  <c r="U37" i="7"/>
  <c r="T37" i="7"/>
  <c r="S37" i="7"/>
  <c r="R37" i="7"/>
  <c r="Q37" i="7"/>
  <c r="P37" i="7"/>
  <c r="N37" i="7"/>
  <c r="U36" i="7"/>
  <c r="T36" i="7"/>
  <c r="S36" i="7"/>
  <c r="R36" i="7"/>
  <c r="Q36" i="7"/>
  <c r="P36" i="7"/>
  <c r="N36" i="7"/>
  <c r="U35" i="7"/>
  <c r="T35" i="7"/>
  <c r="S35" i="7"/>
  <c r="R35" i="7"/>
  <c r="Q35" i="7"/>
  <c r="P35" i="7"/>
  <c r="N35" i="7"/>
  <c r="U34" i="7"/>
  <c r="T34" i="7"/>
  <c r="S34" i="7"/>
  <c r="R34" i="7"/>
  <c r="Q34" i="7"/>
  <c r="P34" i="7"/>
  <c r="N34" i="7"/>
  <c r="U33" i="7"/>
  <c r="T33" i="7"/>
  <c r="S33" i="7"/>
  <c r="R33" i="7"/>
  <c r="Q33" i="7"/>
  <c r="P33" i="7"/>
  <c r="N33" i="7"/>
  <c r="U32" i="7"/>
  <c r="T32" i="7"/>
  <c r="S32" i="7"/>
  <c r="R32" i="7"/>
  <c r="Q32" i="7"/>
  <c r="P32" i="7"/>
  <c r="N32" i="7"/>
  <c r="U31" i="7"/>
  <c r="T31" i="7"/>
  <c r="S31" i="7"/>
  <c r="R31" i="7"/>
  <c r="Q31" i="7"/>
  <c r="P31" i="7"/>
  <c r="N31" i="7"/>
  <c r="U30" i="7"/>
  <c r="T30" i="7"/>
  <c r="S30" i="7"/>
  <c r="R30" i="7"/>
  <c r="Q30" i="7"/>
  <c r="P30" i="7"/>
  <c r="N30" i="7"/>
  <c r="U29" i="7"/>
  <c r="T29" i="7"/>
  <c r="S29" i="7"/>
  <c r="R29" i="7"/>
  <c r="Q29" i="7"/>
  <c r="P29" i="7"/>
  <c r="N29" i="7"/>
  <c r="U28" i="7"/>
  <c r="T28" i="7"/>
  <c r="S28" i="7"/>
  <c r="R28" i="7"/>
  <c r="Q28" i="7"/>
  <c r="P28" i="7"/>
  <c r="N28" i="7"/>
  <c r="U27" i="7"/>
  <c r="T27" i="7"/>
  <c r="S27" i="7"/>
  <c r="R27" i="7"/>
  <c r="Q27" i="7"/>
  <c r="P27" i="7"/>
  <c r="N27" i="7"/>
  <c r="U26" i="7"/>
  <c r="T26" i="7"/>
  <c r="S26" i="7"/>
  <c r="R26" i="7"/>
  <c r="Q26" i="7"/>
  <c r="P26" i="7"/>
  <c r="N26" i="7"/>
  <c r="U25" i="7"/>
  <c r="T25" i="7"/>
  <c r="S25" i="7"/>
  <c r="R25" i="7"/>
  <c r="Q25" i="7"/>
  <c r="P25" i="7"/>
  <c r="N25" i="7"/>
  <c r="U24" i="7"/>
  <c r="T24" i="7"/>
  <c r="S24" i="7"/>
  <c r="R24" i="7"/>
  <c r="Q24" i="7"/>
  <c r="P24" i="7"/>
  <c r="N24" i="7"/>
  <c r="U23" i="7"/>
  <c r="T23" i="7"/>
  <c r="S23" i="7"/>
  <c r="R23" i="7"/>
  <c r="Q23" i="7"/>
  <c r="P23" i="7"/>
  <c r="N23" i="7"/>
  <c r="U22" i="7"/>
  <c r="T22" i="7"/>
  <c r="S22" i="7"/>
  <c r="R22" i="7"/>
  <c r="Q22" i="7"/>
  <c r="P22" i="7"/>
  <c r="N22" i="7"/>
  <c r="U21" i="7"/>
  <c r="T21" i="7"/>
  <c r="S21" i="7"/>
  <c r="R21" i="7"/>
  <c r="Q21" i="7"/>
  <c r="P21" i="7"/>
  <c r="N21" i="7"/>
  <c r="U20" i="7"/>
  <c r="T20" i="7"/>
  <c r="S20" i="7"/>
  <c r="R20" i="7"/>
  <c r="Q20" i="7"/>
  <c r="P20" i="7"/>
  <c r="N20" i="7"/>
  <c r="U19" i="7"/>
  <c r="T19" i="7"/>
  <c r="S19" i="7"/>
  <c r="R19" i="7"/>
  <c r="Q19" i="7"/>
  <c r="P19" i="7"/>
  <c r="N19" i="7"/>
  <c r="U18" i="7"/>
  <c r="T18" i="7"/>
  <c r="S18" i="7"/>
  <c r="R18" i="7"/>
  <c r="Q18" i="7"/>
  <c r="P18" i="7"/>
  <c r="N18" i="7"/>
  <c r="U17" i="7"/>
  <c r="T17" i="7"/>
  <c r="S17" i="7"/>
  <c r="R17" i="7"/>
  <c r="Q17" i="7"/>
  <c r="P17" i="7"/>
  <c r="N17" i="7"/>
  <c r="U16" i="7"/>
  <c r="T16" i="7"/>
  <c r="S16" i="7"/>
  <c r="R16" i="7"/>
  <c r="Q16" i="7"/>
  <c r="P16" i="7"/>
  <c r="N16" i="7"/>
  <c r="U15" i="7"/>
  <c r="T15" i="7"/>
  <c r="S15" i="7"/>
  <c r="R15" i="7"/>
  <c r="Q15" i="7"/>
  <c r="P15" i="7"/>
  <c r="N15" i="7"/>
  <c r="U14" i="7"/>
  <c r="T14" i="7"/>
  <c r="S14" i="7"/>
  <c r="R14" i="7"/>
  <c r="Q14" i="7"/>
  <c r="P14" i="7"/>
  <c r="N14" i="7"/>
  <c r="U13" i="7"/>
  <c r="T13" i="7"/>
  <c r="S13" i="7"/>
  <c r="R13" i="7"/>
  <c r="Q13" i="7"/>
  <c r="P13" i="7"/>
  <c r="N13" i="7"/>
  <c r="U12" i="7"/>
  <c r="T12" i="7"/>
  <c r="S12" i="7"/>
  <c r="R12" i="7"/>
  <c r="Q12" i="7"/>
  <c r="P12" i="7"/>
  <c r="N12" i="7"/>
  <c r="U11" i="7"/>
  <c r="T11" i="7"/>
  <c r="S11" i="7"/>
  <c r="R11" i="7"/>
  <c r="Q11" i="7"/>
  <c r="P11" i="7"/>
  <c r="N11" i="7"/>
  <c r="U10" i="7"/>
  <c r="T10" i="7"/>
  <c r="S10" i="7"/>
  <c r="R10" i="7"/>
  <c r="Q10" i="7"/>
  <c r="P10" i="7"/>
  <c r="N10" i="7"/>
  <c r="U9" i="7"/>
  <c r="T9" i="7"/>
  <c r="S9" i="7"/>
  <c r="R9" i="7"/>
  <c r="Q9" i="7"/>
  <c r="P9" i="7"/>
  <c r="N9" i="7"/>
  <c r="U8" i="7"/>
  <c r="T8" i="7"/>
  <c r="S8" i="7"/>
  <c r="R8" i="7"/>
  <c r="Q8" i="7"/>
  <c r="P8" i="7"/>
  <c r="N8" i="7"/>
  <c r="U7" i="7"/>
  <c r="T7" i="7"/>
  <c r="S7" i="7"/>
  <c r="R7" i="7"/>
  <c r="Q7" i="7"/>
  <c r="P7" i="7"/>
  <c r="N7" i="7"/>
  <c r="U6" i="7"/>
  <c r="T6" i="7"/>
  <c r="S6" i="7"/>
  <c r="R6" i="7"/>
  <c r="Q6" i="7"/>
  <c r="P6" i="7"/>
  <c r="N6" i="7"/>
  <c r="U5" i="7"/>
  <c r="T5" i="7"/>
  <c r="S5" i="7"/>
  <c r="R5" i="7"/>
  <c r="Q5" i="7"/>
  <c r="P5" i="7"/>
  <c r="N5" i="7"/>
  <c r="U4" i="7"/>
  <c r="T4" i="7"/>
  <c r="S4" i="7"/>
  <c r="R4" i="7"/>
  <c r="Q4" i="7"/>
  <c r="P4" i="7"/>
  <c r="N4" i="7"/>
  <c r="U3" i="7"/>
  <c r="T3" i="7"/>
  <c r="S3" i="7"/>
  <c r="R3" i="7"/>
  <c r="Q3" i="7"/>
  <c r="P3" i="7"/>
  <c r="N3" i="7"/>
  <c r="U2" i="7"/>
  <c r="T2" i="7"/>
  <c r="S2" i="7"/>
  <c r="R2" i="7"/>
  <c r="Q2" i="7"/>
  <c r="P2" i="7"/>
  <c r="N2" i="7"/>
  <c r="V1" i="7" l="1"/>
  <c r="Q1" i="7"/>
  <c r="S1" i="7"/>
  <c r="T1" i="7"/>
  <c r="U1" i="7"/>
  <c r="N1" i="7"/>
  <c r="P1" i="7"/>
  <c r="R1" i="7"/>
  <c r="K162" i="6"/>
  <c r="J162" i="6"/>
  <c r="I162" i="6"/>
  <c r="K161" i="6"/>
  <c r="J161" i="6"/>
  <c r="I161" i="6"/>
  <c r="K160" i="6"/>
  <c r="J160" i="6"/>
  <c r="I160" i="6"/>
  <c r="K159" i="6"/>
  <c r="J159" i="6"/>
  <c r="I159" i="6"/>
  <c r="K158" i="6"/>
  <c r="J158" i="6"/>
  <c r="I158" i="6"/>
  <c r="K157" i="6"/>
  <c r="J157" i="6"/>
  <c r="I157" i="6"/>
  <c r="K156" i="6"/>
  <c r="J156" i="6"/>
  <c r="I156" i="6"/>
  <c r="K155" i="6"/>
  <c r="J155" i="6"/>
  <c r="I155" i="6"/>
  <c r="K154" i="6"/>
  <c r="J154" i="6"/>
  <c r="I154" i="6"/>
  <c r="K153" i="6"/>
  <c r="J153" i="6"/>
  <c r="I153" i="6"/>
  <c r="K152" i="6"/>
  <c r="J152" i="6"/>
  <c r="I152" i="6"/>
  <c r="K151" i="6"/>
  <c r="J151" i="6"/>
  <c r="I151" i="6"/>
  <c r="K150" i="6"/>
  <c r="J150" i="6"/>
  <c r="I150" i="6"/>
  <c r="K149" i="6"/>
  <c r="J149" i="6"/>
  <c r="I149" i="6"/>
  <c r="K148" i="6"/>
  <c r="J148" i="6"/>
  <c r="I148" i="6"/>
  <c r="K147" i="6"/>
  <c r="J147" i="6"/>
  <c r="I147" i="6"/>
  <c r="K146" i="6"/>
  <c r="J146" i="6"/>
  <c r="I146" i="6"/>
  <c r="K145" i="6"/>
  <c r="J145" i="6"/>
  <c r="I145" i="6"/>
  <c r="K144" i="6"/>
  <c r="J144" i="6"/>
  <c r="I144" i="6"/>
  <c r="K143" i="6"/>
  <c r="J143" i="6"/>
  <c r="I143" i="6"/>
  <c r="K142" i="6"/>
  <c r="J142" i="6"/>
  <c r="I142" i="6"/>
  <c r="K141" i="6"/>
  <c r="J141" i="6"/>
  <c r="I141" i="6"/>
  <c r="K140" i="6"/>
  <c r="J140" i="6"/>
  <c r="I140" i="6"/>
  <c r="K139" i="6"/>
  <c r="J139" i="6"/>
  <c r="I139" i="6"/>
  <c r="K138" i="6"/>
  <c r="J138" i="6"/>
  <c r="I138" i="6"/>
  <c r="K137" i="6"/>
  <c r="J137" i="6"/>
  <c r="I137" i="6"/>
  <c r="K136" i="6"/>
  <c r="J136" i="6"/>
  <c r="I136" i="6"/>
  <c r="K135" i="6"/>
  <c r="J135" i="6"/>
  <c r="I135" i="6"/>
  <c r="K134" i="6"/>
  <c r="J134" i="6"/>
  <c r="I134" i="6"/>
  <c r="K133" i="6"/>
  <c r="J133" i="6"/>
  <c r="I133" i="6"/>
  <c r="K132" i="6"/>
  <c r="J132" i="6"/>
  <c r="I132" i="6"/>
  <c r="K131" i="6"/>
  <c r="J131" i="6"/>
  <c r="I131" i="6"/>
  <c r="K130" i="6"/>
  <c r="J130" i="6"/>
  <c r="I130" i="6"/>
  <c r="K129" i="6"/>
  <c r="J129" i="6"/>
  <c r="I129" i="6"/>
  <c r="K128" i="6"/>
  <c r="J128" i="6"/>
  <c r="I128" i="6"/>
  <c r="K127" i="6"/>
  <c r="J127" i="6"/>
  <c r="I127" i="6"/>
  <c r="K126" i="6"/>
  <c r="J126" i="6"/>
  <c r="I126" i="6"/>
  <c r="K125" i="6"/>
  <c r="J125" i="6"/>
  <c r="I125" i="6"/>
  <c r="K124" i="6"/>
  <c r="J124" i="6"/>
  <c r="I124" i="6"/>
  <c r="K123" i="6"/>
  <c r="J123" i="6"/>
  <c r="I123" i="6"/>
  <c r="K122" i="6"/>
  <c r="J122" i="6"/>
  <c r="I122" i="6"/>
  <c r="K121" i="6"/>
  <c r="J121" i="6"/>
  <c r="I121" i="6"/>
  <c r="K120" i="6"/>
  <c r="J120" i="6"/>
  <c r="I120" i="6"/>
  <c r="K119" i="6"/>
  <c r="J119" i="6"/>
  <c r="I119" i="6"/>
  <c r="K118" i="6"/>
  <c r="J118" i="6"/>
  <c r="I118" i="6"/>
  <c r="K117" i="6"/>
  <c r="J117" i="6"/>
  <c r="I117" i="6"/>
  <c r="K116" i="6"/>
  <c r="J116" i="6"/>
  <c r="I116" i="6"/>
  <c r="K115" i="6"/>
  <c r="J115" i="6"/>
  <c r="I115" i="6"/>
  <c r="K114" i="6"/>
  <c r="J114" i="6"/>
  <c r="I114" i="6"/>
  <c r="K113" i="6"/>
  <c r="J113" i="6"/>
  <c r="I113" i="6"/>
  <c r="K112" i="6"/>
  <c r="J112" i="6"/>
  <c r="I112" i="6"/>
  <c r="K111" i="6"/>
  <c r="J111" i="6"/>
  <c r="I111" i="6"/>
  <c r="K110" i="6"/>
  <c r="J110" i="6"/>
  <c r="I110" i="6"/>
  <c r="K109" i="6"/>
  <c r="J109" i="6"/>
  <c r="I109" i="6"/>
  <c r="K108" i="6"/>
  <c r="J108" i="6"/>
  <c r="I108" i="6"/>
  <c r="K107" i="6"/>
  <c r="J107" i="6"/>
  <c r="I107" i="6"/>
  <c r="K106" i="6"/>
  <c r="J106" i="6"/>
  <c r="I106" i="6"/>
  <c r="K105" i="6"/>
  <c r="J105" i="6"/>
  <c r="I105" i="6"/>
  <c r="K104" i="6"/>
  <c r="J104" i="6"/>
  <c r="I104" i="6"/>
  <c r="K103" i="6"/>
  <c r="J103" i="6"/>
  <c r="I103" i="6"/>
  <c r="K102" i="6"/>
  <c r="J102" i="6"/>
  <c r="I102" i="6"/>
  <c r="K101" i="6"/>
  <c r="J101" i="6"/>
  <c r="I101" i="6"/>
  <c r="K100" i="6"/>
  <c r="J100" i="6"/>
  <c r="I100" i="6"/>
  <c r="K99" i="6"/>
  <c r="J99" i="6"/>
  <c r="I99" i="6"/>
  <c r="K98" i="6"/>
  <c r="J98" i="6"/>
  <c r="I98" i="6"/>
  <c r="K97" i="6"/>
  <c r="J97" i="6"/>
  <c r="I97" i="6"/>
  <c r="K96" i="6"/>
  <c r="J96" i="6"/>
  <c r="I96" i="6"/>
  <c r="K95" i="6"/>
  <c r="J95" i="6"/>
  <c r="I95" i="6"/>
  <c r="K94" i="6"/>
  <c r="J94" i="6"/>
  <c r="I94" i="6"/>
  <c r="K93" i="6"/>
  <c r="J93" i="6"/>
  <c r="I93" i="6"/>
  <c r="K92" i="6"/>
  <c r="J92" i="6"/>
  <c r="I92" i="6"/>
  <c r="K91" i="6"/>
  <c r="J91" i="6"/>
  <c r="I91" i="6"/>
  <c r="K90" i="6"/>
  <c r="J90" i="6"/>
  <c r="I90" i="6"/>
  <c r="K89" i="6"/>
  <c r="J89" i="6"/>
  <c r="I89" i="6"/>
  <c r="K88" i="6"/>
  <c r="J88" i="6"/>
  <c r="I88" i="6"/>
  <c r="K87" i="6"/>
  <c r="J87" i="6"/>
  <c r="I87" i="6"/>
  <c r="K86" i="6"/>
  <c r="J86" i="6"/>
  <c r="I86" i="6"/>
  <c r="K85" i="6"/>
  <c r="J85" i="6"/>
  <c r="I85" i="6"/>
  <c r="K84" i="6"/>
  <c r="J84" i="6"/>
  <c r="I84" i="6"/>
  <c r="K83" i="6"/>
  <c r="J83" i="6"/>
  <c r="I83" i="6"/>
  <c r="K82" i="6"/>
  <c r="J82" i="6"/>
  <c r="I82" i="6"/>
  <c r="K81" i="6"/>
  <c r="J81" i="6"/>
  <c r="I81" i="6"/>
  <c r="K80" i="6"/>
  <c r="J80" i="6"/>
  <c r="I80" i="6"/>
  <c r="K79" i="6"/>
  <c r="J79" i="6"/>
  <c r="I79" i="6"/>
  <c r="K78" i="6"/>
  <c r="J78" i="6"/>
  <c r="I78" i="6"/>
  <c r="K77" i="6"/>
  <c r="J77" i="6"/>
  <c r="I77" i="6"/>
  <c r="K76" i="6"/>
  <c r="J76" i="6"/>
  <c r="I76" i="6"/>
  <c r="K75" i="6"/>
  <c r="J75" i="6"/>
  <c r="I75" i="6"/>
  <c r="K74" i="6"/>
  <c r="J74" i="6"/>
  <c r="I74" i="6"/>
  <c r="K73" i="6"/>
  <c r="J73" i="6"/>
  <c r="I73" i="6"/>
  <c r="K72" i="6"/>
  <c r="J72" i="6"/>
  <c r="I72" i="6"/>
  <c r="K71" i="6"/>
  <c r="J71" i="6"/>
  <c r="I71" i="6"/>
  <c r="K70" i="6"/>
  <c r="J70" i="6"/>
  <c r="I70" i="6"/>
  <c r="K69" i="6"/>
  <c r="J69" i="6"/>
  <c r="I69" i="6"/>
  <c r="K68" i="6"/>
  <c r="J68" i="6"/>
  <c r="I68" i="6"/>
  <c r="K67" i="6"/>
  <c r="J67" i="6"/>
  <c r="I67" i="6"/>
  <c r="K66" i="6"/>
  <c r="J66" i="6"/>
  <c r="I66" i="6"/>
  <c r="K65" i="6"/>
  <c r="J65" i="6"/>
  <c r="I65" i="6"/>
  <c r="K64" i="6"/>
  <c r="J64" i="6"/>
  <c r="I64" i="6"/>
  <c r="K63" i="6"/>
  <c r="J63" i="6"/>
  <c r="I63" i="6"/>
  <c r="K62" i="6"/>
  <c r="J62" i="6"/>
  <c r="I62" i="6"/>
  <c r="K61" i="6"/>
  <c r="J61" i="6"/>
  <c r="I61" i="6"/>
  <c r="K60" i="6"/>
  <c r="J60" i="6"/>
  <c r="I60" i="6"/>
  <c r="K59" i="6"/>
  <c r="J59" i="6"/>
  <c r="I59" i="6"/>
  <c r="K58" i="6"/>
  <c r="J58" i="6"/>
  <c r="I58" i="6"/>
  <c r="K57" i="6"/>
  <c r="J57" i="6"/>
  <c r="I57" i="6"/>
  <c r="K56" i="6"/>
  <c r="J56" i="6"/>
  <c r="I56" i="6"/>
  <c r="K55" i="6"/>
  <c r="J55" i="6"/>
  <c r="I55" i="6"/>
  <c r="K54" i="6"/>
  <c r="J54" i="6"/>
  <c r="I54" i="6"/>
  <c r="K53" i="6"/>
  <c r="J53" i="6"/>
  <c r="I53" i="6"/>
  <c r="K52" i="6"/>
  <c r="J52" i="6"/>
  <c r="I52" i="6"/>
  <c r="K51" i="6"/>
  <c r="J51" i="6"/>
  <c r="I51" i="6"/>
  <c r="K50" i="6"/>
  <c r="J50" i="6"/>
  <c r="I50" i="6"/>
  <c r="K49" i="6"/>
  <c r="J49" i="6"/>
  <c r="I49" i="6"/>
  <c r="K48" i="6"/>
  <c r="J48" i="6"/>
  <c r="I48" i="6"/>
  <c r="K47" i="6"/>
  <c r="J47" i="6"/>
  <c r="I47" i="6"/>
  <c r="K46" i="6"/>
  <c r="J46" i="6"/>
  <c r="I46" i="6"/>
  <c r="K45" i="6"/>
  <c r="J45" i="6"/>
  <c r="I45" i="6"/>
  <c r="K44" i="6"/>
  <c r="J44" i="6"/>
  <c r="I44" i="6"/>
  <c r="K43" i="6"/>
  <c r="J43" i="6"/>
  <c r="I43" i="6"/>
  <c r="K42" i="6"/>
  <c r="J42" i="6"/>
  <c r="I42" i="6"/>
  <c r="K41" i="6"/>
  <c r="J41" i="6"/>
  <c r="I41" i="6"/>
  <c r="K40" i="6"/>
  <c r="J40" i="6"/>
  <c r="I40" i="6"/>
  <c r="K39" i="6"/>
  <c r="J39" i="6"/>
  <c r="I39" i="6"/>
  <c r="K38" i="6"/>
  <c r="J38" i="6"/>
  <c r="I38" i="6"/>
  <c r="K37" i="6"/>
  <c r="J37" i="6"/>
  <c r="I37" i="6"/>
  <c r="K36" i="6"/>
  <c r="J36" i="6"/>
  <c r="I36" i="6"/>
  <c r="K35" i="6"/>
  <c r="J35" i="6"/>
  <c r="I35" i="6"/>
  <c r="K34" i="6"/>
  <c r="J34" i="6"/>
  <c r="I34" i="6"/>
  <c r="K33" i="6"/>
  <c r="J33" i="6"/>
  <c r="I33" i="6"/>
  <c r="K32" i="6"/>
  <c r="J32" i="6"/>
  <c r="I32" i="6"/>
  <c r="K31" i="6"/>
  <c r="J31" i="6"/>
  <c r="I31" i="6"/>
  <c r="K30" i="6"/>
  <c r="J30" i="6"/>
  <c r="I30" i="6"/>
  <c r="K29" i="6"/>
  <c r="J29" i="6"/>
  <c r="I29" i="6"/>
  <c r="K28" i="6"/>
  <c r="J28" i="6"/>
  <c r="I28" i="6"/>
  <c r="K27" i="6"/>
  <c r="J27" i="6"/>
  <c r="I27" i="6"/>
  <c r="K26" i="6"/>
  <c r="J26" i="6"/>
  <c r="I26" i="6"/>
  <c r="K25" i="6"/>
  <c r="J25" i="6"/>
  <c r="I25" i="6"/>
  <c r="K24" i="6"/>
  <c r="J24" i="6"/>
  <c r="I24" i="6"/>
  <c r="K23" i="6"/>
  <c r="J23" i="6"/>
  <c r="I23" i="6"/>
  <c r="K22" i="6"/>
  <c r="J22" i="6"/>
  <c r="I22" i="6"/>
  <c r="K21" i="6"/>
  <c r="J21" i="6"/>
  <c r="I21" i="6"/>
  <c r="K20" i="6"/>
  <c r="J20" i="6"/>
  <c r="I20" i="6"/>
  <c r="K19" i="6"/>
  <c r="J19" i="6"/>
  <c r="I19" i="6"/>
  <c r="K18" i="6"/>
  <c r="J18" i="6"/>
  <c r="I18" i="6"/>
  <c r="K17" i="6"/>
  <c r="J17" i="6"/>
  <c r="I17" i="6"/>
  <c r="K16" i="6"/>
  <c r="J16" i="6"/>
  <c r="I16" i="6"/>
  <c r="K15" i="6"/>
  <c r="J15" i="6"/>
  <c r="I15" i="6"/>
  <c r="K14" i="6"/>
  <c r="J14" i="6"/>
  <c r="I14" i="6"/>
  <c r="K13" i="6"/>
  <c r="J13" i="6"/>
  <c r="I13" i="6"/>
  <c r="K12" i="6"/>
  <c r="J12" i="6"/>
  <c r="I12" i="6"/>
  <c r="K11" i="6"/>
  <c r="J11" i="6"/>
  <c r="I11" i="6"/>
  <c r="K10" i="6"/>
  <c r="J10" i="6"/>
  <c r="I10" i="6"/>
  <c r="K9" i="6"/>
  <c r="J9" i="6"/>
  <c r="I9" i="6"/>
  <c r="K8" i="6"/>
  <c r="J8" i="6"/>
  <c r="I8" i="6"/>
  <c r="K7" i="6"/>
  <c r="J7" i="6"/>
  <c r="I7" i="6"/>
  <c r="K6" i="6"/>
  <c r="J6" i="6"/>
  <c r="I6" i="6"/>
  <c r="K5" i="6"/>
  <c r="J5" i="6"/>
  <c r="I5" i="6"/>
  <c r="K4" i="6"/>
  <c r="J4" i="6"/>
  <c r="I4" i="6"/>
  <c r="K3" i="6"/>
  <c r="J3" i="6"/>
  <c r="I3" i="6"/>
  <c r="K2" i="6"/>
  <c r="J2" i="6"/>
  <c r="I2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</calcChain>
</file>

<file path=xl/sharedStrings.xml><?xml version="1.0" encoding="utf-8"?>
<sst xmlns="http://schemas.openxmlformats.org/spreadsheetml/2006/main" count="7319" uniqueCount="719">
  <si>
    <t>SCOPE 3 FINANCED EMISSIONS</t>
  </si>
  <si>
    <t>SCOPE 2 FINANCED EMISSIONS</t>
  </si>
  <si>
    <t>SCOPE 1 FINANCED EMISSIONS</t>
  </si>
  <si>
    <t>Total Equity</t>
  </si>
  <si>
    <t>Total Debt</t>
  </si>
  <si>
    <t>SCOPE 3 REPORTED</t>
  </si>
  <si>
    <t>SCOPE 2 REPORTED</t>
  </si>
  <si>
    <t>SCOPE 1 REPORTED</t>
  </si>
  <si>
    <t>Gross Carrying Amount (M€)</t>
  </si>
  <si>
    <t>NACE CODE</t>
  </si>
  <si>
    <t>GLCS Code</t>
  </si>
  <si>
    <t>PCAF FACTOR S3</t>
  </si>
  <si>
    <t>PCAF FACTOR S2</t>
  </si>
  <si>
    <t>PCAF FACTOR S1</t>
  </si>
  <si>
    <t>Region</t>
  </si>
  <si>
    <t>European Union</t>
  </si>
  <si>
    <t>BUSINESS LOANS: EMISSIONS CALCULATED FROM SCIB INFO.</t>
  </si>
  <si>
    <t>BUSINESS LOANS: EMISSIONS ESTIMATED BY PCAF DQS4</t>
  </si>
  <si>
    <t>35.11</t>
  </si>
  <si>
    <t>Total Debt (in Million €)</t>
  </si>
  <si>
    <t>Total Equity (in Million €)</t>
  </si>
  <si>
    <t>Total Revenue (in Million €)</t>
  </si>
  <si>
    <t>Gross Carrying Amount (in Million €)</t>
  </si>
  <si>
    <t>IBR00</t>
  </si>
  <si>
    <t>To be filled out by HQ</t>
  </si>
  <si>
    <t>*Units need to fill out the columns in red, columns in grey will be filled out by HQ</t>
  </si>
  <si>
    <t>BUSINESS LOANS: EMISSIONS ESTIMATED BY PCAF DQS5</t>
  </si>
  <si>
    <t>nace</t>
  </si>
  <si>
    <t>cod_formatado</t>
  </si>
  <si>
    <t>glcs_code</t>
  </si>
  <si>
    <t>amount</t>
  </si>
  <si>
    <t>gesi</t>
  </si>
  <si>
    <t>gesii</t>
  </si>
  <si>
    <t>gesiii</t>
  </si>
  <si>
    <t>G</t>
  </si>
  <si>
    <t>46.39</t>
  </si>
  <si>
    <t>GLACG</t>
  </si>
  <si>
    <t>JEROG</t>
  </si>
  <si>
    <t>C</t>
  </si>
  <si>
    <t>32.13</t>
  </si>
  <si>
    <t>04D0G</t>
  </si>
  <si>
    <t>J</t>
  </si>
  <si>
    <t>61.90</t>
  </si>
  <si>
    <t>ZONGG</t>
  </si>
  <si>
    <t>Q</t>
  </si>
  <si>
    <t>86.21</t>
  </si>
  <si>
    <t>EDP0G</t>
  </si>
  <si>
    <t>D</t>
  </si>
  <si>
    <t>35.12</t>
  </si>
  <si>
    <t>RENLG</t>
  </si>
  <si>
    <t>47.11</t>
  </si>
  <si>
    <t>IPAGG</t>
  </si>
  <si>
    <t>20.30</t>
  </si>
  <si>
    <t>SIKAG</t>
  </si>
  <si>
    <t>N</t>
  </si>
  <si>
    <t>80.10</t>
  </si>
  <si>
    <t>5PROS</t>
  </si>
  <si>
    <t>16.21</t>
  </si>
  <si>
    <t>14.13</t>
  </si>
  <si>
    <t>23.13</t>
  </si>
  <si>
    <t>VDRLG</t>
  </si>
  <si>
    <t>H</t>
  </si>
  <si>
    <t>52.23</t>
  </si>
  <si>
    <t>5VCNG</t>
  </si>
  <si>
    <t>17.12</t>
  </si>
  <si>
    <t>DSSGG</t>
  </si>
  <si>
    <t>52.10</t>
  </si>
  <si>
    <t>M</t>
  </si>
  <si>
    <t>72.19</t>
  </si>
  <si>
    <t>ELMPG</t>
  </si>
  <si>
    <t>46.46</t>
  </si>
  <si>
    <t>5RKTG</t>
  </si>
  <si>
    <t>61.10</t>
  </si>
  <si>
    <t>F</t>
  </si>
  <si>
    <t>41.20</t>
  </si>
  <si>
    <t>5CUMG</t>
  </si>
  <si>
    <t>47.19</t>
  </si>
  <si>
    <t>5ECIS</t>
  </si>
  <si>
    <t>42.99</t>
  </si>
  <si>
    <t>SACGG</t>
  </si>
  <si>
    <t>22.29</t>
  </si>
  <si>
    <t>CMTAG</t>
  </si>
  <si>
    <t>52.21</t>
  </si>
  <si>
    <t>GRBRI</t>
  </si>
  <si>
    <t>46.73</t>
  </si>
  <si>
    <t>GAAMG</t>
  </si>
  <si>
    <t>20.16</t>
  </si>
  <si>
    <t>6SYNT</t>
  </si>
  <si>
    <t>GRSEM</t>
  </si>
  <si>
    <t>33.16</t>
  </si>
  <si>
    <t>5EBRG</t>
  </si>
  <si>
    <t>GAUCG</t>
  </si>
  <si>
    <t>35.14</t>
  </si>
  <si>
    <t>16.29</t>
  </si>
  <si>
    <t>35.22</t>
  </si>
  <si>
    <t>CGYNG</t>
  </si>
  <si>
    <t>71.20</t>
  </si>
  <si>
    <t>10.61</t>
  </si>
  <si>
    <t>5EBRO</t>
  </si>
  <si>
    <t>46.38</t>
  </si>
  <si>
    <t>10.51</t>
  </si>
  <si>
    <t>77.11</t>
  </si>
  <si>
    <t>0VD0G</t>
  </si>
  <si>
    <t>23.91</t>
  </si>
  <si>
    <t>SNTGG</t>
  </si>
  <si>
    <t>47.74</t>
  </si>
  <si>
    <t>APFNG</t>
  </si>
  <si>
    <t>27.11</t>
  </si>
  <si>
    <t>WEGHG</t>
  </si>
  <si>
    <t>73.11</t>
  </si>
  <si>
    <t>0M20G</t>
  </si>
  <si>
    <t>5GFVG</t>
  </si>
  <si>
    <t>21.20</t>
  </si>
  <si>
    <t>5FRQG</t>
  </si>
  <si>
    <t>46.44</t>
  </si>
  <si>
    <t>47.54</t>
  </si>
  <si>
    <t>52.22</t>
  </si>
  <si>
    <t>1500G</t>
  </si>
  <si>
    <t>42.12</t>
  </si>
  <si>
    <t>17.11</t>
  </si>
  <si>
    <t>10.83</t>
  </si>
  <si>
    <t>NEHOG</t>
  </si>
  <si>
    <t>49.50</t>
  </si>
  <si>
    <t>29.32</t>
  </si>
  <si>
    <t>IXLZG</t>
  </si>
  <si>
    <t>A</t>
  </si>
  <si>
    <t>01.21</t>
  </si>
  <si>
    <t>5ESRG</t>
  </si>
  <si>
    <t>23.51</t>
  </si>
  <si>
    <t>46.77</t>
  </si>
  <si>
    <t>20.41</t>
  </si>
  <si>
    <t>10.84</t>
  </si>
  <si>
    <t>UNHOG</t>
  </si>
  <si>
    <t>I</t>
  </si>
  <si>
    <t>56.29</t>
  </si>
  <si>
    <t>12E0G</t>
  </si>
  <si>
    <t>70.10</t>
  </si>
  <si>
    <t>59.14</t>
  </si>
  <si>
    <t>69.20</t>
  </si>
  <si>
    <t>17.21</t>
  </si>
  <si>
    <t>NA</t>
  </si>
  <si>
    <t>71.12</t>
  </si>
  <si>
    <t>HITKK</t>
  </si>
  <si>
    <t>32.50</t>
  </si>
  <si>
    <t>LUXOG</t>
  </si>
  <si>
    <t>ASTZG</t>
  </si>
  <si>
    <t>47.73</t>
  </si>
  <si>
    <t>10.52</t>
  </si>
  <si>
    <t>E</t>
  </si>
  <si>
    <t>37.00</t>
  </si>
  <si>
    <t>43.21</t>
  </si>
  <si>
    <t>10.41</t>
  </si>
  <si>
    <t>46.75</t>
  </si>
  <si>
    <t>BRNTG</t>
  </si>
  <si>
    <t>23.64</t>
  </si>
  <si>
    <t>46.76</t>
  </si>
  <si>
    <t>59.13</t>
  </si>
  <si>
    <t>42.22</t>
  </si>
  <si>
    <t>60.20</t>
  </si>
  <si>
    <t>82.20</t>
  </si>
  <si>
    <t>TPFMN</t>
  </si>
  <si>
    <t>61.20</t>
  </si>
  <si>
    <t>5VDFG</t>
  </si>
  <si>
    <t>82.99</t>
  </si>
  <si>
    <t>62.02</t>
  </si>
  <si>
    <t>5XADG</t>
  </si>
  <si>
    <t>SMURG</t>
  </si>
  <si>
    <t>47.71</t>
  </si>
  <si>
    <t>43.29</t>
  </si>
  <si>
    <t>SHNDG</t>
  </si>
  <si>
    <t>11.07</t>
  </si>
  <si>
    <t>CCEUP</t>
  </si>
  <si>
    <t>MTHLG</t>
  </si>
  <si>
    <t>B</t>
  </si>
  <si>
    <t>08.12</t>
  </si>
  <si>
    <t>11.05</t>
  </si>
  <si>
    <t>HEIKG</t>
  </si>
  <si>
    <t>27.52</t>
  </si>
  <si>
    <t>ROBEG</t>
  </si>
  <si>
    <t>23.63</t>
  </si>
  <si>
    <t>33.13</t>
  </si>
  <si>
    <t>SIHOG</t>
  </si>
  <si>
    <t>10.71</t>
  </si>
  <si>
    <t>BIGRG</t>
  </si>
  <si>
    <t>33.20</t>
  </si>
  <si>
    <t>CELLN</t>
  </si>
  <si>
    <t>20.14</t>
  </si>
  <si>
    <t>IDVTG</t>
  </si>
  <si>
    <t>25.61</t>
  </si>
  <si>
    <t>26.30</t>
  </si>
  <si>
    <t>12.00</t>
  </si>
  <si>
    <t>5YATG</t>
  </si>
  <si>
    <t>28.15</t>
  </si>
  <si>
    <t>SCFRG</t>
  </si>
  <si>
    <t>25.11</t>
  </si>
  <si>
    <t>35.13</t>
  </si>
  <si>
    <t>38.21</t>
  </si>
  <si>
    <t>5VFRG</t>
  </si>
  <si>
    <t>42.13</t>
  </si>
  <si>
    <t>5BOUG</t>
  </si>
  <si>
    <t>OWCNK</t>
  </si>
  <si>
    <t>EIFFG</t>
  </si>
  <si>
    <t>43.22</t>
  </si>
  <si>
    <t>47.61</t>
  </si>
  <si>
    <t>ROCHG</t>
  </si>
  <si>
    <t>46.74</t>
  </si>
  <si>
    <t>47.26</t>
  </si>
  <si>
    <t>MRKKG</t>
  </si>
  <si>
    <t>46.69</t>
  </si>
  <si>
    <t>PFHOG</t>
  </si>
  <si>
    <t>ASB1G</t>
  </si>
  <si>
    <t>46.35</t>
  </si>
  <si>
    <t>46.52</t>
  </si>
  <si>
    <t>NOKIG</t>
  </si>
  <si>
    <t>46.72</t>
  </si>
  <si>
    <t>TKAAG</t>
  </si>
  <si>
    <t>46.45</t>
  </si>
  <si>
    <t>CLGHG</t>
  </si>
  <si>
    <t>45.19</t>
  </si>
  <si>
    <t>IVECK</t>
  </si>
  <si>
    <t>46.90</t>
  </si>
  <si>
    <t>KIONG</t>
  </si>
  <si>
    <t>HENHG</t>
  </si>
  <si>
    <t>LOR0G</t>
  </si>
  <si>
    <t>49.41</t>
  </si>
  <si>
    <t>0730G</t>
  </si>
  <si>
    <t>51.10</t>
  </si>
  <si>
    <t>12X0G</t>
  </si>
  <si>
    <t>62.09</t>
  </si>
  <si>
    <t>59.11</t>
  </si>
  <si>
    <t>PRISA</t>
  </si>
  <si>
    <t>63.12</t>
  </si>
  <si>
    <t>63.11</t>
  </si>
  <si>
    <t>5THGG</t>
  </si>
  <si>
    <t>58.11</t>
  </si>
  <si>
    <t>BERTG</t>
  </si>
  <si>
    <t>5IDRG</t>
  </si>
  <si>
    <t>62.01</t>
  </si>
  <si>
    <t>K</t>
  </si>
  <si>
    <t>64.99</t>
  </si>
  <si>
    <t>1VI5K</t>
  </si>
  <si>
    <t>73.12</t>
  </si>
  <si>
    <t>DENTG</t>
  </si>
  <si>
    <t>70.22</t>
  </si>
  <si>
    <t>0S30G</t>
  </si>
  <si>
    <t>78.20</t>
  </si>
  <si>
    <t>5AD5G</t>
  </si>
  <si>
    <t>82.11</t>
  </si>
  <si>
    <t>SOGEG</t>
  </si>
  <si>
    <t>86.22</t>
  </si>
  <si>
    <t>european_union</t>
  </si>
  <si>
    <t>gross</t>
  </si>
  <si>
    <t>debt</t>
  </si>
  <si>
    <t>equity</t>
  </si>
  <si>
    <t>fatr</t>
  </si>
  <si>
    <t>scope1</t>
  </si>
  <si>
    <t>scope2</t>
  </si>
  <si>
    <t>scope3</t>
  </si>
  <si>
    <t>EU1</t>
  </si>
  <si>
    <t>01.24</t>
  </si>
  <si>
    <t>01.49</t>
  </si>
  <si>
    <t>01.62</t>
  </si>
  <si>
    <t>01.25</t>
  </si>
  <si>
    <t>01.70</t>
  </si>
  <si>
    <t>01.19</t>
  </si>
  <si>
    <t>01.61</t>
  </si>
  <si>
    <t>01.41</t>
  </si>
  <si>
    <t>01.26</t>
  </si>
  <si>
    <t>01.47</t>
  </si>
  <si>
    <t>02.30</t>
  </si>
  <si>
    <t>03.11</t>
  </si>
  <si>
    <t>01.11</t>
  </si>
  <si>
    <t>01.45</t>
  </si>
  <si>
    <t>01.46</t>
  </si>
  <si>
    <t>01.43</t>
  </si>
  <si>
    <t>03.21</t>
  </si>
  <si>
    <t>01.13</t>
  </si>
  <si>
    <t>01.23</t>
  </si>
  <si>
    <t>01.22</t>
  </si>
  <si>
    <t>01.12</t>
  </si>
  <si>
    <t>01.29</t>
  </si>
  <si>
    <t>01.63</t>
  </si>
  <si>
    <t>02.20</t>
  </si>
  <si>
    <t>01.42</t>
  </si>
  <si>
    <t>02.10</t>
  </si>
  <si>
    <t>01.50</t>
  </si>
  <si>
    <t>01.28</t>
  </si>
  <si>
    <t>03.22</t>
  </si>
  <si>
    <t>01.30</t>
  </si>
  <si>
    <t>02.40</t>
  </si>
  <si>
    <t>07.29</t>
  </si>
  <si>
    <t>08.93</t>
  </si>
  <si>
    <t>09.90</t>
  </si>
  <si>
    <t>08.11</t>
  </si>
  <si>
    <t>08.99</t>
  </si>
  <si>
    <t>28.94</t>
  </si>
  <si>
    <t>13.99</t>
  </si>
  <si>
    <t>31.02</t>
  </si>
  <si>
    <t>28.29</t>
  </si>
  <si>
    <t>20.52</t>
  </si>
  <si>
    <t>23.42</t>
  </si>
  <si>
    <t>26.52</t>
  </si>
  <si>
    <t>11.01</t>
  </si>
  <si>
    <t>18.20</t>
  </si>
  <si>
    <t>17.29</t>
  </si>
  <si>
    <t>10.81</t>
  </si>
  <si>
    <t>25.72</t>
  </si>
  <si>
    <t>32.40</t>
  </si>
  <si>
    <t>28.22</t>
  </si>
  <si>
    <t>26.20</t>
  </si>
  <si>
    <t>25.93</t>
  </si>
  <si>
    <t>22.11</t>
  </si>
  <si>
    <t>13.10</t>
  </si>
  <si>
    <t>24.43</t>
  </si>
  <si>
    <t>16.24</t>
  </si>
  <si>
    <t>31.09</t>
  </si>
  <si>
    <t>20.11</t>
  </si>
  <si>
    <t>28.41</t>
  </si>
  <si>
    <t>22.22</t>
  </si>
  <si>
    <t>24.33</t>
  </si>
  <si>
    <t>10.91</t>
  </si>
  <si>
    <t>EU2</t>
  </si>
  <si>
    <t>20.51</t>
  </si>
  <si>
    <t>31.01</t>
  </si>
  <si>
    <t>30.92</t>
  </si>
  <si>
    <t>23.19</t>
  </si>
  <si>
    <t>27.12</t>
  </si>
  <si>
    <t>27.40</t>
  </si>
  <si>
    <t>28.95</t>
  </si>
  <si>
    <t>25.21</t>
  </si>
  <si>
    <t>20.20</t>
  </si>
  <si>
    <t>23.52</t>
  </si>
  <si>
    <t>28.13</t>
  </si>
  <si>
    <t>16.23</t>
  </si>
  <si>
    <t>23.12</t>
  </si>
  <si>
    <t>10.85</t>
  </si>
  <si>
    <t>25.73</t>
  </si>
  <si>
    <t>25.29</t>
  </si>
  <si>
    <t>23.44</t>
  </si>
  <si>
    <t>26.40</t>
  </si>
  <si>
    <t>10.89</t>
  </si>
  <si>
    <t>28.25</t>
  </si>
  <si>
    <t>29.10</t>
  </si>
  <si>
    <t>23.20</t>
  </si>
  <si>
    <t>10.20</t>
  </si>
  <si>
    <t>13.96</t>
  </si>
  <si>
    <t>23.14</t>
  </si>
  <si>
    <t>10.62</t>
  </si>
  <si>
    <t>14.11</t>
  </si>
  <si>
    <t>27.31</t>
  </si>
  <si>
    <t>10.86</t>
  </si>
  <si>
    <t>32.30</t>
  </si>
  <si>
    <t>29.31</t>
  </si>
  <si>
    <t>11.03</t>
  </si>
  <si>
    <t>33.14</t>
  </si>
  <si>
    <t>16.22</t>
  </si>
  <si>
    <t>11.06</t>
  </si>
  <si>
    <t>25.40</t>
  </si>
  <si>
    <t>26.12</t>
  </si>
  <si>
    <t>28.24</t>
  </si>
  <si>
    <t>32.99</t>
  </si>
  <si>
    <t>28.93</t>
  </si>
  <si>
    <t>18.11</t>
  </si>
  <si>
    <t>10.73</t>
  </si>
  <si>
    <t>28.12</t>
  </si>
  <si>
    <t>25.71</t>
  </si>
  <si>
    <t>32.91</t>
  </si>
  <si>
    <t>13.93</t>
  </si>
  <si>
    <t>32.12</t>
  </si>
  <si>
    <t>22.23</t>
  </si>
  <si>
    <t>27.90</t>
  </si>
  <si>
    <t>25.92</t>
  </si>
  <si>
    <t>14.39</t>
  </si>
  <si>
    <t>26.11</t>
  </si>
  <si>
    <t>33.12</t>
  </si>
  <si>
    <t>10.72</t>
  </si>
  <si>
    <t>20.15</t>
  </si>
  <si>
    <t>30.12</t>
  </si>
  <si>
    <t>13.92</t>
  </si>
  <si>
    <t>22.19</t>
  </si>
  <si>
    <t>11.02</t>
  </si>
  <si>
    <t>24.41</t>
  </si>
  <si>
    <t>10.92</t>
  </si>
  <si>
    <t>32.20</t>
  </si>
  <si>
    <t>24.42</t>
  </si>
  <si>
    <t>30.99</t>
  </si>
  <si>
    <t>27.33</t>
  </si>
  <si>
    <t>13.91</t>
  </si>
  <si>
    <t>19.20</t>
  </si>
  <si>
    <t>18.12</t>
  </si>
  <si>
    <t>28.92</t>
  </si>
  <si>
    <t>23.70</t>
  </si>
  <si>
    <t>25.91</t>
  </si>
  <si>
    <t>13.20</t>
  </si>
  <si>
    <t>23.69</t>
  </si>
  <si>
    <t>23.32</t>
  </si>
  <si>
    <t>20.42</t>
  </si>
  <si>
    <t>15.12</t>
  </si>
  <si>
    <t>27.51</t>
  </si>
  <si>
    <t>28.30</t>
  </si>
  <si>
    <t>33.19</t>
  </si>
  <si>
    <t>10.11</t>
  </si>
  <si>
    <t>10.42</t>
  </si>
  <si>
    <t>14.31</t>
  </si>
  <si>
    <t>23.31</t>
  </si>
  <si>
    <t>24.10</t>
  </si>
  <si>
    <t>23.62</t>
  </si>
  <si>
    <t>33.15</t>
  </si>
  <si>
    <t>27.32</t>
  </si>
  <si>
    <t>28.96</t>
  </si>
  <si>
    <t>30.91</t>
  </si>
  <si>
    <t>18.13</t>
  </si>
  <si>
    <t>28.91</t>
  </si>
  <si>
    <t>14.14</t>
  </si>
  <si>
    <t>16.10</t>
  </si>
  <si>
    <t>31.03</t>
  </si>
  <si>
    <t>25.30</t>
  </si>
  <si>
    <t>23.11</t>
  </si>
  <si>
    <t>10.31</t>
  </si>
  <si>
    <t>23.99</t>
  </si>
  <si>
    <t>24.20</t>
  </si>
  <si>
    <t>24.34</t>
  </si>
  <si>
    <t>28.99</t>
  </si>
  <si>
    <t>15.20</t>
  </si>
  <si>
    <t>29.20</t>
  </si>
  <si>
    <t>33.11</t>
  </si>
  <si>
    <t>14.12</t>
  </si>
  <si>
    <t>10.32</t>
  </si>
  <si>
    <t>20.13</t>
  </si>
  <si>
    <t>25.50</t>
  </si>
  <si>
    <t>28.14</t>
  </si>
  <si>
    <t>14.19</t>
  </si>
  <si>
    <t>10.39</t>
  </si>
  <si>
    <t>30.30</t>
  </si>
  <si>
    <t>18.14</t>
  </si>
  <si>
    <t>20.59</t>
  </si>
  <si>
    <t>21.10</t>
  </si>
  <si>
    <t>33.17</t>
  </si>
  <si>
    <t>22.21</t>
  </si>
  <si>
    <t>13.30</t>
  </si>
  <si>
    <t>24.32</t>
  </si>
  <si>
    <t>30.11</t>
  </si>
  <si>
    <t>25.12</t>
  </si>
  <si>
    <t>13.94</t>
  </si>
  <si>
    <t>17.22</t>
  </si>
  <si>
    <t>17.23</t>
  </si>
  <si>
    <t>10.12</t>
  </si>
  <si>
    <t>28.49</t>
  </si>
  <si>
    <t>10.13</t>
  </si>
  <si>
    <t>28.21</t>
  </si>
  <si>
    <t>15.11</t>
  </si>
  <si>
    <t>10.82</t>
  </si>
  <si>
    <t>25.99</t>
  </si>
  <si>
    <t>26.51</t>
  </si>
  <si>
    <t>23.41</t>
  </si>
  <si>
    <t>24.51</t>
  </si>
  <si>
    <t>23.61</t>
  </si>
  <si>
    <t>24.54</t>
  </si>
  <si>
    <t>20.60</t>
  </si>
  <si>
    <t>13.95</t>
  </si>
  <si>
    <t>25.94</t>
  </si>
  <si>
    <t>35.23</t>
  </si>
  <si>
    <t>35.30</t>
  </si>
  <si>
    <t>38.11</t>
  </si>
  <si>
    <t>38.31</t>
  </si>
  <si>
    <t>39.00</t>
  </si>
  <si>
    <t>38.32</t>
  </si>
  <si>
    <t>36.00</t>
  </si>
  <si>
    <t>38.12</t>
  </si>
  <si>
    <t>43.34</t>
  </si>
  <si>
    <t>43.32</t>
  </si>
  <si>
    <t>41.10</t>
  </si>
  <si>
    <t>43.11</t>
  </si>
  <si>
    <t>43.31</t>
  </si>
  <si>
    <t>43.12</t>
  </si>
  <si>
    <t>43.99</t>
  </si>
  <si>
    <t>43.13</t>
  </si>
  <si>
    <t>42.11</t>
  </si>
  <si>
    <t>43.33</t>
  </si>
  <si>
    <t>43.91</t>
  </si>
  <si>
    <t>43.39</t>
  </si>
  <si>
    <t>42.21</t>
  </si>
  <si>
    <t>42.91</t>
  </si>
  <si>
    <t>46.31</t>
  </si>
  <si>
    <t>46.62</t>
  </si>
  <si>
    <t>47.78</t>
  </si>
  <si>
    <t>47.30</t>
  </si>
  <si>
    <t>47.23</t>
  </si>
  <si>
    <t>46.49</t>
  </si>
  <si>
    <t>47.81</t>
  </si>
  <si>
    <t>46.13</t>
  </si>
  <si>
    <t>46.16</t>
  </si>
  <si>
    <t>46.37</t>
  </si>
  <si>
    <t>46.61</t>
  </si>
  <si>
    <t>45.20</t>
  </si>
  <si>
    <t>45.11</t>
  </si>
  <si>
    <t>47.43</t>
  </si>
  <si>
    <t>46.48</t>
  </si>
  <si>
    <t>47.24</t>
  </si>
  <si>
    <t>46.14</t>
  </si>
  <si>
    <t>46.42</t>
  </si>
  <si>
    <t>47.82</t>
  </si>
  <si>
    <t>46.34</t>
  </si>
  <si>
    <t>47.41</t>
  </si>
  <si>
    <t>45.32</t>
  </si>
  <si>
    <t>47.72</t>
  </si>
  <si>
    <t>47.52</t>
  </si>
  <si>
    <t>47.53</t>
  </si>
  <si>
    <t>47.64</t>
  </si>
  <si>
    <t>47.89</t>
  </si>
  <si>
    <t>47.79</t>
  </si>
  <si>
    <t>47.25</t>
  </si>
  <si>
    <t>46.71</t>
  </si>
  <si>
    <t>46.12</t>
  </si>
  <si>
    <t>46.11</t>
  </si>
  <si>
    <t>45.40</t>
  </si>
  <si>
    <t>47.42</t>
  </si>
  <si>
    <t>46.66</t>
  </si>
  <si>
    <t>46.18</t>
  </si>
  <si>
    <t>46.15</t>
  </si>
  <si>
    <t>47.51</t>
  </si>
  <si>
    <t>46.36</t>
  </si>
  <si>
    <t>47.99</t>
  </si>
  <si>
    <t>46.17</t>
  </si>
  <si>
    <t>46.23</t>
  </si>
  <si>
    <t>46.47</t>
  </si>
  <si>
    <t>47.77</t>
  </si>
  <si>
    <t>47.75</t>
  </si>
  <si>
    <t>46.51</t>
  </si>
  <si>
    <t>47.91</t>
  </si>
  <si>
    <t>46.22</t>
  </si>
  <si>
    <t>46.19</t>
  </si>
  <si>
    <t>46.63</t>
  </si>
  <si>
    <t>46.24</t>
  </si>
  <si>
    <t>45.31</t>
  </si>
  <si>
    <t>47.62</t>
  </si>
  <si>
    <t>46.43</t>
  </si>
  <si>
    <t>47.21</t>
  </si>
  <si>
    <t>47.22</t>
  </si>
  <si>
    <t>46.41</t>
  </si>
  <si>
    <t>47.65</t>
  </si>
  <si>
    <t>46.64</t>
  </si>
  <si>
    <t>47.29</t>
  </si>
  <si>
    <t>46.65</t>
  </si>
  <si>
    <t>46.33</t>
  </si>
  <si>
    <t>46.21</t>
  </si>
  <si>
    <t>47.59</t>
  </si>
  <si>
    <t>47.76</t>
  </si>
  <si>
    <t>46.32</t>
  </si>
  <si>
    <t>49.20</t>
  </si>
  <si>
    <t>49.31</t>
  </si>
  <si>
    <t>49.42</t>
  </si>
  <si>
    <t>52.29</t>
  </si>
  <si>
    <t>53.10</t>
  </si>
  <si>
    <t>50.10</t>
  </si>
  <si>
    <t>50.30</t>
  </si>
  <si>
    <t>49.32</t>
  </si>
  <si>
    <t>50.20</t>
  </si>
  <si>
    <t>52.24</t>
  </si>
  <si>
    <t>49.39</t>
  </si>
  <si>
    <t>53.20</t>
  </si>
  <si>
    <t>55.30</t>
  </si>
  <si>
    <t>55.10</t>
  </si>
  <si>
    <t>55.20</t>
  </si>
  <si>
    <t>56.21</t>
  </si>
  <si>
    <t>56.30</t>
  </si>
  <si>
    <t>56.10</t>
  </si>
  <si>
    <t>55.90</t>
  </si>
  <si>
    <t>58.21</t>
  </si>
  <si>
    <t>59.12</t>
  </si>
  <si>
    <t>58.13</t>
  </si>
  <si>
    <t>63.91</t>
  </si>
  <si>
    <t>63.99</t>
  </si>
  <si>
    <t>59.20</t>
  </si>
  <si>
    <t>58.29</t>
  </si>
  <si>
    <t>62.03</t>
  </si>
  <si>
    <t>61.30</t>
  </si>
  <si>
    <t>60.10</t>
  </si>
  <si>
    <t>58.19</t>
  </si>
  <si>
    <t>58.14</t>
  </si>
  <si>
    <t>66.21</t>
  </si>
  <si>
    <t>66.22</t>
  </si>
  <si>
    <t>66.30</t>
  </si>
  <si>
    <t>64.92</t>
  </si>
  <si>
    <t>66.19</t>
  </si>
  <si>
    <t>L</t>
  </si>
  <si>
    <t>68.20</t>
  </si>
  <si>
    <t>68.31</t>
  </si>
  <si>
    <t>68.10</t>
  </si>
  <si>
    <t>68.32</t>
  </si>
  <si>
    <t>74.90</t>
  </si>
  <si>
    <t>74.10</t>
  </si>
  <si>
    <t>72.20</t>
  </si>
  <si>
    <t>72.11</t>
  </si>
  <si>
    <t>75.00</t>
  </si>
  <si>
    <t>70.21</t>
  </si>
  <si>
    <t>74.20</t>
  </si>
  <si>
    <t>69.10</t>
  </si>
  <si>
    <t>73.20</t>
  </si>
  <si>
    <t>74.30</t>
  </si>
  <si>
    <t>71.11</t>
  </si>
  <si>
    <t>78.10</t>
  </si>
  <si>
    <t>82.92</t>
  </si>
  <si>
    <t>81.29</t>
  </si>
  <si>
    <t>80.20</t>
  </si>
  <si>
    <t>77.39</t>
  </si>
  <si>
    <t>82.91</t>
  </si>
  <si>
    <t>79.11</t>
  </si>
  <si>
    <t>81.22</t>
  </si>
  <si>
    <t>77.12</t>
  </si>
  <si>
    <t>79.12</t>
  </si>
  <si>
    <t>77.21</t>
  </si>
  <si>
    <t>77.32</t>
  </si>
  <si>
    <t>77.35</t>
  </si>
  <si>
    <t>78.30</t>
  </si>
  <si>
    <t>77.31</t>
  </si>
  <si>
    <t>77.29</t>
  </si>
  <si>
    <t>77.40</t>
  </si>
  <si>
    <t>82.30</t>
  </si>
  <si>
    <t>77.34</t>
  </si>
  <si>
    <t>79.90</t>
  </si>
  <si>
    <t>81.21</t>
  </si>
  <si>
    <t>81.10</t>
  </si>
  <si>
    <t>81.30</t>
  </si>
  <si>
    <t>O</t>
  </si>
  <si>
    <t>84.25</t>
  </si>
  <si>
    <t>P</t>
  </si>
  <si>
    <t>85.52</t>
  </si>
  <si>
    <t>85.42</t>
  </si>
  <si>
    <t>85.10</t>
  </si>
  <si>
    <t>85.53</t>
  </si>
  <si>
    <t>85.32</t>
  </si>
  <si>
    <t>85.59</t>
  </si>
  <si>
    <t>85.20</t>
  </si>
  <si>
    <t>85.51</t>
  </si>
  <si>
    <t>85.60</t>
  </si>
  <si>
    <t>85.31</t>
  </si>
  <si>
    <t>86.23</t>
  </si>
  <si>
    <t>88.99</t>
  </si>
  <si>
    <t>86.10</t>
  </si>
  <si>
    <t>87.90</t>
  </si>
  <si>
    <t>87.20</t>
  </si>
  <si>
    <t>86.90</t>
  </si>
  <si>
    <t>87.30</t>
  </si>
  <si>
    <t>88.10</t>
  </si>
  <si>
    <t>88.91</t>
  </si>
  <si>
    <t>R</t>
  </si>
  <si>
    <t>90.03</t>
  </si>
  <si>
    <t>91.03</t>
  </si>
  <si>
    <t>92.00</t>
  </si>
  <si>
    <t>93.11</t>
  </si>
  <si>
    <t>90.02</t>
  </si>
  <si>
    <t>93.19</t>
  </si>
  <si>
    <t>91.02</t>
  </si>
  <si>
    <t>93.13</t>
  </si>
  <si>
    <t>91.04</t>
  </si>
  <si>
    <t>90.01</t>
  </si>
  <si>
    <t>90.04</t>
  </si>
  <si>
    <t>93.12</t>
  </si>
  <si>
    <t>93.29</t>
  </si>
  <si>
    <t>91.01</t>
  </si>
  <si>
    <t>93.21</t>
  </si>
  <si>
    <t>S</t>
  </si>
  <si>
    <t>96.01</t>
  </si>
  <si>
    <t>96.04</t>
  </si>
  <si>
    <t>95.24</t>
  </si>
  <si>
    <t>94.11</t>
  </si>
  <si>
    <t>95.22</t>
  </si>
  <si>
    <t>95.11</t>
  </si>
  <si>
    <t>95.29</t>
  </si>
  <si>
    <t>96.02</t>
  </si>
  <si>
    <t>96.03</t>
  </si>
  <si>
    <t>96.09</t>
  </si>
  <si>
    <t>95.21</t>
  </si>
  <si>
    <t>95.23</t>
  </si>
  <si>
    <t>94.99</t>
  </si>
  <si>
    <t>95.12</t>
  </si>
  <si>
    <t>T</t>
  </si>
  <si>
    <t>98.10</t>
  </si>
  <si>
    <t>U</t>
  </si>
  <si>
    <t>99.00</t>
  </si>
  <si>
    <t>gross2</t>
  </si>
  <si>
    <t>Non European Union</t>
  </si>
  <si>
    <t>amount_v1</t>
  </si>
  <si>
    <t>amount_v2</t>
  </si>
  <si>
    <t>94.12</t>
  </si>
  <si>
    <t>84.21</t>
  </si>
  <si>
    <t>27.20</t>
  </si>
  <si>
    <t>66.29</t>
  </si>
  <si>
    <t>65.12</t>
  </si>
  <si>
    <t>09.10</t>
  </si>
  <si>
    <t>64.19</t>
  </si>
  <si>
    <t>24.53</t>
  </si>
  <si>
    <t>26.70</t>
  </si>
  <si>
    <t>24.44</t>
  </si>
  <si>
    <t>84.12</t>
  </si>
  <si>
    <t>66.12</t>
  </si>
  <si>
    <t>35.21</t>
  </si>
  <si>
    <t>64.20</t>
  </si>
  <si>
    <t>85.41</t>
  </si>
  <si>
    <t>98.20</t>
  </si>
  <si>
    <t>77.33</t>
  </si>
  <si>
    <t>94.91</t>
  </si>
  <si>
    <t>65.11</t>
  </si>
  <si>
    <t>08.91</t>
  </si>
  <si>
    <t>84.11</t>
  </si>
  <si>
    <t>87.10</t>
  </si>
  <si>
    <t>20.53</t>
  </si>
  <si>
    <t>24.31</t>
  </si>
  <si>
    <t>30.20</t>
  </si>
  <si>
    <t>51.21</t>
  </si>
  <si>
    <t>24.52</t>
  </si>
  <si>
    <t>01.64</t>
  </si>
  <si>
    <t>28.11</t>
  </si>
  <si>
    <t>23.49</t>
  </si>
  <si>
    <t>26.60</t>
  </si>
  <si>
    <t>SCIB</t>
  </si>
  <si>
    <t>DQS5</t>
  </si>
  <si>
    <t>DQS4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</si>
</sst>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_-* #,##0\ _€_-;\-* #,##0\ _€_-;_-* &quot;-&quot;??\ _€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antander Text"/>
      <family val="2"/>
    </font>
    <font>
      <i/>
      <sz val="11"/>
      <color theme="1"/>
      <name val="Santander Text"/>
      <family val="2"/>
    </font>
    <font>
      <b/>
      <sz val="11"/>
      <color theme="0"/>
      <name val="Santander Text"/>
      <family val="2"/>
    </font>
    <font>
      <b/>
      <sz val="11"/>
      <color theme="1"/>
      <name val="Santander Text"/>
      <family val="2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vertical="center"/>
    </xf>
    <xf numFmtId="9" fontId="2" fillId="0" borderId="0" xfId="1" applyFont="1" applyAlignment="1">
      <alignment vertical="center"/>
    </xf>
    <xf numFmtId="0" fontId="6" fillId="0" borderId="0" xfId="0" applyFont="1"/>
    <xf numFmtId="4" fontId="2" fillId="0" borderId="1" xfId="0" applyNumberFormat="1" applyFont="1" applyBorder="1" applyAlignment="1">
      <alignment vertical="center"/>
    </xf>
    <xf numFmtId="4" fontId="2" fillId="0" borderId="0" xfId="0" applyNumberFormat="1" applyFont="1" applyAlignment="1">
      <alignment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/>
    </xf>
    <xf numFmtId="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mplate%20GHG%20Emissions%20-%20Vers&#227;o%20corrigi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IB"/>
      <sheetName val="SCIB_AUX"/>
      <sheetName val="DQS4"/>
      <sheetName val="DQS4_AUX"/>
      <sheetName val="DQS5"/>
      <sheetName val="Sheet2"/>
    </sheetNames>
    <sheetDataSet>
      <sheetData sheetId="0">
        <row r="7">
          <cell r="P7">
            <v>6305431.6600000011</v>
          </cell>
        </row>
      </sheetData>
      <sheetData sheetId="1"/>
      <sheetData sheetId="2"/>
      <sheetData sheetId="3">
        <row r="1">
          <cell r="B1" t="str">
            <v>nace</v>
          </cell>
          <cell r="C1" t="str">
            <v>european_union</v>
          </cell>
          <cell r="D1" t="str">
            <v>cod_formatado</v>
          </cell>
          <cell r="E1" t="str">
            <v>gross</v>
          </cell>
          <cell r="F1" t="str">
            <v>debt</v>
          </cell>
          <cell r="G1" t="str">
            <v>equity</v>
          </cell>
          <cell r="H1" t="str">
            <v>fatr</v>
          </cell>
          <cell r="I1" t="str">
            <v>scope1</v>
          </cell>
          <cell r="J1" t="str">
            <v>scope2</v>
          </cell>
          <cell r="K1" t="str">
            <v>scope3</v>
          </cell>
        </row>
        <row r="2">
          <cell r="A2" t="str">
            <v>A01.11EU1</v>
          </cell>
          <cell r="B2" t="str">
            <v>A</v>
          </cell>
          <cell r="C2" t="str">
            <v>EU1</v>
          </cell>
          <cell r="D2" t="str">
            <v>01.11</v>
          </cell>
          <cell r="E2">
            <v>3022871.669307</v>
          </cell>
          <cell r="F2">
            <v>27246801.48</v>
          </cell>
          <cell r="G2">
            <v>35305292.75</v>
          </cell>
          <cell r="H2">
            <v>45933455.789999999</v>
          </cell>
          <cell r="I2">
            <v>3601.2860420000002</v>
          </cell>
          <cell r="J2">
            <v>275.87139000000002</v>
          </cell>
          <cell r="K2">
            <v>1455.1251890000001</v>
          </cell>
          <cell r="L2" t="str">
            <v>European Union</v>
          </cell>
          <cell r="M2">
            <v>3.022872</v>
          </cell>
        </row>
        <row r="3">
          <cell r="A3" t="str">
            <v>A02.30EU1</v>
          </cell>
          <cell r="B3" t="str">
            <v>A</v>
          </cell>
          <cell r="C3" t="str">
            <v>EU1</v>
          </cell>
          <cell r="D3" t="str">
            <v>02.30</v>
          </cell>
          <cell r="E3">
            <v>1922170.09</v>
          </cell>
          <cell r="F3">
            <v>13477686.09</v>
          </cell>
          <cell r="G3">
            <v>6291520.1500000004</v>
          </cell>
          <cell r="H3">
            <v>15271466</v>
          </cell>
          <cell r="I3">
            <v>1713.1192719999999</v>
          </cell>
          <cell r="J3">
            <v>131.23106300000001</v>
          </cell>
          <cell r="K3">
            <v>692.19800399999997</v>
          </cell>
          <cell r="L3" t="str">
            <v>European Union</v>
          </cell>
          <cell r="M3">
            <v>1.9221699999999999</v>
          </cell>
        </row>
        <row r="4">
          <cell r="A4" t="str">
            <v>A01.42EU1</v>
          </cell>
          <cell r="B4" t="str">
            <v>A</v>
          </cell>
          <cell r="C4" t="str">
            <v>EU1</v>
          </cell>
          <cell r="D4" t="str">
            <v>01.42</v>
          </cell>
          <cell r="E4">
            <v>7400613</v>
          </cell>
          <cell r="F4">
            <v>19298686.23</v>
          </cell>
          <cell r="G4">
            <v>81068187.819999993</v>
          </cell>
          <cell r="H4">
            <v>57016683.619999997</v>
          </cell>
          <cell r="I4">
            <v>7805.1012119999996</v>
          </cell>
          <cell r="J4">
            <v>597.89866800000004</v>
          </cell>
          <cell r="K4">
            <v>3153.7065560000001</v>
          </cell>
          <cell r="L4" t="str">
            <v>European Union</v>
          </cell>
          <cell r="M4">
            <v>7.4006129999999999</v>
          </cell>
        </row>
        <row r="5">
          <cell r="A5" t="str">
            <v>A01.22EU1</v>
          </cell>
          <cell r="B5" t="str">
            <v>A</v>
          </cell>
          <cell r="C5" t="str">
            <v>EU1</v>
          </cell>
          <cell r="D5" t="str">
            <v>01.22</v>
          </cell>
          <cell r="E5">
            <v>1588576.5814139999</v>
          </cell>
          <cell r="F5">
            <v>7013427</v>
          </cell>
          <cell r="G5">
            <v>5231653.46</v>
          </cell>
          <cell r="H5">
            <v>4364588.37</v>
          </cell>
          <cell r="I5">
            <v>383.71867800000001</v>
          </cell>
          <cell r="J5">
            <v>29.394223</v>
          </cell>
          <cell r="K5">
            <v>155.04425499999999</v>
          </cell>
          <cell r="L5" t="str">
            <v>European Union</v>
          </cell>
          <cell r="M5">
            <v>1.5885769999999999</v>
          </cell>
        </row>
        <row r="6">
          <cell r="A6" t="str">
            <v>A01.62EU1</v>
          </cell>
          <cell r="B6" t="str">
            <v>A</v>
          </cell>
          <cell r="C6" t="str">
            <v>EU1</v>
          </cell>
          <cell r="D6" t="str">
            <v>01.62</v>
          </cell>
          <cell r="E6">
            <v>413291.10970700003</v>
          </cell>
          <cell r="F6">
            <v>687479.31</v>
          </cell>
          <cell r="G6">
            <v>144159.79</v>
          </cell>
          <cell r="H6">
            <v>1844875.29</v>
          </cell>
          <cell r="I6">
            <v>977.96295499999997</v>
          </cell>
          <cell r="J6">
            <v>74.915460999999993</v>
          </cell>
          <cell r="K6">
            <v>395.15287499999999</v>
          </cell>
          <cell r="L6" t="str">
            <v>European Union</v>
          </cell>
          <cell r="M6">
            <v>0.41329100000000002</v>
          </cell>
        </row>
        <row r="7">
          <cell r="A7" t="str">
            <v>A01.25EU1</v>
          </cell>
          <cell r="B7" t="str">
            <v>A</v>
          </cell>
          <cell r="C7" t="str">
            <v>EU1</v>
          </cell>
          <cell r="D7" t="str">
            <v>01.25</v>
          </cell>
          <cell r="E7">
            <v>8930503.5544360001</v>
          </cell>
          <cell r="F7">
            <v>46993978.539999999</v>
          </cell>
          <cell r="G7">
            <v>48182285.530000001</v>
          </cell>
          <cell r="H7">
            <v>49044161.659999996</v>
          </cell>
          <cell r="I7">
            <v>3487.9623320000001</v>
          </cell>
          <cell r="J7">
            <v>267.19038799999998</v>
          </cell>
          <cell r="K7">
            <v>1409.3359419999999</v>
          </cell>
          <cell r="L7" t="str">
            <v>European Union</v>
          </cell>
          <cell r="M7">
            <v>8.9305040000000009</v>
          </cell>
        </row>
        <row r="8">
          <cell r="A8" t="str">
            <v>A01.47EU1</v>
          </cell>
          <cell r="B8" t="str">
            <v>A</v>
          </cell>
          <cell r="C8" t="str">
            <v>EU1</v>
          </cell>
          <cell r="D8" t="str">
            <v>01.47</v>
          </cell>
          <cell r="E8">
            <v>19939177.838530999</v>
          </cell>
          <cell r="F8">
            <v>37219849.890000001</v>
          </cell>
          <cell r="G8">
            <v>123423103.31999999</v>
          </cell>
          <cell r="H8">
            <v>257398182.03</v>
          </cell>
          <cell r="I8">
            <v>36871.421338</v>
          </cell>
          <cell r="J8">
            <v>2824.4827420000001</v>
          </cell>
          <cell r="K8">
            <v>14898.159546999999</v>
          </cell>
          <cell r="L8" t="str">
            <v>European Union</v>
          </cell>
          <cell r="M8">
            <v>19.939177999999998</v>
          </cell>
        </row>
        <row r="9">
          <cell r="A9" t="str">
            <v>A01.19EU1</v>
          </cell>
          <cell r="B9" t="str">
            <v>A</v>
          </cell>
          <cell r="C9" t="str">
            <v>EU1</v>
          </cell>
          <cell r="D9" t="str">
            <v>01.19</v>
          </cell>
          <cell r="E9">
            <v>4352666.9694969999</v>
          </cell>
          <cell r="F9">
            <v>35869298.490000002</v>
          </cell>
          <cell r="G9">
            <v>96347135.019999996</v>
          </cell>
          <cell r="H9">
            <v>51220780.009999998</v>
          </cell>
          <cell r="I9">
            <v>5732.402505</v>
          </cell>
          <cell r="J9">
            <v>439.12253600000003</v>
          </cell>
          <cell r="K9">
            <v>2316.217928</v>
          </cell>
          <cell r="L9" t="str">
            <v>European Union</v>
          </cell>
          <cell r="M9">
            <v>4.3526670000000003</v>
          </cell>
        </row>
        <row r="10">
          <cell r="A10" t="str">
            <v>A01.13EU1</v>
          </cell>
          <cell r="B10" t="str">
            <v>A</v>
          </cell>
          <cell r="C10" t="str">
            <v>EU1</v>
          </cell>
          <cell r="D10" t="str">
            <v>01.13</v>
          </cell>
          <cell r="E10">
            <v>14468463.289841</v>
          </cell>
          <cell r="F10">
            <v>96657868.780000001</v>
          </cell>
          <cell r="G10">
            <v>134388411.33000001</v>
          </cell>
          <cell r="H10">
            <v>264223317.19999999</v>
          </cell>
          <cell r="I10">
            <v>23144.316591999999</v>
          </cell>
          <cell r="J10">
            <v>1772.9374319999999</v>
          </cell>
          <cell r="K10">
            <v>9351.6254160000008</v>
          </cell>
          <cell r="L10" t="str">
            <v>European Union</v>
          </cell>
          <cell r="M10">
            <v>14.468463</v>
          </cell>
        </row>
        <row r="11">
          <cell r="A11" t="str">
            <v>A01.24EU1</v>
          </cell>
          <cell r="B11" t="str">
            <v>A</v>
          </cell>
          <cell r="C11" t="str">
            <v>EU1</v>
          </cell>
          <cell r="D11" t="str">
            <v>01.24</v>
          </cell>
          <cell r="E11">
            <v>1560616.23</v>
          </cell>
          <cell r="F11">
            <v>10985607.460000001</v>
          </cell>
          <cell r="G11">
            <v>17934094.530000001</v>
          </cell>
          <cell r="H11">
            <v>16165978.210000001</v>
          </cell>
          <cell r="I11">
            <v>1593.782222</v>
          </cell>
          <cell r="J11">
            <v>122.08941900000001</v>
          </cell>
          <cell r="K11">
            <v>643.979015</v>
          </cell>
          <cell r="L11" t="str">
            <v>European Union</v>
          </cell>
          <cell r="M11">
            <v>1.560616</v>
          </cell>
        </row>
        <row r="12">
          <cell r="A12" t="str">
            <v>A01.45EU1</v>
          </cell>
          <cell r="B12" t="str">
            <v>A</v>
          </cell>
          <cell r="C12" t="str">
            <v>EU1</v>
          </cell>
          <cell r="D12" t="str">
            <v>01.45</v>
          </cell>
          <cell r="E12">
            <v>451981.9</v>
          </cell>
          <cell r="F12">
            <v>884982.59</v>
          </cell>
          <cell r="G12">
            <v>1337462.58</v>
          </cell>
          <cell r="H12">
            <v>1640510.15</v>
          </cell>
          <cell r="I12">
            <v>667.92213000000004</v>
          </cell>
          <cell r="J12">
            <v>51.165222999999997</v>
          </cell>
          <cell r="K12">
            <v>269.87867699999998</v>
          </cell>
          <cell r="L12" t="str">
            <v>European Union</v>
          </cell>
          <cell r="M12">
            <v>0.45198199999999999</v>
          </cell>
        </row>
        <row r="13">
          <cell r="A13" t="str">
            <v>A01.49EU1</v>
          </cell>
          <cell r="B13" t="str">
            <v>A</v>
          </cell>
          <cell r="C13" t="str">
            <v>EU1</v>
          </cell>
          <cell r="D13" t="str">
            <v>01.49</v>
          </cell>
          <cell r="E13">
            <v>486317.15</v>
          </cell>
          <cell r="F13">
            <v>1515373.08</v>
          </cell>
          <cell r="G13">
            <v>1264930.25</v>
          </cell>
          <cell r="H13">
            <v>3309621.42</v>
          </cell>
          <cell r="I13">
            <v>773.01709600000004</v>
          </cell>
          <cell r="J13">
            <v>59.215873999999999</v>
          </cell>
          <cell r="K13">
            <v>312.34304800000001</v>
          </cell>
          <cell r="L13" t="str">
            <v>European Union</v>
          </cell>
          <cell r="M13">
            <v>0.486317</v>
          </cell>
        </row>
        <row r="14">
          <cell r="A14" t="str">
            <v>A03.11EU1</v>
          </cell>
          <cell r="B14" t="str">
            <v>A</v>
          </cell>
          <cell r="C14" t="str">
            <v>EU1</v>
          </cell>
          <cell r="D14" t="str">
            <v>03.11</v>
          </cell>
          <cell r="E14">
            <v>2495533.9599029999</v>
          </cell>
          <cell r="F14">
            <v>50999061.049999997</v>
          </cell>
          <cell r="G14">
            <v>39019750.43</v>
          </cell>
          <cell r="H14">
            <v>67435794.129999995</v>
          </cell>
          <cell r="I14">
            <v>4103.192806</v>
          </cell>
          <cell r="J14">
            <v>314.31924600000002</v>
          </cell>
          <cell r="K14">
            <v>1657.9241810000001</v>
          </cell>
          <cell r="L14" t="str">
            <v>European Union</v>
          </cell>
          <cell r="M14">
            <v>2.4955340000000001</v>
          </cell>
        </row>
        <row r="15">
          <cell r="A15" t="str">
            <v>A01.63EU1</v>
          </cell>
          <cell r="B15" t="str">
            <v>A</v>
          </cell>
          <cell r="C15" t="str">
            <v>EU1</v>
          </cell>
          <cell r="D15" t="str">
            <v>01.63</v>
          </cell>
          <cell r="E15">
            <v>16045.97</v>
          </cell>
          <cell r="F15">
            <v>89214.52</v>
          </cell>
          <cell r="G15">
            <v>67956.639999999999</v>
          </cell>
          <cell r="H15">
            <v>515843.41</v>
          </cell>
          <cell r="I15">
            <v>57.958838999999998</v>
          </cell>
          <cell r="J15">
            <v>4.4398540000000004</v>
          </cell>
          <cell r="K15">
            <v>23.418679999999998</v>
          </cell>
          <cell r="L15" t="str">
            <v>European Union</v>
          </cell>
          <cell r="M15">
            <v>1.6046000000000001E-2</v>
          </cell>
        </row>
        <row r="16">
          <cell r="A16" t="str">
            <v>A01.70EU1</v>
          </cell>
          <cell r="B16" t="str">
            <v>A</v>
          </cell>
          <cell r="C16" t="str">
            <v>EU1</v>
          </cell>
          <cell r="D16" t="str">
            <v>01.70</v>
          </cell>
          <cell r="E16">
            <v>93409.79</v>
          </cell>
          <cell r="F16">
            <v>157416.75</v>
          </cell>
          <cell r="G16">
            <v>1675479.73</v>
          </cell>
          <cell r="H16">
            <v>1395509.29</v>
          </cell>
          <cell r="I16">
            <v>94.750991999999997</v>
          </cell>
          <cell r="J16">
            <v>7.2582649999999997</v>
          </cell>
          <cell r="K16">
            <v>38.284809000000003</v>
          </cell>
          <cell r="L16" t="str">
            <v>European Union</v>
          </cell>
          <cell r="M16">
            <v>9.3410000000000007E-2</v>
          </cell>
        </row>
        <row r="17">
          <cell r="A17" t="str">
            <v>A03.21EU1</v>
          </cell>
          <cell r="B17" t="str">
            <v>A</v>
          </cell>
          <cell r="C17" t="str">
            <v>EU1</v>
          </cell>
          <cell r="D17" t="str">
            <v>03.21</v>
          </cell>
          <cell r="E17">
            <v>962777.12</v>
          </cell>
          <cell r="F17">
            <v>2413631.66</v>
          </cell>
          <cell r="G17">
            <v>5499071.7800000003</v>
          </cell>
          <cell r="H17">
            <v>5225749.99</v>
          </cell>
          <cell r="I17">
            <v>828.95754199999999</v>
          </cell>
          <cell r="J17">
            <v>63.501111999999999</v>
          </cell>
          <cell r="K17">
            <v>334.94617899999997</v>
          </cell>
          <cell r="L17" t="str">
            <v>European Union</v>
          </cell>
          <cell r="M17">
            <v>0.96277699999999999</v>
          </cell>
        </row>
        <row r="18">
          <cell r="A18" t="str">
            <v>A02.20EU1</v>
          </cell>
          <cell r="B18" t="str">
            <v>A</v>
          </cell>
          <cell r="C18" t="str">
            <v>EU1</v>
          </cell>
          <cell r="D18" t="str">
            <v>02.20</v>
          </cell>
          <cell r="E18">
            <v>15883624.338478001</v>
          </cell>
          <cell r="F18">
            <v>63528738.740000002</v>
          </cell>
          <cell r="G18">
            <v>138884353.22</v>
          </cell>
          <cell r="H18">
            <v>198499231.77000001</v>
          </cell>
          <cell r="I18">
            <v>29724.922879000002</v>
          </cell>
          <cell r="J18">
            <v>2277.0354000000002</v>
          </cell>
          <cell r="K18">
            <v>12010.566108000001</v>
          </cell>
          <cell r="L18" t="str">
            <v>European Union</v>
          </cell>
          <cell r="M18">
            <v>15.883623999999999</v>
          </cell>
        </row>
        <row r="19">
          <cell r="A19" t="str">
            <v>A01.28EU1</v>
          </cell>
          <cell r="B19" t="str">
            <v>A</v>
          </cell>
          <cell r="C19" t="str">
            <v>EU1</v>
          </cell>
          <cell r="D19" t="str">
            <v>01.28</v>
          </cell>
          <cell r="E19">
            <v>283361.03000000003</v>
          </cell>
          <cell r="F19">
            <v>340557.37</v>
          </cell>
          <cell r="G19">
            <v>178776.55</v>
          </cell>
          <cell r="H19">
            <v>447343.09</v>
          </cell>
          <cell r="I19">
            <v>225.932062</v>
          </cell>
          <cell r="J19">
            <v>17.307205</v>
          </cell>
          <cell r="K19">
            <v>91.289451</v>
          </cell>
          <cell r="L19" t="str">
            <v>European Union</v>
          </cell>
          <cell r="M19">
            <v>0.28336099999999997</v>
          </cell>
        </row>
        <row r="20">
          <cell r="A20" t="str">
            <v>A03.22EU1</v>
          </cell>
          <cell r="B20" t="str">
            <v>A</v>
          </cell>
          <cell r="C20" t="str">
            <v>EU1</v>
          </cell>
          <cell r="D20" t="str">
            <v>03.22</v>
          </cell>
          <cell r="E20">
            <v>329.8</v>
          </cell>
          <cell r="F20">
            <v>158158.17000000001</v>
          </cell>
          <cell r="G20">
            <v>29892.89</v>
          </cell>
          <cell r="H20">
            <v>1520714.93</v>
          </cell>
          <cell r="I20">
            <v>2.842695</v>
          </cell>
          <cell r="J20">
            <v>0.21776000000000001</v>
          </cell>
          <cell r="K20">
            <v>1.148611</v>
          </cell>
          <cell r="L20" t="str">
            <v>European Union</v>
          </cell>
          <cell r="M20">
            <v>3.3E-4</v>
          </cell>
        </row>
        <row r="21">
          <cell r="A21" t="str">
            <v>A01.61EU1</v>
          </cell>
          <cell r="B21" t="str">
            <v>A</v>
          </cell>
          <cell r="C21" t="str">
            <v>EU1</v>
          </cell>
          <cell r="D21" t="str">
            <v>01.61</v>
          </cell>
          <cell r="E21">
            <v>12839488.522887001</v>
          </cell>
          <cell r="F21">
            <v>50712151.009999998</v>
          </cell>
          <cell r="G21">
            <v>53618594.869999997</v>
          </cell>
          <cell r="H21">
            <v>46803185.369999997</v>
          </cell>
          <cell r="I21">
            <v>7241.1922180000001</v>
          </cell>
          <cell r="J21">
            <v>554.70121700000004</v>
          </cell>
          <cell r="K21">
            <v>2925.8551229999998</v>
          </cell>
          <cell r="L21" t="str">
            <v>European Union</v>
          </cell>
          <cell r="M21">
            <v>12.839489</v>
          </cell>
        </row>
        <row r="22">
          <cell r="A22" t="str">
            <v>A02.10EU1</v>
          </cell>
          <cell r="B22" t="str">
            <v>A</v>
          </cell>
          <cell r="C22" t="str">
            <v>EU1</v>
          </cell>
          <cell r="D22" t="str">
            <v>02.10</v>
          </cell>
          <cell r="E22">
            <v>12957754.727131</v>
          </cell>
          <cell r="F22">
            <v>20495222.030000001</v>
          </cell>
          <cell r="G22">
            <v>164334898.97</v>
          </cell>
          <cell r="H22">
            <v>101599334.47</v>
          </cell>
          <cell r="I22">
            <v>9892.1190530000003</v>
          </cell>
          <cell r="J22">
            <v>757.77169400000002</v>
          </cell>
          <cell r="K22">
            <v>3996.9809289999998</v>
          </cell>
          <cell r="L22" t="str">
            <v>European Union</v>
          </cell>
          <cell r="M22">
            <v>12.957755000000001</v>
          </cell>
        </row>
        <row r="23">
          <cell r="A23" t="str">
            <v>A01.41EU1</v>
          </cell>
          <cell r="B23" t="str">
            <v>A</v>
          </cell>
          <cell r="C23" t="str">
            <v>EU1</v>
          </cell>
          <cell r="D23" t="str">
            <v>01.41</v>
          </cell>
          <cell r="E23">
            <v>5949838.5692090001</v>
          </cell>
          <cell r="F23">
            <v>30932792.879999999</v>
          </cell>
          <cell r="G23">
            <v>34314784.909999996</v>
          </cell>
          <cell r="H23">
            <v>55134825.270000003</v>
          </cell>
          <cell r="I23">
            <v>6466.6486789999999</v>
          </cell>
          <cell r="J23">
            <v>495.36841900000002</v>
          </cell>
          <cell r="K23">
            <v>2612.8953059999999</v>
          </cell>
          <cell r="L23" t="str">
            <v>European Union</v>
          </cell>
          <cell r="M23">
            <v>5.9498389999999999</v>
          </cell>
        </row>
        <row r="24">
          <cell r="A24" t="str">
            <v>A01.30EU1</v>
          </cell>
          <cell r="B24" t="str">
            <v>A</v>
          </cell>
          <cell r="C24" t="str">
            <v>EU1</v>
          </cell>
          <cell r="D24" t="str">
            <v>01.30</v>
          </cell>
          <cell r="E24">
            <v>1069966.2</v>
          </cell>
          <cell r="F24">
            <v>5870375.3899999997</v>
          </cell>
          <cell r="G24">
            <v>8509443.3100000005</v>
          </cell>
          <cell r="H24">
            <v>20841096.52</v>
          </cell>
          <cell r="I24">
            <v>2272.4577239999999</v>
          </cell>
          <cell r="J24">
            <v>174.07838899999999</v>
          </cell>
          <cell r="K24">
            <v>918.202675</v>
          </cell>
          <cell r="L24" t="str">
            <v>European Union</v>
          </cell>
          <cell r="M24">
            <v>1.069966</v>
          </cell>
        </row>
        <row r="25">
          <cell r="A25" t="str">
            <v>A01.12EU1</v>
          </cell>
          <cell r="B25" t="str">
            <v>A</v>
          </cell>
          <cell r="C25" t="str">
            <v>EU1</v>
          </cell>
          <cell r="D25" t="str">
            <v>01.12</v>
          </cell>
          <cell r="E25">
            <v>649560.85</v>
          </cell>
          <cell r="F25">
            <v>5033775.4800000004</v>
          </cell>
          <cell r="G25">
            <v>3926508.62</v>
          </cell>
          <cell r="H25">
            <v>5354237.92</v>
          </cell>
          <cell r="I25">
            <v>607.90858000000003</v>
          </cell>
          <cell r="J25">
            <v>46.567971999999997</v>
          </cell>
          <cell r="K25">
            <v>245.62977799999999</v>
          </cell>
          <cell r="L25" t="str">
            <v>European Union</v>
          </cell>
          <cell r="M25">
            <v>0.64956100000000006</v>
          </cell>
        </row>
        <row r="26">
          <cell r="A26" t="str">
            <v>A01.29EU1</v>
          </cell>
          <cell r="B26" t="str">
            <v>A</v>
          </cell>
          <cell r="C26" t="str">
            <v>EU1</v>
          </cell>
          <cell r="D26" t="str">
            <v>01.29</v>
          </cell>
          <cell r="E26">
            <v>459635.85</v>
          </cell>
          <cell r="F26">
            <v>37432713.630000003</v>
          </cell>
          <cell r="G26">
            <v>69631219.689999998</v>
          </cell>
          <cell r="H26">
            <v>25714922.059999999</v>
          </cell>
          <cell r="I26">
            <v>368.92962199999999</v>
          </cell>
          <cell r="J26">
            <v>28.261329</v>
          </cell>
          <cell r="K26">
            <v>149.06863300000001</v>
          </cell>
          <cell r="L26" t="str">
            <v>European Union</v>
          </cell>
          <cell r="M26">
            <v>0.45963599999999999</v>
          </cell>
        </row>
        <row r="27">
          <cell r="A27" t="str">
            <v>A01.50EU1</v>
          </cell>
          <cell r="B27" t="str">
            <v>A</v>
          </cell>
          <cell r="C27" t="str">
            <v>EU1</v>
          </cell>
          <cell r="D27" t="str">
            <v>01.50</v>
          </cell>
          <cell r="E27">
            <v>37114755.300981</v>
          </cell>
          <cell r="F27">
            <v>272596897.56</v>
          </cell>
          <cell r="G27">
            <v>1172822118.26</v>
          </cell>
          <cell r="H27">
            <v>338389799.04000002</v>
          </cell>
          <cell r="I27">
            <v>14950.881035</v>
          </cell>
          <cell r="J27">
            <v>1145.290958</v>
          </cell>
          <cell r="K27">
            <v>6041.0096169999997</v>
          </cell>
          <cell r="L27" t="str">
            <v>European Union</v>
          </cell>
          <cell r="M27">
            <v>37.114755000000002</v>
          </cell>
        </row>
        <row r="28">
          <cell r="A28" t="str">
            <v>A01.26EU1</v>
          </cell>
          <cell r="B28" t="str">
            <v>A</v>
          </cell>
          <cell r="C28" t="str">
            <v>EU1</v>
          </cell>
          <cell r="D28" t="str">
            <v>01.26</v>
          </cell>
          <cell r="E28">
            <v>12590597.370130001</v>
          </cell>
          <cell r="F28">
            <v>94236931.709999993</v>
          </cell>
          <cell r="G28">
            <v>193144904.72999999</v>
          </cell>
          <cell r="H28">
            <v>136936557.22</v>
          </cell>
          <cell r="I28">
            <v>6392.200452</v>
          </cell>
          <cell r="J28">
            <v>489.66541699999999</v>
          </cell>
          <cell r="K28">
            <v>2582.8139729999998</v>
          </cell>
          <cell r="L28" t="str">
            <v>European Union</v>
          </cell>
          <cell r="M28">
            <v>12.590597000000001</v>
          </cell>
        </row>
        <row r="29">
          <cell r="A29" t="str">
            <v>A01.46EU1</v>
          </cell>
          <cell r="B29" t="str">
            <v>A</v>
          </cell>
          <cell r="C29" t="str">
            <v>EU1</v>
          </cell>
          <cell r="D29" t="str">
            <v>01.46</v>
          </cell>
          <cell r="E29">
            <v>7950920.4392680004</v>
          </cell>
          <cell r="F29">
            <v>84289052.900000006</v>
          </cell>
          <cell r="G29">
            <v>140052984.11000001</v>
          </cell>
          <cell r="H29">
            <v>353371041.77999997</v>
          </cell>
          <cell r="I29">
            <v>14832.356173</v>
          </cell>
          <cell r="J29">
            <v>1136.2115269999999</v>
          </cell>
          <cell r="K29">
            <v>5993.1188060000004</v>
          </cell>
          <cell r="L29" t="str">
            <v>European Union</v>
          </cell>
          <cell r="M29">
            <v>7.95092</v>
          </cell>
        </row>
        <row r="30">
          <cell r="A30" t="str">
            <v>A01.43EU1</v>
          </cell>
          <cell r="B30" t="str">
            <v>A</v>
          </cell>
          <cell r="C30" t="str">
            <v>EU1</v>
          </cell>
          <cell r="D30" t="str">
            <v>01.43</v>
          </cell>
          <cell r="E30">
            <v>100819.09</v>
          </cell>
          <cell r="F30">
            <v>100000</v>
          </cell>
          <cell r="G30">
            <v>3204618.88</v>
          </cell>
          <cell r="H30">
            <v>280628.24</v>
          </cell>
          <cell r="I30">
            <v>9.4217230000000001</v>
          </cell>
          <cell r="J30">
            <v>0.72173699999999996</v>
          </cell>
          <cell r="K30">
            <v>3.8069139999999999</v>
          </cell>
          <cell r="L30" t="str">
            <v>European Union</v>
          </cell>
          <cell r="M30">
            <v>0.10081900000000001</v>
          </cell>
        </row>
        <row r="31">
          <cell r="A31" t="str">
            <v>A01.21EU1</v>
          </cell>
          <cell r="B31" t="str">
            <v>A</v>
          </cell>
          <cell r="C31" t="str">
            <v>EU1</v>
          </cell>
          <cell r="D31" t="str">
            <v>01.21</v>
          </cell>
          <cell r="E31">
            <v>6978841.8109710002</v>
          </cell>
          <cell r="F31">
            <v>83156186.780000001</v>
          </cell>
          <cell r="G31">
            <v>93046855.689999998</v>
          </cell>
          <cell r="H31">
            <v>77669588.420000002</v>
          </cell>
          <cell r="I31">
            <v>3280.7449710000001</v>
          </cell>
          <cell r="J31">
            <v>251.31679600000001</v>
          </cell>
          <cell r="K31">
            <v>1325.608289</v>
          </cell>
          <cell r="L31" t="str">
            <v>European Union</v>
          </cell>
          <cell r="M31">
            <v>6.9788420000000002</v>
          </cell>
        </row>
        <row r="32">
          <cell r="A32" t="str">
            <v>A02.40EU1</v>
          </cell>
          <cell r="B32" t="str">
            <v>A</v>
          </cell>
          <cell r="C32" t="str">
            <v>EU1</v>
          </cell>
          <cell r="D32" t="str">
            <v>02.40</v>
          </cell>
          <cell r="E32">
            <v>5716053.5484570004</v>
          </cell>
          <cell r="F32">
            <v>14283182.289999999</v>
          </cell>
          <cell r="G32">
            <v>22900965.989999998</v>
          </cell>
          <cell r="H32">
            <v>48733317.030000001</v>
          </cell>
          <cell r="I32">
            <v>9930.2780789999997</v>
          </cell>
          <cell r="J32">
            <v>760.69481699999994</v>
          </cell>
          <cell r="K32">
            <v>4012.3993529999998</v>
          </cell>
          <cell r="L32" t="str">
            <v>European Union</v>
          </cell>
          <cell r="M32">
            <v>5.7160539999999997</v>
          </cell>
        </row>
        <row r="33">
          <cell r="A33" t="str">
            <v>A01.23EU1</v>
          </cell>
          <cell r="B33" t="str">
            <v>A</v>
          </cell>
          <cell r="C33" t="str">
            <v>EU1</v>
          </cell>
          <cell r="D33" t="str">
            <v>01.23</v>
          </cell>
          <cell r="E33">
            <v>602433.12089799996</v>
          </cell>
          <cell r="F33">
            <v>6209384.3600000003</v>
          </cell>
          <cell r="G33">
            <v>6013557.6900000004</v>
          </cell>
          <cell r="H33">
            <v>12875894.539999999</v>
          </cell>
          <cell r="I33">
            <v>909.49176</v>
          </cell>
          <cell r="J33">
            <v>69.670321000000001</v>
          </cell>
          <cell r="K33">
            <v>367.48660100000001</v>
          </cell>
          <cell r="L33" t="str">
            <v>European Union</v>
          </cell>
          <cell r="M33">
            <v>0.602433</v>
          </cell>
        </row>
        <row r="34">
          <cell r="A34" t="str">
            <v>B07.29EU1</v>
          </cell>
          <cell r="B34" t="str">
            <v>B</v>
          </cell>
          <cell r="C34" t="str">
            <v>EU1</v>
          </cell>
          <cell r="D34" t="str">
            <v>07.29</v>
          </cell>
          <cell r="E34">
            <v>101845.55</v>
          </cell>
          <cell r="F34">
            <v>190000000</v>
          </cell>
          <cell r="G34">
            <v>1299407108</v>
          </cell>
          <cell r="H34">
            <v>807569402</v>
          </cell>
          <cell r="I34">
            <v>37.395605000000003</v>
          </cell>
          <cell r="J34">
            <v>4.5285409999999997</v>
          </cell>
          <cell r="K34">
            <v>24.067299999999999</v>
          </cell>
          <cell r="L34" t="str">
            <v>European Union</v>
          </cell>
          <cell r="M34">
            <v>0.10184600000000001</v>
          </cell>
        </row>
        <row r="35">
          <cell r="A35" t="str">
            <v>B08.11EU1</v>
          </cell>
          <cell r="B35" t="str">
            <v>B</v>
          </cell>
          <cell r="C35" t="str">
            <v>EU1</v>
          </cell>
          <cell r="D35" t="str">
            <v>08.11</v>
          </cell>
          <cell r="E35">
            <v>6631528.0588189997</v>
          </cell>
          <cell r="F35">
            <v>78121379.510000005</v>
          </cell>
          <cell r="G35">
            <v>132388028.73999999</v>
          </cell>
          <cell r="H35">
            <v>159918656.33000001</v>
          </cell>
          <cell r="I35">
            <v>4192.0507470000002</v>
          </cell>
          <cell r="J35">
            <v>507.649925</v>
          </cell>
          <cell r="K35">
            <v>2697.9464469999998</v>
          </cell>
          <cell r="L35" t="str">
            <v>European Union</v>
          </cell>
          <cell r="M35">
            <v>6.6315280000000003</v>
          </cell>
        </row>
        <row r="36">
          <cell r="A36" t="str">
            <v>B08.93EU1</v>
          </cell>
          <cell r="B36" t="str">
            <v>B</v>
          </cell>
          <cell r="C36" t="str">
            <v>EU1</v>
          </cell>
          <cell r="D36" t="str">
            <v>08.93</v>
          </cell>
          <cell r="E36">
            <v>13990.72</v>
          </cell>
          <cell r="F36">
            <v>15264.21</v>
          </cell>
          <cell r="G36">
            <v>893521</v>
          </cell>
          <cell r="H36">
            <v>357365.23</v>
          </cell>
          <cell r="I36">
            <v>2.5625209999999998</v>
          </cell>
          <cell r="J36">
            <v>0.31031700000000001</v>
          </cell>
          <cell r="K36">
            <v>1.649203</v>
          </cell>
          <cell r="L36" t="str">
            <v>European Union</v>
          </cell>
          <cell r="M36">
            <v>1.3991E-2</v>
          </cell>
        </row>
        <row r="37">
          <cell r="A37" t="str">
            <v>B08.12EU1</v>
          </cell>
          <cell r="B37" t="str">
            <v>B</v>
          </cell>
          <cell r="C37" t="str">
            <v>EU1</v>
          </cell>
          <cell r="D37" t="str">
            <v>08.12</v>
          </cell>
          <cell r="E37">
            <v>3603782.1184009998</v>
          </cell>
          <cell r="F37">
            <v>32487325.140000001</v>
          </cell>
          <cell r="G37">
            <v>82261916.120000005</v>
          </cell>
          <cell r="H37">
            <v>115239206.25</v>
          </cell>
          <cell r="I37">
            <v>2928.3053190000001</v>
          </cell>
          <cell r="J37">
            <v>354.612594</v>
          </cell>
          <cell r="K37">
            <v>1884.617191</v>
          </cell>
          <cell r="L37" t="str">
            <v>European Union</v>
          </cell>
          <cell r="M37">
            <v>3.6037819999999998</v>
          </cell>
        </row>
        <row r="38">
          <cell r="A38" t="str">
            <v>B08.99EU1</v>
          </cell>
          <cell r="B38" t="str">
            <v>B</v>
          </cell>
          <cell r="C38" t="str">
            <v>EU1</v>
          </cell>
          <cell r="D38" t="str">
            <v>08.99</v>
          </cell>
          <cell r="E38">
            <v>738770.74009800004</v>
          </cell>
          <cell r="F38">
            <v>1663138.03</v>
          </cell>
          <cell r="G38">
            <v>2469082.5099999998</v>
          </cell>
          <cell r="H38">
            <v>8217428.9100000001</v>
          </cell>
          <cell r="I38">
            <v>1679.6878320000001</v>
          </cell>
          <cell r="J38">
            <v>203.40722299999999</v>
          </cell>
          <cell r="K38">
            <v>1081.024079</v>
          </cell>
          <cell r="L38" t="str">
            <v>European Union</v>
          </cell>
          <cell r="M38">
            <v>0.73877099999999996</v>
          </cell>
        </row>
        <row r="39">
          <cell r="A39" t="str">
            <v>B09.90EU1</v>
          </cell>
          <cell r="B39" t="str">
            <v>B</v>
          </cell>
          <cell r="C39" t="str">
            <v>EU1</v>
          </cell>
          <cell r="D39" t="str">
            <v>09.90</v>
          </cell>
          <cell r="E39">
            <v>54347.74</v>
          </cell>
          <cell r="F39">
            <v>436823.53</v>
          </cell>
          <cell r="G39">
            <v>747345.48</v>
          </cell>
          <cell r="H39">
            <v>642401.62</v>
          </cell>
          <cell r="I39">
            <v>19.96518</v>
          </cell>
          <cell r="J39">
            <v>2.417748</v>
          </cell>
          <cell r="K39">
            <v>12.849316999999999</v>
          </cell>
          <cell r="L39" t="str">
            <v>European Union</v>
          </cell>
          <cell r="M39">
            <v>5.4348E-2</v>
          </cell>
        </row>
        <row r="40">
          <cell r="A40" t="str">
            <v>C28.94EU1</v>
          </cell>
          <cell r="B40" t="str">
            <v>C</v>
          </cell>
          <cell r="C40" t="str">
            <v>EU1</v>
          </cell>
          <cell r="D40" t="str">
            <v>28.94</v>
          </cell>
          <cell r="E40">
            <v>717479.07009000005</v>
          </cell>
          <cell r="F40">
            <v>4233163.6900000004</v>
          </cell>
          <cell r="G40">
            <v>6477216.6500000004</v>
          </cell>
          <cell r="H40">
            <v>7491034.5199999996</v>
          </cell>
          <cell r="I40">
            <v>21.101413999999998</v>
          </cell>
          <cell r="J40">
            <v>11.470891999999999</v>
          </cell>
          <cell r="K40">
            <v>187.88708</v>
          </cell>
          <cell r="L40" t="str">
            <v>European Union</v>
          </cell>
          <cell r="M40">
            <v>0.71747899999999998</v>
          </cell>
        </row>
        <row r="41">
          <cell r="A41" t="str">
            <v>C13.99EU1</v>
          </cell>
          <cell r="B41" t="str">
            <v>C</v>
          </cell>
          <cell r="C41" t="str">
            <v>EU1</v>
          </cell>
          <cell r="D41" t="str">
            <v>13.99</v>
          </cell>
          <cell r="E41">
            <v>5277661.9460990001</v>
          </cell>
          <cell r="F41">
            <v>39874541.780000001</v>
          </cell>
          <cell r="G41">
            <v>111532672.27</v>
          </cell>
          <cell r="H41">
            <v>249243159.22999999</v>
          </cell>
          <cell r="I41">
            <v>180.734118</v>
          </cell>
          <cell r="J41">
            <v>334.22107199999999</v>
          </cell>
          <cell r="K41">
            <v>2309.5906199999999</v>
          </cell>
          <cell r="L41" t="str">
            <v>European Union</v>
          </cell>
          <cell r="M41">
            <v>5.2776620000000003</v>
          </cell>
        </row>
        <row r="42">
          <cell r="A42" t="str">
            <v>C31.02EU1</v>
          </cell>
          <cell r="B42" t="str">
            <v>C</v>
          </cell>
          <cell r="C42" t="str">
            <v>EU1</v>
          </cell>
          <cell r="D42" t="str">
            <v>31.02</v>
          </cell>
          <cell r="E42">
            <v>10711361.231095999</v>
          </cell>
          <cell r="F42">
            <v>36619807.579999998</v>
          </cell>
          <cell r="G42">
            <v>50120504.18</v>
          </cell>
          <cell r="H42">
            <v>77023893.769999996</v>
          </cell>
          <cell r="I42">
            <v>1083.446197</v>
          </cell>
          <cell r="J42">
            <v>394.22307699999999</v>
          </cell>
          <cell r="K42">
            <v>3786.8416550000002</v>
          </cell>
          <cell r="L42" t="str">
            <v>European Union</v>
          </cell>
          <cell r="M42">
            <v>10.711361</v>
          </cell>
        </row>
        <row r="43">
          <cell r="A43" t="str">
            <v>C28.29EU1</v>
          </cell>
          <cell r="B43" t="str">
            <v>C</v>
          </cell>
          <cell r="C43" t="str">
            <v>EU1</v>
          </cell>
          <cell r="D43" t="str">
            <v>28.29</v>
          </cell>
          <cell r="E43">
            <v>2755676.7415709998</v>
          </cell>
          <cell r="F43">
            <v>18190001.129999999</v>
          </cell>
          <cell r="G43">
            <v>46747767.079999998</v>
          </cell>
          <cell r="H43">
            <v>80974505.569999993</v>
          </cell>
          <cell r="I43">
            <v>135.829184</v>
          </cell>
          <cell r="J43">
            <v>73.837789000000001</v>
          </cell>
          <cell r="K43">
            <v>1209.4235819999999</v>
          </cell>
          <cell r="L43" t="str">
            <v>European Union</v>
          </cell>
          <cell r="M43">
            <v>2.7556769999999999</v>
          </cell>
        </row>
        <row r="44">
          <cell r="A44" t="str">
            <v>C20.52EU1</v>
          </cell>
          <cell r="B44" t="str">
            <v>C</v>
          </cell>
          <cell r="C44" t="str">
            <v>EU1</v>
          </cell>
          <cell r="D44" t="str">
            <v>20.52</v>
          </cell>
          <cell r="E44">
            <v>2608713.1800000002</v>
          </cell>
          <cell r="F44">
            <v>20922547.68</v>
          </cell>
          <cell r="G44">
            <v>46702888.829999998</v>
          </cell>
          <cell r="H44">
            <v>77463613.489999995</v>
          </cell>
          <cell r="I44">
            <v>929.98069499999997</v>
          </cell>
          <cell r="J44">
            <v>188.202011</v>
          </cell>
          <cell r="K44">
            <v>1491.421521</v>
          </cell>
          <cell r="L44" t="str">
            <v>European Union</v>
          </cell>
          <cell r="M44">
            <v>2.6087129999999998</v>
          </cell>
        </row>
        <row r="45">
          <cell r="A45" t="str">
            <v>C23.42EU1</v>
          </cell>
          <cell r="B45" t="str">
            <v>C</v>
          </cell>
          <cell r="C45" t="str">
            <v>EU1</v>
          </cell>
          <cell r="D45" t="str">
            <v>23.42</v>
          </cell>
          <cell r="E45">
            <v>14492680.810000001</v>
          </cell>
          <cell r="F45">
            <v>23684956.379999999</v>
          </cell>
          <cell r="G45">
            <v>38138901.270000003</v>
          </cell>
          <cell r="H45">
            <v>44991557.189999998</v>
          </cell>
          <cell r="I45">
            <v>2950.6875519999999</v>
          </cell>
          <cell r="J45">
            <v>597.13641500000006</v>
          </cell>
          <cell r="K45">
            <v>4732.0540650000003</v>
          </cell>
          <cell r="L45" t="str">
            <v>European Union</v>
          </cell>
          <cell r="M45">
            <v>14.492680999999999</v>
          </cell>
        </row>
        <row r="46">
          <cell r="A46" t="str">
            <v>C26.52EU1</v>
          </cell>
          <cell r="B46" t="str">
            <v>C</v>
          </cell>
          <cell r="C46" t="str">
            <v>EU1</v>
          </cell>
          <cell r="D46" t="str">
            <v>26.52</v>
          </cell>
          <cell r="E46">
            <v>147605.57999999999</v>
          </cell>
          <cell r="F46">
            <v>1607563.83</v>
          </cell>
          <cell r="G46">
            <v>300195.40999999997</v>
          </cell>
          <cell r="H46">
            <v>2050573.8</v>
          </cell>
          <cell r="I46">
            <v>4.9763719999999996</v>
          </cell>
          <cell r="J46">
            <v>2.7051949999999998</v>
          </cell>
          <cell r="K46">
            <v>44.309643999999999</v>
          </cell>
          <cell r="L46" t="str">
            <v>European Union</v>
          </cell>
          <cell r="M46">
            <v>0.14760599999999999</v>
          </cell>
        </row>
        <row r="47">
          <cell r="A47" t="str">
            <v>C11.01EU1</v>
          </cell>
          <cell r="B47" t="str">
            <v>C</v>
          </cell>
          <cell r="C47" t="str">
            <v>EU1</v>
          </cell>
          <cell r="D47" t="str">
            <v>11.01</v>
          </cell>
          <cell r="E47">
            <v>3273705.15</v>
          </cell>
          <cell r="F47">
            <v>8944210.75</v>
          </cell>
          <cell r="G47">
            <v>29038358.93</v>
          </cell>
          <cell r="H47">
            <v>44453938.340000004</v>
          </cell>
          <cell r="I47">
            <v>186.43112400000001</v>
          </cell>
          <cell r="J47">
            <v>126.75595</v>
          </cell>
          <cell r="K47">
            <v>2271.982207</v>
          </cell>
          <cell r="L47" t="str">
            <v>European Union</v>
          </cell>
          <cell r="M47">
            <v>3.2737050000000001</v>
          </cell>
        </row>
        <row r="48">
          <cell r="A48" t="str">
            <v>C13.10EU1</v>
          </cell>
          <cell r="B48" t="str">
            <v>C</v>
          </cell>
          <cell r="C48" t="str">
            <v>EU1</v>
          </cell>
          <cell r="D48" t="str">
            <v>13.10</v>
          </cell>
          <cell r="E48">
            <v>1695147.08</v>
          </cell>
          <cell r="F48">
            <v>12529062.52</v>
          </cell>
          <cell r="G48">
            <v>27647248.940000001</v>
          </cell>
          <cell r="H48">
            <v>35611997.939999998</v>
          </cell>
          <cell r="I48">
            <v>43.118296999999998</v>
          </cell>
          <cell r="J48">
            <v>79.736146000000005</v>
          </cell>
          <cell r="K48">
            <v>551.00612100000001</v>
          </cell>
          <cell r="L48" t="str">
            <v>European Union</v>
          </cell>
          <cell r="M48">
            <v>1.695147</v>
          </cell>
        </row>
        <row r="49">
          <cell r="A49" t="str">
            <v>C20.30EU1</v>
          </cell>
          <cell r="B49" t="str">
            <v>C</v>
          </cell>
          <cell r="C49" t="str">
            <v>EU1</v>
          </cell>
          <cell r="D49" t="str">
            <v>20.30</v>
          </cell>
          <cell r="E49">
            <v>25871851.689839002</v>
          </cell>
          <cell r="F49">
            <v>193916965.28999999</v>
          </cell>
          <cell r="G49">
            <v>212104513.88999999</v>
          </cell>
          <cell r="H49">
            <v>342649683.83999997</v>
          </cell>
          <cell r="I49">
            <v>5465.7112719999996</v>
          </cell>
          <cell r="J49">
            <v>1106.1066860000001</v>
          </cell>
          <cell r="K49">
            <v>8765.4286420000008</v>
          </cell>
          <cell r="L49" t="str">
            <v>European Union</v>
          </cell>
          <cell r="M49">
            <v>25.871852000000001</v>
          </cell>
        </row>
        <row r="50">
          <cell r="A50" t="str">
            <v>C27.11EU1</v>
          </cell>
          <cell r="B50" t="str">
            <v>C</v>
          </cell>
          <cell r="C50" t="str">
            <v>EU1</v>
          </cell>
          <cell r="D50" t="str">
            <v>27.11</v>
          </cell>
          <cell r="E50">
            <v>14723608.17</v>
          </cell>
          <cell r="F50">
            <v>21487732.170000002</v>
          </cell>
          <cell r="G50">
            <v>33888888.049999997</v>
          </cell>
          <cell r="H50">
            <v>74284593.620000005</v>
          </cell>
          <cell r="I50">
            <v>576.74458300000003</v>
          </cell>
          <cell r="J50">
            <v>313.52281199999999</v>
          </cell>
          <cell r="K50">
            <v>5135.3362719999996</v>
          </cell>
          <cell r="L50" t="str">
            <v>European Union</v>
          </cell>
          <cell r="M50">
            <v>14.723608</v>
          </cell>
        </row>
        <row r="51">
          <cell r="A51" t="str">
            <v>C24.43EU1</v>
          </cell>
          <cell r="B51" t="str">
            <v>C</v>
          </cell>
          <cell r="C51" t="str">
            <v>EU1</v>
          </cell>
          <cell r="D51" t="str">
            <v>24.43</v>
          </cell>
          <cell r="E51">
            <v>135700.85</v>
          </cell>
          <cell r="F51">
            <v>223247.61</v>
          </cell>
          <cell r="G51">
            <v>45831.94</v>
          </cell>
          <cell r="H51">
            <v>653880.51</v>
          </cell>
          <cell r="I51">
            <v>47.438243</v>
          </cell>
          <cell r="J51">
            <v>11.2249</v>
          </cell>
          <cell r="K51">
            <v>154.35104000000001</v>
          </cell>
          <cell r="L51" t="str">
            <v>European Union</v>
          </cell>
          <cell r="M51">
            <v>0.13570099999999999</v>
          </cell>
        </row>
        <row r="52">
          <cell r="A52" t="str">
            <v>C25.73EU1</v>
          </cell>
          <cell r="B52" t="str">
            <v>C</v>
          </cell>
          <cell r="C52" t="str">
            <v>EU1</v>
          </cell>
          <cell r="D52" t="str">
            <v>25.73</v>
          </cell>
          <cell r="E52">
            <v>43200277.328911997</v>
          </cell>
          <cell r="F52">
            <v>340958604.12</v>
          </cell>
          <cell r="G52">
            <v>436654282.99000001</v>
          </cell>
          <cell r="H52">
            <v>663707805.87</v>
          </cell>
          <cell r="I52">
            <v>6479.3605289999996</v>
          </cell>
          <cell r="J52">
            <v>1533.1548909999999</v>
          </cell>
          <cell r="K52">
            <v>21082.063463999999</v>
          </cell>
          <cell r="L52" t="str">
            <v>European Union</v>
          </cell>
          <cell r="M52">
            <v>43.200277</v>
          </cell>
        </row>
        <row r="53">
          <cell r="A53" t="str">
            <v>C18.20EU1</v>
          </cell>
          <cell r="B53" t="str">
            <v>C</v>
          </cell>
          <cell r="C53" t="str">
            <v>EU1</v>
          </cell>
          <cell r="D53" t="str">
            <v>18.20</v>
          </cell>
          <cell r="E53">
            <v>114461.54</v>
          </cell>
          <cell r="F53">
            <v>1442299.85</v>
          </cell>
          <cell r="G53">
            <v>2202384.9900000002</v>
          </cell>
          <cell r="H53">
            <v>2741736.79</v>
          </cell>
          <cell r="I53">
            <v>11.456276000000001</v>
          </cell>
          <cell r="J53">
            <v>10.368351000000001</v>
          </cell>
          <cell r="K53">
            <v>53.568353999999999</v>
          </cell>
          <cell r="L53" t="str">
            <v>European Union</v>
          </cell>
          <cell r="M53">
            <v>0.11446199999999999</v>
          </cell>
        </row>
        <row r="54">
          <cell r="A54" t="str">
            <v>C14.13EU1</v>
          </cell>
          <cell r="B54" t="str">
            <v>C</v>
          </cell>
          <cell r="C54" t="str">
            <v>EU1</v>
          </cell>
          <cell r="D54" t="str">
            <v>14.13</v>
          </cell>
          <cell r="E54">
            <v>44215227.229350001</v>
          </cell>
          <cell r="F54">
            <v>282658544.31</v>
          </cell>
          <cell r="G54">
            <v>511940485.16000003</v>
          </cell>
          <cell r="H54">
            <v>1449532829.25</v>
          </cell>
          <cell r="I54">
            <v>2451.788016</v>
          </cell>
          <cell r="J54">
            <v>4533.948754</v>
          </cell>
          <cell r="K54">
            <v>31331.254435999999</v>
          </cell>
          <cell r="L54" t="str">
            <v>European Union</v>
          </cell>
          <cell r="M54">
            <v>44.215226999999999</v>
          </cell>
        </row>
        <row r="55">
          <cell r="A55" t="str">
            <v>C17.29EU1</v>
          </cell>
          <cell r="B55" t="str">
            <v>C</v>
          </cell>
          <cell r="C55" t="str">
            <v>EU1</v>
          </cell>
          <cell r="D55" t="str">
            <v>17.29</v>
          </cell>
          <cell r="E55">
            <v>5884276.8064369997</v>
          </cell>
          <cell r="F55">
            <v>13546211.25</v>
          </cell>
          <cell r="G55">
            <v>15109509.689999999</v>
          </cell>
          <cell r="H55">
            <v>40858563.729999997</v>
          </cell>
          <cell r="I55">
            <v>596.80993799999999</v>
          </cell>
          <cell r="J55">
            <v>540.13491599999998</v>
          </cell>
          <cell r="K55">
            <v>2790.6208889999998</v>
          </cell>
          <cell r="L55" t="str">
            <v>European Union</v>
          </cell>
          <cell r="M55">
            <v>5.884277</v>
          </cell>
        </row>
        <row r="56">
          <cell r="A56" t="str">
            <v>C32.12EU1</v>
          </cell>
          <cell r="B56" t="str">
            <v>C</v>
          </cell>
          <cell r="C56" t="str">
            <v>EU1</v>
          </cell>
          <cell r="D56" t="str">
            <v>32.12</v>
          </cell>
          <cell r="E56">
            <v>2280363.13</v>
          </cell>
          <cell r="F56">
            <v>8050363.1399999997</v>
          </cell>
          <cell r="G56">
            <v>17713197.23</v>
          </cell>
          <cell r="H56">
            <v>46069299.649999999</v>
          </cell>
          <cell r="I56">
            <v>169.220043</v>
          </cell>
          <cell r="J56">
            <v>91.989318999999995</v>
          </cell>
          <cell r="K56">
            <v>1506.73597</v>
          </cell>
          <cell r="L56" t="str">
            <v>European Union</v>
          </cell>
          <cell r="M56">
            <v>2.2803629999999999</v>
          </cell>
        </row>
        <row r="57">
          <cell r="A57" t="str">
            <v>C10.81EU1</v>
          </cell>
          <cell r="B57" t="str">
            <v>C</v>
          </cell>
          <cell r="C57" t="str">
            <v>EU1</v>
          </cell>
          <cell r="D57" t="str">
            <v>10.81</v>
          </cell>
          <cell r="E57">
            <v>355898.54</v>
          </cell>
          <cell r="F57">
            <v>8340638</v>
          </cell>
          <cell r="G57">
            <v>9557070.0700000003</v>
          </cell>
          <cell r="H57">
            <v>101846464.08</v>
          </cell>
          <cell r="I57">
            <v>14.735388</v>
          </cell>
          <cell r="J57">
            <v>10.018701999999999</v>
          </cell>
          <cell r="K57">
            <v>179.575909</v>
          </cell>
          <cell r="L57" t="str">
            <v>European Union</v>
          </cell>
          <cell r="M57">
            <v>0.35589900000000002</v>
          </cell>
        </row>
        <row r="58">
          <cell r="A58" t="str">
            <v>C25.92EU1</v>
          </cell>
          <cell r="B58" t="str">
            <v>C</v>
          </cell>
          <cell r="C58" t="str">
            <v>EU1</v>
          </cell>
          <cell r="D58" t="str">
            <v>25.92</v>
          </cell>
          <cell r="E58">
            <v>18464372.32</v>
          </cell>
          <cell r="F58">
            <v>113724403.25</v>
          </cell>
          <cell r="G58">
            <v>151843396.93000001</v>
          </cell>
          <cell r="H58">
            <v>221149320.25999999</v>
          </cell>
          <cell r="I58">
            <v>3692.8909800000001</v>
          </cell>
          <cell r="J58">
            <v>873.81682499999999</v>
          </cell>
          <cell r="K58">
            <v>12015.655209</v>
          </cell>
          <cell r="L58" t="str">
            <v>European Union</v>
          </cell>
          <cell r="M58">
            <v>18.464372000000001</v>
          </cell>
        </row>
        <row r="59">
          <cell r="A59" t="str">
            <v>C14.31EU1</v>
          </cell>
          <cell r="B59" t="str">
            <v>C</v>
          </cell>
          <cell r="C59" t="str">
            <v>EU1</v>
          </cell>
          <cell r="D59" t="str">
            <v>14.31</v>
          </cell>
          <cell r="E59">
            <v>4416554.910689</v>
          </cell>
          <cell r="F59">
            <v>33001154.359999999</v>
          </cell>
          <cell r="G59">
            <v>35276130.210000001</v>
          </cell>
          <cell r="H59">
            <v>99659480.659999996</v>
          </cell>
          <cell r="I59">
            <v>196.18366</v>
          </cell>
          <cell r="J59">
            <v>362.79101700000001</v>
          </cell>
          <cell r="K59">
            <v>2507.0194219999998</v>
          </cell>
          <cell r="L59" t="str">
            <v>European Union</v>
          </cell>
          <cell r="M59">
            <v>4.4165549999999998</v>
          </cell>
        </row>
        <row r="60">
          <cell r="A60" t="str">
            <v>C23.31EU1</v>
          </cell>
          <cell r="B60" t="str">
            <v>C</v>
          </cell>
          <cell r="C60" t="str">
            <v>EU1</v>
          </cell>
          <cell r="D60" t="str">
            <v>23.31</v>
          </cell>
          <cell r="E60">
            <v>12308739.231085001</v>
          </cell>
          <cell r="F60">
            <v>71043949.480000004</v>
          </cell>
          <cell r="G60">
            <v>231582860</v>
          </cell>
          <cell r="H60">
            <v>275899422.25</v>
          </cell>
          <cell r="I60">
            <v>3357.1754059999998</v>
          </cell>
          <cell r="J60">
            <v>679.39815099999998</v>
          </cell>
          <cell r="K60">
            <v>5383.9436500000002</v>
          </cell>
          <cell r="L60" t="str">
            <v>European Union</v>
          </cell>
          <cell r="M60">
            <v>12.308738999999999</v>
          </cell>
        </row>
        <row r="61">
          <cell r="A61" t="str">
            <v>C24.10EU1</v>
          </cell>
          <cell r="B61" t="str">
            <v>C</v>
          </cell>
          <cell r="C61" t="str">
            <v>EU1</v>
          </cell>
          <cell r="D61" t="str">
            <v>24.10</v>
          </cell>
          <cell r="E61">
            <v>4022021.69</v>
          </cell>
          <cell r="F61">
            <v>13793207.16</v>
          </cell>
          <cell r="G61">
            <v>33021697.75</v>
          </cell>
          <cell r="H61">
            <v>95690858.629999995</v>
          </cell>
          <cell r="I61">
            <v>1181.8189030000001</v>
          </cell>
          <cell r="J61">
            <v>279.64357699999999</v>
          </cell>
          <cell r="K61">
            <v>3845.3148270000002</v>
          </cell>
          <cell r="L61" t="str">
            <v>European Union</v>
          </cell>
          <cell r="M61">
            <v>4.0220219999999998</v>
          </cell>
        </row>
        <row r="62">
          <cell r="A62" t="str">
            <v>C23.62EU1</v>
          </cell>
          <cell r="B62" t="str">
            <v>C</v>
          </cell>
          <cell r="C62" t="str">
            <v>EU1</v>
          </cell>
          <cell r="D62" t="str">
            <v>23.62</v>
          </cell>
          <cell r="E62">
            <v>37179.479469999998</v>
          </cell>
          <cell r="F62">
            <v>1799249.84</v>
          </cell>
          <cell r="G62">
            <v>1620242.78</v>
          </cell>
          <cell r="H62">
            <v>3775686.04</v>
          </cell>
          <cell r="I62">
            <v>11.485077</v>
          </cell>
          <cell r="J62">
            <v>2.3242569999999998</v>
          </cell>
          <cell r="K62">
            <v>18.418759999999999</v>
          </cell>
          <cell r="L62" t="str">
            <v>European Union</v>
          </cell>
          <cell r="M62">
            <v>3.7178999999999997E-2</v>
          </cell>
        </row>
        <row r="63">
          <cell r="A63" t="str">
            <v>C32.50EU1</v>
          </cell>
          <cell r="B63" t="str">
            <v>C</v>
          </cell>
          <cell r="C63" t="str">
            <v>EU1</v>
          </cell>
          <cell r="D63" t="str">
            <v>32.50</v>
          </cell>
          <cell r="E63">
            <v>4708298.7860340001</v>
          </cell>
          <cell r="F63">
            <v>18779649.530000001</v>
          </cell>
          <cell r="G63">
            <v>35711543.859999999</v>
          </cell>
          <cell r="H63">
            <v>73752043.030000001</v>
          </cell>
          <cell r="I63">
            <v>218.66546700000001</v>
          </cell>
          <cell r="J63">
            <v>118.86823800000001</v>
          </cell>
          <cell r="K63">
            <v>1946.9982580000001</v>
          </cell>
          <cell r="L63" t="str">
            <v>European Union</v>
          </cell>
          <cell r="M63">
            <v>4.7082990000000002</v>
          </cell>
        </row>
        <row r="64">
          <cell r="A64" t="str">
            <v>C25.11EU1</v>
          </cell>
          <cell r="B64" t="str">
            <v>C</v>
          </cell>
          <cell r="C64" t="str">
            <v>EU1</v>
          </cell>
          <cell r="D64" t="str">
            <v>25.11</v>
          </cell>
          <cell r="E64">
            <v>59961667.233328</v>
          </cell>
          <cell r="F64">
            <v>387298556.06999999</v>
          </cell>
          <cell r="G64">
            <v>507306789.48000002</v>
          </cell>
          <cell r="H64">
            <v>1250373495.0699999</v>
          </cell>
          <cell r="I64">
            <v>14413.837078</v>
          </cell>
          <cell r="J64">
            <v>3410.621474</v>
          </cell>
          <cell r="K64">
            <v>46898.675664000002</v>
          </cell>
          <cell r="L64" t="str">
            <v>European Union</v>
          </cell>
          <cell r="M64">
            <v>59.961666999999998</v>
          </cell>
        </row>
        <row r="65">
          <cell r="A65" t="str">
            <v>C20.15EU1</v>
          </cell>
          <cell r="B65" t="str">
            <v>C</v>
          </cell>
          <cell r="C65" t="str">
            <v>EU1</v>
          </cell>
          <cell r="D65" t="str">
            <v>20.15</v>
          </cell>
          <cell r="E65">
            <v>995978.49</v>
          </cell>
          <cell r="F65">
            <v>8120885.1100000003</v>
          </cell>
          <cell r="G65">
            <v>17639650.84</v>
          </cell>
          <cell r="H65">
            <v>24700637.57</v>
          </cell>
          <cell r="I65">
            <v>282.06478399999997</v>
          </cell>
          <cell r="J65">
            <v>57.082002000000003</v>
          </cell>
          <cell r="K65">
            <v>452.35077799999999</v>
          </cell>
          <cell r="L65" t="str">
            <v>European Union</v>
          </cell>
          <cell r="M65">
            <v>0.99597800000000003</v>
          </cell>
        </row>
        <row r="66">
          <cell r="A66" t="str">
            <v>C30.12EU1</v>
          </cell>
          <cell r="B66" t="str">
            <v>C</v>
          </cell>
          <cell r="C66" t="str">
            <v>EU1</v>
          </cell>
          <cell r="D66" t="str">
            <v>30.12</v>
          </cell>
          <cell r="E66">
            <v>1031558.910389</v>
          </cell>
          <cell r="F66">
            <v>12569597.85</v>
          </cell>
          <cell r="G66">
            <v>8409958.6600000001</v>
          </cell>
          <cell r="H66">
            <v>11510029.18</v>
          </cell>
          <cell r="I66">
            <v>13.853032000000001</v>
          </cell>
          <cell r="J66">
            <v>6.369116</v>
          </cell>
          <cell r="K66">
            <v>187.07647</v>
          </cell>
          <cell r="L66" t="str">
            <v>European Union</v>
          </cell>
          <cell r="M66">
            <v>1.0315589999999999</v>
          </cell>
        </row>
        <row r="67">
          <cell r="A67" t="str">
            <v>C33.13EU1</v>
          </cell>
          <cell r="B67" t="str">
            <v>C</v>
          </cell>
          <cell r="C67" t="str">
            <v>EU1</v>
          </cell>
          <cell r="D67" t="str">
            <v>33.13</v>
          </cell>
          <cell r="E67">
            <v>193617.44</v>
          </cell>
          <cell r="F67">
            <v>572041.28</v>
          </cell>
          <cell r="G67">
            <v>1239054.04</v>
          </cell>
          <cell r="H67">
            <v>2159066.79</v>
          </cell>
          <cell r="I67">
            <v>10.930894</v>
          </cell>
          <cell r="J67">
            <v>5.9421179999999998</v>
          </cell>
          <cell r="K67">
            <v>97.328731000000005</v>
          </cell>
          <cell r="L67" t="str">
            <v>European Union</v>
          </cell>
          <cell r="M67">
            <v>0.19361700000000001</v>
          </cell>
        </row>
        <row r="68">
          <cell r="A68" t="str">
            <v>C12.00EU1</v>
          </cell>
          <cell r="B68" t="str">
            <v>C</v>
          </cell>
          <cell r="C68" t="str">
            <v>EU1</v>
          </cell>
          <cell r="D68" t="str">
            <v>12.00</v>
          </cell>
          <cell r="E68">
            <v>2756518.33</v>
          </cell>
          <cell r="F68">
            <v>14630482.1</v>
          </cell>
          <cell r="G68">
            <v>26649967.559999999</v>
          </cell>
          <cell r="H68">
            <v>186554928.22</v>
          </cell>
          <cell r="I68">
            <v>617.32918199999995</v>
          </cell>
          <cell r="J68">
            <v>419.72683799999999</v>
          </cell>
          <cell r="K68">
            <v>7523.2123899999997</v>
          </cell>
          <cell r="L68" t="str">
            <v>European Union</v>
          </cell>
          <cell r="M68">
            <v>2.7565179999999998</v>
          </cell>
        </row>
        <row r="69">
          <cell r="A69" t="str">
            <v>C10.92EU1</v>
          </cell>
          <cell r="B69" t="str">
            <v>C</v>
          </cell>
          <cell r="C69" t="str">
            <v>EU1</v>
          </cell>
          <cell r="D69" t="str">
            <v>10.92</v>
          </cell>
          <cell r="E69">
            <v>859226.63</v>
          </cell>
          <cell r="F69">
            <v>8398006.4399999995</v>
          </cell>
          <cell r="G69">
            <v>36482081.789999999</v>
          </cell>
          <cell r="H69">
            <v>113607315.14</v>
          </cell>
          <cell r="I69">
            <v>135.32586499999999</v>
          </cell>
          <cell r="J69">
            <v>92.009089000000003</v>
          </cell>
          <cell r="K69">
            <v>1649.1772000000001</v>
          </cell>
          <cell r="L69" t="str">
            <v>European Union</v>
          </cell>
          <cell r="M69">
            <v>0.85922699999999996</v>
          </cell>
        </row>
        <row r="70">
          <cell r="A70" t="str">
            <v>C10.62EU1</v>
          </cell>
          <cell r="B70" t="str">
            <v>C</v>
          </cell>
          <cell r="C70" t="str">
            <v>EU1</v>
          </cell>
          <cell r="D70" t="str">
            <v>10.62</v>
          </cell>
          <cell r="E70">
            <v>3198615.52</v>
          </cell>
          <cell r="F70">
            <v>16063197.560000001</v>
          </cell>
          <cell r="G70">
            <v>77369193.920000002</v>
          </cell>
          <cell r="H70">
            <v>74917207.629999995</v>
          </cell>
          <cell r="I70">
            <v>294.22319299999998</v>
          </cell>
          <cell r="J70">
            <v>200.044602</v>
          </cell>
          <cell r="K70">
            <v>3585.6130469999998</v>
          </cell>
          <cell r="L70" t="str">
            <v>European Union</v>
          </cell>
          <cell r="M70">
            <v>3.1986159999999999</v>
          </cell>
        </row>
        <row r="71">
          <cell r="A71" t="str">
            <v>C33.16EU1</v>
          </cell>
          <cell r="B71" t="str">
            <v>C</v>
          </cell>
          <cell r="C71" t="str">
            <v>EU1</v>
          </cell>
          <cell r="D71" t="str">
            <v>33.16</v>
          </cell>
          <cell r="E71">
            <v>18581.060000000001</v>
          </cell>
          <cell r="F71">
            <v>82374.240000000005</v>
          </cell>
          <cell r="G71">
            <v>629263.97</v>
          </cell>
          <cell r="H71">
            <v>1971271.15</v>
          </cell>
          <cell r="I71">
            <v>1.648862</v>
          </cell>
          <cell r="J71">
            <v>0.75808600000000004</v>
          </cell>
          <cell r="K71">
            <v>22.266839000000001</v>
          </cell>
          <cell r="L71" t="str">
            <v>European Union</v>
          </cell>
          <cell r="M71">
            <v>1.8581E-2</v>
          </cell>
        </row>
        <row r="72">
          <cell r="A72" t="str">
            <v>C14.11EU1</v>
          </cell>
          <cell r="B72" t="str">
            <v>C</v>
          </cell>
          <cell r="C72" t="str">
            <v>EU1</v>
          </cell>
          <cell r="D72" t="str">
            <v>14.11</v>
          </cell>
          <cell r="E72">
            <v>107534.92</v>
          </cell>
          <cell r="F72">
            <v>613189.88</v>
          </cell>
          <cell r="G72">
            <v>584544.47</v>
          </cell>
          <cell r="H72">
            <v>1878676.49</v>
          </cell>
          <cell r="I72">
            <v>3.9307430000000001</v>
          </cell>
          <cell r="J72">
            <v>7.2688940000000004</v>
          </cell>
          <cell r="K72">
            <v>50.230730000000001</v>
          </cell>
          <cell r="L72" t="str">
            <v>European Union</v>
          </cell>
          <cell r="M72">
            <v>0.10753500000000001</v>
          </cell>
        </row>
        <row r="73">
          <cell r="A73" t="str">
            <v>C10.73EU1</v>
          </cell>
          <cell r="B73" t="str">
            <v>C</v>
          </cell>
          <cell r="C73" t="str">
            <v>EU1</v>
          </cell>
          <cell r="D73" t="str">
            <v>10.73</v>
          </cell>
          <cell r="E73">
            <v>4472713.1599199995</v>
          </cell>
          <cell r="F73">
            <v>13194167.710000001</v>
          </cell>
          <cell r="G73">
            <v>59792312.560000002</v>
          </cell>
          <cell r="H73">
            <v>195860807.56</v>
          </cell>
          <cell r="I73">
            <v>654.37841100000003</v>
          </cell>
          <cell r="J73">
            <v>444.91689200000002</v>
          </cell>
          <cell r="K73">
            <v>7974.7206409999999</v>
          </cell>
          <cell r="L73" t="str">
            <v>European Union</v>
          </cell>
          <cell r="M73">
            <v>4.4727129999999997</v>
          </cell>
        </row>
        <row r="74">
          <cell r="A74" t="str">
            <v>C28.12EU1</v>
          </cell>
          <cell r="B74" t="str">
            <v>C</v>
          </cell>
          <cell r="C74" t="str">
            <v>EU1</v>
          </cell>
          <cell r="D74" t="str">
            <v>28.12</v>
          </cell>
          <cell r="E74">
            <v>77536.490000000005</v>
          </cell>
          <cell r="F74">
            <v>4289664.74</v>
          </cell>
          <cell r="G74">
            <v>4225976.54</v>
          </cell>
          <cell r="H74">
            <v>10633505.82</v>
          </cell>
          <cell r="I74">
            <v>3.9056009999999999</v>
          </cell>
          <cell r="J74">
            <v>2.123113</v>
          </cell>
          <cell r="K74">
            <v>34.775480999999999</v>
          </cell>
          <cell r="L74" t="str">
            <v>European Union</v>
          </cell>
          <cell r="M74">
            <v>7.7535999999999994E-2</v>
          </cell>
        </row>
        <row r="75">
          <cell r="A75" t="str">
            <v>C10.83EU1</v>
          </cell>
          <cell r="B75" t="str">
            <v>C</v>
          </cell>
          <cell r="C75" t="str">
            <v>EU1</v>
          </cell>
          <cell r="D75" t="str">
            <v>10.83</v>
          </cell>
          <cell r="E75">
            <v>6974814.2599999998</v>
          </cell>
          <cell r="F75">
            <v>34720726.869999997</v>
          </cell>
          <cell r="G75">
            <v>46249217.479999997</v>
          </cell>
          <cell r="H75">
            <v>96303584.480000004</v>
          </cell>
          <cell r="I75">
            <v>681.63459</v>
          </cell>
          <cell r="J75">
            <v>463.44858099999999</v>
          </cell>
          <cell r="K75">
            <v>8306.8838340000002</v>
          </cell>
          <cell r="L75" t="str">
            <v>European Union</v>
          </cell>
          <cell r="M75">
            <v>6.9748140000000003</v>
          </cell>
        </row>
        <row r="76">
          <cell r="A76" t="str">
            <v>C20.41EU1</v>
          </cell>
          <cell r="B76" t="str">
            <v>C</v>
          </cell>
          <cell r="C76" t="str">
            <v>EU1</v>
          </cell>
          <cell r="D76" t="str">
            <v>20.41</v>
          </cell>
          <cell r="E76">
            <v>2707366.5588250002</v>
          </cell>
          <cell r="F76">
            <v>24380905.940000001</v>
          </cell>
          <cell r="G76">
            <v>46025903.770000003</v>
          </cell>
          <cell r="H76">
            <v>102254371.89</v>
          </cell>
          <cell r="I76">
            <v>1082.6629439999999</v>
          </cell>
          <cell r="J76">
            <v>219.100615</v>
          </cell>
          <cell r="K76">
            <v>1736.2799419999999</v>
          </cell>
          <cell r="L76" t="str">
            <v>European Union</v>
          </cell>
          <cell r="M76">
            <v>2.7073670000000001</v>
          </cell>
        </row>
        <row r="77">
          <cell r="A77" t="str">
            <v>C30.99EU1</v>
          </cell>
          <cell r="B77" t="str">
            <v>C</v>
          </cell>
          <cell r="C77" t="str">
            <v>EU1</v>
          </cell>
          <cell r="D77" t="str">
            <v>30.99</v>
          </cell>
          <cell r="E77">
            <v>110427.24</v>
          </cell>
          <cell r="F77">
            <v>268361.31</v>
          </cell>
          <cell r="G77">
            <v>235554.08</v>
          </cell>
          <cell r="H77">
            <v>1516707.03</v>
          </cell>
          <cell r="I77">
            <v>10.99705</v>
          </cell>
          <cell r="J77">
            <v>5.0560400000000003</v>
          </cell>
          <cell r="K77">
            <v>148.50820899999999</v>
          </cell>
          <cell r="L77" t="str">
            <v>European Union</v>
          </cell>
          <cell r="M77">
            <v>0.110427</v>
          </cell>
        </row>
        <row r="78">
          <cell r="A78" t="str">
            <v>C27.33EU1</v>
          </cell>
          <cell r="B78" t="str">
            <v>C</v>
          </cell>
          <cell r="C78" t="str">
            <v>EU1</v>
          </cell>
          <cell r="D78" t="str">
            <v>27.33</v>
          </cell>
          <cell r="E78">
            <v>2.1800000000000002</v>
          </cell>
          <cell r="F78">
            <v>200424.8</v>
          </cell>
          <cell r="G78">
            <v>669084.18999999994</v>
          </cell>
          <cell r="H78">
            <v>1522980.18</v>
          </cell>
          <cell r="I78">
            <v>1.25E-4</v>
          </cell>
          <cell r="J78">
            <v>6.7999999999999999E-5</v>
          </cell>
          <cell r="K78">
            <v>1.1169999999999999E-3</v>
          </cell>
          <cell r="L78" t="str">
            <v>European Union</v>
          </cell>
          <cell r="M78">
            <v>1.9999999999999999E-6</v>
          </cell>
        </row>
        <row r="79">
          <cell r="A79" t="str">
            <v>C13.91EU1</v>
          </cell>
          <cell r="B79" t="str">
            <v>C</v>
          </cell>
          <cell r="C79" t="str">
            <v>EU1</v>
          </cell>
          <cell r="D79" t="str">
            <v>13.91</v>
          </cell>
          <cell r="E79">
            <v>6984449.9190260004</v>
          </cell>
          <cell r="F79">
            <v>44816760.909999996</v>
          </cell>
          <cell r="G79">
            <v>112113110.43000001</v>
          </cell>
          <cell r="H79">
            <v>217127811.44</v>
          </cell>
          <cell r="I79">
            <v>321.66726499999999</v>
          </cell>
          <cell r="J79">
            <v>594.84054700000002</v>
          </cell>
          <cell r="K79">
            <v>4110.5670710000004</v>
          </cell>
          <cell r="L79" t="str">
            <v>European Union</v>
          </cell>
          <cell r="M79">
            <v>6.9844499999999998</v>
          </cell>
        </row>
        <row r="80">
          <cell r="A80" t="str">
            <v>C28.41EU1</v>
          </cell>
          <cell r="B80" t="str">
            <v>C</v>
          </cell>
          <cell r="C80" t="str">
            <v>EU1</v>
          </cell>
          <cell r="D80" t="str">
            <v>28.41</v>
          </cell>
          <cell r="E80">
            <v>1336285.809502</v>
          </cell>
          <cell r="F80">
            <v>42887142.890000001</v>
          </cell>
          <cell r="G80">
            <v>66322903.899999999</v>
          </cell>
          <cell r="H80">
            <v>69227605.819999993</v>
          </cell>
          <cell r="I80">
            <v>61.799768</v>
          </cell>
          <cell r="J80">
            <v>33.594833000000001</v>
          </cell>
          <cell r="K80">
            <v>550.26542900000004</v>
          </cell>
          <cell r="L80" t="str">
            <v>European Union</v>
          </cell>
          <cell r="M80">
            <v>1.3362860000000001</v>
          </cell>
        </row>
        <row r="81">
          <cell r="A81" t="str">
            <v>C32.91EU1</v>
          </cell>
          <cell r="B81" t="str">
            <v>C</v>
          </cell>
          <cell r="C81" t="str">
            <v>EU1</v>
          </cell>
          <cell r="D81" t="str">
            <v>32.91</v>
          </cell>
          <cell r="E81">
            <v>919397.76</v>
          </cell>
          <cell r="F81">
            <v>12703144.119999999</v>
          </cell>
          <cell r="G81">
            <v>9300112.5600000005</v>
          </cell>
          <cell r="H81">
            <v>31399349.920000002</v>
          </cell>
          <cell r="I81">
            <v>83.284572999999995</v>
          </cell>
          <cell r="J81">
            <v>30.30395</v>
          </cell>
          <cell r="K81">
            <v>291.09473300000002</v>
          </cell>
          <cell r="L81" t="str">
            <v>European Union</v>
          </cell>
          <cell r="M81">
            <v>0.91939800000000005</v>
          </cell>
        </row>
        <row r="82">
          <cell r="A82" t="str">
            <v>C13.93EU1</v>
          </cell>
          <cell r="B82" t="str">
            <v>C</v>
          </cell>
          <cell r="C82" t="str">
            <v>EU1</v>
          </cell>
          <cell r="D82" t="str">
            <v>13.93</v>
          </cell>
          <cell r="E82">
            <v>12571052.42</v>
          </cell>
          <cell r="F82">
            <v>49466607.350000001</v>
          </cell>
          <cell r="G82">
            <v>80749985.530000001</v>
          </cell>
          <cell r="H82">
            <v>71738249.879999995</v>
          </cell>
          <cell r="I82">
            <v>109.92064499999999</v>
          </cell>
          <cell r="J82">
            <v>203.269846</v>
          </cell>
          <cell r="K82">
            <v>1404.669449</v>
          </cell>
          <cell r="L82" t="str">
            <v>European Union</v>
          </cell>
          <cell r="M82">
            <v>12.571052</v>
          </cell>
        </row>
        <row r="83">
          <cell r="A83" t="str">
            <v>C21.20EU1</v>
          </cell>
          <cell r="B83" t="str">
            <v>C</v>
          </cell>
          <cell r="C83" t="str">
            <v>EU1</v>
          </cell>
          <cell r="D83" t="str">
            <v>21.20</v>
          </cell>
          <cell r="E83">
            <v>15103133.637507999</v>
          </cell>
          <cell r="F83">
            <v>334717002.33999997</v>
          </cell>
          <cell r="G83">
            <v>1001795043.79</v>
          </cell>
          <cell r="H83">
            <v>1165552817.6500001</v>
          </cell>
          <cell r="I83">
            <v>5709.1489110000002</v>
          </cell>
          <cell r="J83">
            <v>1155.3716460000001</v>
          </cell>
          <cell r="K83">
            <v>9155.8325750000004</v>
          </cell>
          <cell r="L83" t="str">
            <v>European Union</v>
          </cell>
          <cell r="M83">
            <v>15.103134000000001</v>
          </cell>
        </row>
        <row r="84">
          <cell r="A84" t="str">
            <v>C28.15EU1</v>
          </cell>
          <cell r="B84" t="str">
            <v>C</v>
          </cell>
          <cell r="C84" t="str">
            <v>EU1</v>
          </cell>
          <cell r="D84" t="str">
            <v>28.15</v>
          </cell>
          <cell r="E84">
            <v>452029.69</v>
          </cell>
          <cell r="F84">
            <v>2487417.84</v>
          </cell>
          <cell r="G84">
            <v>1821283.46</v>
          </cell>
          <cell r="H84">
            <v>4117435.13</v>
          </cell>
          <cell r="I84">
            <v>13.549073</v>
          </cell>
          <cell r="J84">
            <v>7.3653820000000003</v>
          </cell>
          <cell r="K84">
            <v>120.641032</v>
          </cell>
          <cell r="L84" t="str">
            <v>European Union</v>
          </cell>
          <cell r="M84">
            <v>0.45202999999999999</v>
          </cell>
        </row>
        <row r="85">
          <cell r="A85" t="str">
            <v>C32.30EU1</v>
          </cell>
          <cell r="B85" t="str">
            <v>C</v>
          </cell>
          <cell r="C85" t="str">
            <v>EU1</v>
          </cell>
          <cell r="D85" t="str">
            <v>32.30</v>
          </cell>
          <cell r="E85">
            <v>1563138.93</v>
          </cell>
          <cell r="F85">
            <v>5349544.78</v>
          </cell>
          <cell r="G85">
            <v>6004265.3899999997</v>
          </cell>
          <cell r="H85">
            <v>9025696.1099999994</v>
          </cell>
          <cell r="I85">
            <v>76.792796999999993</v>
          </cell>
          <cell r="J85">
            <v>27.941849999999999</v>
          </cell>
          <cell r="K85">
            <v>268.40479099999999</v>
          </cell>
          <cell r="L85" t="str">
            <v>European Union</v>
          </cell>
          <cell r="M85">
            <v>1.5631390000000001</v>
          </cell>
        </row>
        <row r="86">
          <cell r="A86" t="str">
            <v>C15.12EU1</v>
          </cell>
          <cell r="B86" t="str">
            <v>C</v>
          </cell>
          <cell r="C86" t="str">
            <v>EU1</v>
          </cell>
          <cell r="D86" t="str">
            <v>15.12</v>
          </cell>
          <cell r="E86">
            <v>1243967.2298280001</v>
          </cell>
          <cell r="F86">
            <v>4181573.88</v>
          </cell>
          <cell r="G86">
            <v>3175202.31</v>
          </cell>
          <cell r="H86">
            <v>11134689.34</v>
          </cell>
          <cell r="I86">
            <v>43.326630000000002</v>
          </cell>
          <cell r="J86">
            <v>80.121422999999993</v>
          </cell>
          <cell r="K86">
            <v>553.66849000000002</v>
          </cell>
          <cell r="L86" t="str">
            <v>European Union</v>
          </cell>
          <cell r="M86">
            <v>1.243967</v>
          </cell>
        </row>
        <row r="87">
          <cell r="A87" t="str">
            <v>C10.51EU1</v>
          </cell>
          <cell r="B87" t="str">
            <v>C</v>
          </cell>
          <cell r="C87" t="str">
            <v>EU1</v>
          </cell>
          <cell r="D87" t="str">
            <v>10.51</v>
          </cell>
          <cell r="E87">
            <v>5626320.4098859997</v>
          </cell>
          <cell r="F87">
            <v>52184892.659999996</v>
          </cell>
          <cell r="G87">
            <v>110875196.54000001</v>
          </cell>
          <cell r="H87">
            <v>365055616.13</v>
          </cell>
          <cell r="I87">
            <v>1175.7712630000001</v>
          </cell>
          <cell r="J87">
            <v>799.41590299999996</v>
          </cell>
          <cell r="K87">
            <v>14328.784846</v>
          </cell>
          <cell r="L87" t="str">
            <v>European Union</v>
          </cell>
          <cell r="M87">
            <v>5.6263199999999998</v>
          </cell>
        </row>
        <row r="88">
          <cell r="A88" t="str">
            <v>C27.51EU1</v>
          </cell>
          <cell r="B88" t="str">
            <v>C</v>
          </cell>
          <cell r="C88" t="str">
            <v>EU1</v>
          </cell>
          <cell r="D88" t="str">
            <v>27.51</v>
          </cell>
          <cell r="E88">
            <v>681640.66</v>
          </cell>
          <cell r="F88">
            <v>9238196.4100000001</v>
          </cell>
          <cell r="G88">
            <v>7041588.7999999998</v>
          </cell>
          <cell r="H88">
            <v>13266264.460000001</v>
          </cell>
          <cell r="I88">
            <v>20.041962000000002</v>
          </cell>
          <cell r="J88">
            <v>10.894966</v>
          </cell>
          <cell r="K88">
            <v>178.45373799999999</v>
          </cell>
          <cell r="L88" t="str">
            <v>European Union</v>
          </cell>
          <cell r="M88">
            <v>0.68164100000000005</v>
          </cell>
        </row>
        <row r="89">
          <cell r="A89" t="str">
            <v>C28.30EU1</v>
          </cell>
          <cell r="B89" t="str">
            <v>C</v>
          </cell>
          <cell r="C89" t="str">
            <v>EU1</v>
          </cell>
          <cell r="D89" t="str">
            <v>28.30</v>
          </cell>
          <cell r="E89">
            <v>1575702.8912770001</v>
          </cell>
          <cell r="F89">
            <v>7717947.8600000003</v>
          </cell>
          <cell r="G89">
            <v>21165652.850000001</v>
          </cell>
          <cell r="H89">
            <v>37093686.950000003</v>
          </cell>
          <cell r="I89">
            <v>89.797030000000007</v>
          </cell>
          <cell r="J89">
            <v>48.814359000000003</v>
          </cell>
          <cell r="K89">
            <v>799.55315700000006</v>
          </cell>
          <cell r="L89" t="str">
            <v>European Union</v>
          </cell>
          <cell r="M89">
            <v>1.5757030000000001</v>
          </cell>
        </row>
        <row r="90">
          <cell r="A90" t="str">
            <v>C25.72EU1</v>
          </cell>
          <cell r="B90" t="str">
            <v>C</v>
          </cell>
          <cell r="C90" t="str">
            <v>EU1</v>
          </cell>
          <cell r="D90" t="str">
            <v>25.72</v>
          </cell>
          <cell r="E90">
            <v>1423376.61</v>
          </cell>
          <cell r="F90">
            <v>12388986.800000001</v>
          </cell>
          <cell r="G90">
            <v>25270909.629999999</v>
          </cell>
          <cell r="H90">
            <v>48734670.740000002</v>
          </cell>
          <cell r="I90">
            <v>256.755628</v>
          </cell>
          <cell r="J90">
            <v>60.753863000000003</v>
          </cell>
          <cell r="K90">
            <v>835.41244800000004</v>
          </cell>
          <cell r="L90" t="str">
            <v>European Union</v>
          </cell>
          <cell r="M90">
            <v>1.4233769999999999</v>
          </cell>
        </row>
        <row r="91">
          <cell r="A91" t="str">
            <v>C32.40EU1</v>
          </cell>
          <cell r="B91" t="str">
            <v>C</v>
          </cell>
          <cell r="C91" t="str">
            <v>EU1</v>
          </cell>
          <cell r="D91" t="str">
            <v>32.40</v>
          </cell>
          <cell r="E91">
            <v>190756.27259499999</v>
          </cell>
          <cell r="F91">
            <v>1237003.17</v>
          </cell>
          <cell r="G91">
            <v>1178332.97</v>
          </cell>
          <cell r="H91">
            <v>9336422.0899999999</v>
          </cell>
          <cell r="I91">
            <v>44.749319999999997</v>
          </cell>
          <cell r="J91">
            <v>16.282506999999999</v>
          </cell>
          <cell r="K91">
            <v>156.40701799999999</v>
          </cell>
          <cell r="L91" t="str">
            <v>European Union</v>
          </cell>
          <cell r="M91">
            <v>0.19075600000000001</v>
          </cell>
        </row>
        <row r="92">
          <cell r="A92" t="str">
            <v>C28.22EU1</v>
          </cell>
          <cell r="B92" t="str">
            <v>C</v>
          </cell>
          <cell r="C92" t="str">
            <v>EU1</v>
          </cell>
          <cell r="D92" t="str">
            <v>28.22</v>
          </cell>
          <cell r="E92">
            <v>4105527.49</v>
          </cell>
          <cell r="F92">
            <v>19377262.59</v>
          </cell>
          <cell r="G92">
            <v>43646722.039999999</v>
          </cell>
          <cell r="H92">
            <v>67253949.719999999</v>
          </cell>
          <cell r="I92">
            <v>118.440714</v>
          </cell>
          <cell r="J92">
            <v>64.385283999999999</v>
          </cell>
          <cell r="K92">
            <v>1054.5966269999999</v>
          </cell>
          <cell r="L92" t="str">
            <v>European Union</v>
          </cell>
          <cell r="M92">
            <v>4.1055270000000004</v>
          </cell>
        </row>
        <row r="93">
          <cell r="A93" t="str">
            <v>C23.63EU1</v>
          </cell>
          <cell r="B93" t="str">
            <v>C</v>
          </cell>
          <cell r="C93" t="str">
            <v>EU1</v>
          </cell>
          <cell r="D93" t="str">
            <v>23.63</v>
          </cell>
          <cell r="E93">
            <v>5060391.83</v>
          </cell>
          <cell r="F93">
            <v>27565511.050000001</v>
          </cell>
          <cell r="G93">
            <v>82537445.260000005</v>
          </cell>
          <cell r="H93">
            <v>292861873.50999999</v>
          </cell>
          <cell r="I93">
            <v>3250.6088749999999</v>
          </cell>
          <cell r="J93">
            <v>657.83207600000003</v>
          </cell>
          <cell r="K93">
            <v>5213.0415839999996</v>
          </cell>
          <cell r="L93" t="str">
            <v>European Union</v>
          </cell>
          <cell r="M93">
            <v>5.0603920000000002</v>
          </cell>
        </row>
        <row r="94">
          <cell r="A94" t="str">
            <v>C26.20EU1</v>
          </cell>
          <cell r="B94" t="str">
            <v>C</v>
          </cell>
          <cell r="C94" t="str">
            <v>EU1</v>
          </cell>
          <cell r="D94" t="str">
            <v>26.20</v>
          </cell>
          <cell r="E94">
            <v>128717.89</v>
          </cell>
          <cell r="F94">
            <v>1607124.08</v>
          </cell>
          <cell r="G94">
            <v>2927445.4</v>
          </cell>
          <cell r="H94">
            <v>2448683.7999999998</v>
          </cell>
          <cell r="I94">
            <v>2.180126</v>
          </cell>
          <cell r="J94">
            <v>1.1851339999999999</v>
          </cell>
          <cell r="K94">
            <v>19.411843999999999</v>
          </cell>
          <cell r="L94" t="str">
            <v>European Union</v>
          </cell>
          <cell r="M94">
            <v>0.128718</v>
          </cell>
        </row>
        <row r="95">
          <cell r="A95" t="str">
            <v>C22.23EU1</v>
          </cell>
          <cell r="B95" t="str">
            <v>C</v>
          </cell>
          <cell r="C95" t="str">
            <v>EU1</v>
          </cell>
          <cell r="D95" t="str">
            <v>22.23</v>
          </cell>
          <cell r="E95">
            <v>2530740.7272239998</v>
          </cell>
          <cell r="F95">
            <v>36731513.439999998</v>
          </cell>
          <cell r="G95">
            <v>125934742.38</v>
          </cell>
          <cell r="H95">
            <v>174346027.03</v>
          </cell>
          <cell r="I95">
            <v>842.637652</v>
          </cell>
          <cell r="J95">
            <v>170.52623199999999</v>
          </cell>
          <cell r="K95">
            <v>1351.348401</v>
          </cell>
          <cell r="L95" t="str">
            <v>European Union</v>
          </cell>
          <cell r="M95">
            <v>2.5307409999999999</v>
          </cell>
        </row>
        <row r="96">
          <cell r="A96" t="str">
            <v>C27.90EU1</v>
          </cell>
          <cell r="B96" t="str">
            <v>C</v>
          </cell>
          <cell r="C96" t="str">
            <v>EU1</v>
          </cell>
          <cell r="D96" t="str">
            <v>27.90</v>
          </cell>
          <cell r="E96">
            <v>3123845.05</v>
          </cell>
          <cell r="F96">
            <v>19435312.469999999</v>
          </cell>
          <cell r="G96">
            <v>41428010.740000002</v>
          </cell>
          <cell r="H96">
            <v>78433714.510000005</v>
          </cell>
          <cell r="I96">
            <v>158.68231700000001</v>
          </cell>
          <cell r="J96">
            <v>86.260937999999996</v>
          </cell>
          <cell r="K96">
            <v>1412.908054</v>
          </cell>
          <cell r="L96" t="str">
            <v>European Union</v>
          </cell>
          <cell r="M96">
            <v>3.1238450000000002</v>
          </cell>
        </row>
        <row r="97">
          <cell r="A97" t="str">
            <v>C10.89EU1</v>
          </cell>
          <cell r="B97" t="str">
            <v>C</v>
          </cell>
          <cell r="C97" t="str">
            <v>EU1</v>
          </cell>
          <cell r="D97" t="str">
            <v>10.89</v>
          </cell>
          <cell r="E97">
            <v>1742972.7702250001</v>
          </cell>
          <cell r="F97">
            <v>24659840.059999999</v>
          </cell>
          <cell r="G97">
            <v>40012607.060000002</v>
          </cell>
          <cell r="H97">
            <v>110094171.73999999</v>
          </cell>
          <cell r="I97">
            <v>172.426727</v>
          </cell>
          <cell r="J97">
            <v>117.234257</v>
          </cell>
          <cell r="K97">
            <v>2101.3147309999999</v>
          </cell>
          <cell r="L97" t="str">
            <v>European Union</v>
          </cell>
          <cell r="M97">
            <v>1.7429730000000001</v>
          </cell>
        </row>
        <row r="98">
          <cell r="A98" t="str">
            <v>C22.21EU1</v>
          </cell>
          <cell r="B98" t="str">
            <v>C</v>
          </cell>
          <cell r="C98" t="str">
            <v>EU1</v>
          </cell>
          <cell r="D98" t="str">
            <v>22.21</v>
          </cell>
          <cell r="E98">
            <v>7658329.1018439997</v>
          </cell>
          <cell r="F98">
            <v>75205235.760000005</v>
          </cell>
          <cell r="G98">
            <v>286851314.76999998</v>
          </cell>
          <cell r="H98">
            <v>402441270.27999997</v>
          </cell>
          <cell r="I98">
            <v>1662.7530569999999</v>
          </cell>
          <cell r="J98">
            <v>336.49458399999997</v>
          </cell>
          <cell r="K98">
            <v>2666.5776059999998</v>
          </cell>
          <cell r="L98" t="str">
            <v>European Union</v>
          </cell>
          <cell r="M98">
            <v>7.6583290000000002</v>
          </cell>
        </row>
        <row r="99">
          <cell r="A99" t="str">
            <v>C13.30EU1</v>
          </cell>
          <cell r="B99" t="str">
            <v>C</v>
          </cell>
          <cell r="C99" t="str">
            <v>EU1</v>
          </cell>
          <cell r="D99" t="str">
            <v>13.30</v>
          </cell>
          <cell r="E99">
            <v>20953172.616006002</v>
          </cell>
          <cell r="F99">
            <v>199011416.80000001</v>
          </cell>
          <cell r="G99">
            <v>183209731.97999999</v>
          </cell>
          <cell r="H99">
            <v>335754032.04000002</v>
          </cell>
          <cell r="I99">
            <v>470.38739900000002</v>
          </cell>
          <cell r="J99">
            <v>869.86003400000004</v>
          </cell>
          <cell r="K99">
            <v>6011.0528949999998</v>
          </cell>
          <cell r="L99" t="str">
            <v>European Union</v>
          </cell>
          <cell r="M99">
            <v>20.953173</v>
          </cell>
        </row>
        <row r="100">
          <cell r="A100" t="str">
            <v>C14.39EU1</v>
          </cell>
          <cell r="B100" t="str">
            <v>C</v>
          </cell>
          <cell r="C100" t="str">
            <v>EU1</v>
          </cell>
          <cell r="D100" t="str">
            <v>14.39</v>
          </cell>
          <cell r="E100">
            <v>8360300.4512649998</v>
          </cell>
          <cell r="F100">
            <v>50844547.899999999</v>
          </cell>
          <cell r="G100">
            <v>104678711.48999999</v>
          </cell>
          <cell r="H100">
            <v>221748866.41999999</v>
          </cell>
          <cell r="I100">
            <v>289.90209900000002</v>
          </cell>
          <cell r="J100">
            <v>536.09907899999996</v>
          </cell>
          <cell r="K100">
            <v>3704.6419219999998</v>
          </cell>
          <cell r="L100" t="str">
            <v>European Union</v>
          </cell>
          <cell r="M100">
            <v>8.3603000000000005</v>
          </cell>
        </row>
        <row r="101">
          <cell r="A101" t="str">
            <v>C10.71EU1</v>
          </cell>
          <cell r="B101" t="str">
            <v>C</v>
          </cell>
          <cell r="C101" t="str">
            <v>EU1</v>
          </cell>
          <cell r="D101" t="str">
            <v>10.71</v>
          </cell>
          <cell r="E101">
            <v>20573518.342169002</v>
          </cell>
          <cell r="F101">
            <v>94626717.700000003</v>
          </cell>
          <cell r="G101">
            <v>231470708.16999999</v>
          </cell>
          <cell r="H101">
            <v>567757753.98000002</v>
          </cell>
          <cell r="I101">
            <v>3677.5231600000002</v>
          </cell>
          <cell r="J101">
            <v>2500.376158</v>
          </cell>
          <cell r="K101">
            <v>44816.912182</v>
          </cell>
          <cell r="L101" t="str">
            <v>European Union</v>
          </cell>
          <cell r="M101">
            <v>20.573518</v>
          </cell>
        </row>
        <row r="102">
          <cell r="A102" t="str">
            <v>C11.06EU1</v>
          </cell>
          <cell r="B102" t="str">
            <v>C</v>
          </cell>
          <cell r="C102" t="str">
            <v>EU1</v>
          </cell>
          <cell r="D102" t="str">
            <v>11.06</v>
          </cell>
          <cell r="E102">
            <v>1500112.96</v>
          </cell>
          <cell r="F102">
            <v>1773995</v>
          </cell>
          <cell r="G102">
            <v>8501419</v>
          </cell>
          <cell r="H102">
            <v>26805167</v>
          </cell>
          <cell r="I102">
            <v>193.926321</v>
          </cell>
          <cell r="J102">
            <v>131.851991</v>
          </cell>
          <cell r="K102">
            <v>2363.3240489999998</v>
          </cell>
          <cell r="L102" t="str">
            <v>European Union</v>
          </cell>
          <cell r="M102">
            <v>1.500113</v>
          </cell>
        </row>
        <row r="103">
          <cell r="A103" t="str">
            <v>C28.96EU1</v>
          </cell>
          <cell r="B103" t="str">
            <v>C</v>
          </cell>
          <cell r="C103" t="str">
            <v>EU1</v>
          </cell>
          <cell r="D103" t="str">
            <v>28.96</v>
          </cell>
          <cell r="E103">
            <v>219139.24</v>
          </cell>
          <cell r="F103">
            <v>1469413.22</v>
          </cell>
          <cell r="G103">
            <v>5380809.8600000003</v>
          </cell>
          <cell r="H103">
            <v>10210015.869999999</v>
          </cell>
          <cell r="I103">
            <v>10.446569</v>
          </cell>
          <cell r="J103">
            <v>5.6788400000000001</v>
          </cell>
          <cell r="K103">
            <v>93.016322000000002</v>
          </cell>
          <cell r="L103" t="str">
            <v>European Union</v>
          </cell>
          <cell r="M103">
            <v>0.219139</v>
          </cell>
        </row>
        <row r="104">
          <cell r="A104" t="str">
            <v>C20.52EU2</v>
          </cell>
          <cell r="B104" t="str">
            <v>C</v>
          </cell>
          <cell r="C104" t="str">
            <v>EU2</v>
          </cell>
          <cell r="D104" t="str">
            <v>20.52</v>
          </cell>
          <cell r="E104">
            <v>2.61</v>
          </cell>
          <cell r="F104">
            <v>7398613</v>
          </cell>
          <cell r="G104">
            <v>15505721</v>
          </cell>
          <cell r="H104">
            <v>22683673</v>
          </cell>
          <cell r="I104">
            <v>1.09E-3</v>
          </cell>
          <cell r="J104">
            <v>3.6299999999999999E-4</v>
          </cell>
          <cell r="K104">
            <v>2.2520000000000001E-3</v>
          </cell>
          <cell r="L104" t="str">
            <v>Non European Union</v>
          </cell>
          <cell r="M104">
            <v>3.0000000000000001E-6</v>
          </cell>
        </row>
        <row r="105">
          <cell r="A105" t="str">
            <v>C25.93EU1</v>
          </cell>
          <cell r="B105" t="str">
            <v>C</v>
          </cell>
          <cell r="C105" t="str">
            <v>EU1</v>
          </cell>
          <cell r="D105" t="str">
            <v>25.93</v>
          </cell>
          <cell r="E105">
            <v>15551565.619999999</v>
          </cell>
          <cell r="F105">
            <v>91256595.439999998</v>
          </cell>
          <cell r="G105">
            <v>378544178.70999998</v>
          </cell>
          <cell r="H105">
            <v>425826780.06</v>
          </cell>
          <cell r="I105">
            <v>2155.0576860000001</v>
          </cell>
          <cell r="J105">
            <v>509.93265500000001</v>
          </cell>
          <cell r="K105">
            <v>7011.9671120000003</v>
          </cell>
          <cell r="L105" t="str">
            <v>European Union</v>
          </cell>
          <cell r="M105">
            <v>15.551565999999999</v>
          </cell>
        </row>
        <row r="106">
          <cell r="A106" t="str">
            <v>C22.11EU1</v>
          </cell>
          <cell r="B106" t="str">
            <v>C</v>
          </cell>
          <cell r="C106" t="str">
            <v>EU1</v>
          </cell>
          <cell r="D106" t="str">
            <v>22.11</v>
          </cell>
          <cell r="E106">
            <v>547408.05000000005</v>
          </cell>
          <cell r="F106">
            <v>3172028.89</v>
          </cell>
          <cell r="G106">
            <v>4004048.84</v>
          </cell>
          <cell r="H106">
            <v>11153184.640000001</v>
          </cell>
          <cell r="I106">
            <v>190.76329100000001</v>
          </cell>
          <cell r="J106">
            <v>38.605139999999999</v>
          </cell>
          <cell r="K106">
            <v>305.92944399999999</v>
          </cell>
          <cell r="L106" t="str">
            <v>European Union</v>
          </cell>
          <cell r="M106">
            <v>0.54740800000000001</v>
          </cell>
        </row>
        <row r="107">
          <cell r="A107" t="str">
            <v>C28.24EU1</v>
          </cell>
          <cell r="B107" t="str">
            <v>C</v>
          </cell>
          <cell r="C107" t="str">
            <v>EU1</v>
          </cell>
          <cell r="D107" t="str">
            <v>28.24</v>
          </cell>
          <cell r="E107">
            <v>28907.88</v>
          </cell>
          <cell r="F107">
            <v>93853.06</v>
          </cell>
          <cell r="G107">
            <v>35022.49</v>
          </cell>
          <cell r="H107">
            <v>231324.2</v>
          </cell>
          <cell r="I107">
            <v>1.8936280000000001</v>
          </cell>
          <cell r="J107">
            <v>1.02939</v>
          </cell>
          <cell r="K107">
            <v>16.860873000000002</v>
          </cell>
          <cell r="L107" t="str">
            <v>European Union</v>
          </cell>
          <cell r="M107">
            <v>2.8908E-2</v>
          </cell>
        </row>
        <row r="108">
          <cell r="A108" t="str">
            <v>C24.32EU1</v>
          </cell>
          <cell r="B108" t="str">
            <v>C</v>
          </cell>
          <cell r="C108" t="str">
            <v>EU1</v>
          </cell>
          <cell r="D108" t="str">
            <v>24.32</v>
          </cell>
          <cell r="E108">
            <v>2902188.46</v>
          </cell>
          <cell r="F108">
            <v>29935585</v>
          </cell>
          <cell r="G108">
            <v>60471719</v>
          </cell>
          <cell r="H108">
            <v>183678974</v>
          </cell>
          <cell r="I108">
            <v>848.22201700000005</v>
          </cell>
          <cell r="J108">
            <v>200.70743300000001</v>
          </cell>
          <cell r="K108">
            <v>2759.8819859999999</v>
          </cell>
          <cell r="L108" t="str">
            <v>European Union</v>
          </cell>
          <cell r="M108">
            <v>2.9021880000000002</v>
          </cell>
        </row>
        <row r="109">
          <cell r="A109" t="str">
            <v>C23.20EU1</v>
          </cell>
          <cell r="B109" t="str">
            <v>C</v>
          </cell>
          <cell r="C109" t="str">
            <v>EU1</v>
          </cell>
          <cell r="D109" t="str">
            <v>23.20</v>
          </cell>
          <cell r="E109">
            <v>281083.05005600001</v>
          </cell>
          <cell r="F109">
            <v>1275445.8899999999</v>
          </cell>
          <cell r="G109">
            <v>1975968.07</v>
          </cell>
          <cell r="H109">
            <v>3148262.25</v>
          </cell>
          <cell r="I109">
            <v>82.942836</v>
          </cell>
          <cell r="J109">
            <v>16.785302999999999</v>
          </cell>
          <cell r="K109">
            <v>133.01644999999999</v>
          </cell>
          <cell r="L109" t="str">
            <v>European Union</v>
          </cell>
          <cell r="M109">
            <v>0.28108300000000003</v>
          </cell>
        </row>
        <row r="110">
          <cell r="A110" t="str">
            <v>C16.24EU1</v>
          </cell>
          <cell r="B110" t="str">
            <v>C</v>
          </cell>
          <cell r="C110" t="str">
            <v>EU1</v>
          </cell>
          <cell r="D110" t="str">
            <v>16.24</v>
          </cell>
          <cell r="E110">
            <v>1048264.530001</v>
          </cell>
          <cell r="F110">
            <v>15310787.960000001</v>
          </cell>
          <cell r="G110">
            <v>17897874.27</v>
          </cell>
          <cell r="H110">
            <v>44445297.810000002</v>
          </cell>
          <cell r="I110">
            <v>114.85395800000001</v>
          </cell>
          <cell r="J110">
            <v>103.94704900000001</v>
          </cell>
          <cell r="K110">
            <v>537.04510800000003</v>
          </cell>
          <cell r="L110" t="str">
            <v>European Union</v>
          </cell>
          <cell r="M110">
            <v>1.048265</v>
          </cell>
        </row>
        <row r="111">
          <cell r="A111" t="str">
            <v>C11.05EU1</v>
          </cell>
          <cell r="B111" t="str">
            <v>C</v>
          </cell>
          <cell r="C111" t="str">
            <v>EU1</v>
          </cell>
          <cell r="D111" t="str">
            <v>11.05</v>
          </cell>
          <cell r="E111">
            <v>2133038.4499980002</v>
          </cell>
          <cell r="F111">
            <v>16507550.720000001</v>
          </cell>
          <cell r="G111">
            <v>221105575.47</v>
          </cell>
          <cell r="H111">
            <v>753996670.61000001</v>
          </cell>
          <cell r="I111">
            <v>356.24869799999999</v>
          </cell>
          <cell r="J111">
            <v>242.216207</v>
          </cell>
          <cell r="K111">
            <v>4341.4998960000003</v>
          </cell>
          <cell r="L111" t="str">
            <v>European Union</v>
          </cell>
          <cell r="M111">
            <v>2.133038</v>
          </cell>
        </row>
        <row r="112">
          <cell r="A112" t="str">
            <v>C33.20EU1</v>
          </cell>
          <cell r="B112" t="str">
            <v>C</v>
          </cell>
          <cell r="C112" t="str">
            <v>EU1</v>
          </cell>
          <cell r="D112" t="str">
            <v>33.20</v>
          </cell>
          <cell r="E112">
            <v>6652277.0186470002</v>
          </cell>
          <cell r="F112">
            <v>25988374.800000001</v>
          </cell>
          <cell r="G112">
            <v>59706527.090000004</v>
          </cell>
          <cell r="H112">
            <v>149700072.05000001</v>
          </cell>
          <cell r="I112">
            <v>428.165594</v>
          </cell>
          <cell r="J112">
            <v>232.75413</v>
          </cell>
          <cell r="K112">
            <v>3812.38834</v>
          </cell>
          <cell r="L112" t="str">
            <v>European Union</v>
          </cell>
          <cell r="M112">
            <v>6.6522769999999998</v>
          </cell>
        </row>
        <row r="113">
          <cell r="A113" t="str">
            <v>C24.41EU1</v>
          </cell>
          <cell r="B113" t="str">
            <v>C</v>
          </cell>
          <cell r="C113" t="str">
            <v>EU1</v>
          </cell>
          <cell r="D113" t="str">
            <v>24.41</v>
          </cell>
          <cell r="E113">
            <v>47778.93</v>
          </cell>
          <cell r="F113">
            <v>207613.59</v>
          </cell>
          <cell r="G113">
            <v>835652.69</v>
          </cell>
          <cell r="H113">
            <v>668157.98</v>
          </cell>
          <cell r="I113">
            <v>4.4504729999999997</v>
          </cell>
          <cell r="J113">
            <v>1.053077</v>
          </cell>
          <cell r="K113">
            <v>14.480619000000001</v>
          </cell>
          <cell r="L113" t="str">
            <v>European Union</v>
          </cell>
          <cell r="M113">
            <v>4.7779000000000002E-2</v>
          </cell>
        </row>
        <row r="114">
          <cell r="A114" t="str">
            <v>C25.71EU1</v>
          </cell>
          <cell r="B114" t="str">
            <v>C</v>
          </cell>
          <cell r="C114" t="str">
            <v>EU1</v>
          </cell>
          <cell r="D114" t="str">
            <v>25.71</v>
          </cell>
          <cell r="E114">
            <v>1797803.6</v>
          </cell>
          <cell r="F114">
            <v>16188223.5</v>
          </cell>
          <cell r="G114">
            <v>29821886.649999999</v>
          </cell>
          <cell r="H114">
            <v>36104640.859999999</v>
          </cell>
          <cell r="I114">
            <v>260.82114000000001</v>
          </cell>
          <cell r="J114">
            <v>61.715848999999999</v>
          </cell>
          <cell r="K114">
            <v>848.64051700000005</v>
          </cell>
          <cell r="L114" t="str">
            <v>European Union</v>
          </cell>
          <cell r="M114">
            <v>1.797804</v>
          </cell>
        </row>
        <row r="115">
          <cell r="A115" t="str">
            <v>C16.10EU1</v>
          </cell>
          <cell r="B115" t="str">
            <v>C</v>
          </cell>
          <cell r="C115" t="str">
            <v>EU1</v>
          </cell>
          <cell r="D115" t="str">
            <v>16.10</v>
          </cell>
          <cell r="E115">
            <v>11147033.158284999</v>
          </cell>
          <cell r="F115">
            <v>67123082.980000004</v>
          </cell>
          <cell r="G115">
            <v>88019763.090000004</v>
          </cell>
          <cell r="H115">
            <v>189370226.61000001</v>
          </cell>
          <cell r="I115">
            <v>1097.6751260000001</v>
          </cell>
          <cell r="J115">
            <v>993.43630299999995</v>
          </cell>
          <cell r="K115">
            <v>5132.6141289999996</v>
          </cell>
          <cell r="L115" t="str">
            <v>European Union</v>
          </cell>
          <cell r="M115">
            <v>11.147033</v>
          </cell>
        </row>
        <row r="116">
          <cell r="A116" t="str">
            <v>C31.03EU1</v>
          </cell>
          <cell r="B116" t="str">
            <v>C</v>
          </cell>
          <cell r="C116" t="str">
            <v>EU1</v>
          </cell>
          <cell r="D116" t="str">
            <v>31.03</v>
          </cell>
          <cell r="E116">
            <v>4774651.9596340004</v>
          </cell>
          <cell r="F116">
            <v>47618004.240000002</v>
          </cell>
          <cell r="G116">
            <v>88671128.829999998</v>
          </cell>
          <cell r="H116">
            <v>130236750.51000001</v>
          </cell>
          <cell r="I116">
            <v>259.22698400000002</v>
          </cell>
          <cell r="J116">
            <v>94.322412999999997</v>
          </cell>
          <cell r="K116">
            <v>906.04546800000003</v>
          </cell>
          <cell r="L116" t="str">
            <v>European Union</v>
          </cell>
          <cell r="M116">
            <v>4.7746519999999997</v>
          </cell>
        </row>
        <row r="117">
          <cell r="A117" t="str">
            <v>C25.30EU1</v>
          </cell>
          <cell r="B117" t="str">
            <v>C</v>
          </cell>
          <cell r="C117" t="str">
            <v>EU1</v>
          </cell>
          <cell r="D117" t="str">
            <v>25.30</v>
          </cell>
          <cell r="E117">
            <v>125134.82</v>
          </cell>
          <cell r="F117">
            <v>273147.45</v>
          </cell>
          <cell r="G117">
            <v>4305820.07</v>
          </cell>
          <cell r="H117">
            <v>7014138.2699999996</v>
          </cell>
          <cell r="I117">
            <v>112.12884699999999</v>
          </cell>
          <cell r="J117">
            <v>26.532077999999998</v>
          </cell>
          <cell r="K117">
            <v>364.83653800000002</v>
          </cell>
          <cell r="L117" t="str">
            <v>European Union</v>
          </cell>
          <cell r="M117">
            <v>0.125135</v>
          </cell>
        </row>
        <row r="118">
          <cell r="A118" t="str">
            <v>C23.19EU1</v>
          </cell>
          <cell r="B118" t="str">
            <v>C</v>
          </cell>
          <cell r="C118" t="str">
            <v>EU1</v>
          </cell>
          <cell r="D118" t="str">
            <v>23.19</v>
          </cell>
          <cell r="E118">
            <v>133464.579872</v>
          </cell>
          <cell r="F118">
            <v>5364966.5999999996</v>
          </cell>
          <cell r="G118">
            <v>19914498.809999999</v>
          </cell>
          <cell r="H118">
            <v>18224023.850000001</v>
          </cell>
          <cell r="I118">
            <v>25.033169000000001</v>
          </cell>
          <cell r="J118">
            <v>5.0660100000000003</v>
          </cell>
          <cell r="K118">
            <v>40.146005000000002</v>
          </cell>
          <cell r="L118" t="str">
            <v>European Union</v>
          </cell>
          <cell r="M118">
            <v>0.133465</v>
          </cell>
        </row>
        <row r="119">
          <cell r="A119" t="str">
            <v>C24.42EU1</v>
          </cell>
          <cell r="B119" t="str">
            <v>C</v>
          </cell>
          <cell r="C119" t="str">
            <v>EU1</v>
          </cell>
          <cell r="D119" t="str">
            <v>24.42</v>
          </cell>
          <cell r="E119">
            <v>1323721.8999999999</v>
          </cell>
          <cell r="F119">
            <v>30334089.699999999</v>
          </cell>
          <cell r="G119">
            <v>84637925.900000006</v>
          </cell>
          <cell r="H119">
            <v>180773520.22999999</v>
          </cell>
          <cell r="I119">
            <v>269.80192899999997</v>
          </cell>
          <cell r="J119">
            <v>63.840896000000001</v>
          </cell>
          <cell r="K119">
            <v>877.861536</v>
          </cell>
          <cell r="L119" t="str">
            <v>European Union</v>
          </cell>
          <cell r="M119">
            <v>1.3237220000000001</v>
          </cell>
        </row>
        <row r="120">
          <cell r="A120" t="str">
            <v>C23.99EU1</v>
          </cell>
          <cell r="B120" t="str">
            <v>C</v>
          </cell>
          <cell r="C120" t="str">
            <v>EU1</v>
          </cell>
          <cell r="D120" t="str">
            <v>23.99</v>
          </cell>
          <cell r="E120">
            <v>3075081.9493339998</v>
          </cell>
          <cell r="F120">
            <v>57751980.700000003</v>
          </cell>
          <cell r="G120">
            <v>56206833.200000003</v>
          </cell>
          <cell r="H120">
            <v>83765501.060000002</v>
          </cell>
          <cell r="I120">
            <v>659.62563999999998</v>
          </cell>
          <cell r="J120">
            <v>133.48973100000001</v>
          </cell>
          <cell r="K120">
            <v>1057.8497829999999</v>
          </cell>
          <cell r="L120" t="str">
            <v>European Union</v>
          </cell>
          <cell r="M120">
            <v>3.0750820000000001</v>
          </cell>
        </row>
        <row r="121">
          <cell r="A121" t="str">
            <v>C24.20EU1</v>
          </cell>
          <cell r="B121" t="str">
            <v>C</v>
          </cell>
          <cell r="C121" t="str">
            <v>EU1</v>
          </cell>
          <cell r="D121" t="str">
            <v>24.20</v>
          </cell>
          <cell r="E121">
            <v>1303626.688204</v>
          </cell>
          <cell r="F121">
            <v>13081367.42</v>
          </cell>
          <cell r="G121">
            <v>239391103.38</v>
          </cell>
          <cell r="H121">
            <v>381813999.68000001</v>
          </cell>
          <cell r="I121">
            <v>213.697508</v>
          </cell>
          <cell r="J121">
            <v>50.565387999999999</v>
          </cell>
          <cell r="K121">
            <v>695.31313799999998</v>
          </cell>
          <cell r="L121" t="str">
            <v>European Union</v>
          </cell>
          <cell r="M121">
            <v>1.3036270000000001</v>
          </cell>
        </row>
        <row r="122">
          <cell r="A122" t="str">
            <v>C24.34EU1</v>
          </cell>
          <cell r="B122" t="str">
            <v>C</v>
          </cell>
          <cell r="C122" t="str">
            <v>EU1</v>
          </cell>
          <cell r="D122" t="str">
            <v>24.34</v>
          </cell>
          <cell r="E122">
            <v>4331520.62</v>
          </cell>
          <cell r="F122">
            <v>4693892.97</v>
          </cell>
          <cell r="G122">
            <v>28206506.010000002</v>
          </cell>
          <cell r="H122">
            <v>74911926.090000004</v>
          </cell>
          <cell r="I122">
            <v>2621.0235170000001</v>
          </cell>
          <cell r="J122">
            <v>620.190111</v>
          </cell>
          <cell r="K122">
            <v>8528.0922480000008</v>
          </cell>
          <cell r="L122" t="str">
            <v>European Union</v>
          </cell>
          <cell r="M122">
            <v>4.3315210000000004</v>
          </cell>
        </row>
        <row r="123">
          <cell r="A123" t="str">
            <v>C10.20EU1</v>
          </cell>
          <cell r="B123" t="str">
            <v>C</v>
          </cell>
          <cell r="C123" t="str">
            <v>EU1</v>
          </cell>
          <cell r="D123" t="str">
            <v>10.20</v>
          </cell>
          <cell r="E123">
            <v>37921105.699849002</v>
          </cell>
          <cell r="F123">
            <v>266906565.33000001</v>
          </cell>
          <cell r="G123">
            <v>352825593.05000001</v>
          </cell>
          <cell r="H123">
            <v>1095679135.9000001</v>
          </cell>
          <cell r="I123">
            <v>3394.5938980000001</v>
          </cell>
          <cell r="J123">
            <v>2308.0103989999998</v>
          </cell>
          <cell r="K123">
            <v>41368.935144000003</v>
          </cell>
          <cell r="L123" t="str">
            <v>European Union</v>
          </cell>
          <cell r="M123">
            <v>37.921106000000002</v>
          </cell>
        </row>
        <row r="124">
          <cell r="A124" t="str">
            <v>C13.96EU1</v>
          </cell>
          <cell r="B124" t="str">
            <v>C</v>
          </cell>
          <cell r="C124" t="str">
            <v>EU1</v>
          </cell>
          <cell r="D124" t="str">
            <v>13.96</v>
          </cell>
          <cell r="E124">
            <v>7957125.7295319997</v>
          </cell>
          <cell r="F124">
            <v>90617730.200000003</v>
          </cell>
          <cell r="G124">
            <v>90324753.349999994</v>
          </cell>
          <cell r="H124">
            <v>178609453.75999999</v>
          </cell>
          <cell r="I124">
            <v>195.196753</v>
          </cell>
          <cell r="J124">
            <v>360.96597700000001</v>
          </cell>
          <cell r="K124">
            <v>2494.4077510000002</v>
          </cell>
          <cell r="L124" t="str">
            <v>European Union</v>
          </cell>
          <cell r="M124">
            <v>7.9571259999999997</v>
          </cell>
        </row>
        <row r="125">
          <cell r="A125" t="str">
            <v>C23.14EU1</v>
          </cell>
          <cell r="B125" t="str">
            <v>C</v>
          </cell>
          <cell r="C125" t="str">
            <v>EU1</v>
          </cell>
          <cell r="D125" t="str">
            <v>23.14</v>
          </cell>
          <cell r="E125">
            <v>4.37</v>
          </cell>
          <cell r="F125">
            <v>139619.98000000001</v>
          </cell>
          <cell r="G125">
            <v>2080368.35</v>
          </cell>
          <cell r="H125">
            <v>911735.14</v>
          </cell>
          <cell r="I125">
            <v>5.5999999999999995E-4</v>
          </cell>
          <cell r="J125">
            <v>1.13E-4</v>
          </cell>
          <cell r="K125">
            <v>8.9700000000000001E-4</v>
          </cell>
          <cell r="L125" t="str">
            <v>European Union</v>
          </cell>
          <cell r="M125">
            <v>3.9999999999999998E-6</v>
          </cell>
        </row>
        <row r="126">
          <cell r="A126" t="str">
            <v>C31.09EU1</v>
          </cell>
          <cell r="B126" t="str">
            <v>C</v>
          </cell>
          <cell r="C126" t="str">
            <v>EU1</v>
          </cell>
          <cell r="D126" t="str">
            <v>31.09</v>
          </cell>
          <cell r="E126">
            <v>33747796.739684999</v>
          </cell>
          <cell r="F126">
            <v>230539991.43000001</v>
          </cell>
          <cell r="G126">
            <v>383174221.27999997</v>
          </cell>
          <cell r="H126">
            <v>765352716.96000004</v>
          </cell>
          <cell r="I126">
            <v>3188.566362</v>
          </cell>
          <cell r="J126">
            <v>1160.1927310000001</v>
          </cell>
          <cell r="K126">
            <v>11144.619542</v>
          </cell>
          <cell r="L126" t="str">
            <v>European Union</v>
          </cell>
          <cell r="M126">
            <v>33.747796999999998</v>
          </cell>
        </row>
        <row r="127">
          <cell r="A127" t="str">
            <v>C20.11EU1</v>
          </cell>
          <cell r="B127" t="str">
            <v>C</v>
          </cell>
          <cell r="C127" t="str">
            <v>EU1</v>
          </cell>
          <cell r="D127" t="str">
            <v>20.11</v>
          </cell>
          <cell r="E127">
            <v>93406.38</v>
          </cell>
          <cell r="F127">
            <v>519300.87</v>
          </cell>
          <cell r="G127">
            <v>59000103.359999999</v>
          </cell>
          <cell r="H127">
            <v>29009279.530000001</v>
          </cell>
          <cell r="I127">
            <v>12.737323</v>
          </cell>
          <cell r="J127">
            <v>2.577674</v>
          </cell>
          <cell r="K127">
            <v>20.427002999999999</v>
          </cell>
          <cell r="L127" t="str">
            <v>European Union</v>
          </cell>
          <cell r="M127">
            <v>9.3406000000000003E-2</v>
          </cell>
        </row>
        <row r="128">
          <cell r="A128" t="str">
            <v>C27.52EU1</v>
          </cell>
          <cell r="B128" t="str">
            <v>C</v>
          </cell>
          <cell r="C128" t="str">
            <v>EU1</v>
          </cell>
          <cell r="D128" t="str">
            <v>27.52</v>
          </cell>
          <cell r="E128">
            <v>1305339.3396749999</v>
          </cell>
          <cell r="F128">
            <v>19186000.600000001</v>
          </cell>
          <cell r="G128">
            <v>28580405.5</v>
          </cell>
          <cell r="H128">
            <v>32543131.940000001</v>
          </cell>
          <cell r="I128">
            <v>16.193860000000001</v>
          </cell>
          <cell r="J128">
            <v>8.8031039999999994</v>
          </cell>
          <cell r="K128">
            <v>144.19018399999999</v>
          </cell>
          <cell r="L128" t="str">
            <v>European Union</v>
          </cell>
          <cell r="M128">
            <v>1.305339</v>
          </cell>
        </row>
        <row r="129">
          <cell r="A129" t="str">
            <v>C18.12EU1</v>
          </cell>
          <cell r="B129" t="str">
            <v>C</v>
          </cell>
          <cell r="C129" t="str">
            <v>EU1</v>
          </cell>
          <cell r="D129" t="str">
            <v>18.12</v>
          </cell>
          <cell r="E129">
            <v>15500959.706075</v>
          </cell>
          <cell r="F129">
            <v>113517451.54000001</v>
          </cell>
          <cell r="G129">
            <v>136418718.91999999</v>
          </cell>
          <cell r="H129">
            <v>275806065.11000001</v>
          </cell>
          <cell r="I129">
            <v>1465.5033189999999</v>
          </cell>
          <cell r="J129">
            <v>1326.334321</v>
          </cell>
          <cell r="K129">
            <v>6852.5403729999998</v>
          </cell>
          <cell r="L129" t="str">
            <v>European Union</v>
          </cell>
          <cell r="M129">
            <v>15.500959999999999</v>
          </cell>
        </row>
        <row r="130">
          <cell r="A130" t="str">
            <v>C15.20EU1</v>
          </cell>
          <cell r="B130" t="str">
            <v>C</v>
          </cell>
          <cell r="C130" t="str">
            <v>EU1</v>
          </cell>
          <cell r="D130" t="str">
            <v>15.20</v>
          </cell>
          <cell r="E130">
            <v>32935003.805505998</v>
          </cell>
          <cell r="F130">
            <v>213035949.83000001</v>
          </cell>
          <cell r="G130">
            <v>333852203.64999998</v>
          </cell>
          <cell r="H130">
            <v>928728742.95000005</v>
          </cell>
          <cell r="I130">
            <v>1610.380032</v>
          </cell>
          <cell r="J130">
            <v>2977.9819619999998</v>
          </cell>
          <cell r="K130">
            <v>20578.95118</v>
          </cell>
          <cell r="L130" t="str">
            <v>European Union</v>
          </cell>
          <cell r="M130">
            <v>32.935003999999999</v>
          </cell>
        </row>
        <row r="131">
          <cell r="A131" t="str">
            <v>C29.32EU1</v>
          </cell>
          <cell r="B131" t="str">
            <v>C</v>
          </cell>
          <cell r="C131" t="str">
            <v>EU1</v>
          </cell>
          <cell r="D131" t="str">
            <v>29.32</v>
          </cell>
          <cell r="E131">
            <v>43531364.280317001</v>
          </cell>
          <cell r="F131">
            <v>165030649.58000001</v>
          </cell>
          <cell r="G131">
            <v>275502454.06999999</v>
          </cell>
          <cell r="H131">
            <v>866569977.63</v>
          </cell>
          <cell r="I131">
            <v>1695.734864</v>
          </cell>
          <cell r="J131">
            <v>779.63656800000001</v>
          </cell>
          <cell r="K131">
            <v>22899.829071</v>
          </cell>
          <cell r="L131" t="str">
            <v>European Union</v>
          </cell>
          <cell r="M131">
            <v>43.531364000000004</v>
          </cell>
        </row>
        <row r="132">
          <cell r="A132" t="str">
            <v>C27.40EU1</v>
          </cell>
          <cell r="B132" t="str">
            <v>C</v>
          </cell>
          <cell r="C132" t="str">
            <v>EU1</v>
          </cell>
          <cell r="D132" t="str">
            <v>27.40</v>
          </cell>
          <cell r="E132">
            <v>2935667.7624909999</v>
          </cell>
          <cell r="F132">
            <v>13984004.83</v>
          </cell>
          <cell r="G132">
            <v>24849563.66</v>
          </cell>
          <cell r="H132">
            <v>44434585</v>
          </cell>
          <cell r="I132">
            <v>122.420428</v>
          </cell>
          <cell r="J132">
            <v>66.548691000000005</v>
          </cell>
          <cell r="K132">
            <v>1090.0320549999999</v>
          </cell>
          <cell r="L132" t="str">
            <v>European Union</v>
          </cell>
          <cell r="M132">
            <v>2.9356680000000002</v>
          </cell>
        </row>
        <row r="133">
          <cell r="A133" t="str">
            <v>C27.31EU1</v>
          </cell>
          <cell r="B133" t="str">
            <v>C</v>
          </cell>
          <cell r="C133" t="str">
            <v>EU1</v>
          </cell>
          <cell r="D133" t="str">
            <v>27.31</v>
          </cell>
          <cell r="E133">
            <v>571202.32564499998</v>
          </cell>
          <cell r="F133">
            <v>1304801.1399999999</v>
          </cell>
          <cell r="G133">
            <v>2416804.9300000002</v>
          </cell>
          <cell r="H133">
            <v>4612040.07</v>
          </cell>
          <cell r="I133">
            <v>22.203019999999999</v>
          </cell>
          <cell r="J133">
            <v>12.069734</v>
          </cell>
          <cell r="K133">
            <v>197.695776</v>
          </cell>
          <cell r="L133" t="str">
            <v>European Union</v>
          </cell>
          <cell r="M133">
            <v>0.57120199999999999</v>
          </cell>
        </row>
        <row r="134">
          <cell r="A134" t="str">
            <v>C10.86EU1</v>
          </cell>
          <cell r="B134" t="str">
            <v>C</v>
          </cell>
          <cell r="C134" t="str">
            <v>EU1</v>
          </cell>
          <cell r="D134" t="str">
            <v>10.86</v>
          </cell>
          <cell r="E134">
            <v>810089.71154000005</v>
          </cell>
          <cell r="F134">
            <v>5108567.54</v>
          </cell>
          <cell r="G134">
            <v>13664793.300000001</v>
          </cell>
          <cell r="H134">
            <v>36510711.299999997</v>
          </cell>
          <cell r="I134">
            <v>49.155391000000002</v>
          </cell>
          <cell r="J134">
            <v>33.421126999999998</v>
          </cell>
          <cell r="K134">
            <v>599.04252499999996</v>
          </cell>
          <cell r="L134" t="str">
            <v>European Union</v>
          </cell>
          <cell r="M134">
            <v>0.81008999999999998</v>
          </cell>
        </row>
        <row r="135">
          <cell r="A135" t="str">
            <v>C13.20EU1</v>
          </cell>
          <cell r="B135" t="str">
            <v>C</v>
          </cell>
          <cell r="C135" t="str">
            <v>EU1</v>
          </cell>
          <cell r="D135" t="str">
            <v>13.20</v>
          </cell>
          <cell r="E135">
            <v>11438151.882874001</v>
          </cell>
          <cell r="F135">
            <v>176157921.94</v>
          </cell>
          <cell r="G135">
            <v>237603930.31999999</v>
          </cell>
          <cell r="H135">
            <v>342253538.75999999</v>
          </cell>
          <cell r="I135">
            <v>255.33400700000001</v>
          </cell>
          <cell r="J135">
            <v>472.17430899999999</v>
          </cell>
          <cell r="K135">
            <v>3262.8982190000002</v>
          </cell>
          <cell r="L135" t="str">
            <v>European Union</v>
          </cell>
          <cell r="M135">
            <v>11.438152000000001</v>
          </cell>
        </row>
        <row r="136">
          <cell r="A136" t="str">
            <v>C23.69EU1</v>
          </cell>
          <cell r="B136" t="str">
            <v>C</v>
          </cell>
          <cell r="C136" t="str">
            <v>EU1</v>
          </cell>
          <cell r="D136" t="str">
            <v>23.69</v>
          </cell>
          <cell r="E136">
            <v>2902669.28</v>
          </cell>
          <cell r="F136">
            <v>25214654.16</v>
          </cell>
          <cell r="G136">
            <v>34312906.899999999</v>
          </cell>
          <cell r="H136">
            <v>91534583.480000004</v>
          </cell>
          <cell r="I136">
            <v>1166.3426899999999</v>
          </cell>
          <cell r="J136">
            <v>236.03505799999999</v>
          </cell>
          <cell r="K136">
            <v>1870.478177</v>
          </cell>
          <cell r="L136" t="str">
            <v>European Union</v>
          </cell>
          <cell r="M136">
            <v>2.9026689999999999</v>
          </cell>
        </row>
        <row r="137">
          <cell r="A137" t="str">
            <v>C13.94EU1</v>
          </cell>
          <cell r="B137" t="str">
            <v>C</v>
          </cell>
          <cell r="C137" t="str">
            <v>EU1</v>
          </cell>
          <cell r="D137" t="str">
            <v>13.94</v>
          </cell>
          <cell r="E137">
            <v>4275098.66</v>
          </cell>
          <cell r="F137">
            <v>146164092.43000001</v>
          </cell>
          <cell r="G137">
            <v>174487112.43000001</v>
          </cell>
          <cell r="H137">
            <v>280152706.04000002</v>
          </cell>
          <cell r="I137">
            <v>75.987630999999993</v>
          </cell>
          <cell r="J137">
            <v>140.519499</v>
          </cell>
          <cell r="K137">
            <v>971.04147799999998</v>
          </cell>
          <cell r="L137" t="str">
            <v>European Union</v>
          </cell>
          <cell r="M137">
            <v>4.275099</v>
          </cell>
        </row>
        <row r="138">
          <cell r="A138" t="str">
            <v>C22.22EU1</v>
          </cell>
          <cell r="B138" t="str">
            <v>C</v>
          </cell>
          <cell r="C138" t="str">
            <v>EU1</v>
          </cell>
          <cell r="D138" t="str">
            <v>22.22</v>
          </cell>
          <cell r="E138">
            <v>13670947.359387999</v>
          </cell>
          <cell r="F138">
            <v>85770692.170000002</v>
          </cell>
          <cell r="G138">
            <v>252576039.66999999</v>
          </cell>
          <cell r="H138">
            <v>554016089.88</v>
          </cell>
          <cell r="I138">
            <v>5958.6410230000001</v>
          </cell>
          <cell r="J138">
            <v>1205.8618429999999</v>
          </cell>
          <cell r="K138">
            <v>9555.9461819999997</v>
          </cell>
          <cell r="L138" t="str">
            <v>European Union</v>
          </cell>
          <cell r="M138">
            <v>13.670947</v>
          </cell>
        </row>
        <row r="139">
          <cell r="A139" t="str">
            <v>C24.33EU1</v>
          </cell>
          <cell r="B139" t="str">
            <v>C</v>
          </cell>
          <cell r="C139" t="str">
            <v>EU1</v>
          </cell>
          <cell r="D139" t="str">
            <v>24.33</v>
          </cell>
          <cell r="E139">
            <v>3717872.5</v>
          </cell>
          <cell r="F139">
            <v>46179635.590000004</v>
          </cell>
          <cell r="G139">
            <v>73801078.650000006</v>
          </cell>
          <cell r="H139">
            <v>114817029.08</v>
          </cell>
          <cell r="I139">
            <v>572.07575199999997</v>
          </cell>
          <cell r="J139">
            <v>135.36533</v>
          </cell>
          <cell r="K139">
            <v>1861.3777219999999</v>
          </cell>
          <cell r="L139" t="str">
            <v>European Union</v>
          </cell>
          <cell r="M139">
            <v>3.717873</v>
          </cell>
        </row>
        <row r="140">
          <cell r="A140" t="str">
            <v>C10.91EU1</v>
          </cell>
          <cell r="B140" t="str">
            <v>C</v>
          </cell>
          <cell r="C140" t="str">
            <v>EU1</v>
          </cell>
          <cell r="D140" t="str">
            <v>10.91</v>
          </cell>
          <cell r="E140">
            <v>18646779.556246001</v>
          </cell>
          <cell r="F140">
            <v>208024815.81</v>
          </cell>
          <cell r="G140">
            <v>388669769.81</v>
          </cell>
          <cell r="H140">
            <v>1047122351.8</v>
          </cell>
          <cell r="I140">
            <v>1701.0925219999999</v>
          </cell>
          <cell r="J140">
            <v>1156.5858290000001</v>
          </cell>
          <cell r="K140">
            <v>20730.723094000001</v>
          </cell>
          <cell r="L140" t="str">
            <v>European Union</v>
          </cell>
          <cell r="M140">
            <v>18.64678</v>
          </cell>
        </row>
        <row r="141">
          <cell r="A141" t="str">
            <v>C14.12EU1</v>
          </cell>
          <cell r="B141" t="str">
            <v>C</v>
          </cell>
          <cell r="C141" t="str">
            <v>EU1</v>
          </cell>
          <cell r="D141" t="str">
            <v>14.12</v>
          </cell>
          <cell r="E141">
            <v>628998.46</v>
          </cell>
          <cell r="F141">
            <v>4326397.5599999996</v>
          </cell>
          <cell r="G141">
            <v>20378508.43</v>
          </cell>
          <cell r="H141">
            <v>35429011.5</v>
          </cell>
          <cell r="I141">
            <v>88.863697000000002</v>
          </cell>
          <cell r="J141">
            <v>164.330454</v>
          </cell>
          <cell r="K141">
            <v>1135.583889</v>
          </cell>
          <cell r="L141" t="str">
            <v>European Union</v>
          </cell>
          <cell r="M141">
            <v>0.62899799999999995</v>
          </cell>
        </row>
        <row r="142">
          <cell r="A142" t="str">
            <v>C10.32EU1</v>
          </cell>
          <cell r="B142" t="str">
            <v>C</v>
          </cell>
          <cell r="C142" t="str">
            <v>EU1</v>
          </cell>
          <cell r="D142" t="str">
            <v>10.32</v>
          </cell>
          <cell r="E142">
            <v>759759.13</v>
          </cell>
          <cell r="F142">
            <v>5782079.6600000001</v>
          </cell>
          <cell r="G142">
            <v>8408602.6400000006</v>
          </cell>
          <cell r="H142">
            <v>8098782.3300000001</v>
          </cell>
          <cell r="I142">
            <v>21.487500000000001</v>
          </cell>
          <cell r="J142">
            <v>14.609515999999999</v>
          </cell>
          <cell r="K142">
            <v>261.86195800000002</v>
          </cell>
          <cell r="L142" t="str">
            <v>European Union</v>
          </cell>
          <cell r="M142">
            <v>0.75975899999999996</v>
          </cell>
        </row>
        <row r="143">
          <cell r="A143" t="str">
            <v>C20.13EU1</v>
          </cell>
          <cell r="B143" t="str">
            <v>C</v>
          </cell>
          <cell r="C143" t="str">
            <v>EU1</v>
          </cell>
          <cell r="D143" t="str">
            <v>20.13</v>
          </cell>
          <cell r="E143">
            <v>994640.31</v>
          </cell>
          <cell r="F143">
            <v>557655.23</v>
          </cell>
          <cell r="G143">
            <v>6547057.4400000004</v>
          </cell>
          <cell r="H143">
            <v>15518790.59</v>
          </cell>
          <cell r="I143">
            <v>607.82305199999996</v>
          </cell>
          <cell r="J143">
            <v>123.00634100000001</v>
          </cell>
          <cell r="K143">
            <v>974.77333399999998</v>
          </cell>
          <cell r="L143" t="str">
            <v>European Union</v>
          </cell>
          <cell r="M143">
            <v>0.99463999999999997</v>
          </cell>
        </row>
        <row r="144">
          <cell r="A144" t="str">
            <v>C25.50EU1</v>
          </cell>
          <cell r="B144" t="str">
            <v>C</v>
          </cell>
          <cell r="C144" t="str">
            <v>EU1</v>
          </cell>
          <cell r="D144" t="str">
            <v>25.50</v>
          </cell>
          <cell r="E144">
            <v>2683847.2493019998</v>
          </cell>
          <cell r="F144">
            <v>22849298.219999999</v>
          </cell>
          <cell r="G144">
            <v>23715727.420000002</v>
          </cell>
          <cell r="H144">
            <v>60531063.729999997</v>
          </cell>
          <cell r="I144">
            <v>566.68201499999998</v>
          </cell>
          <cell r="J144">
            <v>134.089057</v>
          </cell>
          <cell r="K144">
            <v>1843.827974</v>
          </cell>
          <cell r="L144" t="str">
            <v>European Union</v>
          </cell>
          <cell r="M144">
            <v>2.6838470000000001</v>
          </cell>
        </row>
        <row r="145">
          <cell r="A145" t="str">
            <v>C28.14EU1</v>
          </cell>
          <cell r="B145" t="str">
            <v>C</v>
          </cell>
          <cell r="C145" t="str">
            <v>EU1</v>
          </cell>
          <cell r="D145" t="str">
            <v>28.14</v>
          </cell>
          <cell r="E145">
            <v>1556782.66</v>
          </cell>
          <cell r="F145">
            <v>7169953.96</v>
          </cell>
          <cell r="G145">
            <v>52165939.079999998</v>
          </cell>
          <cell r="H145">
            <v>175988145.58000001</v>
          </cell>
          <cell r="I145">
            <v>126.057478</v>
          </cell>
          <cell r="J145">
            <v>68.525817000000004</v>
          </cell>
          <cell r="K145">
            <v>1122.4163129999999</v>
          </cell>
          <cell r="L145" t="str">
            <v>European Union</v>
          </cell>
          <cell r="M145">
            <v>1.556783</v>
          </cell>
        </row>
        <row r="146">
          <cell r="A146" t="str">
            <v>C28.95EU1</v>
          </cell>
          <cell r="B146" t="str">
            <v>C</v>
          </cell>
          <cell r="C146" t="str">
            <v>EU1</v>
          </cell>
          <cell r="D146" t="str">
            <v>28.95</v>
          </cell>
          <cell r="E146">
            <v>15292.43</v>
          </cell>
          <cell r="F146">
            <v>411844.63</v>
          </cell>
          <cell r="G146">
            <v>170856.42</v>
          </cell>
          <cell r="H146">
            <v>179842.16</v>
          </cell>
          <cell r="I146">
            <v>7.3427999999999993E-2</v>
          </cell>
          <cell r="J146">
            <v>3.9916E-2</v>
          </cell>
          <cell r="K146">
            <v>0.65380099999999997</v>
          </cell>
          <cell r="L146" t="str">
            <v>European Union</v>
          </cell>
          <cell r="M146">
            <v>1.5292E-2</v>
          </cell>
        </row>
        <row r="147">
          <cell r="A147" t="str">
            <v>C25.21EU1</v>
          </cell>
          <cell r="B147" t="str">
            <v>C</v>
          </cell>
          <cell r="C147" t="str">
            <v>EU1</v>
          </cell>
          <cell r="D147" t="str">
            <v>25.21</v>
          </cell>
          <cell r="E147">
            <v>3018245.4242949998</v>
          </cell>
          <cell r="F147">
            <v>12436142.449999999</v>
          </cell>
          <cell r="G147">
            <v>20922747.190000001</v>
          </cell>
          <cell r="H147">
            <v>57194063.960000001</v>
          </cell>
          <cell r="I147">
            <v>916.04940099999999</v>
          </cell>
          <cell r="J147">
            <v>216.75683900000001</v>
          </cell>
          <cell r="K147">
            <v>2980.5737089999998</v>
          </cell>
          <cell r="L147" t="str">
            <v>European Union</v>
          </cell>
          <cell r="M147">
            <v>3.0182449999999998</v>
          </cell>
        </row>
        <row r="148">
          <cell r="A148" t="str">
            <v>C20.42EU1</v>
          </cell>
          <cell r="B148" t="str">
            <v>C</v>
          </cell>
          <cell r="C148" t="str">
            <v>EU1</v>
          </cell>
          <cell r="D148" t="str">
            <v>20.42</v>
          </cell>
          <cell r="E148">
            <v>1486405.8693299999</v>
          </cell>
          <cell r="F148">
            <v>28416213.120000001</v>
          </cell>
          <cell r="G148">
            <v>37967258.130000003</v>
          </cell>
          <cell r="H148">
            <v>39573859.649999999</v>
          </cell>
          <cell r="I148">
            <v>413.570764</v>
          </cell>
          <cell r="J148">
            <v>83.695120000000003</v>
          </cell>
          <cell r="K148">
            <v>663.24853499999995</v>
          </cell>
          <cell r="L148" t="str">
            <v>European Union</v>
          </cell>
          <cell r="M148">
            <v>1.4864059999999999</v>
          </cell>
        </row>
        <row r="149">
          <cell r="A149" t="str">
            <v>C29.31EU1</v>
          </cell>
          <cell r="B149" t="str">
            <v>C</v>
          </cell>
          <cell r="C149" t="str">
            <v>EU1</v>
          </cell>
          <cell r="D149" t="str">
            <v>29.31</v>
          </cell>
          <cell r="E149">
            <v>11740660.86891</v>
          </cell>
          <cell r="F149">
            <v>55575941.579999998</v>
          </cell>
          <cell r="G149">
            <v>198972468.72999999</v>
          </cell>
          <cell r="H149">
            <v>1258022520.5599999</v>
          </cell>
          <cell r="I149">
            <v>1397.7351719999999</v>
          </cell>
          <cell r="J149">
            <v>759.81964700000003</v>
          </cell>
          <cell r="K149">
            <v>12445.440044999999</v>
          </cell>
          <cell r="L149" t="str">
            <v>European Union</v>
          </cell>
          <cell r="M149">
            <v>11.740660999999999</v>
          </cell>
        </row>
        <row r="150">
          <cell r="A150" t="str">
            <v>C11.03EU1</v>
          </cell>
          <cell r="B150" t="str">
            <v>C</v>
          </cell>
          <cell r="C150" t="str">
            <v>EU1</v>
          </cell>
          <cell r="D150" t="str">
            <v>11.03</v>
          </cell>
          <cell r="E150">
            <v>147350.66</v>
          </cell>
          <cell r="F150">
            <v>152613.99</v>
          </cell>
          <cell r="G150">
            <v>54606.71</v>
          </cell>
          <cell r="H150">
            <v>335757.93</v>
          </cell>
          <cell r="I150">
            <v>11.831424</v>
          </cell>
          <cell r="J150">
            <v>8.044276</v>
          </cell>
          <cell r="K150">
            <v>144.186139</v>
          </cell>
          <cell r="L150" t="str">
            <v>European Union</v>
          </cell>
          <cell r="M150">
            <v>0.14735100000000001</v>
          </cell>
        </row>
        <row r="151">
          <cell r="A151" t="str">
            <v>C33.14EU1</v>
          </cell>
          <cell r="B151" t="str">
            <v>C</v>
          </cell>
          <cell r="C151" t="str">
            <v>EU1</v>
          </cell>
          <cell r="D151" t="str">
            <v>33.14</v>
          </cell>
          <cell r="E151">
            <v>614204.06999999995</v>
          </cell>
          <cell r="F151">
            <v>2500998.91</v>
          </cell>
          <cell r="G151">
            <v>8692611.8399999999</v>
          </cell>
          <cell r="H151">
            <v>17472728.870000001</v>
          </cell>
          <cell r="I151">
            <v>35.236096000000003</v>
          </cell>
          <cell r="J151">
            <v>19.154613999999999</v>
          </cell>
          <cell r="K151">
            <v>313.74233400000003</v>
          </cell>
          <cell r="L151" t="str">
            <v>European Union</v>
          </cell>
          <cell r="M151">
            <v>0.61420399999999997</v>
          </cell>
        </row>
        <row r="152">
          <cell r="A152" t="str">
            <v>C16.22EU1</v>
          </cell>
          <cell r="B152" t="str">
            <v>C</v>
          </cell>
          <cell r="C152" t="str">
            <v>EU1</v>
          </cell>
          <cell r="D152" t="str">
            <v>16.22</v>
          </cell>
          <cell r="E152">
            <v>1603944.890289</v>
          </cell>
          <cell r="F152">
            <v>9985911.1400000006</v>
          </cell>
          <cell r="G152">
            <v>19520903.469999999</v>
          </cell>
          <cell r="H152">
            <v>23329078.870000001</v>
          </cell>
          <cell r="I152">
            <v>90.929373999999996</v>
          </cell>
          <cell r="J152">
            <v>82.294421</v>
          </cell>
          <cell r="K152">
            <v>425.176243</v>
          </cell>
          <cell r="L152" t="str">
            <v>European Union</v>
          </cell>
          <cell r="M152">
            <v>1.603945</v>
          </cell>
        </row>
        <row r="153">
          <cell r="A153" t="str">
            <v>C23.13EU1</v>
          </cell>
          <cell r="B153" t="str">
            <v>C</v>
          </cell>
          <cell r="C153" t="str">
            <v>EU1</v>
          </cell>
          <cell r="D153" t="str">
            <v>23.13</v>
          </cell>
          <cell r="E153">
            <v>107370226.42</v>
          </cell>
          <cell r="F153">
            <v>424164940.80000001</v>
          </cell>
          <cell r="G153">
            <v>469171930.54000002</v>
          </cell>
          <cell r="H153">
            <v>629810581.80999994</v>
          </cell>
          <cell r="I153">
            <v>15808.164654</v>
          </cell>
          <cell r="J153">
            <v>3199.1292130000002</v>
          </cell>
          <cell r="K153">
            <v>25351.748883</v>
          </cell>
          <cell r="L153" t="str">
            <v>European Union</v>
          </cell>
          <cell r="M153">
            <v>107.370226</v>
          </cell>
        </row>
        <row r="154">
          <cell r="A154" t="str">
            <v>C26.11EU1</v>
          </cell>
          <cell r="B154" t="str">
            <v>C</v>
          </cell>
          <cell r="C154" t="str">
            <v>EU1</v>
          </cell>
          <cell r="D154" t="str">
            <v>26.11</v>
          </cell>
          <cell r="E154">
            <v>460911.68</v>
          </cell>
          <cell r="F154">
            <v>5515970.7400000002</v>
          </cell>
          <cell r="G154">
            <v>3446093.74</v>
          </cell>
          <cell r="H154">
            <v>8687937.2400000002</v>
          </cell>
          <cell r="I154">
            <v>14.342167999999999</v>
          </cell>
          <cell r="J154">
            <v>7.7965119999999999</v>
          </cell>
          <cell r="K154">
            <v>127.70271</v>
          </cell>
          <cell r="L154" t="str">
            <v>European Union</v>
          </cell>
          <cell r="M154">
            <v>0.46091199999999999</v>
          </cell>
        </row>
        <row r="155">
          <cell r="A155" t="str">
            <v>C20.14EU1</v>
          </cell>
          <cell r="B155" t="str">
            <v>C</v>
          </cell>
          <cell r="C155" t="str">
            <v>EU1</v>
          </cell>
          <cell r="D155" t="str">
            <v>20.14</v>
          </cell>
          <cell r="E155">
            <v>78937875.901616007</v>
          </cell>
          <cell r="F155">
            <v>322709362.54000002</v>
          </cell>
          <cell r="G155">
            <v>506948184.31999999</v>
          </cell>
          <cell r="H155">
            <v>1282835398.0799999</v>
          </cell>
          <cell r="I155">
            <v>33435.704021999998</v>
          </cell>
          <cell r="J155">
            <v>6766.4488840000004</v>
          </cell>
          <cell r="K155">
            <v>53621.251453999997</v>
          </cell>
          <cell r="L155" t="str">
            <v>European Union</v>
          </cell>
          <cell r="M155">
            <v>78.937876000000003</v>
          </cell>
        </row>
        <row r="156">
          <cell r="A156" t="str">
            <v>C33.12EU1</v>
          </cell>
          <cell r="B156" t="str">
            <v>C</v>
          </cell>
          <cell r="C156" t="str">
            <v>EU1</v>
          </cell>
          <cell r="D156" t="str">
            <v>33.12</v>
          </cell>
          <cell r="E156">
            <v>9417973.9816520009</v>
          </cell>
          <cell r="F156">
            <v>79965858.219999999</v>
          </cell>
          <cell r="G156">
            <v>102424649.06</v>
          </cell>
          <cell r="H156">
            <v>365320060.36000001</v>
          </cell>
          <cell r="I156">
            <v>875.66283999999996</v>
          </cell>
          <cell r="J156">
            <v>476.01707900000002</v>
          </cell>
          <cell r="K156">
            <v>7796.9057629999998</v>
          </cell>
          <cell r="L156" t="str">
            <v>European Union</v>
          </cell>
          <cell r="M156">
            <v>9.4179739999999992</v>
          </cell>
        </row>
        <row r="157">
          <cell r="A157" t="str">
            <v>C10.72EU1</v>
          </cell>
          <cell r="B157" t="str">
            <v>C</v>
          </cell>
          <cell r="C157" t="str">
            <v>EU1</v>
          </cell>
          <cell r="D157" t="str">
            <v>10.72</v>
          </cell>
          <cell r="E157">
            <v>1245643.3793800001</v>
          </cell>
          <cell r="F157">
            <v>10091634.35</v>
          </cell>
          <cell r="G157">
            <v>28694722.48</v>
          </cell>
          <cell r="H157">
            <v>65345715.329999998</v>
          </cell>
          <cell r="I157">
            <v>107.95308</v>
          </cell>
          <cell r="J157">
            <v>73.398128999999997</v>
          </cell>
          <cell r="K157">
            <v>1315.592981</v>
          </cell>
          <cell r="L157" t="str">
            <v>European Union</v>
          </cell>
          <cell r="M157">
            <v>1.2456430000000001</v>
          </cell>
        </row>
        <row r="158">
          <cell r="A158" t="str">
            <v>C17.23EU1</v>
          </cell>
          <cell r="B158" t="str">
            <v>C</v>
          </cell>
          <cell r="C158" t="str">
            <v>EU1</v>
          </cell>
          <cell r="D158" t="str">
            <v>17.23</v>
          </cell>
          <cell r="E158">
            <v>74308.97</v>
          </cell>
          <cell r="F158">
            <v>3877634.47</v>
          </cell>
          <cell r="G158">
            <v>7682554.1100000003</v>
          </cell>
          <cell r="H158">
            <v>28302214.210000001</v>
          </cell>
          <cell r="I158">
            <v>8.6980059999999995</v>
          </cell>
          <cell r="J158">
            <v>7.8720150000000002</v>
          </cell>
          <cell r="K158">
            <v>40.670969999999997</v>
          </cell>
          <cell r="L158" t="str">
            <v>European Union</v>
          </cell>
          <cell r="M158">
            <v>7.4309E-2</v>
          </cell>
        </row>
        <row r="159">
          <cell r="A159" t="str">
            <v>C20.16EU1</v>
          </cell>
          <cell r="B159" t="str">
            <v>C</v>
          </cell>
          <cell r="C159" t="str">
            <v>EU1</v>
          </cell>
          <cell r="D159" t="str">
            <v>20.16</v>
          </cell>
          <cell r="E159">
            <v>3774176.366134</v>
          </cell>
          <cell r="F159">
            <v>34952319.68</v>
          </cell>
          <cell r="G159">
            <v>84892253.140000001</v>
          </cell>
          <cell r="H159">
            <v>118473425.91</v>
          </cell>
          <cell r="I159">
            <v>1542.2240959999999</v>
          </cell>
          <cell r="J159">
            <v>312.10290600000002</v>
          </cell>
          <cell r="K159">
            <v>2473.2838219999999</v>
          </cell>
          <cell r="L159" t="str">
            <v>European Union</v>
          </cell>
          <cell r="M159">
            <v>3.7741760000000002</v>
          </cell>
        </row>
        <row r="160">
          <cell r="A160" t="str">
            <v>C11.07EU1</v>
          </cell>
          <cell r="B160" t="str">
            <v>C</v>
          </cell>
          <cell r="C160" t="str">
            <v>EU1</v>
          </cell>
          <cell r="D160" t="str">
            <v>11.07</v>
          </cell>
          <cell r="E160">
            <v>42483015.460000001</v>
          </cell>
          <cell r="F160">
            <v>220556967.55000001</v>
          </cell>
          <cell r="G160">
            <v>378707349.18000001</v>
          </cell>
          <cell r="H160">
            <v>410495036.47000003</v>
          </cell>
          <cell r="I160">
            <v>1092.141474</v>
          </cell>
          <cell r="J160">
            <v>742.55534599999999</v>
          </cell>
          <cell r="K160">
            <v>13309.612611</v>
          </cell>
          <cell r="L160" t="str">
            <v>European Union</v>
          </cell>
          <cell r="M160">
            <v>42.483015000000002</v>
          </cell>
        </row>
        <row r="161">
          <cell r="A161" t="str">
            <v>C20.51EU1</v>
          </cell>
          <cell r="B161" t="str">
            <v>C</v>
          </cell>
          <cell r="C161" t="str">
            <v>EU1</v>
          </cell>
          <cell r="D161" t="str">
            <v>20.51</v>
          </cell>
          <cell r="E161">
            <v>221316.78</v>
          </cell>
          <cell r="F161">
            <v>867367.01</v>
          </cell>
          <cell r="G161">
            <v>4772102.49</v>
          </cell>
          <cell r="H161">
            <v>5591740.2999999998</v>
          </cell>
          <cell r="I161">
            <v>50.831788000000003</v>
          </cell>
          <cell r="J161">
            <v>10.286928</v>
          </cell>
          <cell r="K161">
            <v>81.519568000000007</v>
          </cell>
          <cell r="L161" t="str">
            <v>European Union</v>
          </cell>
          <cell r="M161">
            <v>0.22131700000000001</v>
          </cell>
        </row>
        <row r="162">
          <cell r="A162" t="str">
            <v>C33.19EU1</v>
          </cell>
          <cell r="B162" t="str">
            <v>C</v>
          </cell>
          <cell r="C162" t="str">
            <v>EU1</v>
          </cell>
          <cell r="D162" t="str">
            <v>33.19</v>
          </cell>
          <cell r="E162">
            <v>926609.64</v>
          </cell>
          <cell r="F162">
            <v>2348511.73</v>
          </cell>
          <cell r="G162">
            <v>5348041.42</v>
          </cell>
          <cell r="H162">
            <v>12360538.5</v>
          </cell>
          <cell r="I162">
            <v>43.797445000000003</v>
          </cell>
          <cell r="J162">
            <v>23.808631999999999</v>
          </cell>
          <cell r="K162">
            <v>389.97262899999998</v>
          </cell>
          <cell r="L162" t="str">
            <v>European Union</v>
          </cell>
          <cell r="M162">
            <v>0.92661000000000004</v>
          </cell>
        </row>
        <row r="163">
          <cell r="A163" t="str">
            <v>C10.11EU1</v>
          </cell>
          <cell r="B163" t="str">
            <v>C</v>
          </cell>
          <cell r="C163" t="str">
            <v>EU1</v>
          </cell>
          <cell r="D163" t="str">
            <v>10.11</v>
          </cell>
          <cell r="E163">
            <v>11447438.884284001</v>
          </cell>
          <cell r="F163">
            <v>76341796.489999995</v>
          </cell>
          <cell r="G163">
            <v>144829454.61000001</v>
          </cell>
          <cell r="H163">
            <v>569911996.86000001</v>
          </cell>
          <cell r="I163">
            <v>1790.845615</v>
          </cell>
          <cell r="J163">
            <v>1217.609661</v>
          </cell>
          <cell r="K163">
            <v>21824.518231999999</v>
          </cell>
          <cell r="L163" t="str">
            <v>European Union</v>
          </cell>
          <cell r="M163">
            <v>11.447438999999999</v>
          </cell>
        </row>
        <row r="164">
          <cell r="A164" t="str">
            <v>C10.42EU1</v>
          </cell>
          <cell r="B164" t="str">
            <v>C</v>
          </cell>
          <cell r="C164" t="str">
            <v>EU1</v>
          </cell>
          <cell r="D164" t="str">
            <v>10.42</v>
          </cell>
          <cell r="E164">
            <v>1335770.076201</v>
          </cell>
          <cell r="F164">
            <v>12393497.91</v>
          </cell>
          <cell r="G164">
            <v>19060943.98</v>
          </cell>
          <cell r="H164">
            <v>15432860.890000001</v>
          </cell>
          <cell r="I164">
            <v>32.478012</v>
          </cell>
          <cell r="J164">
            <v>22.082049000000001</v>
          </cell>
          <cell r="K164">
            <v>395.80015900000001</v>
          </cell>
          <cell r="L164" t="str">
            <v>European Union</v>
          </cell>
          <cell r="M164">
            <v>1.3357699999999999</v>
          </cell>
        </row>
        <row r="165">
          <cell r="A165" t="str">
            <v>C33.15EU1</v>
          </cell>
          <cell r="B165" t="str">
            <v>C</v>
          </cell>
          <cell r="C165" t="str">
            <v>EU1</v>
          </cell>
          <cell r="D165" t="str">
            <v>33.15</v>
          </cell>
          <cell r="E165">
            <v>1439072.8</v>
          </cell>
          <cell r="F165">
            <v>6469967.0999999996</v>
          </cell>
          <cell r="G165">
            <v>5808677.7300000004</v>
          </cell>
          <cell r="H165">
            <v>27852096.379999999</v>
          </cell>
          <cell r="I165">
            <v>103.03742699999999</v>
          </cell>
          <cell r="J165">
            <v>47.372824000000001</v>
          </cell>
          <cell r="K165">
            <v>1391.4554189999999</v>
          </cell>
          <cell r="L165" t="str">
            <v>European Union</v>
          </cell>
          <cell r="M165">
            <v>1.439073</v>
          </cell>
        </row>
        <row r="166">
          <cell r="A166" t="str">
            <v>C27.32EU1</v>
          </cell>
          <cell r="B166" t="str">
            <v>C</v>
          </cell>
          <cell r="C166" t="str">
            <v>EU1</v>
          </cell>
          <cell r="D166" t="str">
            <v>27.32</v>
          </cell>
          <cell r="E166">
            <v>6553611.2699999996</v>
          </cell>
          <cell r="F166">
            <v>130620639.18000001</v>
          </cell>
          <cell r="G166">
            <v>447524390.08999997</v>
          </cell>
          <cell r="H166">
            <v>1172862580.05</v>
          </cell>
          <cell r="I166">
            <v>668.67578000000003</v>
          </cell>
          <cell r="J166">
            <v>363.49732499999999</v>
          </cell>
          <cell r="K166">
            <v>5953.8921270000001</v>
          </cell>
          <cell r="L166" t="str">
            <v>European Union</v>
          </cell>
          <cell r="M166">
            <v>6.5536110000000001</v>
          </cell>
        </row>
        <row r="167">
          <cell r="A167" t="str">
            <v>C20.20EU1</v>
          </cell>
          <cell r="B167" t="str">
            <v>C</v>
          </cell>
          <cell r="C167" t="str">
            <v>EU1</v>
          </cell>
          <cell r="D167" t="str">
            <v>20.20</v>
          </cell>
          <cell r="E167">
            <v>1003285.64</v>
          </cell>
          <cell r="F167">
            <v>16802752</v>
          </cell>
          <cell r="G167">
            <v>62301217</v>
          </cell>
          <cell r="H167">
            <v>151551094</v>
          </cell>
          <cell r="I167">
            <v>537.75574500000005</v>
          </cell>
          <cell r="J167">
            <v>108.82668200000001</v>
          </cell>
          <cell r="K167">
            <v>862.405529</v>
          </cell>
          <cell r="L167" t="str">
            <v>European Union</v>
          </cell>
          <cell r="M167">
            <v>1.0032859999999999</v>
          </cell>
        </row>
        <row r="168">
          <cell r="A168" t="str">
            <v>C13.92EU1</v>
          </cell>
          <cell r="B168" t="str">
            <v>C</v>
          </cell>
          <cell r="C168" t="str">
            <v>EU1</v>
          </cell>
          <cell r="D168" t="str">
            <v>13.92</v>
          </cell>
          <cell r="E168">
            <v>16100202.129038</v>
          </cell>
          <cell r="F168">
            <v>76001821.140000001</v>
          </cell>
          <cell r="G168">
            <v>230155209.38999999</v>
          </cell>
          <cell r="H168">
            <v>259168145.44999999</v>
          </cell>
          <cell r="I168">
            <v>487.033975</v>
          </cell>
          <cell r="J168">
            <v>900.64353500000004</v>
          </cell>
          <cell r="K168">
            <v>6223.7783200000003</v>
          </cell>
          <cell r="L168" t="str">
            <v>European Union</v>
          </cell>
          <cell r="M168">
            <v>16.100201999999999</v>
          </cell>
        </row>
        <row r="169">
          <cell r="A169" t="str">
            <v>C28.49EU1</v>
          </cell>
          <cell r="B169" t="str">
            <v>C</v>
          </cell>
          <cell r="C169" t="str">
            <v>EU1</v>
          </cell>
          <cell r="D169" t="str">
            <v>28.49</v>
          </cell>
          <cell r="E169">
            <v>423979.52012499998</v>
          </cell>
          <cell r="F169">
            <v>7666404.1200000001</v>
          </cell>
          <cell r="G169">
            <v>11569445.710000001</v>
          </cell>
          <cell r="H169">
            <v>14073591.529999999</v>
          </cell>
          <cell r="I169">
            <v>22.092236</v>
          </cell>
          <cell r="J169">
            <v>12.009508</v>
          </cell>
          <cell r="K169">
            <v>196.709351</v>
          </cell>
          <cell r="L169" t="str">
            <v>European Union</v>
          </cell>
          <cell r="M169">
            <v>0.42398000000000002</v>
          </cell>
        </row>
        <row r="170">
          <cell r="A170" t="str">
            <v>C10.13EU1</v>
          </cell>
          <cell r="B170" t="str">
            <v>C</v>
          </cell>
          <cell r="C170" t="str">
            <v>EU1</v>
          </cell>
          <cell r="D170" t="str">
            <v>10.13</v>
          </cell>
          <cell r="E170">
            <v>16960378.187045999</v>
          </cell>
          <cell r="F170">
            <v>116257639.41</v>
          </cell>
          <cell r="G170">
            <v>180754767.28</v>
          </cell>
          <cell r="H170">
            <v>677826333.95000005</v>
          </cell>
          <cell r="I170">
            <v>2039.636274</v>
          </cell>
          <cell r="J170">
            <v>1386.7643310000001</v>
          </cell>
          <cell r="K170">
            <v>24856.458307000001</v>
          </cell>
          <cell r="L170" t="str">
            <v>European Union</v>
          </cell>
          <cell r="M170">
            <v>16.960377999999999</v>
          </cell>
        </row>
        <row r="171">
          <cell r="A171" t="str">
            <v>C28.21EU1</v>
          </cell>
          <cell r="B171" t="str">
            <v>C</v>
          </cell>
          <cell r="C171" t="str">
            <v>EU1</v>
          </cell>
          <cell r="D171" t="str">
            <v>28.21</v>
          </cell>
          <cell r="E171">
            <v>30708.12</v>
          </cell>
          <cell r="F171">
            <v>729350.16</v>
          </cell>
          <cell r="G171">
            <v>1361383.43</v>
          </cell>
          <cell r="H171">
            <v>3408427.9</v>
          </cell>
          <cell r="I171">
            <v>1.5537780000000001</v>
          </cell>
          <cell r="J171">
            <v>0.84464700000000004</v>
          </cell>
          <cell r="K171">
            <v>13.834842</v>
          </cell>
          <cell r="L171" t="str">
            <v>European Union</v>
          </cell>
          <cell r="M171">
            <v>3.0707999999999999E-2</v>
          </cell>
        </row>
        <row r="172">
          <cell r="A172" t="str">
            <v>C23.51EU1</v>
          </cell>
          <cell r="B172" t="str">
            <v>C</v>
          </cell>
          <cell r="C172" t="str">
            <v>EU1</v>
          </cell>
          <cell r="D172" t="str">
            <v>23.51</v>
          </cell>
          <cell r="E172">
            <v>3383320.21</v>
          </cell>
          <cell r="F172">
            <v>171779.68</v>
          </cell>
          <cell r="G172">
            <v>337145954.30000001</v>
          </cell>
          <cell r="H172">
            <v>345546988.44</v>
          </cell>
          <cell r="I172">
            <v>969.63962700000002</v>
          </cell>
          <cell r="J172">
            <v>196.22786500000001</v>
          </cell>
          <cell r="K172">
            <v>1555.023042</v>
          </cell>
          <cell r="L172" t="str">
            <v>European Union</v>
          </cell>
          <cell r="M172">
            <v>3.3833199999999999</v>
          </cell>
        </row>
        <row r="173">
          <cell r="A173" t="str">
            <v>C25.40EU1</v>
          </cell>
          <cell r="B173" t="str">
            <v>C</v>
          </cell>
          <cell r="C173" t="str">
            <v>EU1</v>
          </cell>
          <cell r="D173" t="str">
            <v>25.40</v>
          </cell>
          <cell r="E173">
            <v>494.05</v>
          </cell>
          <cell r="F173">
            <v>752208.71</v>
          </cell>
          <cell r="G173">
            <v>1892701.64</v>
          </cell>
          <cell r="H173">
            <v>3768330.13</v>
          </cell>
          <cell r="I173">
            <v>2.2645999999999999E-2</v>
          </cell>
          <cell r="J173">
            <v>1.231E-2</v>
          </cell>
          <cell r="K173">
            <v>0.20164199999999999</v>
          </cell>
          <cell r="L173" t="str">
            <v>European Union</v>
          </cell>
          <cell r="M173">
            <v>4.9399999999999997E-4</v>
          </cell>
        </row>
        <row r="174">
          <cell r="A174" t="str">
            <v>C26.12EU1</v>
          </cell>
          <cell r="B174" t="str">
            <v>C</v>
          </cell>
          <cell r="C174" t="str">
            <v>EU1</v>
          </cell>
          <cell r="D174" t="str">
            <v>26.12</v>
          </cell>
          <cell r="E174">
            <v>23280.85</v>
          </cell>
          <cell r="F174">
            <v>1447845.41</v>
          </cell>
          <cell r="G174">
            <v>17755297.059999999</v>
          </cell>
          <cell r="H174">
            <v>21836663.690000001</v>
          </cell>
          <cell r="I174">
            <v>1.0663499999999999</v>
          </cell>
          <cell r="J174">
            <v>0.57967599999999997</v>
          </cell>
          <cell r="K174">
            <v>9.4947839999999992</v>
          </cell>
          <cell r="L174" t="str">
            <v>European Union</v>
          </cell>
          <cell r="M174">
            <v>2.3281E-2</v>
          </cell>
        </row>
        <row r="175">
          <cell r="A175" t="str">
            <v>C17.21EU1</v>
          </cell>
          <cell r="B175" t="str">
            <v>C</v>
          </cell>
          <cell r="C175" t="str">
            <v>EU1</v>
          </cell>
          <cell r="D175" t="str">
            <v>17.21</v>
          </cell>
          <cell r="E175">
            <v>14998536.906935999</v>
          </cell>
          <cell r="F175">
            <v>110240452.26000001</v>
          </cell>
          <cell r="G175">
            <v>153761465.87</v>
          </cell>
          <cell r="H175">
            <v>340584904.00999999</v>
          </cell>
          <cell r="I175">
            <v>1388.015969</v>
          </cell>
          <cell r="J175">
            <v>1256.205416</v>
          </cell>
          <cell r="K175">
            <v>6490.217568</v>
          </cell>
          <cell r="L175" t="str">
            <v>European Union</v>
          </cell>
          <cell r="M175">
            <v>14.998537000000001</v>
          </cell>
        </row>
        <row r="176">
          <cell r="A176" t="str">
            <v>C26.30EU1</v>
          </cell>
          <cell r="B176" t="str">
            <v>C</v>
          </cell>
          <cell r="C176" t="str">
            <v>EU1</v>
          </cell>
          <cell r="D176" t="str">
            <v>26.30</v>
          </cell>
          <cell r="E176">
            <v>1788960.79</v>
          </cell>
          <cell r="F176">
            <v>23485885.920000002</v>
          </cell>
          <cell r="G176">
            <v>40064628.509999998</v>
          </cell>
          <cell r="H176">
            <v>106518866.18000001</v>
          </cell>
          <cell r="I176">
            <v>100.18576299999999</v>
          </cell>
          <cell r="J176">
            <v>54.461754999999997</v>
          </cell>
          <cell r="K176">
            <v>892.05447900000001</v>
          </cell>
          <cell r="L176" t="str">
            <v>European Union</v>
          </cell>
          <cell r="M176">
            <v>1.788961</v>
          </cell>
        </row>
        <row r="177">
          <cell r="A177" t="str">
            <v>C30.91EU1</v>
          </cell>
          <cell r="B177" t="str">
            <v>C</v>
          </cell>
          <cell r="C177" t="str">
            <v>EU1</v>
          </cell>
          <cell r="D177" t="str">
            <v>30.91</v>
          </cell>
          <cell r="E177">
            <v>531960.53442499996</v>
          </cell>
          <cell r="F177">
            <v>4883000.4400000004</v>
          </cell>
          <cell r="G177">
            <v>8434007.8699999992</v>
          </cell>
          <cell r="H177">
            <v>8950879.3100000005</v>
          </cell>
          <cell r="I177">
            <v>8.8382830000000006</v>
          </cell>
          <cell r="J177">
            <v>4.0635190000000003</v>
          </cell>
          <cell r="K177">
            <v>119.355439</v>
          </cell>
          <cell r="L177" t="str">
            <v>European Union</v>
          </cell>
          <cell r="M177">
            <v>0.53196100000000002</v>
          </cell>
        </row>
        <row r="178">
          <cell r="A178" t="str">
            <v>C18.13EU1</v>
          </cell>
          <cell r="B178" t="str">
            <v>C</v>
          </cell>
          <cell r="C178" t="str">
            <v>EU1</v>
          </cell>
          <cell r="D178" t="str">
            <v>18.13</v>
          </cell>
          <cell r="E178">
            <v>4799495.3796899999</v>
          </cell>
          <cell r="F178">
            <v>31315351.84</v>
          </cell>
          <cell r="G178">
            <v>48038914.350000001</v>
          </cell>
          <cell r="H178">
            <v>72274974.689999998</v>
          </cell>
          <cell r="I178">
            <v>377.859556</v>
          </cell>
          <cell r="J178">
            <v>341.97677199999998</v>
          </cell>
          <cell r="K178">
            <v>1766.831764</v>
          </cell>
          <cell r="L178" t="str">
            <v>European Union</v>
          </cell>
          <cell r="M178">
            <v>4.7994950000000003</v>
          </cell>
        </row>
        <row r="179">
          <cell r="A179" t="str">
            <v>C28.91EU1</v>
          </cell>
          <cell r="B179" t="str">
            <v>C</v>
          </cell>
          <cell r="C179" t="str">
            <v>EU1</v>
          </cell>
          <cell r="D179" t="str">
            <v>28.91</v>
          </cell>
          <cell r="E179">
            <v>366453.35</v>
          </cell>
          <cell r="F179">
            <v>1647502.38</v>
          </cell>
          <cell r="G179">
            <v>8066814.0700000003</v>
          </cell>
          <cell r="H179">
            <v>10833128.220000001</v>
          </cell>
          <cell r="I179">
            <v>11.100648</v>
          </cell>
          <cell r="J179">
            <v>6.0343980000000004</v>
          </cell>
          <cell r="K179">
            <v>98.840209000000002</v>
          </cell>
          <cell r="L179" t="str">
            <v>European Union</v>
          </cell>
          <cell r="M179">
            <v>0.36645299999999997</v>
          </cell>
        </row>
        <row r="180">
          <cell r="A180" t="str">
            <v>C13.95EU1</v>
          </cell>
          <cell r="B180" t="str">
            <v>C</v>
          </cell>
          <cell r="C180" t="str">
            <v>EU1</v>
          </cell>
          <cell r="D180" t="str">
            <v>13.95</v>
          </cell>
          <cell r="E180">
            <v>36493.089999999997</v>
          </cell>
          <cell r="F180">
            <v>52562.84</v>
          </cell>
          <cell r="G180">
            <v>9677531.2200000007</v>
          </cell>
          <cell r="H180">
            <v>20719484.41</v>
          </cell>
          <cell r="I180">
            <v>2.34023</v>
          </cell>
          <cell r="J180">
            <v>4.3276529999999998</v>
          </cell>
          <cell r="K180">
            <v>29.905674999999999</v>
          </cell>
          <cell r="L180" t="str">
            <v>European Union</v>
          </cell>
          <cell r="M180">
            <v>3.6492999999999998E-2</v>
          </cell>
        </row>
        <row r="181">
          <cell r="A181" t="str">
            <v>C31.01EU1</v>
          </cell>
          <cell r="B181" t="str">
            <v>C</v>
          </cell>
          <cell r="C181" t="str">
            <v>EU1</v>
          </cell>
          <cell r="D181" t="str">
            <v>31.01</v>
          </cell>
          <cell r="E181">
            <v>3799314.9392749998</v>
          </cell>
          <cell r="F181">
            <v>29439887.129999999</v>
          </cell>
          <cell r="G181">
            <v>60868940.140000001</v>
          </cell>
          <cell r="H181">
            <v>114724981.06999999</v>
          </cell>
          <cell r="I181">
            <v>279.301605</v>
          </cell>
          <cell r="J181">
            <v>101.626767</v>
          </cell>
          <cell r="K181">
            <v>976.20994599999995</v>
          </cell>
          <cell r="L181" t="str">
            <v>European Union</v>
          </cell>
          <cell r="M181">
            <v>3.799315</v>
          </cell>
        </row>
        <row r="182">
          <cell r="A182" t="str">
            <v>C30.92EU1</v>
          </cell>
          <cell r="B182" t="str">
            <v>C</v>
          </cell>
          <cell r="C182" t="str">
            <v>EU1</v>
          </cell>
          <cell r="D182" t="str">
            <v>30.92</v>
          </cell>
          <cell r="E182">
            <v>1167235.80996</v>
          </cell>
          <cell r="F182">
            <v>29985781.899999999</v>
          </cell>
          <cell r="G182">
            <v>227599482.65000001</v>
          </cell>
          <cell r="H182">
            <v>229579219.75</v>
          </cell>
          <cell r="I182">
            <v>90.965108999999998</v>
          </cell>
          <cell r="J182">
            <v>41.822412999999997</v>
          </cell>
          <cell r="K182">
            <v>1228.4263739999999</v>
          </cell>
          <cell r="L182" t="str">
            <v>European Union</v>
          </cell>
          <cell r="M182">
            <v>1.1672359999999999</v>
          </cell>
        </row>
        <row r="183">
          <cell r="A183" t="str">
            <v>C15.11EU1</v>
          </cell>
          <cell r="B183" t="str">
            <v>C</v>
          </cell>
          <cell r="C183" t="str">
            <v>EU1</v>
          </cell>
          <cell r="D183" t="str">
            <v>15.11</v>
          </cell>
          <cell r="E183">
            <v>7944034.4899300002</v>
          </cell>
          <cell r="F183">
            <v>48822632.710000001</v>
          </cell>
          <cell r="G183">
            <v>123247081.59</v>
          </cell>
          <cell r="H183">
            <v>172881991.05000001</v>
          </cell>
          <cell r="I183">
            <v>171.55554799999999</v>
          </cell>
          <cell r="J183">
            <v>317.24767500000002</v>
          </cell>
          <cell r="K183">
            <v>2192.2982259999999</v>
          </cell>
          <cell r="L183" t="str">
            <v>European Union</v>
          </cell>
          <cell r="M183">
            <v>7.9440340000000003</v>
          </cell>
        </row>
        <row r="184">
          <cell r="A184" t="str">
            <v>C23.52EU1</v>
          </cell>
          <cell r="B184" t="str">
            <v>C</v>
          </cell>
          <cell r="C184" t="str">
            <v>EU1</v>
          </cell>
          <cell r="D184" t="str">
            <v>23.52</v>
          </cell>
          <cell r="E184">
            <v>61195.81</v>
          </cell>
          <cell r="F184">
            <v>3617356.14</v>
          </cell>
          <cell r="G184">
            <v>9278139</v>
          </cell>
          <cell r="H184">
            <v>15554326.130000001</v>
          </cell>
          <cell r="I184">
            <v>21.554523</v>
          </cell>
          <cell r="J184">
            <v>4.3620299999999999</v>
          </cell>
          <cell r="K184">
            <v>34.567255000000003</v>
          </cell>
          <cell r="L184" t="str">
            <v>European Union</v>
          </cell>
          <cell r="M184">
            <v>6.1196E-2</v>
          </cell>
        </row>
        <row r="185">
          <cell r="A185" t="str">
            <v>C28.13EU1</v>
          </cell>
          <cell r="B185" t="str">
            <v>C</v>
          </cell>
          <cell r="C185" t="str">
            <v>EU1</v>
          </cell>
          <cell r="D185" t="str">
            <v>28.13</v>
          </cell>
          <cell r="E185">
            <v>2777060.6197219999</v>
          </cell>
          <cell r="F185">
            <v>22191983.02</v>
          </cell>
          <cell r="G185">
            <v>25211817.210000001</v>
          </cell>
          <cell r="H185">
            <v>57898961.950000003</v>
          </cell>
          <cell r="I185">
            <v>108.491421</v>
          </cell>
          <cell r="J185">
            <v>58.976776000000001</v>
          </cell>
          <cell r="K185">
            <v>966.00805600000001</v>
          </cell>
          <cell r="L185" t="str">
            <v>European Union</v>
          </cell>
          <cell r="M185">
            <v>2.7770609999999998</v>
          </cell>
        </row>
        <row r="186">
          <cell r="A186" t="str">
            <v>C14.14EU1</v>
          </cell>
          <cell r="B186" t="str">
            <v>C</v>
          </cell>
          <cell r="C186" t="str">
            <v>EU1</v>
          </cell>
          <cell r="D186" t="str">
            <v>14.14</v>
          </cell>
          <cell r="E186">
            <v>4825353.1859940002</v>
          </cell>
          <cell r="F186">
            <v>24963655.140000001</v>
          </cell>
          <cell r="G186">
            <v>75179670.489999995</v>
          </cell>
          <cell r="H186">
            <v>154764090.77000001</v>
          </cell>
          <cell r="I186">
            <v>218.84664599999999</v>
          </cell>
          <cell r="J186">
            <v>404.700355</v>
          </cell>
          <cell r="K186">
            <v>2796.6283699999999</v>
          </cell>
          <cell r="L186" t="str">
            <v>European Union</v>
          </cell>
          <cell r="M186">
            <v>4.8253529999999998</v>
          </cell>
        </row>
        <row r="187">
          <cell r="A187" t="str">
            <v>C32.99EU1</v>
          </cell>
          <cell r="B187" t="str">
            <v>C</v>
          </cell>
          <cell r="C187" t="str">
            <v>EU1</v>
          </cell>
          <cell r="D187" t="str">
            <v>32.99</v>
          </cell>
          <cell r="E187">
            <v>10617801.778688001</v>
          </cell>
          <cell r="F187">
            <v>63234445.829999998</v>
          </cell>
          <cell r="G187">
            <v>94031887.730000004</v>
          </cell>
          <cell r="H187">
            <v>190099553.50999999</v>
          </cell>
          <cell r="I187">
            <v>814.81945099999996</v>
          </cell>
          <cell r="J187">
            <v>296.48046699999998</v>
          </cell>
          <cell r="K187">
            <v>2847.9422420000001</v>
          </cell>
          <cell r="L187" t="str">
            <v>European Union</v>
          </cell>
          <cell r="M187">
            <v>10.617801999999999</v>
          </cell>
        </row>
        <row r="188">
          <cell r="A188" t="str">
            <v>C22.29EU1</v>
          </cell>
          <cell r="B188" t="str">
            <v>C</v>
          </cell>
          <cell r="C188" t="str">
            <v>EU1</v>
          </cell>
          <cell r="D188" t="str">
            <v>22.29</v>
          </cell>
          <cell r="E188">
            <v>37724371.209936999</v>
          </cell>
          <cell r="F188">
            <v>331018925.98000002</v>
          </cell>
          <cell r="G188">
            <v>535289157.73000002</v>
          </cell>
          <cell r="H188">
            <v>1055655791.66</v>
          </cell>
          <cell r="I188">
            <v>13388.399221</v>
          </cell>
          <cell r="J188">
            <v>2709.4365590000002</v>
          </cell>
          <cell r="K188">
            <v>21471.141124000002</v>
          </cell>
          <cell r="L188" t="str">
            <v>European Union</v>
          </cell>
          <cell r="M188">
            <v>37.724370999999998</v>
          </cell>
        </row>
        <row r="189">
          <cell r="A189" t="str">
            <v>C28.93EU1</v>
          </cell>
          <cell r="B189" t="str">
            <v>C</v>
          </cell>
          <cell r="C189" t="str">
            <v>EU1</v>
          </cell>
          <cell r="D189" t="str">
            <v>28.93</v>
          </cell>
          <cell r="E189">
            <v>2052813.4074589999</v>
          </cell>
          <cell r="F189">
            <v>25409587.800000001</v>
          </cell>
          <cell r="G189">
            <v>86657552.140000001</v>
          </cell>
          <cell r="H189">
            <v>119668153.48999999</v>
          </cell>
          <cell r="I189">
            <v>95.998215999999999</v>
          </cell>
          <cell r="J189">
            <v>52.185375000000001</v>
          </cell>
          <cell r="K189">
            <v>854.76852299999996</v>
          </cell>
          <cell r="L189" t="str">
            <v>European Union</v>
          </cell>
          <cell r="M189">
            <v>2.052813</v>
          </cell>
        </row>
        <row r="190">
          <cell r="A190" t="str">
            <v>C18.11EU1</v>
          </cell>
          <cell r="B190" t="str">
            <v>C</v>
          </cell>
          <cell r="C190" t="str">
            <v>EU1</v>
          </cell>
          <cell r="D190" t="str">
            <v>18.11</v>
          </cell>
          <cell r="E190">
            <v>57819.57</v>
          </cell>
          <cell r="F190">
            <v>607076.05000000005</v>
          </cell>
          <cell r="G190">
            <v>2331468.36</v>
          </cell>
          <cell r="H190">
            <v>4138486.23</v>
          </cell>
          <cell r="I190">
            <v>5.3082019999999996</v>
          </cell>
          <cell r="J190">
            <v>4.8041179999999999</v>
          </cell>
          <cell r="K190">
            <v>24.820596999999999</v>
          </cell>
          <cell r="L190" t="str">
            <v>European Union</v>
          </cell>
          <cell r="M190">
            <v>5.7820000000000003E-2</v>
          </cell>
        </row>
        <row r="191">
          <cell r="A191" t="str">
            <v>C10.82EU1</v>
          </cell>
          <cell r="B191" t="str">
            <v>C</v>
          </cell>
          <cell r="C191" t="str">
            <v>EU1</v>
          </cell>
          <cell r="D191" t="str">
            <v>10.82</v>
          </cell>
          <cell r="E191">
            <v>3207037.3999890001</v>
          </cell>
          <cell r="F191">
            <v>9840454.9199999999</v>
          </cell>
          <cell r="G191">
            <v>24682655</v>
          </cell>
          <cell r="H191">
            <v>70498540.890000001</v>
          </cell>
          <cell r="I191">
            <v>309.09525500000001</v>
          </cell>
          <cell r="J191">
            <v>210.15622999999999</v>
          </cell>
          <cell r="K191">
            <v>3766.8545720000002</v>
          </cell>
          <cell r="L191" t="str">
            <v>European Union</v>
          </cell>
          <cell r="M191">
            <v>3.2070370000000001</v>
          </cell>
        </row>
        <row r="192">
          <cell r="A192" t="str">
            <v>C25.61EU1</v>
          </cell>
          <cell r="B192" t="str">
            <v>C</v>
          </cell>
          <cell r="C192" t="str">
            <v>EU1</v>
          </cell>
          <cell r="D192" t="str">
            <v>25.61</v>
          </cell>
          <cell r="E192">
            <v>27944405.411981001</v>
          </cell>
          <cell r="F192">
            <v>154503756.08000001</v>
          </cell>
          <cell r="G192">
            <v>284774101.29000002</v>
          </cell>
          <cell r="H192">
            <v>450606032.38</v>
          </cell>
          <cell r="I192">
            <v>5105.3191040000002</v>
          </cell>
          <cell r="J192">
            <v>1208.0274449999999</v>
          </cell>
          <cell r="K192">
            <v>16611.309243</v>
          </cell>
          <cell r="L192" t="str">
            <v>European Union</v>
          </cell>
          <cell r="M192">
            <v>27.944405</v>
          </cell>
        </row>
        <row r="193">
          <cell r="A193" t="str">
            <v>C23.64EU1</v>
          </cell>
          <cell r="B193" t="str">
            <v>C</v>
          </cell>
          <cell r="C193" t="str">
            <v>EU1</v>
          </cell>
          <cell r="D193" t="str">
            <v>23.64</v>
          </cell>
          <cell r="E193">
            <v>262019.73</v>
          </cell>
          <cell r="F193">
            <v>9911123.2599999998</v>
          </cell>
          <cell r="G193">
            <v>23822845.649999999</v>
          </cell>
          <cell r="H193">
            <v>58037716.619999997</v>
          </cell>
          <cell r="I193">
            <v>206.20961700000001</v>
          </cell>
          <cell r="J193">
            <v>41.731042000000002</v>
          </cell>
          <cell r="K193">
            <v>330.70090800000003</v>
          </cell>
          <cell r="L193" t="str">
            <v>European Union</v>
          </cell>
          <cell r="M193">
            <v>0.26201999999999998</v>
          </cell>
        </row>
        <row r="194">
          <cell r="A194" t="str">
            <v>C16.29EU1</v>
          </cell>
          <cell r="B194" t="str">
            <v>C</v>
          </cell>
          <cell r="C194" t="str">
            <v>EU1</v>
          </cell>
          <cell r="D194" t="str">
            <v>16.29</v>
          </cell>
          <cell r="E194">
            <v>48220574.025471002</v>
          </cell>
          <cell r="F194">
            <v>301310529.89999998</v>
          </cell>
          <cell r="G194">
            <v>343485789.16000003</v>
          </cell>
          <cell r="H194">
            <v>734538207.37</v>
          </cell>
          <cell r="I194">
            <v>3886.1222539999999</v>
          </cell>
          <cell r="J194">
            <v>3517.0833269999998</v>
          </cell>
          <cell r="K194">
            <v>18171.101363999998</v>
          </cell>
          <cell r="L194" t="str">
            <v>European Union</v>
          </cell>
          <cell r="M194">
            <v>48.220573999999999</v>
          </cell>
        </row>
        <row r="195">
          <cell r="A195" t="str">
            <v>C27.12EU1</v>
          </cell>
          <cell r="B195" t="str">
            <v>C</v>
          </cell>
          <cell r="C195" t="str">
            <v>EU1</v>
          </cell>
          <cell r="D195" t="str">
            <v>27.12</v>
          </cell>
          <cell r="E195">
            <v>1390747.62</v>
          </cell>
          <cell r="F195">
            <v>13633115.939999999</v>
          </cell>
          <cell r="G195">
            <v>142463093.69</v>
          </cell>
          <cell r="H195">
            <v>129357592.62</v>
          </cell>
          <cell r="I195">
            <v>62.794764999999998</v>
          </cell>
          <cell r="J195">
            <v>34.135719000000002</v>
          </cell>
          <cell r="K195">
            <v>559.12484600000005</v>
          </cell>
          <cell r="L195" t="str">
            <v>European Union</v>
          </cell>
          <cell r="M195">
            <v>1.3907480000000001</v>
          </cell>
        </row>
        <row r="196">
          <cell r="A196" t="str">
            <v>C23.11EU1</v>
          </cell>
          <cell r="B196" t="str">
            <v>C</v>
          </cell>
          <cell r="C196" t="str">
            <v>EU1</v>
          </cell>
          <cell r="D196" t="str">
            <v>23.11</v>
          </cell>
          <cell r="E196">
            <v>41794.959999999999</v>
          </cell>
          <cell r="F196">
            <v>4101193.45</v>
          </cell>
          <cell r="G196">
            <v>28464240.190000001</v>
          </cell>
          <cell r="H196">
            <v>64486346.619999997</v>
          </cell>
          <cell r="I196">
            <v>23.154243000000001</v>
          </cell>
          <cell r="J196">
            <v>4.6857689999999996</v>
          </cell>
          <cell r="K196">
            <v>37.132745</v>
          </cell>
          <cell r="L196" t="str">
            <v>European Union</v>
          </cell>
          <cell r="M196">
            <v>4.1794999999999999E-2</v>
          </cell>
        </row>
        <row r="197">
          <cell r="A197" t="str">
            <v>C10.31EU1</v>
          </cell>
          <cell r="B197" t="str">
            <v>C</v>
          </cell>
          <cell r="C197" t="str">
            <v>EU1</v>
          </cell>
          <cell r="D197" t="str">
            <v>10.31</v>
          </cell>
          <cell r="E197">
            <v>1720916.09</v>
          </cell>
          <cell r="F197">
            <v>11912473.720000001</v>
          </cell>
          <cell r="G197">
            <v>24410728.030000001</v>
          </cell>
          <cell r="H197">
            <v>85636950.989999995</v>
          </cell>
          <cell r="I197">
            <v>214.57513700000001</v>
          </cell>
          <cell r="J197">
            <v>145.89127999999999</v>
          </cell>
          <cell r="K197">
            <v>2614.965248</v>
          </cell>
          <cell r="L197" t="str">
            <v>European Union</v>
          </cell>
          <cell r="M197">
            <v>1.7209159999999999</v>
          </cell>
        </row>
        <row r="198">
          <cell r="A198" t="str">
            <v>C25.94EU1</v>
          </cell>
          <cell r="B198" t="str">
            <v>C</v>
          </cell>
          <cell r="C198" t="str">
            <v>EU1</v>
          </cell>
          <cell r="D198" t="str">
            <v>25.94</v>
          </cell>
          <cell r="E198">
            <v>3428546.8619220001</v>
          </cell>
          <cell r="F198">
            <v>12759445.02</v>
          </cell>
          <cell r="G198">
            <v>29499297.34</v>
          </cell>
          <cell r="H198">
            <v>49503510.460000001</v>
          </cell>
          <cell r="I198">
            <v>617.75851799999998</v>
          </cell>
          <cell r="J198">
            <v>146.17485300000001</v>
          </cell>
          <cell r="K198">
            <v>2010.0169229999999</v>
          </cell>
          <cell r="L198" t="str">
            <v>European Union</v>
          </cell>
          <cell r="M198">
            <v>3.428547</v>
          </cell>
        </row>
        <row r="199">
          <cell r="A199" t="str">
            <v>C28.92EU1</v>
          </cell>
          <cell r="B199" t="str">
            <v>C</v>
          </cell>
          <cell r="C199" t="str">
            <v>EU1</v>
          </cell>
          <cell r="D199" t="str">
            <v>28.92</v>
          </cell>
          <cell r="E199">
            <v>1621976.040363</v>
          </cell>
          <cell r="F199">
            <v>28981520.91</v>
          </cell>
          <cell r="G199">
            <v>61328457.189999998</v>
          </cell>
          <cell r="H199">
            <v>60164108.390000001</v>
          </cell>
          <cell r="I199">
            <v>43.069654</v>
          </cell>
          <cell r="J199">
            <v>23.412997000000001</v>
          </cell>
          <cell r="K199">
            <v>383.49241999999998</v>
          </cell>
          <cell r="L199" t="str">
            <v>European Union</v>
          </cell>
          <cell r="M199">
            <v>1.6219760000000001</v>
          </cell>
        </row>
        <row r="200">
          <cell r="A200" t="str">
            <v>C23.70EU1</v>
          </cell>
          <cell r="B200" t="str">
            <v>C</v>
          </cell>
          <cell r="C200" t="str">
            <v>EU1</v>
          </cell>
          <cell r="D200" t="str">
            <v>23.70</v>
          </cell>
          <cell r="E200">
            <v>12760120.224102</v>
          </cell>
          <cell r="F200">
            <v>74775776.969999999</v>
          </cell>
          <cell r="G200">
            <v>154756262.47999999</v>
          </cell>
          <cell r="H200">
            <v>232882243.24000001</v>
          </cell>
          <cell r="I200">
            <v>4823.1202020000001</v>
          </cell>
          <cell r="J200">
            <v>976.06427599999995</v>
          </cell>
          <cell r="K200">
            <v>7734.8974150000004</v>
          </cell>
          <cell r="L200" t="str">
            <v>European Union</v>
          </cell>
          <cell r="M200">
            <v>12.760120000000001</v>
          </cell>
        </row>
        <row r="201">
          <cell r="A201" t="str">
            <v>C25.91EU1</v>
          </cell>
          <cell r="B201" t="str">
            <v>C</v>
          </cell>
          <cell r="C201" t="str">
            <v>EU1</v>
          </cell>
          <cell r="D201" t="str">
            <v>25.91</v>
          </cell>
          <cell r="E201">
            <v>716921</v>
          </cell>
          <cell r="F201">
            <v>599456.59</v>
          </cell>
          <cell r="G201">
            <v>1878145.28</v>
          </cell>
          <cell r="H201">
            <v>3056790.23</v>
          </cell>
          <cell r="I201">
            <v>127.24279</v>
          </cell>
          <cell r="J201">
            <v>30.108360000000001</v>
          </cell>
          <cell r="K201">
            <v>414.01316700000001</v>
          </cell>
          <cell r="L201" t="str">
            <v>European Union</v>
          </cell>
          <cell r="M201">
            <v>0.71692100000000003</v>
          </cell>
        </row>
        <row r="202">
          <cell r="A202" t="str">
            <v>C16.23EU1</v>
          </cell>
          <cell r="B202" t="str">
            <v>C</v>
          </cell>
          <cell r="C202" t="str">
            <v>EU1</v>
          </cell>
          <cell r="D202" t="str">
            <v>16.23</v>
          </cell>
          <cell r="E202">
            <v>14810677.50688</v>
          </cell>
          <cell r="F202">
            <v>116179049.66</v>
          </cell>
          <cell r="G202">
            <v>212794890.41</v>
          </cell>
          <cell r="H202">
            <v>323298609.57999998</v>
          </cell>
          <cell r="I202">
            <v>1574.8582160000001</v>
          </cell>
          <cell r="J202">
            <v>1425.304527</v>
          </cell>
          <cell r="K202">
            <v>7363.8724030000003</v>
          </cell>
          <cell r="L202" t="str">
            <v>European Union</v>
          </cell>
          <cell r="M202">
            <v>14.810677999999999</v>
          </cell>
        </row>
        <row r="203">
          <cell r="A203" t="str">
            <v>C23.12EU1</v>
          </cell>
          <cell r="B203" t="str">
            <v>C</v>
          </cell>
          <cell r="C203" t="str">
            <v>EU1</v>
          </cell>
          <cell r="D203" t="str">
            <v>23.12</v>
          </cell>
          <cell r="E203">
            <v>7888409.6033500005</v>
          </cell>
          <cell r="F203">
            <v>42332713.369999997</v>
          </cell>
          <cell r="G203">
            <v>84267521.200000003</v>
          </cell>
          <cell r="H203">
            <v>124609291.54000001</v>
          </cell>
          <cell r="I203">
            <v>2528.2981970000001</v>
          </cell>
          <cell r="J203">
            <v>511.65664600000002</v>
          </cell>
          <cell r="K203">
            <v>4054.6630380000001</v>
          </cell>
          <cell r="L203" t="str">
            <v>European Union</v>
          </cell>
          <cell r="M203">
            <v>7.8884100000000004</v>
          </cell>
        </row>
        <row r="204">
          <cell r="A204" t="str">
            <v>C10.85EU1</v>
          </cell>
          <cell r="B204" t="str">
            <v>C</v>
          </cell>
          <cell r="C204" t="str">
            <v>EU1</v>
          </cell>
          <cell r="D204" t="str">
            <v>10.85</v>
          </cell>
          <cell r="E204">
            <v>2581236.2209279998</v>
          </cell>
          <cell r="F204">
            <v>25026264.91</v>
          </cell>
          <cell r="G204">
            <v>32256054.760000002</v>
          </cell>
          <cell r="H204">
            <v>42539633.590000004</v>
          </cell>
          <cell r="I204">
            <v>182.06249199999999</v>
          </cell>
          <cell r="J204">
            <v>123.785681</v>
          </cell>
          <cell r="K204">
            <v>2218.7429400000001</v>
          </cell>
          <cell r="L204" t="str">
            <v>European Union</v>
          </cell>
          <cell r="M204">
            <v>2.5812360000000001</v>
          </cell>
        </row>
        <row r="205">
          <cell r="A205" t="str">
            <v>C10.61EU1</v>
          </cell>
          <cell r="B205" t="str">
            <v>C</v>
          </cell>
          <cell r="C205" t="str">
            <v>EU1</v>
          </cell>
          <cell r="D205" t="str">
            <v>10.61</v>
          </cell>
          <cell r="E205">
            <v>23946934.3904</v>
          </cell>
          <cell r="F205">
            <v>152626100.63999999</v>
          </cell>
          <cell r="G205">
            <v>188433485.74000001</v>
          </cell>
          <cell r="H205">
            <v>686297301.59000003</v>
          </cell>
          <cell r="I205">
            <v>2139.2793830000001</v>
          </cell>
          <cell r="J205">
            <v>1454.512432</v>
          </cell>
          <cell r="K205">
            <v>26070.779789</v>
          </cell>
          <cell r="L205" t="str">
            <v>European Union</v>
          </cell>
          <cell r="M205">
            <v>23.946933999999999</v>
          </cell>
        </row>
        <row r="206">
          <cell r="A206" t="str">
            <v>C28.99EU1</v>
          </cell>
          <cell r="B206" t="str">
            <v>C</v>
          </cell>
          <cell r="C206" t="str">
            <v>EU1</v>
          </cell>
          <cell r="D206" t="str">
            <v>28.99</v>
          </cell>
          <cell r="E206">
            <v>12827944.021219</v>
          </cell>
          <cell r="F206">
            <v>53961376.259999998</v>
          </cell>
          <cell r="G206">
            <v>175740942.06999999</v>
          </cell>
          <cell r="H206">
            <v>208306116.74000001</v>
          </cell>
          <cell r="I206">
            <v>551.04043200000001</v>
          </cell>
          <cell r="J206">
            <v>299.54983700000003</v>
          </cell>
          <cell r="K206">
            <v>4906.4663680000003</v>
          </cell>
          <cell r="L206" t="str">
            <v>European Union</v>
          </cell>
          <cell r="M206">
            <v>12.827944</v>
          </cell>
        </row>
        <row r="207">
          <cell r="A207" t="str">
            <v>C10.84EU1</v>
          </cell>
          <cell r="B207" t="str">
            <v>C</v>
          </cell>
          <cell r="C207" t="str">
            <v>EU1</v>
          </cell>
          <cell r="D207" t="str">
            <v>10.84</v>
          </cell>
          <cell r="E207">
            <v>5857475.9607539997</v>
          </cell>
          <cell r="F207">
            <v>41003676.399999999</v>
          </cell>
          <cell r="G207">
            <v>34337441.240000002</v>
          </cell>
          <cell r="H207">
            <v>69778067.25</v>
          </cell>
          <cell r="I207">
            <v>351.61647199999999</v>
          </cell>
          <cell r="J207">
            <v>239.066733</v>
          </cell>
          <cell r="K207">
            <v>4285.0483850000001</v>
          </cell>
          <cell r="L207" t="str">
            <v>European Union</v>
          </cell>
          <cell r="M207">
            <v>5.8574760000000001</v>
          </cell>
        </row>
        <row r="208">
          <cell r="A208" t="str">
            <v>C29.20EU1</v>
          </cell>
          <cell r="B208" t="str">
            <v>C</v>
          </cell>
          <cell r="C208" t="str">
            <v>EU1</v>
          </cell>
          <cell r="D208" t="str">
            <v>29.20</v>
          </cell>
          <cell r="E208">
            <v>2176854.221535</v>
          </cell>
          <cell r="F208">
            <v>23889059.48</v>
          </cell>
          <cell r="G208">
            <v>34376418.329999998</v>
          </cell>
          <cell r="H208">
            <v>124968497.55</v>
          </cell>
          <cell r="I208">
            <v>141.65788000000001</v>
          </cell>
          <cell r="J208">
            <v>65.129088999999993</v>
          </cell>
          <cell r="K208">
            <v>1913.000219</v>
          </cell>
          <cell r="L208" t="str">
            <v>European Union</v>
          </cell>
          <cell r="M208">
            <v>2.1768540000000001</v>
          </cell>
        </row>
        <row r="209">
          <cell r="A209" t="str">
            <v>C33.11EU1</v>
          </cell>
          <cell r="B209" t="str">
            <v>C</v>
          </cell>
          <cell r="C209" t="str">
            <v>EU1</v>
          </cell>
          <cell r="D209" t="str">
            <v>33.11</v>
          </cell>
          <cell r="E209">
            <v>1622435.2</v>
          </cell>
          <cell r="F209">
            <v>6740713.8499999996</v>
          </cell>
          <cell r="G209">
            <v>10227054.300000001</v>
          </cell>
          <cell r="H209">
            <v>24087065.940000001</v>
          </cell>
          <cell r="I209">
            <v>441.08942300000001</v>
          </cell>
          <cell r="J209">
            <v>239.77962099999999</v>
          </cell>
          <cell r="K209">
            <v>3927.4621480000001</v>
          </cell>
          <cell r="L209" t="str">
            <v>European Union</v>
          </cell>
          <cell r="M209">
            <v>1.6224350000000001</v>
          </cell>
        </row>
        <row r="210">
          <cell r="A210" t="str">
            <v>C25.99EU1</v>
          </cell>
          <cell r="B210" t="str">
            <v>C</v>
          </cell>
          <cell r="C210" t="str">
            <v>EU1</v>
          </cell>
          <cell r="D210" t="str">
            <v>25.99</v>
          </cell>
          <cell r="E210">
            <v>20705320.298347</v>
          </cell>
          <cell r="F210">
            <v>147710609.66</v>
          </cell>
          <cell r="G210">
            <v>341371526.01999998</v>
          </cell>
          <cell r="H210">
            <v>571209455.69000006</v>
          </cell>
          <cell r="I210">
            <v>4811.6157970000004</v>
          </cell>
          <cell r="J210">
            <v>1138.5309870000001</v>
          </cell>
          <cell r="K210">
            <v>15655.679158999999</v>
          </cell>
          <cell r="L210" t="str">
            <v>European Union</v>
          </cell>
          <cell r="M210">
            <v>20.70532</v>
          </cell>
        </row>
        <row r="211">
          <cell r="A211" t="str">
            <v>C17.11EU1</v>
          </cell>
          <cell r="B211" t="str">
            <v>C</v>
          </cell>
          <cell r="C211" t="str">
            <v>EU1</v>
          </cell>
          <cell r="D211" t="str">
            <v>17.11</v>
          </cell>
          <cell r="E211">
            <v>55785287.619999997</v>
          </cell>
          <cell r="F211">
            <v>466887524</v>
          </cell>
          <cell r="G211">
            <v>459185361</v>
          </cell>
          <cell r="H211">
            <v>689549716</v>
          </cell>
          <cell r="I211">
            <v>2572.7001700000001</v>
          </cell>
          <cell r="J211">
            <v>2328.388117</v>
          </cell>
          <cell r="K211">
            <v>12029.677036999999</v>
          </cell>
          <cell r="L211" t="str">
            <v>European Union</v>
          </cell>
          <cell r="M211">
            <v>55.785288000000001</v>
          </cell>
        </row>
        <row r="212">
          <cell r="A212" t="str">
            <v>C23.32EU1</v>
          </cell>
          <cell r="B212" t="str">
            <v>C</v>
          </cell>
          <cell r="C212" t="str">
            <v>EU1</v>
          </cell>
          <cell r="D212" t="str">
            <v>23.32</v>
          </cell>
          <cell r="E212">
            <v>1344487.27</v>
          </cell>
          <cell r="F212">
            <v>11235253.27</v>
          </cell>
          <cell r="G212">
            <v>65509370.829999998</v>
          </cell>
          <cell r="H212">
            <v>53381533.640000001</v>
          </cell>
          <cell r="I212">
            <v>215.16754</v>
          </cell>
          <cell r="J212">
            <v>43.543875999999997</v>
          </cell>
          <cell r="K212">
            <v>345.06684000000001</v>
          </cell>
          <cell r="L212" t="str">
            <v>European Union</v>
          </cell>
          <cell r="M212">
            <v>1.344487</v>
          </cell>
        </row>
        <row r="213">
          <cell r="A213" t="str">
            <v>C14.19EU1</v>
          </cell>
          <cell r="B213" t="str">
            <v>C</v>
          </cell>
          <cell r="C213" t="str">
            <v>EU1</v>
          </cell>
          <cell r="D213" t="str">
            <v>14.19</v>
          </cell>
          <cell r="E213">
            <v>2663197.7296930002</v>
          </cell>
          <cell r="F213">
            <v>11404051.58</v>
          </cell>
          <cell r="G213">
            <v>15228820.199999999</v>
          </cell>
          <cell r="H213">
            <v>54343541.149999999</v>
          </cell>
          <cell r="I213">
            <v>319.88058699999999</v>
          </cell>
          <cell r="J213">
            <v>591.53652699999998</v>
          </cell>
          <cell r="K213">
            <v>4087.735107</v>
          </cell>
          <cell r="L213" t="str">
            <v>European Union</v>
          </cell>
          <cell r="M213">
            <v>2.663198</v>
          </cell>
        </row>
        <row r="214">
          <cell r="A214" t="str">
            <v>C10.39EU1</v>
          </cell>
          <cell r="B214" t="str">
            <v>C</v>
          </cell>
          <cell r="C214" t="str">
            <v>EU1</v>
          </cell>
          <cell r="D214" t="str">
            <v>10.39</v>
          </cell>
          <cell r="E214">
            <v>20431732.507282</v>
          </cell>
          <cell r="F214">
            <v>306314641.32999998</v>
          </cell>
          <cell r="G214">
            <v>289901418.07999998</v>
          </cell>
          <cell r="H214">
            <v>893110874.87</v>
          </cell>
          <cell r="I214">
            <v>2360.3479969999999</v>
          </cell>
          <cell r="J214">
            <v>1604.818679</v>
          </cell>
          <cell r="K214">
            <v>28764.879226000001</v>
          </cell>
          <cell r="L214" t="str">
            <v>European Union</v>
          </cell>
          <cell r="M214">
            <v>20.431733000000001</v>
          </cell>
        </row>
        <row r="215">
          <cell r="A215" t="str">
            <v>C30.30EU1</v>
          </cell>
          <cell r="B215" t="str">
            <v>C</v>
          </cell>
          <cell r="C215" t="str">
            <v>EU1</v>
          </cell>
          <cell r="D215" t="str">
            <v>30.30</v>
          </cell>
          <cell r="E215">
            <v>20954.09</v>
          </cell>
          <cell r="F215">
            <v>11340218.140000001</v>
          </cell>
          <cell r="G215">
            <v>149278233.94999999</v>
          </cell>
          <cell r="H215">
            <v>153164598.22999999</v>
          </cell>
          <cell r="I215">
            <v>0.951519</v>
          </cell>
          <cell r="J215">
            <v>0.51725200000000005</v>
          </cell>
          <cell r="K215">
            <v>8.4723290000000002</v>
          </cell>
          <cell r="L215" t="str">
            <v>European Union</v>
          </cell>
          <cell r="M215">
            <v>2.0954E-2</v>
          </cell>
        </row>
        <row r="216">
          <cell r="A216" t="str">
            <v>C25.29EU1</v>
          </cell>
          <cell r="B216" t="str">
            <v>C</v>
          </cell>
          <cell r="C216" t="str">
            <v>EU1</v>
          </cell>
          <cell r="D216" t="str">
            <v>25.29</v>
          </cell>
          <cell r="E216">
            <v>2901958.3603050001</v>
          </cell>
          <cell r="F216">
            <v>26226573.719999999</v>
          </cell>
          <cell r="G216">
            <v>54039044.960000001</v>
          </cell>
          <cell r="H216">
            <v>72508919.040000007</v>
          </cell>
          <cell r="I216">
            <v>389.23937699999999</v>
          </cell>
          <cell r="J216">
            <v>92.102344000000002</v>
          </cell>
          <cell r="K216">
            <v>1266.478265</v>
          </cell>
          <cell r="L216" t="str">
            <v>European Union</v>
          </cell>
          <cell r="M216">
            <v>2.901958</v>
          </cell>
        </row>
        <row r="217">
          <cell r="A217" t="str">
            <v>C23.44EU1</v>
          </cell>
          <cell r="B217" t="str">
            <v>C</v>
          </cell>
          <cell r="C217" t="str">
            <v>EU1</v>
          </cell>
          <cell r="D217" t="str">
            <v>23.44</v>
          </cell>
          <cell r="E217">
            <v>507637.47</v>
          </cell>
          <cell r="F217">
            <v>1615259.47</v>
          </cell>
          <cell r="G217">
            <v>8069185.5099999998</v>
          </cell>
          <cell r="H217">
            <v>10616534.57</v>
          </cell>
          <cell r="I217">
            <v>123.774282</v>
          </cell>
          <cell r="J217">
            <v>25.048442999999999</v>
          </cell>
          <cell r="K217">
            <v>198.498345</v>
          </cell>
          <cell r="L217" t="str">
            <v>European Union</v>
          </cell>
          <cell r="M217">
            <v>0.507637</v>
          </cell>
        </row>
        <row r="218">
          <cell r="A218" t="str">
            <v>C26.40EU1</v>
          </cell>
          <cell r="B218" t="str">
            <v>C</v>
          </cell>
          <cell r="C218" t="str">
            <v>EU1</v>
          </cell>
          <cell r="D218" t="str">
            <v>26.40</v>
          </cell>
          <cell r="E218">
            <v>41613.129999999997</v>
          </cell>
          <cell r="F218">
            <v>186958.07999999999</v>
          </cell>
          <cell r="G218">
            <v>1819790.68</v>
          </cell>
          <cell r="H218">
            <v>3937248.77</v>
          </cell>
          <cell r="I218">
            <v>1.830551</v>
          </cell>
          <cell r="J218">
            <v>0.99510100000000001</v>
          </cell>
          <cell r="K218">
            <v>16.299234999999999</v>
          </cell>
          <cell r="L218" t="str">
            <v>European Union</v>
          </cell>
          <cell r="M218">
            <v>4.1612999999999997E-2</v>
          </cell>
        </row>
        <row r="219">
          <cell r="A219" t="str">
            <v>C32.13EU1</v>
          </cell>
          <cell r="B219" t="str">
            <v>C</v>
          </cell>
          <cell r="C219" t="str">
            <v>EU1</v>
          </cell>
          <cell r="D219" t="str">
            <v>32.13</v>
          </cell>
          <cell r="E219">
            <v>16487.159785</v>
          </cell>
          <cell r="F219">
            <v>69976.92</v>
          </cell>
          <cell r="G219">
            <v>362586.4</v>
          </cell>
          <cell r="H219">
            <v>139906.97</v>
          </cell>
          <cell r="I219">
            <v>0.167244</v>
          </cell>
          <cell r="J219">
            <v>9.0914999999999996E-2</v>
          </cell>
          <cell r="K219">
            <v>1.4891369999999999</v>
          </cell>
          <cell r="L219" t="str">
            <v>European Union</v>
          </cell>
          <cell r="M219">
            <v>1.6487000000000002E-2</v>
          </cell>
        </row>
        <row r="220">
          <cell r="A220" t="str">
            <v>C18.14EU1</v>
          </cell>
          <cell r="B220" t="str">
            <v>C</v>
          </cell>
          <cell r="C220" t="str">
            <v>EU1</v>
          </cell>
          <cell r="D220" t="str">
            <v>18.14</v>
          </cell>
          <cell r="E220">
            <v>1396400.0763000001</v>
          </cell>
          <cell r="F220">
            <v>4298009.07</v>
          </cell>
          <cell r="G220">
            <v>4154921.07</v>
          </cell>
          <cell r="H220">
            <v>9398159.75</v>
          </cell>
          <cell r="I220">
            <v>108.529357</v>
          </cell>
          <cell r="J220">
            <v>98.223052999999993</v>
          </cell>
          <cell r="K220">
            <v>507.47192999999999</v>
          </cell>
          <cell r="L220" t="str">
            <v>European Union</v>
          </cell>
          <cell r="M220">
            <v>1.3964000000000001</v>
          </cell>
        </row>
        <row r="221">
          <cell r="A221" t="str">
            <v>C26.51EU1</v>
          </cell>
          <cell r="B221" t="str">
            <v>C</v>
          </cell>
          <cell r="C221" t="str">
            <v>EU1</v>
          </cell>
          <cell r="D221" t="str">
            <v>26.51</v>
          </cell>
          <cell r="E221">
            <v>1152102.8789590001</v>
          </cell>
          <cell r="F221">
            <v>20519642.07</v>
          </cell>
          <cell r="G221">
            <v>44892392.640000001</v>
          </cell>
          <cell r="H221">
            <v>61896998.329999998</v>
          </cell>
          <cell r="I221">
            <v>31.738939999999999</v>
          </cell>
          <cell r="J221">
            <v>17.253533000000001</v>
          </cell>
          <cell r="K221">
            <v>282.60367200000002</v>
          </cell>
          <cell r="L221" t="str">
            <v>European Union</v>
          </cell>
          <cell r="M221">
            <v>1.1521030000000001</v>
          </cell>
        </row>
        <row r="222">
          <cell r="A222" t="str">
            <v>C23.41EU1</v>
          </cell>
          <cell r="B222" t="str">
            <v>C</v>
          </cell>
          <cell r="C222" t="str">
            <v>EU1</v>
          </cell>
          <cell r="D222" t="str">
            <v>23.41</v>
          </cell>
          <cell r="E222">
            <v>7630572.5551669998</v>
          </cell>
          <cell r="F222">
            <v>78061945.480000004</v>
          </cell>
          <cell r="G222">
            <v>148206877.27000001</v>
          </cell>
          <cell r="H222">
            <v>249056511.31</v>
          </cell>
          <cell r="I222">
            <v>2709.5476680000002</v>
          </cell>
          <cell r="J222">
            <v>548.33645300000001</v>
          </cell>
          <cell r="K222">
            <v>4345.335043</v>
          </cell>
          <cell r="L222" t="str">
            <v>European Union</v>
          </cell>
          <cell r="M222">
            <v>7.6305730000000001</v>
          </cell>
        </row>
        <row r="223">
          <cell r="A223" t="str">
            <v>C20.59EU1</v>
          </cell>
          <cell r="B223" t="str">
            <v>C</v>
          </cell>
          <cell r="C223" t="str">
            <v>EU1</v>
          </cell>
          <cell r="D223" t="str">
            <v>20.59</v>
          </cell>
          <cell r="E223">
            <v>2989289.31</v>
          </cell>
          <cell r="F223">
            <v>14974250.5</v>
          </cell>
          <cell r="G223">
            <v>22147827.210000001</v>
          </cell>
          <cell r="H223">
            <v>73861746.739999995</v>
          </cell>
          <cell r="I223">
            <v>1807.541626</v>
          </cell>
          <cell r="J223">
            <v>365.79573499999998</v>
          </cell>
          <cell r="K223">
            <v>2898.7768270000001</v>
          </cell>
          <cell r="L223" t="str">
            <v>European Union</v>
          </cell>
          <cell r="M223">
            <v>2.9892889999999999</v>
          </cell>
        </row>
        <row r="224">
          <cell r="A224" t="str">
            <v>C28.25EU1</v>
          </cell>
          <cell r="B224" t="str">
            <v>C</v>
          </cell>
          <cell r="C224" t="str">
            <v>EU1</v>
          </cell>
          <cell r="D224" t="str">
            <v>28.25</v>
          </cell>
          <cell r="E224">
            <v>2704894.6577039999</v>
          </cell>
          <cell r="F224">
            <v>23384026.530000001</v>
          </cell>
          <cell r="G224">
            <v>36284568.649999999</v>
          </cell>
          <cell r="H224">
            <v>67029136.460000001</v>
          </cell>
          <cell r="I224">
            <v>95.958037000000004</v>
          </cell>
          <cell r="J224">
            <v>52.163525</v>
          </cell>
          <cell r="K224">
            <v>854.41075899999998</v>
          </cell>
          <cell r="L224" t="str">
            <v>European Union</v>
          </cell>
          <cell r="M224">
            <v>2.704895</v>
          </cell>
        </row>
        <row r="225">
          <cell r="A225" t="str">
            <v>C10.52EU1</v>
          </cell>
          <cell r="B225" t="str">
            <v>C</v>
          </cell>
          <cell r="C225" t="str">
            <v>EU1</v>
          </cell>
          <cell r="D225" t="str">
            <v>10.52</v>
          </cell>
          <cell r="E225">
            <v>441999.69510700001</v>
          </cell>
          <cell r="F225">
            <v>4766669.4400000004</v>
          </cell>
          <cell r="G225">
            <v>2472745.58</v>
          </cell>
          <cell r="H225">
            <v>8098028.4699999997</v>
          </cell>
          <cell r="I225">
            <v>51.833030000000001</v>
          </cell>
          <cell r="J225">
            <v>35.241672000000001</v>
          </cell>
          <cell r="K225">
            <v>631.67419199999995</v>
          </cell>
          <cell r="L225" t="str">
            <v>European Union</v>
          </cell>
          <cell r="M225">
            <v>0.442</v>
          </cell>
        </row>
        <row r="226">
          <cell r="A226" t="str">
            <v>C21.10EU1</v>
          </cell>
          <cell r="B226" t="str">
            <v>C</v>
          </cell>
          <cell r="C226" t="str">
            <v>EU1</v>
          </cell>
          <cell r="D226" t="str">
            <v>21.10</v>
          </cell>
          <cell r="E226">
            <v>20726181.783966001</v>
          </cell>
          <cell r="F226">
            <v>246174070.99000001</v>
          </cell>
          <cell r="G226">
            <v>262051550.06999999</v>
          </cell>
          <cell r="H226">
            <v>317506018.12</v>
          </cell>
          <cell r="I226">
            <v>3662.7684800000002</v>
          </cell>
          <cell r="J226">
            <v>741.241626</v>
          </cell>
          <cell r="K226">
            <v>5874.0270449999998</v>
          </cell>
          <cell r="L226" t="str">
            <v>European Union</v>
          </cell>
          <cell r="M226">
            <v>20.726182000000001</v>
          </cell>
        </row>
        <row r="227">
          <cell r="A227" t="str">
            <v>C29.10EU1</v>
          </cell>
          <cell r="B227" t="str">
            <v>C</v>
          </cell>
          <cell r="C227" t="str">
            <v>EU1</v>
          </cell>
          <cell r="D227" t="str">
            <v>29.10</v>
          </cell>
          <cell r="E227">
            <v>13309351.838312</v>
          </cell>
          <cell r="F227">
            <v>42175297.950000003</v>
          </cell>
          <cell r="G227">
            <v>101974975.5</v>
          </cell>
          <cell r="H227">
            <v>1065240396.04</v>
          </cell>
          <cell r="I227">
            <v>1933.138809</v>
          </cell>
          <cell r="J227">
            <v>888.786157</v>
          </cell>
          <cell r="K227">
            <v>26105.819627000001</v>
          </cell>
          <cell r="L227" t="str">
            <v>European Union</v>
          </cell>
          <cell r="M227">
            <v>13.309352000000001</v>
          </cell>
        </row>
        <row r="228">
          <cell r="A228" t="str">
            <v>C16.21EU1</v>
          </cell>
          <cell r="B228" t="str">
            <v>C</v>
          </cell>
          <cell r="C228" t="str">
            <v>EU1</v>
          </cell>
          <cell r="D228" t="str">
            <v>16.21</v>
          </cell>
          <cell r="E228">
            <v>1340209.977312</v>
          </cell>
          <cell r="F228">
            <v>7113175.4299999997</v>
          </cell>
          <cell r="G228">
            <v>171861939.00999999</v>
          </cell>
          <cell r="H228">
            <v>312578104.02999997</v>
          </cell>
          <cell r="I228">
            <v>312.236673</v>
          </cell>
          <cell r="J228">
            <v>282.58565499999997</v>
          </cell>
          <cell r="K228">
            <v>1459.9860369999999</v>
          </cell>
          <cell r="L228" t="str">
            <v>European Union</v>
          </cell>
          <cell r="M228">
            <v>1.3402099999999999</v>
          </cell>
        </row>
        <row r="229">
          <cell r="A229" t="str">
            <v>C24.51EU1</v>
          </cell>
          <cell r="B229" t="str">
            <v>C</v>
          </cell>
          <cell r="C229" t="str">
            <v>EU1</v>
          </cell>
          <cell r="D229" t="str">
            <v>24.51</v>
          </cell>
          <cell r="E229">
            <v>1437.32</v>
          </cell>
          <cell r="F229">
            <v>22402763.52</v>
          </cell>
          <cell r="G229">
            <v>27742216.57</v>
          </cell>
          <cell r="H229">
            <v>102092946.42</v>
          </cell>
          <cell r="I229">
            <v>0.31231100000000001</v>
          </cell>
          <cell r="J229">
            <v>7.3899999999999993E-2</v>
          </cell>
          <cell r="K229">
            <v>1.016176</v>
          </cell>
          <cell r="L229" t="str">
            <v>European Union</v>
          </cell>
          <cell r="M229">
            <v>1.4369999999999999E-3</v>
          </cell>
        </row>
        <row r="230">
          <cell r="A230" t="str">
            <v>C22.19EU1</v>
          </cell>
          <cell r="B230" t="str">
            <v>C</v>
          </cell>
          <cell r="C230" t="str">
            <v>EU1</v>
          </cell>
          <cell r="D230" t="str">
            <v>22.19</v>
          </cell>
          <cell r="E230">
            <v>2026817.72</v>
          </cell>
          <cell r="F230">
            <v>17162108.969999999</v>
          </cell>
          <cell r="G230">
            <v>136419376.53999999</v>
          </cell>
          <cell r="H230">
            <v>52211686.729999997</v>
          </cell>
          <cell r="I230">
            <v>559.66417300000001</v>
          </cell>
          <cell r="J230">
            <v>113.26033200000001</v>
          </cell>
          <cell r="K230">
            <v>897.54035099999999</v>
          </cell>
          <cell r="L230" t="str">
            <v>European Union</v>
          </cell>
          <cell r="M230">
            <v>2.026818</v>
          </cell>
        </row>
        <row r="231">
          <cell r="A231" t="str">
            <v>C11.02EU1</v>
          </cell>
          <cell r="B231" t="str">
            <v>C</v>
          </cell>
          <cell r="C231" t="str">
            <v>EU1</v>
          </cell>
          <cell r="D231" t="str">
            <v>11.02</v>
          </cell>
          <cell r="E231">
            <v>98992780.737329006</v>
          </cell>
          <cell r="F231">
            <v>648251927.08000004</v>
          </cell>
          <cell r="G231">
            <v>1494123909.6500001</v>
          </cell>
          <cell r="H231">
            <v>1158231974.26</v>
          </cell>
          <cell r="I231">
            <v>3143.04259</v>
          </cell>
          <cell r="J231">
            <v>2136.9787139999999</v>
          </cell>
          <cell r="K231">
            <v>38303.351827999999</v>
          </cell>
          <cell r="L231" t="str">
            <v>European Union</v>
          </cell>
          <cell r="M231">
            <v>98.992780999999994</v>
          </cell>
        </row>
        <row r="232">
          <cell r="A232" t="str">
            <v>C23.61EU1</v>
          </cell>
          <cell r="B232" t="str">
            <v>C</v>
          </cell>
          <cell r="C232" t="str">
            <v>EU1</v>
          </cell>
          <cell r="D232" t="str">
            <v>23.61</v>
          </cell>
          <cell r="E232">
            <v>1975531.9605340001</v>
          </cell>
          <cell r="F232">
            <v>12545885.9</v>
          </cell>
          <cell r="G232">
            <v>81910155.049999997</v>
          </cell>
          <cell r="H232">
            <v>124710689.09</v>
          </cell>
          <cell r="I232">
            <v>715.64406599999995</v>
          </cell>
          <cell r="J232">
            <v>144.82629</v>
          </cell>
          <cell r="K232">
            <v>1147.687224</v>
          </cell>
          <cell r="L232" t="str">
            <v>European Union</v>
          </cell>
          <cell r="M232">
            <v>1.9755320000000001</v>
          </cell>
        </row>
        <row r="233">
          <cell r="A233" t="str">
            <v>C24.54EU1</v>
          </cell>
          <cell r="B233" t="str">
            <v>C</v>
          </cell>
          <cell r="C233" t="str">
            <v>EU1</v>
          </cell>
          <cell r="D233" t="str">
            <v>24.54</v>
          </cell>
          <cell r="E233">
            <v>3379059.549896</v>
          </cell>
          <cell r="F233">
            <v>22829034.149999999</v>
          </cell>
          <cell r="G233">
            <v>33933262.609999999</v>
          </cell>
          <cell r="H233">
            <v>165649863.36000001</v>
          </cell>
          <cell r="I233">
            <v>1934.2010310000001</v>
          </cell>
          <cell r="J233">
            <v>457.67324500000001</v>
          </cell>
          <cell r="K233">
            <v>6293.3600829999996</v>
          </cell>
          <cell r="L233" t="str">
            <v>European Union</v>
          </cell>
          <cell r="M233">
            <v>3.37906</v>
          </cell>
        </row>
        <row r="234">
          <cell r="A234" t="str">
            <v>C20.60EU1</v>
          </cell>
          <cell r="B234" t="str">
            <v>C</v>
          </cell>
          <cell r="C234" t="str">
            <v>EU1</v>
          </cell>
          <cell r="D234" t="str">
            <v>20.60</v>
          </cell>
          <cell r="E234">
            <v>1719370.32</v>
          </cell>
          <cell r="F234">
            <v>13607112.16</v>
          </cell>
          <cell r="G234">
            <v>71755570.129999995</v>
          </cell>
          <cell r="H234">
            <v>115196276.84</v>
          </cell>
          <cell r="I234">
            <v>502.97038700000002</v>
          </cell>
          <cell r="J234">
            <v>101.787098</v>
          </cell>
          <cell r="K234">
            <v>806.61982</v>
          </cell>
          <cell r="L234" t="str">
            <v>European Union</v>
          </cell>
          <cell r="M234">
            <v>1.7193700000000001</v>
          </cell>
        </row>
        <row r="235">
          <cell r="A235" t="str">
            <v>C10.41EU1</v>
          </cell>
          <cell r="B235" t="str">
            <v>C</v>
          </cell>
          <cell r="C235" t="str">
            <v>EU1</v>
          </cell>
          <cell r="D235" t="str">
            <v>10.41</v>
          </cell>
          <cell r="E235">
            <v>34193001.809863001</v>
          </cell>
          <cell r="F235">
            <v>296724944.94999999</v>
          </cell>
          <cell r="G235">
            <v>489971268</v>
          </cell>
          <cell r="H235">
            <v>1284982474.23</v>
          </cell>
          <cell r="I235">
            <v>3399.4199239999998</v>
          </cell>
          <cell r="J235">
            <v>2311.291651</v>
          </cell>
          <cell r="K235">
            <v>41427.748606000001</v>
          </cell>
          <cell r="L235" t="str">
            <v>European Union</v>
          </cell>
          <cell r="M235">
            <v>34.193002</v>
          </cell>
        </row>
        <row r="236">
          <cell r="A236" t="str">
            <v>C32.20EU1</v>
          </cell>
          <cell r="B236" t="str">
            <v>C</v>
          </cell>
          <cell r="C236" t="str">
            <v>EU1</v>
          </cell>
          <cell r="D236" t="str">
            <v>32.20</v>
          </cell>
          <cell r="E236">
            <v>2627.52</v>
          </cell>
          <cell r="F236">
            <v>566139.13</v>
          </cell>
          <cell r="G236">
            <v>992856.39</v>
          </cell>
          <cell r="H236">
            <v>1755363.79</v>
          </cell>
          <cell r="I236">
            <v>0.18509999999999999</v>
          </cell>
          <cell r="J236">
            <v>6.7350999999999994E-2</v>
          </cell>
          <cell r="K236">
            <v>0.646957</v>
          </cell>
          <cell r="L236" t="str">
            <v>European Union</v>
          </cell>
          <cell r="M236">
            <v>2.6280000000000001E-3</v>
          </cell>
        </row>
        <row r="237">
          <cell r="A237" t="str">
            <v>C33.17EU1</v>
          </cell>
          <cell r="B237" t="str">
            <v>C</v>
          </cell>
          <cell r="C237" t="str">
            <v>EU1</v>
          </cell>
          <cell r="D237" t="str">
            <v>33.17</v>
          </cell>
          <cell r="E237">
            <v>9717.1</v>
          </cell>
          <cell r="F237">
            <v>3642654.46</v>
          </cell>
          <cell r="G237">
            <v>2120059.69</v>
          </cell>
          <cell r="H237">
            <v>18133874.760000002</v>
          </cell>
          <cell r="I237">
            <v>1.143149</v>
          </cell>
          <cell r="J237">
            <v>0.52557799999999999</v>
          </cell>
          <cell r="K237">
            <v>15.437497</v>
          </cell>
          <cell r="L237" t="str">
            <v>European Union</v>
          </cell>
          <cell r="M237">
            <v>9.7169999999999999E-3</v>
          </cell>
        </row>
        <row r="238">
          <cell r="A238" t="str">
            <v>C19.20EU1</v>
          </cell>
          <cell r="B238" t="str">
            <v>C</v>
          </cell>
          <cell r="C238" t="str">
            <v>EU1</v>
          </cell>
          <cell r="D238" t="str">
            <v>19.20</v>
          </cell>
          <cell r="E238">
            <v>451632.92</v>
          </cell>
          <cell r="F238">
            <v>672325584.85000002</v>
          </cell>
          <cell r="G238">
            <v>3051495892.3499999</v>
          </cell>
          <cell r="H238">
            <v>12035905694.700001</v>
          </cell>
          <cell r="I238">
            <v>261.472667</v>
          </cell>
          <cell r="J238">
            <v>52.914735999999998</v>
          </cell>
          <cell r="K238">
            <v>419.32694300000003</v>
          </cell>
          <cell r="L238" t="str">
            <v>European Union</v>
          </cell>
          <cell r="M238">
            <v>0.45163300000000001</v>
          </cell>
        </row>
        <row r="239">
          <cell r="A239" t="str">
            <v>C23.91EU1</v>
          </cell>
          <cell r="B239" t="str">
            <v>C</v>
          </cell>
          <cell r="C239" t="str">
            <v>EU1</v>
          </cell>
          <cell r="D239" t="str">
            <v>23.91</v>
          </cell>
          <cell r="E239">
            <v>1095528.9984589999</v>
          </cell>
          <cell r="F239">
            <v>6533218.8799999999</v>
          </cell>
          <cell r="G239">
            <v>157402527.16</v>
          </cell>
          <cell r="H239">
            <v>77336884.700000003</v>
          </cell>
          <cell r="I239">
            <v>619.53390200000001</v>
          </cell>
          <cell r="J239">
            <v>125.376287</v>
          </cell>
          <cell r="K239">
            <v>993.55417399999999</v>
          </cell>
          <cell r="L239" t="str">
            <v>European Union</v>
          </cell>
          <cell r="M239">
            <v>1.095529</v>
          </cell>
        </row>
        <row r="240">
          <cell r="A240" t="str">
            <v>C30.11EU1</v>
          </cell>
          <cell r="B240" t="str">
            <v>C</v>
          </cell>
          <cell r="C240" t="str">
            <v>EU1</v>
          </cell>
          <cell r="D240" t="str">
            <v>30.11</v>
          </cell>
          <cell r="E240">
            <v>1183248.47</v>
          </cell>
          <cell r="F240">
            <v>3411032.58</v>
          </cell>
          <cell r="G240">
            <v>6436390.29</v>
          </cell>
          <cell r="H240">
            <v>21598393.850000001</v>
          </cell>
          <cell r="I240">
            <v>25.322274</v>
          </cell>
          <cell r="J240">
            <v>11.642249</v>
          </cell>
          <cell r="K240">
            <v>341.961319</v>
          </cell>
          <cell r="L240" t="str">
            <v>European Union</v>
          </cell>
          <cell r="M240">
            <v>1.1832480000000001</v>
          </cell>
        </row>
        <row r="241">
          <cell r="A241" t="str">
            <v>C25.12EU1</v>
          </cell>
          <cell r="B241" t="str">
            <v>C</v>
          </cell>
          <cell r="C241" t="str">
            <v>EU1</v>
          </cell>
          <cell r="D241" t="str">
            <v>25.12</v>
          </cell>
          <cell r="E241">
            <v>28276518.543543998</v>
          </cell>
          <cell r="F241">
            <v>181448090.71000001</v>
          </cell>
          <cell r="G241">
            <v>261592818.21000001</v>
          </cell>
          <cell r="H241">
            <v>654196295.75999999</v>
          </cell>
          <cell r="I241">
            <v>7944.1463789999998</v>
          </cell>
          <cell r="J241">
            <v>1879.7545660000001</v>
          </cell>
          <cell r="K241">
            <v>25848.075175000002</v>
          </cell>
          <cell r="L241" t="str">
            <v>European Union</v>
          </cell>
          <cell r="M241">
            <v>28.276519</v>
          </cell>
        </row>
        <row r="242">
          <cell r="A242" t="str">
            <v>C17.22EU1</v>
          </cell>
          <cell r="B242" t="str">
            <v>C</v>
          </cell>
          <cell r="C242" t="str">
            <v>EU1</v>
          </cell>
          <cell r="D242" t="str">
            <v>17.22</v>
          </cell>
          <cell r="E242">
            <v>4959081.5710730003</v>
          </cell>
          <cell r="F242">
            <v>58844924.219999999</v>
          </cell>
          <cell r="G242">
            <v>109763706.43000001</v>
          </cell>
          <cell r="H242">
            <v>302108937.91000003</v>
          </cell>
          <cell r="I242">
            <v>446.44193999999999</v>
          </cell>
          <cell r="J242">
            <v>404.04634800000002</v>
          </cell>
          <cell r="K242">
            <v>2087.515832</v>
          </cell>
          <cell r="L242" t="str">
            <v>European Union</v>
          </cell>
          <cell r="M242">
            <v>4.9590820000000004</v>
          </cell>
        </row>
        <row r="243">
          <cell r="A243" t="str">
            <v>C10.12EU1</v>
          </cell>
          <cell r="B243" t="str">
            <v>C</v>
          </cell>
          <cell r="C243" t="str">
            <v>EU1</v>
          </cell>
          <cell r="D243" t="str">
            <v>10.12</v>
          </cell>
          <cell r="E243">
            <v>2268795.5299999998</v>
          </cell>
          <cell r="F243">
            <v>15201290.07</v>
          </cell>
          <cell r="G243">
            <v>124272958.25</v>
          </cell>
          <cell r="H243">
            <v>571484705.82000005</v>
          </cell>
          <cell r="I243">
            <v>437.53168499999998</v>
          </cell>
          <cell r="J243">
            <v>297.48114399999997</v>
          </cell>
          <cell r="K243">
            <v>5332.0722580000001</v>
          </cell>
          <cell r="L243" t="str">
            <v>European Union</v>
          </cell>
          <cell r="M243">
            <v>2.268796</v>
          </cell>
        </row>
        <row r="244">
          <cell r="A244" t="str">
            <v>D35.22EU1</v>
          </cell>
          <cell r="B244" t="str">
            <v>D</v>
          </cell>
          <cell r="C244" t="str">
            <v>EU1</v>
          </cell>
          <cell r="D244" t="str">
            <v>35.22</v>
          </cell>
          <cell r="E244">
            <v>412.32</v>
          </cell>
          <cell r="F244">
            <v>11428</v>
          </cell>
          <cell r="G244">
            <v>16146564</v>
          </cell>
          <cell r="H244">
            <v>25806779</v>
          </cell>
          <cell r="I244">
            <v>0.60879499999999998</v>
          </cell>
          <cell r="J244">
            <v>2.2601E-2</v>
          </cell>
          <cell r="K244">
            <v>0.18901200000000001</v>
          </cell>
          <cell r="L244" t="str">
            <v>European Union</v>
          </cell>
          <cell r="M244">
            <v>4.1199999999999999E-4</v>
          </cell>
        </row>
        <row r="245">
          <cell r="A245" t="str">
            <v>D35.11EU1</v>
          </cell>
          <cell r="B245" t="str">
            <v>D</v>
          </cell>
          <cell r="C245" t="str">
            <v>EU1</v>
          </cell>
          <cell r="D245" t="str">
            <v>35.11</v>
          </cell>
          <cell r="E245">
            <v>177424791.93802199</v>
          </cell>
          <cell r="F245">
            <v>2817973980.3899999</v>
          </cell>
          <cell r="G245">
            <v>3042726055.6599998</v>
          </cell>
          <cell r="H245">
            <v>1668251532.1800001</v>
          </cell>
          <cell r="I245">
            <v>39511.100373000001</v>
          </cell>
          <cell r="J245">
            <v>1466.84665</v>
          </cell>
          <cell r="K245">
            <v>12267.004763999999</v>
          </cell>
          <cell r="L245" t="str">
            <v>European Union</v>
          </cell>
          <cell r="M245">
            <v>177.424792</v>
          </cell>
        </row>
        <row r="246">
          <cell r="A246" t="str">
            <v>D35.14EU1</v>
          </cell>
          <cell r="B246" t="str">
            <v>D</v>
          </cell>
          <cell r="C246" t="str">
            <v>EU1</v>
          </cell>
          <cell r="D246" t="str">
            <v>35.14</v>
          </cell>
          <cell r="E246">
            <v>903201.48</v>
          </cell>
          <cell r="F246">
            <v>5134291.87</v>
          </cell>
          <cell r="G246">
            <v>19438645.84</v>
          </cell>
          <cell r="H246">
            <v>114609768.93000001</v>
          </cell>
          <cell r="I246">
            <v>1844.3404459999999</v>
          </cell>
          <cell r="J246">
            <v>68.471000000000004</v>
          </cell>
          <cell r="K246">
            <v>572.61207300000001</v>
          </cell>
          <cell r="L246" t="str">
            <v>European Union</v>
          </cell>
          <cell r="M246">
            <v>0.90320100000000003</v>
          </cell>
        </row>
        <row r="247">
          <cell r="A247" t="str">
            <v>D35.23EU1</v>
          </cell>
          <cell r="B247" t="str">
            <v>D</v>
          </cell>
          <cell r="C247" t="str">
            <v>EU1</v>
          </cell>
          <cell r="D247" t="str">
            <v>35.23</v>
          </cell>
          <cell r="E247">
            <v>174545.15</v>
          </cell>
          <cell r="F247">
            <v>1109698.8</v>
          </cell>
          <cell r="G247">
            <v>725326.28</v>
          </cell>
          <cell r="H247">
            <v>3144574.85</v>
          </cell>
          <cell r="I247">
            <v>276.32075700000001</v>
          </cell>
          <cell r="J247">
            <v>10.258388</v>
          </cell>
          <cell r="K247">
            <v>85.789259999999999</v>
          </cell>
          <cell r="L247" t="str">
            <v>European Union</v>
          </cell>
          <cell r="M247">
            <v>0.17454500000000001</v>
          </cell>
        </row>
        <row r="248">
          <cell r="A248" t="str">
            <v>D35.30EU1</v>
          </cell>
          <cell r="B248" t="str">
            <v>D</v>
          </cell>
          <cell r="C248" t="str">
            <v>EU1</v>
          </cell>
          <cell r="D248" t="str">
            <v>35.30</v>
          </cell>
          <cell r="E248">
            <v>165918.78</v>
          </cell>
          <cell r="F248">
            <v>3173211.27</v>
          </cell>
          <cell r="G248">
            <v>2199191.16</v>
          </cell>
          <cell r="H248">
            <v>8680224.1199999992</v>
          </cell>
          <cell r="I248">
            <v>175.678393</v>
          </cell>
          <cell r="J248">
            <v>6.5220459999999996</v>
          </cell>
          <cell r="K248">
            <v>54.542841000000003</v>
          </cell>
          <cell r="L248" t="str">
            <v>European Union</v>
          </cell>
          <cell r="M248">
            <v>0.16591900000000001</v>
          </cell>
        </row>
        <row r="249">
          <cell r="A249" t="str">
            <v>E39.00EU1</v>
          </cell>
          <cell r="B249" t="str">
            <v>E</v>
          </cell>
          <cell r="C249" t="str">
            <v>EU1</v>
          </cell>
          <cell r="D249" t="str">
            <v>39.00</v>
          </cell>
          <cell r="E249">
            <v>432.56</v>
          </cell>
          <cell r="F249">
            <v>120132.32</v>
          </cell>
          <cell r="G249">
            <v>114404.4</v>
          </cell>
          <cell r="H249">
            <v>29000</v>
          </cell>
          <cell r="I249">
            <v>3.6879999999999999E-3</v>
          </cell>
          <cell r="J249">
            <v>6.1700000000000004E-4</v>
          </cell>
          <cell r="K249">
            <v>6.7479999999999997E-3</v>
          </cell>
          <cell r="L249" t="str">
            <v>European Union</v>
          </cell>
          <cell r="M249">
            <v>4.3300000000000001E-4</v>
          </cell>
        </row>
        <row r="250">
          <cell r="A250" t="str">
            <v>E38.32EU1</v>
          </cell>
          <cell r="B250" t="str">
            <v>E</v>
          </cell>
          <cell r="C250" t="str">
            <v>EU1</v>
          </cell>
          <cell r="D250" t="str">
            <v>38.32</v>
          </cell>
          <cell r="E250">
            <v>8931296.5234009996</v>
          </cell>
          <cell r="F250">
            <v>63880459.039999999</v>
          </cell>
          <cell r="G250">
            <v>133533883.92</v>
          </cell>
          <cell r="H250">
            <v>424064432.07999998</v>
          </cell>
          <cell r="I250">
            <v>1351.267466</v>
          </cell>
          <cell r="J250">
            <v>491.67259200000001</v>
          </cell>
          <cell r="K250">
            <v>4722.9256169999999</v>
          </cell>
          <cell r="L250" t="str">
            <v>European Union</v>
          </cell>
          <cell r="M250">
            <v>8.9312970000000007</v>
          </cell>
        </row>
        <row r="251">
          <cell r="A251" t="str">
            <v>E38.21EU1</v>
          </cell>
          <cell r="B251" t="str">
            <v>E</v>
          </cell>
          <cell r="C251" t="str">
            <v>EU1</v>
          </cell>
          <cell r="D251" t="str">
            <v>38.21</v>
          </cell>
          <cell r="E251">
            <v>1208906.3400000001</v>
          </cell>
          <cell r="F251">
            <v>43652668.82</v>
          </cell>
          <cell r="G251">
            <v>144598382.90000001</v>
          </cell>
          <cell r="H251">
            <v>144901077.46000001</v>
          </cell>
          <cell r="I251">
            <v>2520.1805009999998</v>
          </cell>
          <cell r="J251">
            <v>305.18939499999999</v>
          </cell>
          <cell r="K251">
            <v>1621.953653</v>
          </cell>
          <cell r="L251" t="str">
            <v>European Union</v>
          </cell>
          <cell r="M251">
            <v>1.208906</v>
          </cell>
        </row>
        <row r="252">
          <cell r="A252" t="str">
            <v>E38.12EU1</v>
          </cell>
          <cell r="B252" t="str">
            <v>E</v>
          </cell>
          <cell r="C252" t="str">
            <v>EU1</v>
          </cell>
          <cell r="D252" t="str">
            <v>38.12</v>
          </cell>
          <cell r="E252">
            <v>117689.07</v>
          </cell>
          <cell r="F252">
            <v>1010740.99</v>
          </cell>
          <cell r="G252">
            <v>7753958.6399999997</v>
          </cell>
          <cell r="H252">
            <v>534760.39</v>
          </cell>
          <cell r="I252">
            <v>0.43574299999999999</v>
          </cell>
          <cell r="J252">
            <v>0.158549</v>
          </cell>
          <cell r="K252">
            <v>1.5229999999999999</v>
          </cell>
          <cell r="L252" t="str">
            <v>European Union</v>
          </cell>
          <cell r="M252">
            <v>0.117689</v>
          </cell>
        </row>
        <row r="253">
          <cell r="A253" t="str">
            <v>E38.11EU1</v>
          </cell>
          <cell r="B253" t="str">
            <v>E</v>
          </cell>
          <cell r="C253" t="str">
            <v>EU1</v>
          </cell>
          <cell r="D253" t="str">
            <v>38.11</v>
          </cell>
          <cell r="E253">
            <v>63465829.018489003</v>
          </cell>
          <cell r="F253">
            <v>227952688.28999999</v>
          </cell>
          <cell r="G253">
            <v>590723659.48000002</v>
          </cell>
          <cell r="H253">
            <v>306265345.29000002</v>
          </cell>
          <cell r="I253">
            <v>1138.2182680000001</v>
          </cell>
          <cell r="J253">
            <v>190.26846</v>
          </cell>
          <cell r="K253">
            <v>2082.6463709999998</v>
          </cell>
          <cell r="L253" t="str">
            <v>European Union</v>
          </cell>
          <cell r="M253">
            <v>63.465828999999999</v>
          </cell>
        </row>
        <row r="254">
          <cell r="A254" t="str">
            <v>E37.00EU1</v>
          </cell>
          <cell r="B254" t="str">
            <v>E</v>
          </cell>
          <cell r="C254" t="str">
            <v>EU1</v>
          </cell>
          <cell r="D254" t="str">
            <v>37.00</v>
          </cell>
          <cell r="E254">
            <v>881383.21022699995</v>
          </cell>
          <cell r="F254">
            <v>2716309.12</v>
          </cell>
          <cell r="G254">
            <v>5649449.6100000003</v>
          </cell>
          <cell r="H254">
            <v>16444590.029999999</v>
          </cell>
          <cell r="I254">
            <v>106.544894</v>
          </cell>
          <cell r="J254">
            <v>17.810409</v>
          </cell>
          <cell r="K254">
            <v>194.94972100000001</v>
          </cell>
          <cell r="L254" t="str">
            <v>European Union</v>
          </cell>
          <cell r="M254">
            <v>0.88138300000000003</v>
          </cell>
        </row>
        <row r="255">
          <cell r="A255" t="str">
            <v>E38.31EU1</v>
          </cell>
          <cell r="B255" t="str">
            <v>E</v>
          </cell>
          <cell r="C255" t="str">
            <v>EU1</v>
          </cell>
          <cell r="D255" t="str">
            <v>38.31</v>
          </cell>
          <cell r="E255">
            <v>1191199.629868</v>
          </cell>
          <cell r="F255">
            <v>6504002.4299999997</v>
          </cell>
          <cell r="G255">
            <v>22464541.27</v>
          </cell>
          <cell r="H255">
            <v>50941727.079999998</v>
          </cell>
          <cell r="I255">
            <v>157.45696599999999</v>
          </cell>
          <cell r="J255">
            <v>57.292335999999999</v>
          </cell>
          <cell r="K255">
            <v>550.34073699999999</v>
          </cell>
          <cell r="L255" t="str">
            <v>European Union</v>
          </cell>
          <cell r="M255">
            <v>1.1912</v>
          </cell>
        </row>
        <row r="256">
          <cell r="A256" t="str">
            <v>E36.00EU1</v>
          </cell>
          <cell r="B256" t="str">
            <v>E</v>
          </cell>
          <cell r="C256" t="str">
            <v>EU1</v>
          </cell>
          <cell r="D256" t="str">
            <v>36.00</v>
          </cell>
          <cell r="E256">
            <v>6688694.2300000004</v>
          </cell>
          <cell r="F256">
            <v>450429994.26999998</v>
          </cell>
          <cell r="G256">
            <v>1279673977.23</v>
          </cell>
          <cell r="H256">
            <v>469217476.55000001</v>
          </cell>
          <cell r="I256">
            <v>4592.4306809999998</v>
          </cell>
          <cell r="J256">
            <v>170.49364700000001</v>
          </cell>
          <cell r="K256">
            <v>1425.8111899999999</v>
          </cell>
          <cell r="L256" t="str">
            <v>European Union</v>
          </cell>
          <cell r="M256">
            <v>6.6886939999999999</v>
          </cell>
        </row>
        <row r="257">
          <cell r="A257" t="str">
            <v>F42.13EU1</v>
          </cell>
          <cell r="B257" t="str">
            <v>F</v>
          </cell>
          <cell r="C257" t="str">
            <v>EU1</v>
          </cell>
          <cell r="D257" t="str">
            <v>42.13</v>
          </cell>
          <cell r="E257">
            <v>3399592.8000230002</v>
          </cell>
          <cell r="F257">
            <v>105506028.09999999</v>
          </cell>
          <cell r="G257">
            <v>151283758.75</v>
          </cell>
          <cell r="H257">
            <v>138327987.03</v>
          </cell>
          <cell r="I257">
            <v>71.910252</v>
          </cell>
          <cell r="J257">
            <v>10.104361000000001</v>
          </cell>
          <cell r="K257">
            <v>559.20728299999996</v>
          </cell>
          <cell r="L257" t="str">
            <v>European Union</v>
          </cell>
          <cell r="M257">
            <v>3.3995929999999999</v>
          </cell>
        </row>
        <row r="258">
          <cell r="A258" t="str">
            <v>F41.10EU1</v>
          </cell>
          <cell r="B258" t="str">
            <v>F</v>
          </cell>
          <cell r="C258" t="str">
            <v>EU1</v>
          </cell>
          <cell r="D258" t="str">
            <v>41.10</v>
          </cell>
          <cell r="E258">
            <v>6368626.3086959999</v>
          </cell>
          <cell r="F258">
            <v>251996471.41</v>
          </cell>
          <cell r="G258">
            <v>808364521.70000005</v>
          </cell>
          <cell r="H258">
            <v>89545173.719999999</v>
          </cell>
          <cell r="I258">
            <v>181.14627400000001</v>
          </cell>
          <cell r="J258">
            <v>81.380621000000005</v>
          </cell>
          <cell r="K258">
            <v>1014.649335</v>
          </cell>
          <cell r="L258" t="str">
            <v>European Union</v>
          </cell>
          <cell r="M258">
            <v>6.3686259999999999</v>
          </cell>
        </row>
        <row r="259">
          <cell r="A259" t="str">
            <v>F42.22EU1</v>
          </cell>
          <cell r="B259" t="str">
            <v>F</v>
          </cell>
          <cell r="C259" t="str">
            <v>EU1</v>
          </cell>
          <cell r="D259" t="str">
            <v>42.22</v>
          </cell>
          <cell r="E259">
            <v>2518214.8477579998</v>
          </cell>
          <cell r="F259">
            <v>60199029.5</v>
          </cell>
          <cell r="G259">
            <v>249458796.16</v>
          </cell>
          <cell r="H259">
            <v>345756564.94999999</v>
          </cell>
          <cell r="I259">
            <v>146.88458399999999</v>
          </cell>
          <cell r="J259">
            <v>20.639271000000001</v>
          </cell>
          <cell r="K259">
            <v>1142.2423229999999</v>
          </cell>
          <cell r="L259" t="str">
            <v>European Union</v>
          </cell>
          <cell r="M259">
            <v>2.5182150000000001</v>
          </cell>
        </row>
        <row r="260">
          <cell r="A260" t="str">
            <v>F43.12EU1</v>
          </cell>
          <cell r="B260" t="str">
            <v>F</v>
          </cell>
          <cell r="C260" t="str">
            <v>EU1</v>
          </cell>
          <cell r="D260" t="str">
            <v>43.12</v>
          </cell>
          <cell r="E260">
            <v>7103621.4956200002</v>
          </cell>
          <cell r="F260">
            <v>22865999.420000002</v>
          </cell>
          <cell r="G260">
            <v>48152919.310000002</v>
          </cell>
          <cell r="H260">
            <v>119076564.03</v>
          </cell>
          <cell r="I260">
            <v>559.35954700000002</v>
          </cell>
          <cell r="J260">
            <v>78.597555999999997</v>
          </cell>
          <cell r="K260">
            <v>4349.8377600000003</v>
          </cell>
          <cell r="L260" t="str">
            <v>European Union</v>
          </cell>
          <cell r="M260">
            <v>7.1036210000000004</v>
          </cell>
        </row>
        <row r="261">
          <cell r="A261" t="str">
            <v>F43.91EU1</v>
          </cell>
          <cell r="B261" t="str">
            <v>F</v>
          </cell>
          <cell r="C261" t="str">
            <v>EU1</v>
          </cell>
          <cell r="D261" t="str">
            <v>43.91</v>
          </cell>
          <cell r="E261">
            <v>2195028.4412779999</v>
          </cell>
          <cell r="F261">
            <v>7976279.3700000001</v>
          </cell>
          <cell r="G261">
            <v>18453466.120000001</v>
          </cell>
          <cell r="H261">
            <v>45053470.119999997</v>
          </cell>
          <cell r="I261">
            <v>144.47326000000001</v>
          </cell>
          <cell r="J261">
            <v>20.300438</v>
          </cell>
          <cell r="K261">
            <v>1123.4906739999999</v>
          </cell>
          <cell r="L261" t="str">
            <v>European Union</v>
          </cell>
          <cell r="M261">
            <v>2.1950280000000002</v>
          </cell>
        </row>
        <row r="262">
          <cell r="A262" t="str">
            <v>F42.12EU1</v>
          </cell>
          <cell r="B262" t="str">
            <v>F</v>
          </cell>
          <cell r="C262" t="str">
            <v>EU1</v>
          </cell>
          <cell r="D262" t="str">
            <v>42.12</v>
          </cell>
          <cell r="E262">
            <v>3695931.62</v>
          </cell>
          <cell r="F262">
            <v>20089135.550000001</v>
          </cell>
          <cell r="G262">
            <v>20785129.57</v>
          </cell>
          <cell r="H262">
            <v>49671987.729999997</v>
          </cell>
          <cell r="I262">
            <v>120.430871</v>
          </cell>
          <cell r="J262">
            <v>16.922165</v>
          </cell>
          <cell r="K262">
            <v>936.52596600000004</v>
          </cell>
          <cell r="L262" t="str">
            <v>European Union</v>
          </cell>
          <cell r="M262">
            <v>3.695932</v>
          </cell>
        </row>
        <row r="263">
          <cell r="A263" t="str">
            <v>F43.22EU1</v>
          </cell>
          <cell r="B263" t="str">
            <v>F</v>
          </cell>
          <cell r="C263" t="str">
            <v>EU1</v>
          </cell>
          <cell r="D263" t="str">
            <v>43.22</v>
          </cell>
          <cell r="E263">
            <v>17367500.070881002</v>
          </cell>
          <cell r="F263">
            <v>86957385</v>
          </cell>
          <cell r="G263">
            <v>151539956.24000001</v>
          </cell>
          <cell r="H263">
            <v>498234951.13999999</v>
          </cell>
          <cell r="I263">
            <v>1774.2348710000001</v>
          </cell>
          <cell r="J263">
            <v>249.30394899999999</v>
          </cell>
          <cell r="K263">
            <v>13797.268582000001</v>
          </cell>
          <cell r="L263" t="str">
            <v>European Union</v>
          </cell>
          <cell r="M263">
            <v>17.3675</v>
          </cell>
        </row>
        <row r="264">
          <cell r="A264" t="str">
            <v>F43.99EU1</v>
          </cell>
          <cell r="B264" t="str">
            <v>F</v>
          </cell>
          <cell r="C264" t="str">
            <v>EU1</v>
          </cell>
          <cell r="D264" t="str">
            <v>43.99</v>
          </cell>
          <cell r="E264">
            <v>23073610.783870999</v>
          </cell>
          <cell r="F264">
            <v>135981556.06</v>
          </cell>
          <cell r="G264">
            <v>194351124.78999999</v>
          </cell>
          <cell r="H264">
            <v>599698906.70000005</v>
          </cell>
          <cell r="I264">
            <v>2325.7928499999998</v>
          </cell>
          <cell r="J264">
            <v>326.80530499999998</v>
          </cell>
          <cell r="K264">
            <v>18086.437792000001</v>
          </cell>
          <cell r="L264" t="str">
            <v>European Union</v>
          </cell>
          <cell r="M264">
            <v>23.073611</v>
          </cell>
        </row>
        <row r="265">
          <cell r="A265" t="str">
            <v>F43.32EU1</v>
          </cell>
          <cell r="B265" t="str">
            <v>F</v>
          </cell>
          <cell r="C265" t="str">
            <v>EU1</v>
          </cell>
          <cell r="D265" t="str">
            <v>43.32</v>
          </cell>
          <cell r="E265">
            <v>10076308.348549001</v>
          </cell>
          <cell r="F265">
            <v>50435120.57</v>
          </cell>
          <cell r="G265">
            <v>56198107.170000002</v>
          </cell>
          <cell r="H265">
            <v>174586324.11000001</v>
          </cell>
          <cell r="I265">
            <v>985.08365300000003</v>
          </cell>
          <cell r="J265">
            <v>138.41755900000001</v>
          </cell>
          <cell r="K265">
            <v>7660.4647949999999</v>
          </cell>
          <cell r="L265" t="str">
            <v>European Union</v>
          </cell>
          <cell r="M265">
            <v>10.076307999999999</v>
          </cell>
        </row>
        <row r="266">
          <cell r="A266" t="str">
            <v>F42.21EU1</v>
          </cell>
          <cell r="B266" t="str">
            <v>F</v>
          </cell>
          <cell r="C266" t="str">
            <v>EU1</v>
          </cell>
          <cell r="D266" t="str">
            <v>42.21</v>
          </cell>
          <cell r="E266">
            <v>2602928.3532670001</v>
          </cell>
          <cell r="F266">
            <v>45343233.740000002</v>
          </cell>
          <cell r="G266">
            <v>78919760.569999993</v>
          </cell>
          <cell r="H266">
            <v>145556602.77000001</v>
          </cell>
          <cell r="I266">
            <v>170.025871</v>
          </cell>
          <cell r="J266">
            <v>23.890934000000001</v>
          </cell>
          <cell r="K266">
            <v>1322.199601</v>
          </cell>
          <cell r="L266" t="str">
            <v>European Union</v>
          </cell>
          <cell r="M266">
            <v>2.6029279999999999</v>
          </cell>
        </row>
        <row r="267">
          <cell r="A267" t="str">
            <v>F43.29EU1</v>
          </cell>
          <cell r="B267" t="str">
            <v>F</v>
          </cell>
          <cell r="C267" t="str">
            <v>EU1</v>
          </cell>
          <cell r="D267" t="str">
            <v>43.29</v>
          </cell>
          <cell r="E267">
            <v>5924299.4623760004</v>
          </cell>
          <cell r="F267">
            <v>66551754.450000003</v>
          </cell>
          <cell r="G267">
            <v>253985237.03</v>
          </cell>
          <cell r="H267">
            <v>353892221.79000002</v>
          </cell>
          <cell r="I267">
            <v>585.59766100000002</v>
          </cell>
          <cell r="J267">
            <v>82.284385</v>
          </cell>
          <cell r="K267">
            <v>4553.8774400000002</v>
          </cell>
          <cell r="L267" t="str">
            <v>European Union</v>
          </cell>
          <cell r="M267">
            <v>5.9242990000000004</v>
          </cell>
        </row>
        <row r="268">
          <cell r="A268" t="str">
            <v>F43.34EU1</v>
          </cell>
          <cell r="B268" t="str">
            <v>F</v>
          </cell>
          <cell r="C268" t="str">
            <v>EU1</v>
          </cell>
          <cell r="D268" t="str">
            <v>43.34</v>
          </cell>
          <cell r="E268">
            <v>2159517.899896</v>
          </cell>
          <cell r="F268">
            <v>6676282.2599999998</v>
          </cell>
          <cell r="G268">
            <v>12473455.16</v>
          </cell>
          <cell r="H268">
            <v>46723428.200000003</v>
          </cell>
          <cell r="I268">
            <v>222.301153</v>
          </cell>
          <cell r="J268">
            <v>31.236311000000001</v>
          </cell>
          <cell r="K268">
            <v>1728.7163089999999</v>
          </cell>
          <cell r="L268" t="str">
            <v>European Union</v>
          </cell>
          <cell r="M268">
            <v>2.1595179999999998</v>
          </cell>
        </row>
        <row r="269">
          <cell r="A269" t="str">
            <v>F43.13EU1</v>
          </cell>
          <cell r="B269" t="str">
            <v>F</v>
          </cell>
          <cell r="C269" t="str">
            <v>EU1</v>
          </cell>
          <cell r="D269" t="str">
            <v>43.13</v>
          </cell>
          <cell r="E269">
            <v>1111495.8268560001</v>
          </cell>
          <cell r="F269">
            <v>4125355.47</v>
          </cell>
          <cell r="G269">
            <v>6992759.4699999997</v>
          </cell>
          <cell r="H269">
            <v>13075767.9</v>
          </cell>
          <cell r="I269">
            <v>66.923845999999998</v>
          </cell>
          <cell r="J269">
            <v>9.4037019999999991</v>
          </cell>
          <cell r="K269">
            <v>520.43068800000003</v>
          </cell>
          <cell r="L269" t="str">
            <v>European Union</v>
          </cell>
          <cell r="M269">
            <v>1.111496</v>
          </cell>
        </row>
        <row r="270">
          <cell r="A270" t="str">
            <v>F43.21EU1</v>
          </cell>
          <cell r="B270" t="str">
            <v>F</v>
          </cell>
          <cell r="C270" t="str">
            <v>EU1</v>
          </cell>
          <cell r="D270" t="str">
            <v>43.21</v>
          </cell>
          <cell r="E270">
            <v>37429833.695742004</v>
          </cell>
          <cell r="F270">
            <v>166034034.74000001</v>
          </cell>
          <cell r="G270">
            <v>274770191.01999998</v>
          </cell>
          <cell r="H270">
            <v>1006714604.5</v>
          </cell>
          <cell r="I270">
            <v>3484.1323189999998</v>
          </cell>
          <cell r="J270">
            <v>489.56761599999999</v>
          </cell>
          <cell r="K270">
            <v>27094.219688000001</v>
          </cell>
          <cell r="L270" t="str">
            <v>European Union</v>
          </cell>
          <cell r="M270">
            <v>37.429834</v>
          </cell>
        </row>
        <row r="271">
          <cell r="A271" t="str">
            <v>F42.11EU1</v>
          </cell>
          <cell r="B271" t="str">
            <v>F</v>
          </cell>
          <cell r="C271" t="str">
            <v>EU1</v>
          </cell>
          <cell r="D271" t="str">
            <v>42.11</v>
          </cell>
          <cell r="E271">
            <v>40608753.714552999</v>
          </cell>
          <cell r="F271">
            <v>534626334.43000001</v>
          </cell>
          <cell r="G271">
            <v>812596070.38</v>
          </cell>
          <cell r="H271">
            <v>1554691475.8</v>
          </cell>
          <cell r="I271">
            <v>1771.319479</v>
          </cell>
          <cell r="J271">
            <v>248.89429100000001</v>
          </cell>
          <cell r="K271">
            <v>13774.597110000001</v>
          </cell>
          <cell r="L271" t="str">
            <v>European Union</v>
          </cell>
          <cell r="M271">
            <v>40.608753999999998</v>
          </cell>
        </row>
        <row r="272">
          <cell r="A272" t="str">
            <v>F43.11EU1</v>
          </cell>
          <cell r="B272" t="str">
            <v>F</v>
          </cell>
          <cell r="C272" t="str">
            <v>EU1</v>
          </cell>
          <cell r="D272" t="str">
            <v>43.11</v>
          </cell>
          <cell r="E272">
            <v>665512.1</v>
          </cell>
          <cell r="F272">
            <v>5064753.22</v>
          </cell>
          <cell r="G272">
            <v>29217121.920000002</v>
          </cell>
          <cell r="H272">
            <v>38357973.189999998</v>
          </cell>
          <cell r="I272">
            <v>50.841675000000002</v>
          </cell>
          <cell r="J272">
            <v>7.1439430000000002</v>
          </cell>
          <cell r="K272">
            <v>395.36830600000002</v>
          </cell>
          <cell r="L272" t="str">
            <v>European Union</v>
          </cell>
          <cell r="M272">
            <v>0.66551199999999999</v>
          </cell>
        </row>
        <row r="273">
          <cell r="A273" t="str">
            <v>F41.20EU1</v>
          </cell>
          <cell r="B273" t="str">
            <v>F</v>
          </cell>
          <cell r="C273" t="str">
            <v>EU1</v>
          </cell>
          <cell r="D273" t="str">
            <v>41.20</v>
          </cell>
          <cell r="E273">
            <v>153929884.41999999</v>
          </cell>
          <cell r="F273">
            <v>717341475.57000005</v>
          </cell>
          <cell r="G273">
            <v>1751813323.8800001</v>
          </cell>
          <cell r="H273">
            <v>4195943413.8600001</v>
          </cell>
          <cell r="I273">
            <v>16390.715927000001</v>
          </cell>
          <cell r="J273">
            <v>2303.116822</v>
          </cell>
          <cell r="K273">
            <v>127461.76549400001</v>
          </cell>
          <cell r="L273" t="str">
            <v>European Union</v>
          </cell>
          <cell r="M273">
            <v>153.92988399999999</v>
          </cell>
        </row>
        <row r="274">
          <cell r="A274" t="str">
            <v>F42.99EU1</v>
          </cell>
          <cell r="B274" t="str">
            <v>F</v>
          </cell>
          <cell r="C274" t="str">
            <v>EU1</v>
          </cell>
          <cell r="D274" t="str">
            <v>42.99</v>
          </cell>
          <cell r="E274">
            <v>26510286.788734</v>
          </cell>
          <cell r="F274">
            <v>162661599.71000001</v>
          </cell>
          <cell r="G274">
            <v>455000149.06999999</v>
          </cell>
          <cell r="H274">
            <v>1127461433.6900001</v>
          </cell>
          <cell r="I274">
            <v>2153.9095109999998</v>
          </cell>
          <cell r="J274">
            <v>302.65336400000001</v>
          </cell>
          <cell r="K274">
            <v>16749.793601000001</v>
          </cell>
          <cell r="L274" t="str">
            <v>European Union</v>
          </cell>
          <cell r="M274">
            <v>26.510287000000002</v>
          </cell>
        </row>
        <row r="275">
          <cell r="A275" t="str">
            <v>F43.31EU1</v>
          </cell>
          <cell r="B275" t="str">
            <v>F</v>
          </cell>
          <cell r="C275" t="str">
            <v>EU1</v>
          </cell>
          <cell r="D275" t="str">
            <v>43.31</v>
          </cell>
          <cell r="E275">
            <v>2190696.4595229998</v>
          </cell>
          <cell r="F275">
            <v>4055380.15</v>
          </cell>
          <cell r="G275">
            <v>9813862.8800000008</v>
          </cell>
          <cell r="H275">
            <v>32263319.760000002</v>
          </cell>
          <cell r="I275">
            <v>260.15518700000001</v>
          </cell>
          <cell r="J275">
            <v>36.555312999999998</v>
          </cell>
          <cell r="K275">
            <v>2023.0866960000001</v>
          </cell>
          <cell r="L275" t="str">
            <v>European Union</v>
          </cell>
          <cell r="M275">
            <v>2.190696</v>
          </cell>
        </row>
        <row r="276">
          <cell r="A276" t="str">
            <v>F42.91EU1</v>
          </cell>
          <cell r="B276" t="str">
            <v>F</v>
          </cell>
          <cell r="C276" t="str">
            <v>EU1</v>
          </cell>
          <cell r="D276" t="str">
            <v>42.91</v>
          </cell>
          <cell r="E276">
            <v>1913811.01</v>
          </cell>
          <cell r="F276">
            <v>32199304.559999999</v>
          </cell>
          <cell r="G276">
            <v>73481853.319999993</v>
          </cell>
          <cell r="H276">
            <v>67512600.870000005</v>
          </cell>
          <cell r="I276">
            <v>48.769159000000002</v>
          </cell>
          <cell r="J276">
            <v>6.8527269999999998</v>
          </cell>
          <cell r="K276">
            <v>379.25151299999999</v>
          </cell>
          <cell r="L276" t="str">
            <v>European Union</v>
          </cell>
          <cell r="M276">
            <v>1.9138109999999999</v>
          </cell>
        </row>
        <row r="277">
          <cell r="A277" t="str">
            <v>F43.33EU1</v>
          </cell>
          <cell r="B277" t="str">
            <v>F</v>
          </cell>
          <cell r="C277" t="str">
            <v>EU1</v>
          </cell>
          <cell r="D277" t="str">
            <v>43.33</v>
          </cell>
          <cell r="E277">
            <v>5423241.1411619997</v>
          </cell>
          <cell r="F277">
            <v>19284286.98</v>
          </cell>
          <cell r="G277">
            <v>25851328.050000001</v>
          </cell>
          <cell r="H277">
            <v>93542227.790000007</v>
          </cell>
          <cell r="I277">
            <v>868.78446399999996</v>
          </cell>
          <cell r="J277">
            <v>122.07595000000001</v>
          </cell>
          <cell r="K277">
            <v>6756.0685480000002</v>
          </cell>
          <cell r="L277" t="str">
            <v>European Union</v>
          </cell>
          <cell r="M277">
            <v>5.423241</v>
          </cell>
        </row>
        <row r="278">
          <cell r="A278" t="str">
            <v>F43.39EU1</v>
          </cell>
          <cell r="B278" t="str">
            <v>F</v>
          </cell>
          <cell r="C278" t="str">
            <v>EU1</v>
          </cell>
          <cell r="D278" t="str">
            <v>43.39</v>
          </cell>
          <cell r="E278">
            <v>4470456.99</v>
          </cell>
          <cell r="F278">
            <v>9057401.4700000007</v>
          </cell>
          <cell r="G278">
            <v>19742455.039999999</v>
          </cell>
          <cell r="H278">
            <v>49628866.700000003</v>
          </cell>
          <cell r="I278">
            <v>432.07705700000002</v>
          </cell>
          <cell r="J278">
            <v>60.712676000000002</v>
          </cell>
          <cell r="K278">
            <v>3360.0304569999998</v>
          </cell>
          <cell r="L278" t="str">
            <v>European Union</v>
          </cell>
          <cell r="M278">
            <v>4.4704569999999997</v>
          </cell>
        </row>
        <row r="279">
          <cell r="A279" t="str">
            <v>G46.31EU1</v>
          </cell>
          <cell r="B279" t="str">
            <v>G</v>
          </cell>
          <cell r="C279" t="str">
            <v>EU1</v>
          </cell>
          <cell r="D279" t="str">
            <v>46.31</v>
          </cell>
          <cell r="E279">
            <v>18531920.455114</v>
          </cell>
          <cell r="F279">
            <v>206006094.19</v>
          </cell>
          <cell r="G279">
            <v>203782889.22999999</v>
          </cell>
          <cell r="H279">
            <v>1139165505.6900001</v>
          </cell>
          <cell r="I279">
            <v>2229.6451740000002</v>
          </cell>
          <cell r="J279">
            <v>1059.061798</v>
          </cell>
          <cell r="K279">
            <v>10143.068705</v>
          </cell>
          <cell r="L279" t="str">
            <v>European Union</v>
          </cell>
          <cell r="M279">
            <v>18.53192</v>
          </cell>
        </row>
        <row r="280">
          <cell r="A280" t="str">
            <v>G46.62EU1</v>
          </cell>
          <cell r="B280" t="str">
            <v>G</v>
          </cell>
          <cell r="C280" t="str">
            <v>EU1</v>
          </cell>
          <cell r="D280" t="str">
            <v>46.62</v>
          </cell>
          <cell r="E280">
            <v>12118337.862907</v>
          </cell>
          <cell r="F280">
            <v>71608540.099999994</v>
          </cell>
          <cell r="G280">
            <v>116723232.17</v>
          </cell>
          <cell r="H280">
            <v>292116376.57999998</v>
          </cell>
          <cell r="I280">
            <v>712.44655699999998</v>
          </cell>
          <cell r="J280">
            <v>338.40582599999999</v>
          </cell>
          <cell r="K280">
            <v>3241.0512910000002</v>
          </cell>
          <cell r="L280" t="str">
            <v>European Union</v>
          </cell>
          <cell r="M280">
            <v>12.118338</v>
          </cell>
        </row>
        <row r="281">
          <cell r="A281" t="str">
            <v>G47.78EU1</v>
          </cell>
          <cell r="B281" t="str">
            <v>G</v>
          </cell>
          <cell r="C281" t="str">
            <v>EU1</v>
          </cell>
          <cell r="D281" t="str">
            <v>47.78</v>
          </cell>
          <cell r="E281">
            <v>45698511.508551002</v>
          </cell>
          <cell r="F281">
            <v>170789575.90000001</v>
          </cell>
          <cell r="G281">
            <v>274526336.49000001</v>
          </cell>
          <cell r="H281">
            <v>736574960.53999996</v>
          </cell>
          <cell r="I281">
            <v>3305.6553650000001</v>
          </cell>
          <cell r="J281">
            <v>1570.1571140000001</v>
          </cell>
          <cell r="K281">
            <v>15038.038172</v>
          </cell>
          <cell r="L281" t="str">
            <v>European Union</v>
          </cell>
          <cell r="M281">
            <v>45.698512000000001</v>
          </cell>
        </row>
        <row r="282">
          <cell r="A282" t="str">
            <v>G47.30EU1</v>
          </cell>
          <cell r="B282" t="str">
            <v>G</v>
          </cell>
          <cell r="C282" t="str">
            <v>EU1</v>
          </cell>
          <cell r="D282" t="str">
            <v>47.30</v>
          </cell>
          <cell r="E282">
            <v>18362359.821256999</v>
          </cell>
          <cell r="F282">
            <v>117386415.25</v>
          </cell>
          <cell r="G282">
            <v>405473340.62</v>
          </cell>
          <cell r="H282">
            <v>2240185250.96</v>
          </cell>
          <cell r="I282">
            <v>5186.5887080000002</v>
          </cell>
          <cell r="J282">
            <v>2463.5839030000002</v>
          </cell>
          <cell r="K282">
            <v>23594.752296999999</v>
          </cell>
          <cell r="L282" t="str">
            <v>European Union</v>
          </cell>
          <cell r="M282">
            <v>18.362359999999999</v>
          </cell>
        </row>
        <row r="283">
          <cell r="A283" t="str">
            <v>G46.76EU1</v>
          </cell>
          <cell r="B283" t="str">
            <v>G</v>
          </cell>
          <cell r="C283" t="str">
            <v>EU1</v>
          </cell>
          <cell r="D283" t="str">
            <v>46.76</v>
          </cell>
          <cell r="E283">
            <v>8725248.9065540005</v>
          </cell>
          <cell r="F283">
            <v>54379459.960000001</v>
          </cell>
          <cell r="G283">
            <v>101347165.54000001</v>
          </cell>
          <cell r="H283">
            <v>370014847.69</v>
          </cell>
          <cell r="I283">
            <v>587.01402800000005</v>
          </cell>
          <cell r="J283">
            <v>278.82646799999998</v>
          </cell>
          <cell r="K283">
            <v>2670.435489</v>
          </cell>
          <cell r="L283" t="str">
            <v>European Union</v>
          </cell>
          <cell r="M283">
            <v>8.7252489999999998</v>
          </cell>
        </row>
        <row r="284">
          <cell r="A284" t="str">
            <v>G47.23EU1</v>
          </cell>
          <cell r="B284" t="str">
            <v>G</v>
          </cell>
          <cell r="C284" t="str">
            <v>EU1</v>
          </cell>
          <cell r="D284" t="str">
            <v>47.23</v>
          </cell>
          <cell r="E284">
            <v>2927366.75</v>
          </cell>
          <cell r="F284">
            <v>8141926.2400000002</v>
          </cell>
          <cell r="G284">
            <v>7343435.9900000002</v>
          </cell>
          <cell r="H284">
            <v>59409743.450000003</v>
          </cell>
          <cell r="I284">
            <v>1058.296981</v>
          </cell>
          <cell r="J284">
            <v>502.68173100000001</v>
          </cell>
          <cell r="K284">
            <v>4814.388876</v>
          </cell>
          <cell r="L284" t="str">
            <v>European Union</v>
          </cell>
          <cell r="M284">
            <v>2.9273669999999998</v>
          </cell>
        </row>
        <row r="285">
          <cell r="A285" t="str">
            <v>G47.52EU1</v>
          </cell>
          <cell r="B285" t="str">
            <v>G</v>
          </cell>
          <cell r="C285" t="str">
            <v>EU1</v>
          </cell>
          <cell r="D285" t="str">
            <v>47.52</v>
          </cell>
          <cell r="E285">
            <v>25982827.551917002</v>
          </cell>
          <cell r="F285">
            <v>105446149.8</v>
          </cell>
          <cell r="G285">
            <v>228353464.37</v>
          </cell>
          <cell r="H285">
            <v>605075473.13</v>
          </cell>
          <cell r="I285">
            <v>2301.8200149999998</v>
          </cell>
          <cell r="J285">
            <v>1093.3441849999999</v>
          </cell>
          <cell r="K285">
            <v>10471.405285000001</v>
          </cell>
          <cell r="L285" t="str">
            <v>European Union</v>
          </cell>
          <cell r="M285">
            <v>25.982828000000001</v>
          </cell>
        </row>
        <row r="286">
          <cell r="A286" t="str">
            <v>G47.26EU1</v>
          </cell>
          <cell r="B286" t="str">
            <v>G</v>
          </cell>
          <cell r="C286" t="str">
            <v>EU1</v>
          </cell>
          <cell r="D286" t="str">
            <v>47.26</v>
          </cell>
          <cell r="E286">
            <v>897794.07</v>
          </cell>
          <cell r="F286">
            <v>2925280.04</v>
          </cell>
          <cell r="G286">
            <v>6254481.8899999997</v>
          </cell>
          <cell r="H286">
            <v>57674376.100000001</v>
          </cell>
          <cell r="I286">
            <v>286.97441400000002</v>
          </cell>
          <cell r="J286">
            <v>136.310318</v>
          </cell>
          <cell r="K286">
            <v>1305.4997519999999</v>
          </cell>
          <cell r="L286" t="str">
            <v>European Union</v>
          </cell>
          <cell r="M286">
            <v>0.89779399999999998</v>
          </cell>
        </row>
        <row r="287">
          <cell r="A287" t="str">
            <v>G46.34EU1</v>
          </cell>
          <cell r="B287" t="str">
            <v>G</v>
          </cell>
          <cell r="C287" t="str">
            <v>EU1</v>
          </cell>
          <cell r="D287" t="str">
            <v>46.34</v>
          </cell>
          <cell r="E287">
            <v>16910389.838817999</v>
          </cell>
          <cell r="F287">
            <v>201306348.03</v>
          </cell>
          <cell r="G287">
            <v>183002696.50999999</v>
          </cell>
          <cell r="H287">
            <v>1254452303.25</v>
          </cell>
          <cell r="I287">
            <v>2309.2873509999999</v>
          </cell>
          <cell r="J287">
            <v>1096.8911290000001</v>
          </cell>
          <cell r="K287">
            <v>10505.375682</v>
          </cell>
          <cell r="L287" t="str">
            <v>European Union</v>
          </cell>
          <cell r="M287">
            <v>16.91039</v>
          </cell>
        </row>
        <row r="288">
          <cell r="A288" t="str">
            <v>G47.24EU1</v>
          </cell>
          <cell r="B288" t="str">
            <v>G</v>
          </cell>
          <cell r="C288" t="str">
            <v>EU1</v>
          </cell>
          <cell r="D288" t="str">
            <v>47.24</v>
          </cell>
          <cell r="E288">
            <v>861068.51</v>
          </cell>
          <cell r="F288">
            <v>2378394.4700000002</v>
          </cell>
          <cell r="G288">
            <v>3339783.32</v>
          </cell>
          <cell r="H288">
            <v>7901775.0899999999</v>
          </cell>
          <cell r="I288">
            <v>50.792093000000001</v>
          </cell>
          <cell r="J288">
            <v>24.125799000000001</v>
          </cell>
          <cell r="K288">
            <v>231.06264200000001</v>
          </cell>
          <cell r="L288" t="str">
            <v>European Union</v>
          </cell>
          <cell r="M288">
            <v>0.86106899999999997</v>
          </cell>
        </row>
        <row r="289">
          <cell r="A289" t="str">
            <v>G46.11EU1</v>
          </cell>
          <cell r="B289" t="str">
            <v>G</v>
          </cell>
          <cell r="C289" t="str">
            <v>EU1</v>
          </cell>
          <cell r="D289" t="str">
            <v>46.11</v>
          </cell>
          <cell r="E289">
            <v>179611.94</v>
          </cell>
          <cell r="F289">
            <v>347505.05</v>
          </cell>
          <cell r="G289">
            <v>928188.77</v>
          </cell>
          <cell r="H289">
            <v>4477214.84</v>
          </cell>
          <cell r="I289">
            <v>17.830383999999999</v>
          </cell>
          <cell r="J289">
            <v>8.4692740000000004</v>
          </cell>
          <cell r="K289">
            <v>81.113724000000005</v>
          </cell>
          <cell r="L289" t="str">
            <v>European Union</v>
          </cell>
          <cell r="M289">
            <v>0.17961199999999999</v>
          </cell>
        </row>
        <row r="290">
          <cell r="A290" t="str">
            <v>G47.72EU1</v>
          </cell>
          <cell r="B290" t="str">
            <v>G</v>
          </cell>
          <cell r="C290" t="str">
            <v>EU1</v>
          </cell>
          <cell r="D290" t="str">
            <v>47.72</v>
          </cell>
          <cell r="E290">
            <v>5611285.9100000001</v>
          </cell>
          <cell r="F290">
            <v>20106894.390000001</v>
          </cell>
          <cell r="G290">
            <v>37169469.890000001</v>
          </cell>
          <cell r="H290">
            <v>115890082.25</v>
          </cell>
          <cell r="I290">
            <v>488.50637399999999</v>
          </cell>
          <cell r="J290">
            <v>232.036216</v>
          </cell>
          <cell r="K290">
            <v>2222.3059499999999</v>
          </cell>
          <cell r="L290" t="str">
            <v>European Union</v>
          </cell>
          <cell r="M290">
            <v>5.6112859999999998</v>
          </cell>
        </row>
        <row r="291">
          <cell r="A291" t="str">
            <v>G46.36EU1</v>
          </cell>
          <cell r="B291" t="str">
            <v>G</v>
          </cell>
          <cell r="C291" t="str">
            <v>EU1</v>
          </cell>
          <cell r="D291" t="str">
            <v>46.36</v>
          </cell>
          <cell r="E291">
            <v>1617347.96007</v>
          </cell>
          <cell r="F291">
            <v>7483290.9299999997</v>
          </cell>
          <cell r="G291">
            <v>14698485.369999999</v>
          </cell>
          <cell r="H291">
            <v>60429582.049999997</v>
          </cell>
          <cell r="I291">
            <v>127.75693099999999</v>
          </cell>
          <cell r="J291">
            <v>60.683414999999997</v>
          </cell>
          <cell r="K291">
            <v>581.18994699999996</v>
          </cell>
          <cell r="L291" t="str">
            <v>European Union</v>
          </cell>
          <cell r="M291">
            <v>1.617348</v>
          </cell>
        </row>
        <row r="292">
          <cell r="A292" t="str">
            <v>G47.64EU1</v>
          </cell>
          <cell r="B292" t="str">
            <v>G</v>
          </cell>
          <cell r="C292" t="str">
            <v>EU1</v>
          </cell>
          <cell r="D292" t="str">
            <v>47.64</v>
          </cell>
          <cell r="E292">
            <v>7903260.9299999997</v>
          </cell>
          <cell r="F292">
            <v>29496209.710000001</v>
          </cell>
          <cell r="G292">
            <v>46386112.780000001</v>
          </cell>
          <cell r="H292">
            <v>129266633.38</v>
          </cell>
          <cell r="I292">
            <v>545.23511299999996</v>
          </cell>
          <cell r="J292">
            <v>258.98187200000001</v>
          </cell>
          <cell r="K292">
            <v>2480.3754880000001</v>
          </cell>
          <cell r="L292" t="str">
            <v>European Union</v>
          </cell>
          <cell r="M292">
            <v>7.9032609999999996</v>
          </cell>
        </row>
        <row r="293">
          <cell r="A293" t="str">
            <v>G47.21EU1</v>
          </cell>
          <cell r="B293" t="str">
            <v>G</v>
          </cell>
          <cell r="C293" t="str">
            <v>EU1</v>
          </cell>
          <cell r="D293" t="str">
            <v>47.21</v>
          </cell>
          <cell r="E293">
            <v>1401811.5990820001</v>
          </cell>
          <cell r="F293">
            <v>4871828.76</v>
          </cell>
          <cell r="G293">
            <v>5987187.46</v>
          </cell>
          <cell r="H293">
            <v>30846237.09</v>
          </cell>
          <cell r="I293">
            <v>206.394699</v>
          </cell>
          <cell r="J293">
            <v>98.035663</v>
          </cell>
          <cell r="K293">
            <v>938.92769399999997</v>
          </cell>
          <cell r="L293" t="str">
            <v>European Union</v>
          </cell>
          <cell r="M293">
            <v>1.4018120000000001</v>
          </cell>
        </row>
        <row r="294">
          <cell r="A294" t="str">
            <v>G46.74EU1</v>
          </cell>
          <cell r="B294" t="str">
            <v>G</v>
          </cell>
          <cell r="C294" t="str">
            <v>EU1</v>
          </cell>
          <cell r="D294" t="str">
            <v>46.74</v>
          </cell>
          <cell r="E294">
            <v>11588046.59</v>
          </cell>
          <cell r="F294">
            <v>80053716.140000001</v>
          </cell>
          <cell r="G294">
            <v>280892194.38999999</v>
          </cell>
          <cell r="H294">
            <v>452188557.18000001</v>
          </cell>
          <cell r="I294">
            <v>639.75322900000003</v>
          </cell>
          <cell r="J294">
            <v>303.87714</v>
          </cell>
          <cell r="K294">
            <v>2910.3558969999999</v>
          </cell>
          <cell r="L294" t="str">
            <v>European Union</v>
          </cell>
          <cell r="M294">
            <v>11.588047</v>
          </cell>
        </row>
        <row r="295">
          <cell r="A295" t="str">
            <v>G46.13EU1</v>
          </cell>
          <cell r="B295" t="str">
            <v>G</v>
          </cell>
          <cell r="C295" t="str">
            <v>EU1</v>
          </cell>
          <cell r="D295" t="str">
            <v>46.13</v>
          </cell>
          <cell r="E295">
            <v>409037.98</v>
          </cell>
          <cell r="F295">
            <v>2975444.47</v>
          </cell>
          <cell r="G295">
            <v>3036483.24</v>
          </cell>
          <cell r="H295">
            <v>16956529.739999998</v>
          </cell>
          <cell r="I295">
            <v>38.820556000000003</v>
          </cell>
          <cell r="J295">
            <v>18.439423999999999</v>
          </cell>
          <cell r="K295">
            <v>176.60189800000001</v>
          </cell>
          <cell r="L295" t="str">
            <v>European Union</v>
          </cell>
          <cell r="M295">
            <v>0.40903800000000001</v>
          </cell>
        </row>
        <row r="296">
          <cell r="A296" t="str">
            <v>G46.49EU1</v>
          </cell>
          <cell r="B296" t="str">
            <v>G</v>
          </cell>
          <cell r="C296" t="str">
            <v>EU1</v>
          </cell>
          <cell r="D296" t="str">
            <v>46.49</v>
          </cell>
          <cell r="E296">
            <v>18087207.986513</v>
          </cell>
          <cell r="F296">
            <v>110795393.63</v>
          </cell>
          <cell r="G296">
            <v>165378530.56</v>
          </cell>
          <cell r="H296">
            <v>592707364.47000003</v>
          </cell>
          <cell r="I296">
            <v>2008.530176</v>
          </cell>
          <cell r="J296">
            <v>954.03411800000003</v>
          </cell>
          <cell r="K296">
            <v>9137.1755840000005</v>
          </cell>
          <cell r="L296" t="str">
            <v>European Union</v>
          </cell>
          <cell r="M296">
            <v>18.087208</v>
          </cell>
        </row>
        <row r="297">
          <cell r="A297" t="str">
            <v>G46.71EU1</v>
          </cell>
          <cell r="B297" t="str">
            <v>G</v>
          </cell>
          <cell r="C297" t="str">
            <v>EU1</v>
          </cell>
          <cell r="D297" t="str">
            <v>46.71</v>
          </cell>
          <cell r="E297">
            <v>10673187.510887001</v>
          </cell>
          <cell r="F297">
            <v>203817237.90000001</v>
          </cell>
          <cell r="G297">
            <v>427841789.13999999</v>
          </cell>
          <cell r="H297">
            <v>2239860428.2199998</v>
          </cell>
          <cell r="I297">
            <v>1703.6944940000001</v>
          </cell>
          <cell r="J297">
            <v>809.23985600000003</v>
          </cell>
          <cell r="K297">
            <v>7750.4216779999997</v>
          </cell>
          <cell r="L297" t="str">
            <v>European Union</v>
          </cell>
          <cell r="M297">
            <v>10.673188</v>
          </cell>
        </row>
        <row r="298">
          <cell r="A298" t="str">
            <v>G47.43EU1</v>
          </cell>
          <cell r="B298" t="str">
            <v>G</v>
          </cell>
          <cell r="C298" t="str">
            <v>EU1</v>
          </cell>
          <cell r="D298" t="str">
            <v>47.43</v>
          </cell>
          <cell r="E298">
            <v>277795.88</v>
          </cell>
          <cell r="F298">
            <v>1441677.3</v>
          </cell>
          <cell r="G298">
            <v>4310226.55</v>
          </cell>
          <cell r="H298">
            <v>7121837.1900000004</v>
          </cell>
          <cell r="I298">
            <v>16.561014</v>
          </cell>
          <cell r="J298">
            <v>7.866333</v>
          </cell>
          <cell r="K298">
            <v>75.339118999999997</v>
          </cell>
          <cell r="L298" t="str">
            <v>European Union</v>
          </cell>
          <cell r="M298">
            <v>0.27779599999999999</v>
          </cell>
        </row>
        <row r="299">
          <cell r="A299" t="str">
            <v>G46.48EU1</v>
          </cell>
          <cell r="B299" t="str">
            <v>G</v>
          </cell>
          <cell r="C299" t="str">
            <v>EU1</v>
          </cell>
          <cell r="D299" t="str">
            <v>46.48</v>
          </cell>
          <cell r="E299">
            <v>1124707.1100000001</v>
          </cell>
          <cell r="F299">
            <v>2883259.56</v>
          </cell>
          <cell r="G299">
            <v>9373725.8900000006</v>
          </cell>
          <cell r="H299">
            <v>20687412.780000001</v>
          </cell>
          <cell r="I299">
            <v>93.392162999999996</v>
          </cell>
          <cell r="J299">
            <v>44.360449000000003</v>
          </cell>
          <cell r="K299">
            <v>424.85824000000002</v>
          </cell>
          <cell r="L299" t="str">
            <v>European Union</v>
          </cell>
          <cell r="M299">
            <v>1.1247069999999999</v>
          </cell>
        </row>
        <row r="300">
          <cell r="A300" t="str">
            <v>G46.73EU1</v>
          </cell>
          <cell r="B300" t="str">
            <v>G</v>
          </cell>
          <cell r="C300" t="str">
            <v>EU1</v>
          </cell>
          <cell r="D300" t="str">
            <v>46.73</v>
          </cell>
          <cell r="E300">
            <v>57338846.154168002</v>
          </cell>
          <cell r="F300">
            <v>340039061.22000003</v>
          </cell>
          <cell r="G300">
            <v>555592603.11000001</v>
          </cell>
          <cell r="H300">
            <v>1531991890.9000001</v>
          </cell>
          <cell r="I300">
            <v>4558.0537999999997</v>
          </cell>
          <cell r="J300">
            <v>2165.0353620000001</v>
          </cell>
          <cell r="K300">
            <v>20735.430698</v>
          </cell>
          <cell r="L300" t="str">
            <v>European Union</v>
          </cell>
          <cell r="M300">
            <v>57.338845999999997</v>
          </cell>
        </row>
        <row r="301">
          <cell r="A301" t="str">
            <v>G46.39EU1</v>
          </cell>
          <cell r="B301" t="str">
            <v>G</v>
          </cell>
          <cell r="C301" t="str">
            <v>EU1</v>
          </cell>
          <cell r="D301" t="str">
            <v>46.39</v>
          </cell>
          <cell r="E301">
            <v>22256190.561027002</v>
          </cell>
          <cell r="F301">
            <v>106082922.11</v>
          </cell>
          <cell r="G301">
            <v>211208094.24000001</v>
          </cell>
          <cell r="H301">
            <v>1258548439.6600001</v>
          </cell>
          <cell r="I301">
            <v>4797.2133530000001</v>
          </cell>
          <cell r="J301">
            <v>2278.634035</v>
          </cell>
          <cell r="K301">
            <v>21823.411798000001</v>
          </cell>
          <cell r="L301" t="str">
            <v>European Union</v>
          </cell>
          <cell r="M301">
            <v>22.256191000000001</v>
          </cell>
        </row>
        <row r="302">
          <cell r="A302" t="str">
            <v>G46.16EU1</v>
          </cell>
          <cell r="B302" t="str">
            <v>G</v>
          </cell>
          <cell r="C302" t="str">
            <v>EU1</v>
          </cell>
          <cell r="D302" t="str">
            <v>46.16</v>
          </cell>
          <cell r="E302">
            <v>3539258.72</v>
          </cell>
          <cell r="F302">
            <v>15416780.369999999</v>
          </cell>
          <cell r="G302">
            <v>21074077.809999999</v>
          </cell>
          <cell r="H302">
            <v>48774800.530000001</v>
          </cell>
          <cell r="I302">
            <v>320.64525200000003</v>
          </cell>
          <cell r="J302">
            <v>152.303664</v>
          </cell>
          <cell r="K302">
            <v>1458.674595</v>
          </cell>
          <cell r="L302" t="str">
            <v>European Union</v>
          </cell>
          <cell r="M302">
            <v>3.5392589999999999</v>
          </cell>
        </row>
        <row r="303">
          <cell r="A303" t="str">
            <v>G46.90EU1</v>
          </cell>
          <cell r="B303" t="str">
            <v>G</v>
          </cell>
          <cell r="C303" t="str">
            <v>EU1</v>
          </cell>
          <cell r="D303" t="str">
            <v>46.90</v>
          </cell>
          <cell r="E303">
            <v>41663811.878412001</v>
          </cell>
          <cell r="F303">
            <v>220697999.74000001</v>
          </cell>
          <cell r="G303">
            <v>283994709.88999999</v>
          </cell>
          <cell r="H303">
            <v>839450062.70000005</v>
          </cell>
          <cell r="I303">
            <v>3215.3604740000001</v>
          </cell>
          <cell r="J303">
            <v>1527.2678109999999</v>
          </cell>
          <cell r="K303">
            <v>14627.270014</v>
          </cell>
          <cell r="L303" t="str">
            <v>European Union</v>
          </cell>
          <cell r="M303">
            <v>41.663812</v>
          </cell>
        </row>
        <row r="304">
          <cell r="A304" t="str">
            <v>G46.14EU1</v>
          </cell>
          <cell r="B304" t="str">
            <v>G</v>
          </cell>
          <cell r="C304" t="str">
            <v>EU1</v>
          </cell>
          <cell r="D304" t="str">
            <v>46.14</v>
          </cell>
          <cell r="E304">
            <v>3107603.04</v>
          </cell>
          <cell r="F304">
            <v>4792388.57</v>
          </cell>
          <cell r="G304">
            <v>15563481.460000001</v>
          </cell>
          <cell r="H304">
            <v>79418893.189999998</v>
          </cell>
          <cell r="I304">
            <v>364.86612300000002</v>
          </cell>
          <cell r="J304">
            <v>173.30819199999999</v>
          </cell>
          <cell r="K304">
            <v>1659.8435280000001</v>
          </cell>
          <cell r="L304" t="str">
            <v>European Union</v>
          </cell>
          <cell r="M304">
            <v>3.1076030000000001</v>
          </cell>
        </row>
        <row r="305">
          <cell r="A305" t="str">
            <v>G47.42EU1</v>
          </cell>
          <cell r="B305" t="str">
            <v>G</v>
          </cell>
          <cell r="C305" t="str">
            <v>EU1</v>
          </cell>
          <cell r="D305" t="str">
            <v>47.42</v>
          </cell>
          <cell r="E305">
            <v>2940817.5300710001</v>
          </cell>
          <cell r="F305">
            <v>9074575.5</v>
          </cell>
          <cell r="G305">
            <v>14471840.52</v>
          </cell>
          <cell r="H305">
            <v>86889405.340000004</v>
          </cell>
          <cell r="I305">
            <v>428.48833100000002</v>
          </cell>
          <cell r="J305">
            <v>203.52817099999999</v>
          </cell>
          <cell r="K305">
            <v>1949.2727379999999</v>
          </cell>
          <cell r="L305" t="str">
            <v>European Union</v>
          </cell>
          <cell r="M305">
            <v>2.9408180000000002</v>
          </cell>
        </row>
        <row r="306">
          <cell r="A306" t="str">
            <v>G46.66EU1</v>
          </cell>
          <cell r="B306" t="str">
            <v>G</v>
          </cell>
          <cell r="C306" t="str">
            <v>EU1</v>
          </cell>
          <cell r="D306" t="str">
            <v>46.66</v>
          </cell>
          <cell r="E306">
            <v>1026738.324794</v>
          </cell>
          <cell r="F306">
            <v>4244086.83</v>
          </cell>
          <cell r="G306">
            <v>11556375.949999999</v>
          </cell>
          <cell r="H306">
            <v>20555076.469999999</v>
          </cell>
          <cell r="I306">
            <v>52.369959000000001</v>
          </cell>
          <cell r="J306">
            <v>24.875267999999998</v>
          </cell>
          <cell r="K306">
            <v>238.24063599999999</v>
          </cell>
          <cell r="L306" t="str">
            <v>European Union</v>
          </cell>
          <cell r="M306">
            <v>1.0267379999999999</v>
          </cell>
        </row>
        <row r="307">
          <cell r="A307" t="str">
            <v>G47.53EU1</v>
          </cell>
          <cell r="B307" t="str">
            <v>G</v>
          </cell>
          <cell r="C307" t="str">
            <v>EU1</v>
          </cell>
          <cell r="D307" t="str">
            <v>47.53</v>
          </cell>
          <cell r="E307">
            <v>738059.72</v>
          </cell>
          <cell r="F307">
            <v>3398480.04</v>
          </cell>
          <cell r="G307">
            <v>3600257.88</v>
          </cell>
          <cell r="H307">
            <v>14389753.85</v>
          </cell>
          <cell r="I307">
            <v>64.149828999999997</v>
          </cell>
          <cell r="J307">
            <v>30.470602</v>
          </cell>
          <cell r="K307">
            <v>291.82946700000002</v>
          </cell>
          <cell r="L307" t="str">
            <v>European Union</v>
          </cell>
          <cell r="M307">
            <v>0.73806000000000005</v>
          </cell>
        </row>
        <row r="308">
          <cell r="A308" t="str">
            <v>G47.73EU1</v>
          </cell>
          <cell r="B308" t="str">
            <v>G</v>
          </cell>
          <cell r="C308" t="str">
            <v>EU1</v>
          </cell>
          <cell r="D308" t="str">
            <v>47.73</v>
          </cell>
          <cell r="E308">
            <v>45471522.864191003</v>
          </cell>
          <cell r="F308">
            <v>221388887.31999999</v>
          </cell>
          <cell r="G308">
            <v>454943565.43000001</v>
          </cell>
          <cell r="H308">
            <v>783729626.03999996</v>
          </cell>
          <cell r="I308">
            <v>2393.6167359999999</v>
          </cell>
          <cell r="J308">
            <v>1136.9468360000001</v>
          </cell>
          <cell r="K308">
            <v>10889.005678</v>
          </cell>
          <cell r="L308" t="str">
            <v>European Union</v>
          </cell>
          <cell r="M308">
            <v>45.471522999999998</v>
          </cell>
        </row>
        <row r="309">
          <cell r="A309" t="str">
            <v>G46.42EU1</v>
          </cell>
          <cell r="B309" t="str">
            <v>G</v>
          </cell>
          <cell r="C309" t="str">
            <v>EU1</v>
          </cell>
          <cell r="D309" t="str">
            <v>46.42</v>
          </cell>
          <cell r="E309">
            <v>25486630.905535001</v>
          </cell>
          <cell r="F309">
            <v>114364761.09999999</v>
          </cell>
          <cell r="G309">
            <v>198826848.24000001</v>
          </cell>
          <cell r="H309">
            <v>422283587</v>
          </cell>
          <cell r="I309">
            <v>1483.967136</v>
          </cell>
          <cell r="J309">
            <v>704.87132099999997</v>
          </cell>
          <cell r="K309">
            <v>6750.8413039999996</v>
          </cell>
          <cell r="L309" t="str">
            <v>European Union</v>
          </cell>
          <cell r="M309">
            <v>25.486630999999999</v>
          </cell>
        </row>
        <row r="310">
          <cell r="A310" t="str">
            <v>G47.82EU1</v>
          </cell>
          <cell r="B310" t="str">
            <v>G</v>
          </cell>
          <cell r="C310" t="str">
            <v>EU1</v>
          </cell>
          <cell r="D310" t="str">
            <v>47.82</v>
          </cell>
          <cell r="E310">
            <v>9192.6299999999992</v>
          </cell>
          <cell r="F310">
            <v>19230.599999999999</v>
          </cell>
          <cell r="G310">
            <v>33390.160000000003</v>
          </cell>
          <cell r="H310">
            <v>246127.37</v>
          </cell>
          <cell r="I310">
            <v>0.89588299999999998</v>
          </cell>
          <cell r="J310">
            <v>0.42553600000000003</v>
          </cell>
          <cell r="K310">
            <v>4.0755369999999997</v>
          </cell>
          <cell r="L310" t="str">
            <v>European Union</v>
          </cell>
          <cell r="M310">
            <v>9.1929999999999998E-3</v>
          </cell>
        </row>
        <row r="311">
          <cell r="A311" t="str">
            <v>G46.15EU1</v>
          </cell>
          <cell r="B311" t="str">
            <v>G</v>
          </cell>
          <cell r="C311" t="str">
            <v>EU1</v>
          </cell>
          <cell r="D311" t="str">
            <v>46.15</v>
          </cell>
          <cell r="E311">
            <v>2129118.4300000002</v>
          </cell>
          <cell r="F311">
            <v>19248477.969999999</v>
          </cell>
          <cell r="G311">
            <v>24414585.350000001</v>
          </cell>
          <cell r="H311">
            <v>15167498.550000001</v>
          </cell>
          <cell r="I311">
            <v>26.194652000000001</v>
          </cell>
          <cell r="J311">
            <v>12.44223</v>
          </cell>
          <cell r="K311">
            <v>119.164329</v>
          </cell>
          <cell r="L311" t="str">
            <v>European Union</v>
          </cell>
          <cell r="M311">
            <v>2.1291180000000001</v>
          </cell>
        </row>
        <row r="312">
          <cell r="A312" t="str">
            <v>G47.19EU1</v>
          </cell>
          <cell r="B312" t="str">
            <v>G</v>
          </cell>
          <cell r="C312" t="str">
            <v>EU1</v>
          </cell>
          <cell r="D312" t="str">
            <v>47.19</v>
          </cell>
          <cell r="E312">
            <v>6095158.5595669998</v>
          </cell>
          <cell r="F312">
            <v>27421348.719999999</v>
          </cell>
          <cell r="G312">
            <v>26188178.879999999</v>
          </cell>
          <cell r="H312">
            <v>98015357.459999993</v>
          </cell>
          <cell r="I312">
            <v>598.02870099999996</v>
          </cell>
          <cell r="J312">
            <v>284.05835300000001</v>
          </cell>
          <cell r="K312">
            <v>2720.54331</v>
          </cell>
          <cell r="L312" t="str">
            <v>European Union</v>
          </cell>
          <cell r="M312">
            <v>6.0951589999999998</v>
          </cell>
        </row>
        <row r="313">
          <cell r="A313" t="str">
            <v>G47.81EU1</v>
          </cell>
          <cell r="B313" t="str">
            <v>G</v>
          </cell>
          <cell r="C313" t="str">
            <v>EU1</v>
          </cell>
          <cell r="D313" t="str">
            <v>47.81</v>
          </cell>
          <cell r="E313">
            <v>218420.29</v>
          </cell>
          <cell r="F313">
            <v>2756979.52</v>
          </cell>
          <cell r="G313">
            <v>1035793.05</v>
          </cell>
          <cell r="H313">
            <v>5175663.33</v>
          </cell>
          <cell r="I313">
            <v>21.970804000000001</v>
          </cell>
          <cell r="J313">
            <v>10.435942000000001</v>
          </cell>
          <cell r="K313">
            <v>99.949245000000005</v>
          </cell>
          <cell r="L313" t="str">
            <v>European Union</v>
          </cell>
          <cell r="M313">
            <v>0.21842</v>
          </cell>
        </row>
        <row r="314">
          <cell r="A314" t="str">
            <v>G47.79EU1</v>
          </cell>
          <cell r="B314" t="str">
            <v>G</v>
          </cell>
          <cell r="C314" t="str">
            <v>EU1</v>
          </cell>
          <cell r="D314" t="str">
            <v>47.79</v>
          </cell>
          <cell r="E314">
            <v>451150.47</v>
          </cell>
          <cell r="F314">
            <v>2349943.09</v>
          </cell>
          <cell r="G314">
            <v>5510055.4699999997</v>
          </cell>
          <cell r="H314">
            <v>42436718.520000003</v>
          </cell>
          <cell r="I314">
            <v>52.518459999999997</v>
          </cell>
          <cell r="J314">
            <v>24.945808</v>
          </cell>
          <cell r="K314">
            <v>238.91620599999999</v>
          </cell>
          <cell r="L314" t="str">
            <v>European Union</v>
          </cell>
          <cell r="M314">
            <v>0.45115</v>
          </cell>
        </row>
        <row r="315">
          <cell r="A315" t="str">
            <v>G47.25EU1</v>
          </cell>
          <cell r="B315" t="str">
            <v>G</v>
          </cell>
          <cell r="C315" t="str">
            <v>EU1</v>
          </cell>
          <cell r="D315" t="str">
            <v>47.25</v>
          </cell>
          <cell r="E315">
            <v>5329930.7699999996</v>
          </cell>
          <cell r="F315">
            <v>16651479.27</v>
          </cell>
          <cell r="G315">
            <v>28044202.09</v>
          </cell>
          <cell r="H315">
            <v>101127076.95999999</v>
          </cell>
          <cell r="I315">
            <v>467.97901200000001</v>
          </cell>
          <cell r="J315">
            <v>222.28590299999999</v>
          </cell>
          <cell r="K315">
            <v>2128.9231730000001</v>
          </cell>
          <cell r="L315" t="str">
            <v>European Union</v>
          </cell>
          <cell r="M315">
            <v>5.3299310000000002</v>
          </cell>
        </row>
        <row r="316">
          <cell r="A316" t="str">
            <v>G46.69EU1</v>
          </cell>
          <cell r="B316" t="str">
            <v>G</v>
          </cell>
          <cell r="C316" t="str">
            <v>EU1</v>
          </cell>
          <cell r="D316" t="str">
            <v>46.69</v>
          </cell>
          <cell r="E316">
            <v>32238081.913525999</v>
          </cell>
          <cell r="F316">
            <v>187552418.47</v>
          </cell>
          <cell r="G316">
            <v>383329143.63999999</v>
          </cell>
          <cell r="H316">
            <v>1068620739.67</v>
          </cell>
          <cell r="I316">
            <v>2510.2621680000002</v>
          </cell>
          <cell r="J316">
            <v>1192.3523849999999</v>
          </cell>
          <cell r="K316">
            <v>11419.647324</v>
          </cell>
          <cell r="L316" t="str">
            <v>European Union</v>
          </cell>
          <cell r="M316">
            <v>32.238081999999999</v>
          </cell>
        </row>
        <row r="317">
          <cell r="A317" t="str">
            <v>G47.29EU1</v>
          </cell>
          <cell r="B317" t="str">
            <v>G</v>
          </cell>
          <cell r="C317" t="str">
            <v>EU1</v>
          </cell>
          <cell r="D317" t="str">
            <v>47.29</v>
          </cell>
          <cell r="E317">
            <v>3233441.720437</v>
          </cell>
          <cell r="F317">
            <v>14846156.119999999</v>
          </cell>
          <cell r="G317">
            <v>133622385.20999999</v>
          </cell>
          <cell r="H317">
            <v>169138324.72</v>
          </cell>
          <cell r="I317">
            <v>316.94854800000002</v>
          </cell>
          <cell r="J317">
            <v>150.547763</v>
          </cell>
          <cell r="K317">
            <v>1441.85762</v>
          </cell>
          <cell r="L317" t="str">
            <v>European Union</v>
          </cell>
          <cell r="M317">
            <v>3.2334420000000001</v>
          </cell>
        </row>
        <row r="318">
          <cell r="A318" t="str">
            <v>G46.65EU1</v>
          </cell>
          <cell r="B318" t="str">
            <v>G</v>
          </cell>
          <cell r="C318" t="str">
            <v>EU1</v>
          </cell>
          <cell r="D318" t="str">
            <v>46.65</v>
          </cell>
          <cell r="E318">
            <v>300935.24</v>
          </cell>
          <cell r="F318">
            <v>1457704.94</v>
          </cell>
          <cell r="G318">
            <v>3260089.77</v>
          </cell>
          <cell r="H318">
            <v>8834835.5600000005</v>
          </cell>
          <cell r="I318">
            <v>25.567101999999998</v>
          </cell>
          <cell r="J318">
            <v>12.144149000000001</v>
          </cell>
          <cell r="K318">
            <v>116.309473</v>
          </cell>
          <cell r="L318" t="str">
            <v>European Union</v>
          </cell>
          <cell r="M318">
            <v>0.30093500000000001</v>
          </cell>
        </row>
        <row r="319">
          <cell r="A319" t="str">
            <v>G47.99EU1</v>
          </cell>
          <cell r="B319" t="str">
            <v>G</v>
          </cell>
          <cell r="C319" t="str">
            <v>EU1</v>
          </cell>
          <cell r="D319" t="str">
            <v>47.99</v>
          </cell>
          <cell r="E319">
            <v>7273998.6605690001</v>
          </cell>
          <cell r="F319">
            <v>32971099.02</v>
          </cell>
          <cell r="G319">
            <v>41233629.299999997</v>
          </cell>
          <cell r="H319">
            <v>306194965.75</v>
          </cell>
          <cell r="I319">
            <v>888.94006200000001</v>
          </cell>
          <cell r="J319">
            <v>422.238698</v>
          </cell>
          <cell r="K319">
            <v>4043.952941</v>
          </cell>
          <cell r="L319" t="str">
            <v>European Union</v>
          </cell>
          <cell r="M319">
            <v>7.2739989999999999</v>
          </cell>
        </row>
        <row r="320">
          <cell r="A320" t="str">
            <v>G46.72EU1</v>
          </cell>
          <cell r="B320" t="str">
            <v>G</v>
          </cell>
          <cell r="C320" t="str">
            <v>EU1</v>
          </cell>
          <cell r="D320" t="str">
            <v>46.72</v>
          </cell>
          <cell r="E320">
            <v>17420437.231688999</v>
          </cell>
          <cell r="F320">
            <v>111287443.8</v>
          </cell>
          <cell r="G320">
            <v>303688130.47000003</v>
          </cell>
          <cell r="H320">
            <v>632565833.02999997</v>
          </cell>
          <cell r="I320">
            <v>1230.413151</v>
          </cell>
          <cell r="J320">
            <v>584.43540099999996</v>
          </cell>
          <cell r="K320">
            <v>5597.377238</v>
          </cell>
          <cell r="L320" t="str">
            <v>European Union</v>
          </cell>
          <cell r="M320">
            <v>17.420437</v>
          </cell>
        </row>
        <row r="321">
          <cell r="A321" t="str">
            <v>G45.20EU1</v>
          </cell>
          <cell r="B321" t="str">
            <v>G</v>
          </cell>
          <cell r="C321" t="str">
            <v>EU1</v>
          </cell>
          <cell r="D321" t="str">
            <v>45.20</v>
          </cell>
          <cell r="E321">
            <v>21638855.322129998</v>
          </cell>
          <cell r="F321">
            <v>122781468.90000001</v>
          </cell>
          <cell r="G321">
            <v>158651341.52000001</v>
          </cell>
          <cell r="H321">
            <v>493609427.81</v>
          </cell>
          <cell r="I321">
            <v>2095.337415</v>
          </cell>
          <cell r="J321">
            <v>995.266752</v>
          </cell>
          <cell r="K321">
            <v>9532.0777689999995</v>
          </cell>
          <cell r="L321" t="str">
            <v>European Union</v>
          </cell>
          <cell r="M321">
            <v>21.638855</v>
          </cell>
        </row>
        <row r="322">
          <cell r="A322" t="str">
            <v>G46.33EU1</v>
          </cell>
          <cell r="B322" t="str">
            <v>G</v>
          </cell>
          <cell r="C322" t="str">
            <v>EU1</v>
          </cell>
          <cell r="D322" t="str">
            <v>46.33</v>
          </cell>
          <cell r="E322">
            <v>8340633.424474</v>
          </cell>
          <cell r="F322">
            <v>74754723.019999996</v>
          </cell>
          <cell r="G322">
            <v>156948996.19999999</v>
          </cell>
          <cell r="H322">
            <v>801597807.71000004</v>
          </cell>
          <cell r="I322">
            <v>1452.4365250000001</v>
          </cell>
          <cell r="J322">
            <v>689.894544</v>
          </cell>
          <cell r="K322">
            <v>6607.4026249999997</v>
          </cell>
          <cell r="L322" t="str">
            <v>European Union</v>
          </cell>
          <cell r="M322">
            <v>8.3406330000000004</v>
          </cell>
        </row>
        <row r="323">
          <cell r="A323" t="str">
            <v>G47.61EU1</v>
          </cell>
          <cell r="B323" t="str">
            <v>G</v>
          </cell>
          <cell r="C323" t="str">
            <v>EU1</v>
          </cell>
          <cell r="D323" t="str">
            <v>47.61</v>
          </cell>
          <cell r="E323">
            <v>501983.42</v>
          </cell>
          <cell r="F323">
            <v>1906397.9</v>
          </cell>
          <cell r="G323">
            <v>6431624.2000000002</v>
          </cell>
          <cell r="H323">
            <v>21604128.829999998</v>
          </cell>
          <cell r="I323">
            <v>36.714191</v>
          </cell>
          <cell r="J323">
            <v>17.438918999999999</v>
          </cell>
          <cell r="K323">
            <v>167.019654</v>
          </cell>
          <cell r="L323" t="str">
            <v>European Union</v>
          </cell>
          <cell r="M323">
            <v>0.50198299999999996</v>
          </cell>
        </row>
        <row r="324">
          <cell r="A324" t="str">
            <v>G46.37EU1</v>
          </cell>
          <cell r="B324" t="str">
            <v>G</v>
          </cell>
          <cell r="C324" t="str">
            <v>EU1</v>
          </cell>
          <cell r="D324" t="str">
            <v>46.37</v>
          </cell>
          <cell r="E324">
            <v>1419062.7967149999</v>
          </cell>
          <cell r="F324">
            <v>12643783.050000001</v>
          </cell>
          <cell r="G324">
            <v>13611897.609999999</v>
          </cell>
          <cell r="H324">
            <v>30041549.149999999</v>
          </cell>
          <cell r="I324">
            <v>161.518947</v>
          </cell>
          <cell r="J324">
            <v>76.720074999999994</v>
          </cell>
          <cell r="K324">
            <v>734.77960800000005</v>
          </cell>
          <cell r="L324" t="str">
            <v>European Union</v>
          </cell>
          <cell r="M324">
            <v>1.419063</v>
          </cell>
        </row>
        <row r="325">
          <cell r="A325" t="str">
            <v>G45.19EU1</v>
          </cell>
          <cell r="B325" t="str">
            <v>G</v>
          </cell>
          <cell r="C325" t="str">
            <v>EU1</v>
          </cell>
          <cell r="D325" t="str">
            <v>45.19</v>
          </cell>
          <cell r="E325">
            <v>50567868.020000003</v>
          </cell>
          <cell r="F325">
            <v>236925980.15000001</v>
          </cell>
          <cell r="G325">
            <v>486086897.20999998</v>
          </cell>
          <cell r="H325">
            <v>708969005.74000001</v>
          </cell>
          <cell r="I325">
            <v>1460.4328230000001</v>
          </cell>
          <cell r="J325">
            <v>693.69271500000002</v>
          </cell>
          <cell r="K325">
            <v>6643.7792870000003</v>
          </cell>
          <cell r="L325" t="str">
            <v>European Union</v>
          </cell>
          <cell r="M325">
            <v>50.567867999999997</v>
          </cell>
        </row>
        <row r="326">
          <cell r="A326" t="str">
            <v>G46.21EU1</v>
          </cell>
          <cell r="B326" t="str">
            <v>G</v>
          </cell>
          <cell r="C326" t="str">
            <v>EU1</v>
          </cell>
          <cell r="D326" t="str">
            <v>46.21</v>
          </cell>
          <cell r="E326">
            <v>25813140.800884001</v>
          </cell>
          <cell r="F326">
            <v>79425410.730000004</v>
          </cell>
          <cell r="G326">
            <v>153314677.09</v>
          </cell>
          <cell r="H326">
            <v>1870738443.3399999</v>
          </cell>
          <cell r="I326">
            <v>22783.252688</v>
          </cell>
          <cell r="J326">
            <v>10821.844138</v>
          </cell>
          <cell r="K326">
            <v>103645.23468199999</v>
          </cell>
          <cell r="L326" t="str">
            <v>European Union</v>
          </cell>
          <cell r="M326">
            <v>25.813141000000002</v>
          </cell>
        </row>
        <row r="327">
          <cell r="A327" t="str">
            <v>G46.17EU1</v>
          </cell>
          <cell r="B327" t="str">
            <v>G</v>
          </cell>
          <cell r="C327" t="str">
            <v>EU1</v>
          </cell>
          <cell r="D327" t="str">
            <v>46.17</v>
          </cell>
          <cell r="E327">
            <v>1579520.14</v>
          </cell>
          <cell r="F327">
            <v>3606001.48</v>
          </cell>
          <cell r="G327">
            <v>6418303.0499999998</v>
          </cell>
          <cell r="H327">
            <v>33507618.48</v>
          </cell>
          <cell r="I327">
            <v>295.969494</v>
          </cell>
          <cell r="J327">
            <v>140.58290099999999</v>
          </cell>
          <cell r="K327">
            <v>1346.4200209999999</v>
          </cell>
          <cell r="L327" t="str">
            <v>European Union</v>
          </cell>
          <cell r="M327">
            <v>1.57952</v>
          </cell>
        </row>
        <row r="328">
          <cell r="A328" t="str">
            <v>G45.40EU1</v>
          </cell>
          <cell r="B328" t="str">
            <v>G</v>
          </cell>
          <cell r="C328" t="str">
            <v>EU1</v>
          </cell>
          <cell r="D328" t="str">
            <v>45.40</v>
          </cell>
          <cell r="E328">
            <v>9765120.472569</v>
          </cell>
          <cell r="F328">
            <v>31311349.41</v>
          </cell>
          <cell r="G328">
            <v>85643843.870000005</v>
          </cell>
          <cell r="H328">
            <v>211095058.81</v>
          </cell>
          <cell r="I328">
            <v>876.71546000000001</v>
          </cell>
          <cell r="J328">
            <v>416.43210299999998</v>
          </cell>
          <cell r="K328">
            <v>3988.3408960000002</v>
          </cell>
          <cell r="L328" t="str">
            <v>European Union</v>
          </cell>
          <cell r="M328">
            <v>9.7651199999999996</v>
          </cell>
        </row>
        <row r="329">
          <cell r="A329" t="str">
            <v>G46.47EU1</v>
          </cell>
          <cell r="B329" t="str">
            <v>G</v>
          </cell>
          <cell r="C329" t="str">
            <v>EU1</v>
          </cell>
          <cell r="D329" t="str">
            <v>46.47</v>
          </cell>
          <cell r="E329">
            <v>3809539</v>
          </cell>
          <cell r="F329">
            <v>13433066.439999999</v>
          </cell>
          <cell r="G329">
            <v>32786424.489999998</v>
          </cell>
          <cell r="H329">
            <v>76074967.090000004</v>
          </cell>
          <cell r="I329">
            <v>315.751372</v>
          </cell>
          <cell r="J329">
            <v>149.97912099999999</v>
          </cell>
          <cell r="K329">
            <v>1436.411474</v>
          </cell>
          <cell r="L329" t="str">
            <v>European Union</v>
          </cell>
          <cell r="M329">
            <v>3.809539</v>
          </cell>
        </row>
        <row r="330">
          <cell r="A330" t="str">
            <v>G47.77EU1</v>
          </cell>
          <cell r="B330" t="str">
            <v>G</v>
          </cell>
          <cell r="C330" t="str">
            <v>EU1</v>
          </cell>
          <cell r="D330" t="str">
            <v>47.77</v>
          </cell>
          <cell r="E330">
            <v>5811310.1600000001</v>
          </cell>
          <cell r="F330">
            <v>24158590.010000002</v>
          </cell>
          <cell r="G330">
            <v>150084292.03999999</v>
          </cell>
          <cell r="H330">
            <v>202119011.58000001</v>
          </cell>
          <cell r="I330">
            <v>404.03259000000003</v>
          </cell>
          <cell r="J330">
            <v>191.911914</v>
          </cell>
          <cell r="K330">
            <v>1838.019033</v>
          </cell>
          <cell r="L330" t="str">
            <v>European Union</v>
          </cell>
          <cell r="M330">
            <v>5.8113099999999998</v>
          </cell>
        </row>
        <row r="331">
          <cell r="A331" t="str">
            <v>G47.41EU1</v>
          </cell>
          <cell r="B331" t="str">
            <v>G</v>
          </cell>
          <cell r="C331" t="str">
            <v>EU1</v>
          </cell>
          <cell r="D331" t="str">
            <v>47.41</v>
          </cell>
          <cell r="E331">
            <v>9279805.7693629991</v>
          </cell>
          <cell r="F331">
            <v>50289757.119999997</v>
          </cell>
          <cell r="G331">
            <v>54176095.5</v>
          </cell>
          <cell r="H331">
            <v>300521320.69</v>
          </cell>
          <cell r="I331">
            <v>1372.226662</v>
          </cell>
          <cell r="J331">
            <v>651.79555900000003</v>
          </cell>
          <cell r="K331">
            <v>6242.513156</v>
          </cell>
          <cell r="L331" t="str">
            <v>European Union</v>
          </cell>
          <cell r="M331">
            <v>9.2798060000000007</v>
          </cell>
        </row>
        <row r="332">
          <cell r="A332" t="str">
            <v>G45.11EU1</v>
          </cell>
          <cell r="B332" t="str">
            <v>G</v>
          </cell>
          <cell r="C332" t="str">
            <v>EU1</v>
          </cell>
          <cell r="D332" t="str">
            <v>45.11</v>
          </cell>
          <cell r="E332">
            <v>152375256.859299</v>
          </cell>
          <cell r="F332">
            <v>712694145.96000004</v>
          </cell>
          <cell r="G332">
            <v>1094230303.4400001</v>
          </cell>
          <cell r="H332">
            <v>6069208752.04</v>
          </cell>
          <cell r="I332">
            <v>43136.325048999999</v>
          </cell>
          <cell r="J332">
            <v>20489.374145999998</v>
          </cell>
          <cell r="K332">
            <v>196235.12927</v>
          </cell>
          <cell r="L332" t="str">
            <v>European Union</v>
          </cell>
          <cell r="M332">
            <v>152.375257</v>
          </cell>
        </row>
        <row r="333">
          <cell r="A333" t="str">
            <v>G47.59EU1</v>
          </cell>
          <cell r="B333" t="str">
            <v>G</v>
          </cell>
          <cell r="C333" t="str">
            <v>EU1</v>
          </cell>
          <cell r="D333" t="str">
            <v>47.59</v>
          </cell>
          <cell r="E333">
            <v>20769547.396379001</v>
          </cell>
          <cell r="F333">
            <v>202702333.78</v>
          </cell>
          <cell r="G333">
            <v>312638552.07999998</v>
          </cell>
          <cell r="H333">
            <v>1012212462.67</v>
          </cell>
          <cell r="I333">
            <v>1424.927097</v>
          </cell>
          <cell r="J333">
            <v>676.82780500000001</v>
          </cell>
          <cell r="K333">
            <v>6482.2571879999996</v>
          </cell>
          <cell r="L333" t="str">
            <v>European Union</v>
          </cell>
          <cell r="M333">
            <v>20.769546999999999</v>
          </cell>
        </row>
        <row r="334">
          <cell r="A334" t="str">
            <v>G46.46EU1</v>
          </cell>
          <cell r="B334" t="str">
            <v>G</v>
          </cell>
          <cell r="C334" t="str">
            <v>EU1</v>
          </cell>
          <cell r="D334" t="str">
            <v>46.46</v>
          </cell>
          <cell r="E334">
            <v>24338645.896212</v>
          </cell>
          <cell r="F334">
            <v>237875710.81</v>
          </cell>
          <cell r="G334">
            <v>447154426</v>
          </cell>
          <cell r="H334">
            <v>2951588369.1700001</v>
          </cell>
          <cell r="I334">
            <v>4582.5577199999998</v>
          </cell>
          <cell r="J334">
            <v>2176.6745110000002</v>
          </cell>
          <cell r="K334">
            <v>20846.903562</v>
          </cell>
          <cell r="L334" t="str">
            <v>European Union</v>
          </cell>
          <cell r="M334">
            <v>24.338646000000001</v>
          </cell>
        </row>
        <row r="335">
          <cell r="A335" t="str">
            <v>G46.52EU1</v>
          </cell>
          <cell r="B335" t="str">
            <v>G</v>
          </cell>
          <cell r="C335" t="str">
            <v>EU1</v>
          </cell>
          <cell r="D335" t="str">
            <v>46.52</v>
          </cell>
          <cell r="E335">
            <v>6466147.5099160001</v>
          </cell>
          <cell r="F335">
            <v>45707689.880000003</v>
          </cell>
          <cell r="G335">
            <v>514880340.54000002</v>
          </cell>
          <cell r="H335">
            <v>229630819.84</v>
          </cell>
          <cell r="I335">
            <v>438.391254</v>
          </cell>
          <cell r="J335">
            <v>208.23192</v>
          </cell>
          <cell r="K335">
            <v>1994.322764</v>
          </cell>
          <cell r="L335" t="str">
            <v>European Union</v>
          </cell>
          <cell r="M335">
            <v>6.4661479999999996</v>
          </cell>
        </row>
        <row r="336">
          <cell r="A336" t="str">
            <v>G47.76EU1</v>
          </cell>
          <cell r="B336" t="str">
            <v>G</v>
          </cell>
          <cell r="C336" t="str">
            <v>EU1</v>
          </cell>
          <cell r="D336" t="str">
            <v>47.76</v>
          </cell>
          <cell r="E336">
            <v>3165938.56</v>
          </cell>
          <cell r="F336">
            <v>15717104.01</v>
          </cell>
          <cell r="G336">
            <v>28713864.850000001</v>
          </cell>
          <cell r="H336">
            <v>90606139.799999997</v>
          </cell>
          <cell r="I336">
            <v>322.08411100000001</v>
          </cell>
          <cell r="J336">
            <v>152.98711499999999</v>
          </cell>
          <cell r="K336">
            <v>1465.2202669999999</v>
          </cell>
          <cell r="L336" t="str">
            <v>European Union</v>
          </cell>
          <cell r="M336">
            <v>3.1659389999999998</v>
          </cell>
        </row>
        <row r="337">
          <cell r="A337" t="str">
            <v>G46.23EU1</v>
          </cell>
          <cell r="B337" t="str">
            <v>G</v>
          </cell>
          <cell r="C337" t="str">
            <v>EU1</v>
          </cell>
          <cell r="D337" t="str">
            <v>46.23</v>
          </cell>
          <cell r="E337">
            <v>4759435.3599680001</v>
          </cell>
          <cell r="F337">
            <v>20096160.829999998</v>
          </cell>
          <cell r="G337">
            <v>34191698.630000003</v>
          </cell>
          <cell r="H337">
            <v>276761069.25</v>
          </cell>
          <cell r="I337">
            <v>1091.397864</v>
          </cell>
          <cell r="J337">
            <v>518.40436099999999</v>
          </cell>
          <cell r="K337">
            <v>4964.9709339999999</v>
          </cell>
          <cell r="L337" t="str">
            <v>European Union</v>
          </cell>
          <cell r="M337">
            <v>4.7594349999999999</v>
          </cell>
        </row>
        <row r="338">
          <cell r="A338" t="str">
            <v>G46.61EU1</v>
          </cell>
          <cell r="B338" t="str">
            <v>G</v>
          </cell>
          <cell r="C338" t="str">
            <v>EU1</v>
          </cell>
          <cell r="D338" t="str">
            <v>46.61</v>
          </cell>
          <cell r="E338">
            <v>9718197.0002369992</v>
          </cell>
          <cell r="F338">
            <v>68013333.75</v>
          </cell>
          <cell r="G338">
            <v>103145840.98</v>
          </cell>
          <cell r="H338">
            <v>299318620.42000002</v>
          </cell>
          <cell r="I338">
            <v>763.67429200000004</v>
          </cell>
          <cell r="J338">
            <v>362.738562</v>
          </cell>
          <cell r="K338">
            <v>3474.0957229999999</v>
          </cell>
          <cell r="L338" t="str">
            <v>European Union</v>
          </cell>
          <cell r="M338">
            <v>9.718197</v>
          </cell>
        </row>
        <row r="339">
          <cell r="A339" t="str">
            <v>G47.54EU1</v>
          </cell>
          <cell r="B339" t="str">
            <v>G</v>
          </cell>
          <cell r="C339" t="str">
            <v>EU1</v>
          </cell>
          <cell r="D339" t="str">
            <v>47.54</v>
          </cell>
          <cell r="E339">
            <v>3083083.68</v>
          </cell>
          <cell r="F339">
            <v>19322342.039999999</v>
          </cell>
          <cell r="G339">
            <v>90256302.359999999</v>
          </cell>
          <cell r="H339">
            <v>405866539.75</v>
          </cell>
          <cell r="I339">
            <v>321.31218699999999</v>
          </cell>
          <cell r="J339">
            <v>152.62045000000001</v>
          </cell>
          <cell r="K339">
            <v>1461.7086589999999</v>
          </cell>
          <cell r="L339" t="str">
            <v>European Union</v>
          </cell>
          <cell r="M339">
            <v>3.0830839999999999</v>
          </cell>
        </row>
        <row r="340">
          <cell r="A340" t="str">
            <v>G46.18EU1</v>
          </cell>
          <cell r="B340" t="str">
            <v>G</v>
          </cell>
          <cell r="C340" t="str">
            <v>EU1</v>
          </cell>
          <cell r="D340" t="str">
            <v>46.18</v>
          </cell>
          <cell r="E340">
            <v>2190441.14</v>
          </cell>
          <cell r="F340">
            <v>84595096.319999993</v>
          </cell>
          <cell r="G340">
            <v>185248231.88</v>
          </cell>
          <cell r="H340">
            <v>336692966.29000002</v>
          </cell>
          <cell r="I340">
            <v>233.30900800000001</v>
          </cell>
          <cell r="J340">
            <v>110.81971799999999</v>
          </cell>
          <cell r="K340">
            <v>1061.3658740000001</v>
          </cell>
          <cell r="L340" t="str">
            <v>European Union</v>
          </cell>
          <cell r="M340">
            <v>2.1904409999999999</v>
          </cell>
        </row>
        <row r="341">
          <cell r="A341" t="str">
            <v>G47.75EU1</v>
          </cell>
          <cell r="B341" t="str">
            <v>G</v>
          </cell>
          <cell r="C341" t="str">
            <v>EU1</v>
          </cell>
          <cell r="D341" t="str">
            <v>47.75</v>
          </cell>
          <cell r="E341">
            <v>12542325.610486999</v>
          </cell>
          <cell r="F341">
            <v>79804784.640000001</v>
          </cell>
          <cell r="G341">
            <v>62622440.049999997</v>
          </cell>
          <cell r="H341">
            <v>346949809.69999999</v>
          </cell>
          <cell r="I341">
            <v>1042.471556</v>
          </cell>
          <cell r="J341">
            <v>495.16478999999998</v>
          </cell>
          <cell r="K341">
            <v>4742.3961520000003</v>
          </cell>
          <cell r="L341" t="str">
            <v>European Union</v>
          </cell>
          <cell r="M341">
            <v>12.542325999999999</v>
          </cell>
        </row>
        <row r="342">
          <cell r="A342" t="str">
            <v>G46.45EU1</v>
          </cell>
          <cell r="B342" t="str">
            <v>G</v>
          </cell>
          <cell r="C342" t="str">
            <v>EU1</v>
          </cell>
          <cell r="D342" t="str">
            <v>46.45</v>
          </cell>
          <cell r="E342">
            <v>11265123.260493999</v>
          </cell>
          <cell r="F342">
            <v>63867901.920000002</v>
          </cell>
          <cell r="G342">
            <v>118388370.89</v>
          </cell>
          <cell r="H342">
            <v>219816590.68000001</v>
          </cell>
          <cell r="I342">
            <v>801.03199400000005</v>
          </cell>
          <cell r="J342">
            <v>380.48313899999999</v>
          </cell>
          <cell r="K342">
            <v>3644.0427909999999</v>
          </cell>
          <cell r="L342" t="str">
            <v>European Union</v>
          </cell>
          <cell r="M342">
            <v>11.265123000000001</v>
          </cell>
        </row>
        <row r="343">
          <cell r="A343" t="str">
            <v>G46.51EU1</v>
          </cell>
          <cell r="B343" t="str">
            <v>G</v>
          </cell>
          <cell r="C343" t="str">
            <v>EU1</v>
          </cell>
          <cell r="D343" t="str">
            <v>46.51</v>
          </cell>
          <cell r="E343">
            <v>1898180.13</v>
          </cell>
          <cell r="F343">
            <v>32202147.600000001</v>
          </cell>
          <cell r="G343">
            <v>38676642.439999998</v>
          </cell>
          <cell r="H343">
            <v>294892318.64999998</v>
          </cell>
          <cell r="I343">
            <v>216.71811099999999</v>
          </cell>
          <cell r="J343">
            <v>102.93919099999999</v>
          </cell>
          <cell r="K343">
            <v>985.89080999999999</v>
          </cell>
          <cell r="L343" t="str">
            <v>European Union</v>
          </cell>
          <cell r="M343">
            <v>1.89818</v>
          </cell>
        </row>
        <row r="344">
          <cell r="A344" t="str">
            <v>G47.91EU1</v>
          </cell>
          <cell r="B344" t="str">
            <v>G</v>
          </cell>
          <cell r="C344" t="str">
            <v>EU1</v>
          </cell>
          <cell r="D344" t="str">
            <v>47.91</v>
          </cell>
          <cell r="E344">
            <v>4688888.4896120001</v>
          </cell>
          <cell r="F344">
            <v>60704940.299999997</v>
          </cell>
          <cell r="G344">
            <v>20488963.879999999</v>
          </cell>
          <cell r="H344">
            <v>255966013.15000001</v>
          </cell>
          <cell r="I344">
            <v>692.16203099999996</v>
          </cell>
          <cell r="J344">
            <v>328.77085799999998</v>
          </cell>
          <cell r="K344">
            <v>3148.7732409999999</v>
          </cell>
          <cell r="L344" t="str">
            <v>European Union</v>
          </cell>
          <cell r="M344">
            <v>4.6888880000000004</v>
          </cell>
        </row>
        <row r="345">
          <cell r="A345" t="str">
            <v>G45.32EU1</v>
          </cell>
          <cell r="B345" t="str">
            <v>G</v>
          </cell>
          <cell r="C345" t="str">
            <v>EU1</v>
          </cell>
          <cell r="D345" t="str">
            <v>45.32</v>
          </cell>
          <cell r="E345">
            <v>19915665.130362</v>
          </cell>
          <cell r="F345">
            <v>105749118.91</v>
          </cell>
          <cell r="G345">
            <v>209673295.94</v>
          </cell>
          <cell r="H345">
            <v>645780936.66999996</v>
          </cell>
          <cell r="I345">
            <v>1984.881024</v>
          </cell>
          <cell r="J345">
            <v>942.80077200000005</v>
          </cell>
          <cell r="K345">
            <v>9029.5905619999994</v>
          </cell>
          <cell r="L345" t="str">
            <v>European Union</v>
          </cell>
          <cell r="M345">
            <v>19.915665000000001</v>
          </cell>
        </row>
        <row r="346">
          <cell r="A346" t="str">
            <v>G47.51EU1</v>
          </cell>
          <cell r="B346" t="str">
            <v>G</v>
          </cell>
          <cell r="C346" t="str">
            <v>EU1</v>
          </cell>
          <cell r="D346" t="str">
            <v>47.51</v>
          </cell>
          <cell r="E346">
            <v>2310963.3898550002</v>
          </cell>
          <cell r="F346">
            <v>8206860.0899999999</v>
          </cell>
          <cell r="G346">
            <v>13244805.74</v>
          </cell>
          <cell r="H346">
            <v>28621597.600000001</v>
          </cell>
          <cell r="I346">
            <v>134.77150499999999</v>
          </cell>
          <cell r="J346">
            <v>64.015277999999995</v>
          </cell>
          <cell r="K346">
            <v>613.10053900000003</v>
          </cell>
          <cell r="L346" t="str">
            <v>European Union</v>
          </cell>
          <cell r="M346">
            <v>2.3109630000000001</v>
          </cell>
        </row>
        <row r="347">
          <cell r="A347" t="str">
            <v>G46.22EU1</v>
          </cell>
          <cell r="B347" t="str">
            <v>G</v>
          </cell>
          <cell r="C347" t="str">
            <v>EU1</v>
          </cell>
          <cell r="D347" t="str">
            <v>46.22</v>
          </cell>
          <cell r="E347">
            <v>1217892.6399999999</v>
          </cell>
          <cell r="F347">
            <v>4758716.24</v>
          </cell>
          <cell r="G347">
            <v>9442183.6699999999</v>
          </cell>
          <cell r="H347">
            <v>27604624.32</v>
          </cell>
          <cell r="I347">
            <v>67.744189000000006</v>
          </cell>
          <cell r="J347">
            <v>32.177894000000002</v>
          </cell>
          <cell r="K347">
            <v>308.18086799999998</v>
          </cell>
          <cell r="L347" t="str">
            <v>European Union</v>
          </cell>
          <cell r="M347">
            <v>1.2178929999999999</v>
          </cell>
        </row>
        <row r="348">
          <cell r="A348" t="str">
            <v>G46.19EU1</v>
          </cell>
          <cell r="B348" t="str">
            <v>G</v>
          </cell>
          <cell r="C348" t="str">
            <v>EU1</v>
          </cell>
          <cell r="D348" t="str">
            <v>46.19</v>
          </cell>
          <cell r="E348">
            <v>4385676.5798380002</v>
          </cell>
          <cell r="F348">
            <v>12944489.82</v>
          </cell>
          <cell r="G348">
            <v>26507227.960000001</v>
          </cell>
          <cell r="H348">
            <v>50956556.409999996</v>
          </cell>
          <cell r="I348">
            <v>355.10335099999998</v>
          </cell>
          <cell r="J348">
            <v>168.67097699999999</v>
          </cell>
          <cell r="K348">
            <v>1615.4309430000001</v>
          </cell>
          <cell r="L348" t="str">
            <v>European Union</v>
          </cell>
          <cell r="M348">
            <v>4.3856770000000003</v>
          </cell>
        </row>
        <row r="349">
          <cell r="A349" t="str">
            <v>G46.38EU1</v>
          </cell>
          <cell r="B349" t="str">
            <v>G</v>
          </cell>
          <cell r="C349" t="str">
            <v>EU1</v>
          </cell>
          <cell r="D349" t="str">
            <v>46.38</v>
          </cell>
          <cell r="E349">
            <v>35131927.573110998</v>
          </cell>
          <cell r="F349">
            <v>201361241.55000001</v>
          </cell>
          <cell r="G349">
            <v>355894276.10000002</v>
          </cell>
          <cell r="H349">
            <v>1361640462.4100001</v>
          </cell>
          <cell r="I349">
            <v>4520.3969049999996</v>
          </cell>
          <cell r="J349">
            <v>2147.1486380000001</v>
          </cell>
          <cell r="K349">
            <v>20564.122367</v>
          </cell>
          <cell r="L349" t="str">
            <v>European Union</v>
          </cell>
          <cell r="M349">
            <v>35.131928000000002</v>
          </cell>
        </row>
        <row r="350">
          <cell r="A350" t="str">
            <v>G46.77EU1</v>
          </cell>
          <cell r="B350" t="str">
            <v>G</v>
          </cell>
          <cell r="C350" t="str">
            <v>EU1</v>
          </cell>
          <cell r="D350" t="str">
            <v>46.77</v>
          </cell>
          <cell r="E350">
            <v>9203321.4778080005</v>
          </cell>
          <cell r="F350">
            <v>96238051.040000007</v>
          </cell>
          <cell r="G350">
            <v>124128787.87</v>
          </cell>
          <cell r="H350">
            <v>743576706.38999999</v>
          </cell>
          <cell r="I350">
            <v>785.13447699999995</v>
          </cell>
          <cell r="J350">
            <v>372.93194299999999</v>
          </cell>
          <cell r="K350">
            <v>3571.722096</v>
          </cell>
          <cell r="L350" t="str">
            <v>European Union</v>
          </cell>
          <cell r="M350">
            <v>9.2033210000000008</v>
          </cell>
        </row>
        <row r="351">
          <cell r="A351" t="str">
            <v>G47.71EU1</v>
          </cell>
          <cell r="B351" t="str">
            <v>G</v>
          </cell>
          <cell r="C351" t="str">
            <v>EU1</v>
          </cell>
          <cell r="D351" t="str">
            <v>47.71</v>
          </cell>
          <cell r="E351">
            <v>21123111.636652</v>
          </cell>
          <cell r="F351">
            <v>96619589.609999999</v>
          </cell>
          <cell r="G351">
            <v>192893785.00999999</v>
          </cell>
          <cell r="H351">
            <v>561537886.28999996</v>
          </cell>
          <cell r="I351">
            <v>1743.8600750000001</v>
          </cell>
          <cell r="J351">
            <v>828.31815099999994</v>
          </cell>
          <cell r="K351">
            <v>7933.1422739999998</v>
          </cell>
          <cell r="L351" t="str">
            <v>European Union</v>
          </cell>
          <cell r="M351">
            <v>21.123111999999999</v>
          </cell>
        </row>
        <row r="352">
          <cell r="A352" t="str">
            <v>G46.63EU1</v>
          </cell>
          <cell r="B352" t="str">
            <v>G</v>
          </cell>
          <cell r="C352" t="str">
            <v>EU1</v>
          </cell>
          <cell r="D352" t="str">
            <v>46.63</v>
          </cell>
          <cell r="E352">
            <v>6801163.9313300001</v>
          </cell>
          <cell r="F352">
            <v>39841963.859999999</v>
          </cell>
          <cell r="G352">
            <v>114763760.61</v>
          </cell>
          <cell r="H352">
            <v>367582940.44</v>
          </cell>
          <cell r="I352">
            <v>611.75247300000001</v>
          </cell>
          <cell r="J352">
            <v>290.57702599999999</v>
          </cell>
          <cell r="K352">
            <v>2782.9752619999999</v>
          </cell>
          <cell r="L352" t="str">
            <v>European Union</v>
          </cell>
          <cell r="M352">
            <v>6.801164</v>
          </cell>
        </row>
        <row r="353">
          <cell r="A353" t="str">
            <v>G46.24EU1</v>
          </cell>
          <cell r="B353" t="str">
            <v>G</v>
          </cell>
          <cell r="C353" t="str">
            <v>EU1</v>
          </cell>
          <cell r="D353" t="str">
            <v>46.24</v>
          </cell>
          <cell r="E353">
            <v>6270224.0999999996</v>
          </cell>
          <cell r="F353">
            <v>28882961.280000001</v>
          </cell>
          <cell r="G353">
            <v>35639550.25</v>
          </cell>
          <cell r="H353">
            <v>82657338.340000004</v>
          </cell>
          <cell r="I353">
            <v>475.69931400000002</v>
          </cell>
          <cell r="J353">
            <v>225.95297199999999</v>
          </cell>
          <cell r="K353">
            <v>2164.0442079999998</v>
          </cell>
          <cell r="L353" t="str">
            <v>European Union</v>
          </cell>
          <cell r="M353">
            <v>6.2702239999999998</v>
          </cell>
        </row>
        <row r="354">
          <cell r="A354" t="str">
            <v>G45.31EU1</v>
          </cell>
          <cell r="B354" t="str">
            <v>G</v>
          </cell>
          <cell r="C354" t="str">
            <v>EU1</v>
          </cell>
          <cell r="D354" t="str">
            <v>45.31</v>
          </cell>
          <cell r="E354">
            <v>18553570.079895001</v>
          </cell>
          <cell r="F354">
            <v>153285713.59999999</v>
          </cell>
          <cell r="G354">
            <v>366595641.35000002</v>
          </cell>
          <cell r="H354">
            <v>1146423382.22</v>
          </cell>
          <cell r="I354">
            <v>1720.839246</v>
          </cell>
          <cell r="J354">
            <v>817.38340500000004</v>
          </cell>
          <cell r="K354">
            <v>7828.4161610000001</v>
          </cell>
          <cell r="L354" t="str">
            <v>European Union</v>
          </cell>
          <cell r="M354">
            <v>18.553570000000001</v>
          </cell>
        </row>
        <row r="355">
          <cell r="A355" t="str">
            <v>G47.89EU1</v>
          </cell>
          <cell r="B355" t="str">
            <v>G</v>
          </cell>
          <cell r="C355" t="str">
            <v>EU1</v>
          </cell>
          <cell r="D355" t="str">
            <v>47.89</v>
          </cell>
          <cell r="E355">
            <v>114962.62</v>
          </cell>
          <cell r="F355">
            <v>181518.31</v>
          </cell>
          <cell r="G355">
            <v>581727.05000000005</v>
          </cell>
          <cell r="H355">
            <v>2202933.2999999998</v>
          </cell>
          <cell r="I355">
            <v>10.686804</v>
          </cell>
          <cell r="J355">
            <v>5.0761380000000003</v>
          </cell>
          <cell r="K355">
            <v>48.616252000000003</v>
          </cell>
          <cell r="L355" t="str">
            <v>European Union</v>
          </cell>
          <cell r="M355">
            <v>0.114963</v>
          </cell>
        </row>
        <row r="356">
          <cell r="A356" t="str">
            <v>G47.11EU1</v>
          </cell>
          <cell r="B356" t="str">
            <v>G</v>
          </cell>
          <cell r="C356" t="str">
            <v>EU1</v>
          </cell>
          <cell r="D356" t="str">
            <v>47.11</v>
          </cell>
          <cell r="E356">
            <v>48247295.534056999</v>
          </cell>
          <cell r="F356">
            <v>214731003.13</v>
          </cell>
          <cell r="G356">
            <v>332162511.35000002</v>
          </cell>
          <cell r="H356">
            <v>1928065193.99</v>
          </cell>
          <cell r="I356">
            <v>9093.8639579999999</v>
          </cell>
          <cell r="J356">
            <v>4319.5052059999998</v>
          </cell>
          <cell r="K356">
            <v>41369.670824000001</v>
          </cell>
          <cell r="L356" t="str">
            <v>European Union</v>
          </cell>
          <cell r="M356">
            <v>48.247295999999999</v>
          </cell>
        </row>
        <row r="357">
          <cell r="A357" t="str">
            <v>G46.35EU1</v>
          </cell>
          <cell r="B357" t="str">
            <v>G</v>
          </cell>
          <cell r="C357" t="str">
            <v>EU1</v>
          </cell>
          <cell r="D357" t="str">
            <v>46.35</v>
          </cell>
          <cell r="E357">
            <v>2206602.4099380001</v>
          </cell>
          <cell r="F357">
            <v>45670049.859999999</v>
          </cell>
          <cell r="G357">
            <v>38446661.609999999</v>
          </cell>
          <cell r="H357">
            <v>596671625.48000002</v>
          </cell>
          <cell r="I357">
            <v>449.37542400000001</v>
          </cell>
          <cell r="J357">
            <v>213.44936300000001</v>
          </cell>
          <cell r="K357">
            <v>2044.2920019999999</v>
          </cell>
          <cell r="L357" t="str">
            <v>European Union</v>
          </cell>
          <cell r="M357">
            <v>2.2066020000000002</v>
          </cell>
        </row>
        <row r="358">
          <cell r="A358" t="str">
            <v>G47.74EU1</v>
          </cell>
          <cell r="B358" t="str">
            <v>G</v>
          </cell>
          <cell r="C358" t="str">
            <v>EU1</v>
          </cell>
          <cell r="D358" t="str">
            <v>47.74</v>
          </cell>
          <cell r="E358">
            <v>5819623.3802100001</v>
          </cell>
          <cell r="F358">
            <v>22696146.91</v>
          </cell>
          <cell r="G358">
            <v>29504881.93</v>
          </cell>
          <cell r="H358">
            <v>98676738.180000007</v>
          </cell>
          <cell r="I358">
            <v>484.94632000000001</v>
          </cell>
          <cell r="J358">
            <v>230.34522699999999</v>
          </cell>
          <cell r="K358">
            <v>2206.1106030000001</v>
          </cell>
          <cell r="L358" t="str">
            <v>European Union</v>
          </cell>
          <cell r="M358">
            <v>5.819623</v>
          </cell>
        </row>
        <row r="359">
          <cell r="A359" t="str">
            <v>G46.44EU1</v>
          </cell>
          <cell r="B359" t="str">
            <v>G</v>
          </cell>
          <cell r="C359" t="str">
            <v>EU1</v>
          </cell>
          <cell r="D359" t="str">
            <v>46.44</v>
          </cell>
          <cell r="E359">
            <v>4755636.8305430003</v>
          </cell>
          <cell r="F359">
            <v>24936553.300000001</v>
          </cell>
          <cell r="G359">
            <v>40318311.350000001</v>
          </cell>
          <cell r="H359">
            <v>106012787.40000001</v>
          </cell>
          <cell r="I359">
            <v>407.949949</v>
          </cell>
          <cell r="J359">
            <v>193.772614</v>
          </cell>
          <cell r="K359">
            <v>1855.8398850000001</v>
          </cell>
          <cell r="L359" t="str">
            <v>European Union</v>
          </cell>
          <cell r="M359">
            <v>4.7556370000000001</v>
          </cell>
        </row>
        <row r="360">
          <cell r="A360" t="str">
            <v>G47.62EU1</v>
          </cell>
          <cell r="B360" t="str">
            <v>G</v>
          </cell>
          <cell r="C360" t="str">
            <v>EU1</v>
          </cell>
          <cell r="D360" t="str">
            <v>47.62</v>
          </cell>
          <cell r="E360">
            <v>3070198.480581</v>
          </cell>
          <cell r="F360">
            <v>8845762.6300000008</v>
          </cell>
          <cell r="G360">
            <v>13611128.08</v>
          </cell>
          <cell r="H360">
            <v>67908835.019999996</v>
          </cell>
          <cell r="I360">
            <v>478.194121</v>
          </cell>
          <cell r="J360">
            <v>227.137991</v>
          </cell>
          <cell r="K360">
            <v>2175.3935799999999</v>
          </cell>
          <cell r="L360" t="str">
            <v>European Union</v>
          </cell>
          <cell r="M360">
            <v>3.070198</v>
          </cell>
        </row>
        <row r="361">
          <cell r="A361" t="str">
            <v>G46.12EU1</v>
          </cell>
          <cell r="B361" t="str">
            <v>G</v>
          </cell>
          <cell r="C361" t="str">
            <v>EU1</v>
          </cell>
          <cell r="D361" t="str">
            <v>46.12</v>
          </cell>
          <cell r="E361">
            <v>104479.56</v>
          </cell>
          <cell r="F361">
            <v>696818.97</v>
          </cell>
          <cell r="G361">
            <v>1190433.01</v>
          </cell>
          <cell r="H361">
            <v>6598141.9900000002</v>
          </cell>
          <cell r="I361">
            <v>9.8683530000000008</v>
          </cell>
          <cell r="J361">
            <v>4.6873829999999996</v>
          </cell>
          <cell r="K361">
            <v>44.892977000000002</v>
          </cell>
          <cell r="L361" t="str">
            <v>European Union</v>
          </cell>
          <cell r="M361">
            <v>0.10448</v>
          </cell>
        </row>
        <row r="362">
          <cell r="A362" t="str">
            <v>G46.32EU1</v>
          </cell>
          <cell r="B362" t="str">
            <v>G</v>
          </cell>
          <cell r="C362" t="str">
            <v>EU1</v>
          </cell>
          <cell r="D362" t="str">
            <v>46.32</v>
          </cell>
          <cell r="E362">
            <v>13285536.596438</v>
          </cell>
          <cell r="F362">
            <v>95248818.140000001</v>
          </cell>
          <cell r="G362">
            <v>99405702.909999996</v>
          </cell>
          <cell r="H362">
            <v>693549088.82000005</v>
          </cell>
          <cell r="I362">
            <v>1785.937557</v>
          </cell>
          <cell r="J362">
            <v>848.30459499999995</v>
          </cell>
          <cell r="K362">
            <v>8124.5605919999998</v>
          </cell>
          <cell r="L362" t="str">
            <v>European Union</v>
          </cell>
          <cell r="M362">
            <v>13.285537</v>
          </cell>
        </row>
        <row r="363">
          <cell r="A363" t="str">
            <v>G46.43EU1</v>
          </cell>
          <cell r="B363" t="str">
            <v>G</v>
          </cell>
          <cell r="C363" t="str">
            <v>EU1</v>
          </cell>
          <cell r="D363" t="str">
            <v>46.43</v>
          </cell>
          <cell r="E363">
            <v>13626937.880000001</v>
          </cell>
          <cell r="F363">
            <v>53738630.259999998</v>
          </cell>
          <cell r="G363">
            <v>109513706.13</v>
          </cell>
          <cell r="H363">
            <v>321812361.13999999</v>
          </cell>
          <cell r="I363">
            <v>856.58131700000001</v>
          </cell>
          <cell r="J363">
            <v>406.86859700000002</v>
          </cell>
          <cell r="K363">
            <v>3896.747061</v>
          </cell>
          <cell r="L363" t="str">
            <v>European Union</v>
          </cell>
          <cell r="M363">
            <v>13.626938000000001</v>
          </cell>
        </row>
        <row r="364">
          <cell r="A364" t="str">
            <v>G47.22EU1</v>
          </cell>
          <cell r="B364" t="str">
            <v>G</v>
          </cell>
          <cell r="C364" t="str">
            <v>EU1</v>
          </cell>
          <cell r="D364" t="str">
            <v>47.22</v>
          </cell>
          <cell r="E364">
            <v>7212618.3598800004</v>
          </cell>
          <cell r="F364">
            <v>29153942.719999999</v>
          </cell>
          <cell r="G364">
            <v>27686922.09</v>
          </cell>
          <cell r="H364">
            <v>215295810.91999999</v>
          </cell>
          <cell r="I364">
            <v>1155.6219060000001</v>
          </cell>
          <cell r="J364">
            <v>548.91020300000002</v>
          </cell>
          <cell r="K364">
            <v>5257.1380220000001</v>
          </cell>
          <cell r="L364" t="str">
            <v>European Union</v>
          </cell>
          <cell r="M364">
            <v>7.212618</v>
          </cell>
        </row>
        <row r="365">
          <cell r="A365" t="str">
            <v>G46.41EU1</v>
          </cell>
          <cell r="B365" t="str">
            <v>G</v>
          </cell>
          <cell r="C365" t="str">
            <v>EU1</v>
          </cell>
          <cell r="D365" t="str">
            <v>46.41</v>
          </cell>
          <cell r="E365">
            <v>21385586.598436002</v>
          </cell>
          <cell r="F365">
            <v>120127736.43000001</v>
          </cell>
          <cell r="G365">
            <v>173351113.44</v>
          </cell>
          <cell r="H365">
            <v>392128178.80000001</v>
          </cell>
          <cell r="I365">
            <v>1334.498621</v>
          </cell>
          <cell r="J365">
            <v>633.87506699999994</v>
          </cell>
          <cell r="K365">
            <v>6070.8813520000003</v>
          </cell>
          <cell r="L365" t="str">
            <v>European Union</v>
          </cell>
          <cell r="M365">
            <v>21.385587000000001</v>
          </cell>
        </row>
        <row r="366">
          <cell r="A366" t="str">
            <v>G47.65EU1</v>
          </cell>
          <cell r="B366" t="str">
            <v>G</v>
          </cell>
          <cell r="C366" t="str">
            <v>EU1</v>
          </cell>
          <cell r="D366" t="str">
            <v>47.65</v>
          </cell>
          <cell r="E366">
            <v>2059447.170775</v>
          </cell>
          <cell r="F366">
            <v>20608314.050000001</v>
          </cell>
          <cell r="G366">
            <v>11800041.130000001</v>
          </cell>
          <cell r="H366">
            <v>48789816.350000001</v>
          </cell>
          <cell r="I366">
            <v>141.00515999999999</v>
          </cell>
          <cell r="J366">
            <v>66.976207000000002</v>
          </cell>
          <cell r="K366">
            <v>641.45857899999999</v>
          </cell>
          <cell r="L366" t="str">
            <v>European Union</v>
          </cell>
          <cell r="M366">
            <v>2.059447</v>
          </cell>
        </row>
        <row r="367">
          <cell r="A367" t="str">
            <v>G46.75EU1</v>
          </cell>
          <cell r="B367" t="str">
            <v>G</v>
          </cell>
          <cell r="C367" t="str">
            <v>EU1</v>
          </cell>
          <cell r="D367" t="str">
            <v>46.75</v>
          </cell>
          <cell r="E367">
            <v>21401309.741852999</v>
          </cell>
          <cell r="F367">
            <v>111048541.09999999</v>
          </cell>
          <cell r="G367">
            <v>188854187.15000001</v>
          </cell>
          <cell r="H367">
            <v>751110453.40999997</v>
          </cell>
          <cell r="I367">
            <v>1653.10357</v>
          </cell>
          <cell r="J367">
            <v>785.20962399999996</v>
          </cell>
          <cell r="K367">
            <v>7520.2742040000003</v>
          </cell>
          <cell r="L367" t="str">
            <v>European Union</v>
          </cell>
          <cell r="M367">
            <v>21.401309999999999</v>
          </cell>
        </row>
        <row r="368">
          <cell r="A368" t="str">
            <v>G46.64EU1</v>
          </cell>
          <cell r="B368" t="str">
            <v>G</v>
          </cell>
          <cell r="C368" t="str">
            <v>EU1</v>
          </cell>
          <cell r="D368" t="str">
            <v>46.64</v>
          </cell>
          <cell r="E368">
            <v>2720853.17</v>
          </cell>
          <cell r="F368">
            <v>18380892.530000001</v>
          </cell>
          <cell r="G368">
            <v>29209996.010000002</v>
          </cell>
          <cell r="H368">
            <v>37526762.899999999</v>
          </cell>
          <cell r="I368">
            <v>96.008082999999999</v>
          </cell>
          <cell r="J368">
            <v>45.602989999999998</v>
          </cell>
          <cell r="K368">
            <v>436.75855300000001</v>
          </cell>
          <cell r="L368" t="str">
            <v>European Union</v>
          </cell>
          <cell r="M368">
            <v>2.720853</v>
          </cell>
        </row>
        <row r="369">
          <cell r="A369" t="str">
            <v>H51.10EU1</v>
          </cell>
          <cell r="B369" t="str">
            <v>H</v>
          </cell>
          <cell r="C369" t="str">
            <v>EU1</v>
          </cell>
          <cell r="D369" t="str">
            <v>51.10</v>
          </cell>
          <cell r="E369">
            <v>4209332.7699999996</v>
          </cell>
          <cell r="F369">
            <v>49946017.259999998</v>
          </cell>
          <cell r="G369">
            <v>6315328.46</v>
          </cell>
          <cell r="H369">
            <v>67820065.599999994</v>
          </cell>
          <cell r="I369">
            <v>899.15422799999999</v>
          </cell>
          <cell r="J369">
            <v>64.643963999999997</v>
          </cell>
          <cell r="K369">
            <v>1401.94553</v>
          </cell>
          <cell r="L369" t="str">
            <v>European Union</v>
          </cell>
          <cell r="M369">
            <v>4.209333</v>
          </cell>
        </row>
        <row r="370">
          <cell r="A370" t="str">
            <v>H53.10EU1</v>
          </cell>
          <cell r="B370" t="str">
            <v>H</v>
          </cell>
          <cell r="C370" t="str">
            <v>EU1</v>
          </cell>
          <cell r="D370" t="str">
            <v>53.10</v>
          </cell>
          <cell r="E370">
            <v>46947.19</v>
          </cell>
          <cell r="F370">
            <v>229265678.84999999</v>
          </cell>
          <cell r="G370">
            <v>248674462.13</v>
          </cell>
          <cell r="H370">
            <v>442080261.66000003</v>
          </cell>
          <cell r="I370">
            <v>0.79727300000000001</v>
          </cell>
          <cell r="J370">
            <v>1.777604</v>
          </cell>
          <cell r="K370">
            <v>7.1097149999999996</v>
          </cell>
          <cell r="L370" t="str">
            <v>European Union</v>
          </cell>
          <cell r="M370">
            <v>4.6947000000000003E-2</v>
          </cell>
        </row>
        <row r="371">
          <cell r="A371" t="str">
            <v>H49.32EU1</v>
          </cell>
          <cell r="B371" t="str">
            <v>H</v>
          </cell>
          <cell r="C371" t="str">
            <v>EU1</v>
          </cell>
          <cell r="D371" t="str">
            <v>49.32</v>
          </cell>
          <cell r="E371">
            <v>7294745.5899999999</v>
          </cell>
          <cell r="F371">
            <v>23962916.5</v>
          </cell>
          <cell r="G371">
            <v>16867600.91</v>
          </cell>
          <cell r="H371">
            <v>72306166.579999998</v>
          </cell>
          <cell r="I371">
            <v>3413.2199780000001</v>
          </cell>
          <cell r="J371">
            <v>245.39068900000001</v>
          </cell>
          <cell r="K371">
            <v>5321.8328659999997</v>
          </cell>
          <cell r="L371" t="str">
            <v>European Union</v>
          </cell>
          <cell r="M371">
            <v>7.294746</v>
          </cell>
        </row>
        <row r="372">
          <cell r="A372" t="str">
            <v>H49.41EU1</v>
          </cell>
          <cell r="B372" t="str">
            <v>H</v>
          </cell>
          <cell r="C372" t="str">
            <v>EU1</v>
          </cell>
          <cell r="D372" t="str">
            <v>49.41</v>
          </cell>
          <cell r="E372">
            <v>101717684.455421</v>
          </cell>
          <cell r="F372">
            <v>1024028972.55</v>
          </cell>
          <cell r="G372">
            <v>929200437.80999994</v>
          </cell>
          <cell r="H372">
            <v>3331281383.96</v>
          </cell>
          <cell r="I372">
            <v>38040.1685</v>
          </cell>
          <cell r="J372">
            <v>2734.86706</v>
          </cell>
          <cell r="K372">
            <v>59311.5648</v>
          </cell>
          <cell r="L372" t="str">
            <v>European Union</v>
          </cell>
          <cell r="M372">
            <v>101.71768400000001</v>
          </cell>
        </row>
        <row r="373">
          <cell r="A373" t="str">
            <v>H52.24EU1</v>
          </cell>
          <cell r="B373" t="str">
            <v>H</v>
          </cell>
          <cell r="C373" t="str">
            <v>EU1</v>
          </cell>
          <cell r="D373" t="str">
            <v>52.24</v>
          </cell>
          <cell r="E373">
            <v>13432322.73364</v>
          </cell>
          <cell r="F373">
            <v>35323807.380000003</v>
          </cell>
          <cell r="G373">
            <v>26710193.98</v>
          </cell>
          <cell r="H373">
            <v>27871597.25</v>
          </cell>
          <cell r="I373">
            <v>2146.7572329999998</v>
          </cell>
          <cell r="J373">
            <v>154.33937499999999</v>
          </cell>
          <cell r="K373">
            <v>3347.1862999999998</v>
          </cell>
          <cell r="L373" t="str">
            <v>European Union</v>
          </cell>
          <cell r="M373">
            <v>13.432323</v>
          </cell>
        </row>
        <row r="374">
          <cell r="A374" t="str">
            <v>H52.21EU1</v>
          </cell>
          <cell r="B374" t="str">
            <v>H</v>
          </cell>
          <cell r="C374" t="str">
            <v>EU1</v>
          </cell>
          <cell r="D374" t="str">
            <v>52.21</v>
          </cell>
          <cell r="E374">
            <v>38140852.961790003</v>
          </cell>
          <cell r="F374">
            <v>210788776.28</v>
          </cell>
          <cell r="G374">
            <v>451326970.56</v>
          </cell>
          <cell r="H374">
            <v>119864114.22</v>
          </cell>
          <cell r="I374">
            <v>207728.55127900001</v>
          </cell>
          <cell r="J374">
            <v>14934.475807000001</v>
          </cell>
          <cell r="K374">
            <v>323886.72016500001</v>
          </cell>
          <cell r="L374" t="str">
            <v>European Union</v>
          </cell>
          <cell r="M374">
            <v>38.140853</v>
          </cell>
        </row>
        <row r="375">
          <cell r="A375" t="str">
            <v>H49.39EU1</v>
          </cell>
          <cell r="B375" t="str">
            <v>H</v>
          </cell>
          <cell r="C375" t="str">
            <v>EU1</v>
          </cell>
          <cell r="D375" t="str">
            <v>49.39</v>
          </cell>
          <cell r="E375">
            <v>23551082.710000001</v>
          </cell>
          <cell r="F375">
            <v>131081060.65000001</v>
          </cell>
          <cell r="G375">
            <v>176512658.38</v>
          </cell>
          <cell r="H375">
            <v>223200061.97999999</v>
          </cell>
          <cell r="I375">
            <v>3963.9441139999999</v>
          </cell>
          <cell r="J375">
            <v>284.98454800000002</v>
          </cell>
          <cell r="K375">
            <v>6180.5122670000001</v>
          </cell>
          <cell r="L375" t="str">
            <v>European Union</v>
          </cell>
          <cell r="M375">
            <v>23.551082999999998</v>
          </cell>
        </row>
        <row r="376">
          <cell r="A376" t="str">
            <v>H49.20EU1</v>
          </cell>
          <cell r="B376" t="str">
            <v>H</v>
          </cell>
          <cell r="C376" t="str">
            <v>EU1</v>
          </cell>
          <cell r="D376" t="str">
            <v>49.20</v>
          </cell>
          <cell r="E376">
            <v>327.64999999999998</v>
          </cell>
          <cell r="F376">
            <v>30346451</v>
          </cell>
          <cell r="G376">
            <v>81365278</v>
          </cell>
          <cell r="H376">
            <v>87060290</v>
          </cell>
          <cell r="I376">
            <v>4.6676000000000002E-2</v>
          </cell>
          <cell r="J376">
            <v>3.356E-3</v>
          </cell>
          <cell r="K376">
            <v>7.2776999999999994E-2</v>
          </cell>
          <cell r="L376" t="str">
            <v>European Union</v>
          </cell>
          <cell r="M376">
            <v>3.28E-4</v>
          </cell>
        </row>
        <row r="377">
          <cell r="A377" t="str">
            <v>H50.30EU1</v>
          </cell>
          <cell r="B377" t="str">
            <v>H</v>
          </cell>
          <cell r="C377" t="str">
            <v>EU1</v>
          </cell>
          <cell r="D377" t="str">
            <v>50.30</v>
          </cell>
          <cell r="E377">
            <v>134183.1</v>
          </cell>
          <cell r="F377">
            <v>7535911.96</v>
          </cell>
          <cell r="G377">
            <v>18441217.190000001</v>
          </cell>
          <cell r="H377">
            <v>7705708.2699999996</v>
          </cell>
          <cell r="I377">
            <v>22.457118999999999</v>
          </cell>
          <cell r="J377">
            <v>1.614536</v>
          </cell>
          <cell r="K377">
            <v>35.014747</v>
          </cell>
          <cell r="L377" t="str">
            <v>European Union</v>
          </cell>
          <cell r="M377">
            <v>0.134183</v>
          </cell>
        </row>
        <row r="378">
          <cell r="A378" t="str">
            <v>H52.10EU1</v>
          </cell>
          <cell r="B378" t="str">
            <v>H</v>
          </cell>
          <cell r="C378" t="str">
            <v>EU1</v>
          </cell>
          <cell r="D378" t="str">
            <v>52.10</v>
          </cell>
          <cell r="E378">
            <v>507155.280141</v>
          </cell>
          <cell r="F378">
            <v>17664296.32</v>
          </cell>
          <cell r="G378">
            <v>66901341.799999997</v>
          </cell>
          <cell r="H378">
            <v>86287937.859999999</v>
          </cell>
          <cell r="I378">
            <v>262.15341899999999</v>
          </cell>
          <cell r="J378">
            <v>18.847307000000001</v>
          </cell>
          <cell r="K378">
            <v>408.745023</v>
          </cell>
          <cell r="L378" t="str">
            <v>European Union</v>
          </cell>
          <cell r="M378">
            <v>0.50715500000000002</v>
          </cell>
        </row>
        <row r="379">
          <cell r="A379" t="str">
            <v>H49.31EU1</v>
          </cell>
          <cell r="B379" t="str">
            <v>H</v>
          </cell>
          <cell r="C379" t="str">
            <v>EU1</v>
          </cell>
          <cell r="D379" t="str">
            <v>49.31</v>
          </cell>
          <cell r="E379">
            <v>9007457.7200000007</v>
          </cell>
          <cell r="F379">
            <v>92801271.640000001</v>
          </cell>
          <cell r="G379">
            <v>119792560.72</v>
          </cell>
          <cell r="H379">
            <v>156893807.91</v>
          </cell>
          <cell r="I379">
            <v>608.98354600000005</v>
          </cell>
          <cell r="J379">
            <v>43.782375999999999</v>
          </cell>
          <cell r="K379">
            <v>949.51647700000001</v>
          </cell>
          <cell r="L379" t="str">
            <v>European Union</v>
          </cell>
          <cell r="M379">
            <v>9.0074579999999997</v>
          </cell>
        </row>
        <row r="380">
          <cell r="A380" t="str">
            <v>H52.22EU1</v>
          </cell>
          <cell r="B380" t="str">
            <v>H</v>
          </cell>
          <cell r="C380" t="str">
            <v>EU1</v>
          </cell>
          <cell r="D380" t="str">
            <v>52.22</v>
          </cell>
          <cell r="E380">
            <v>19870963.52</v>
          </cell>
          <cell r="F380">
            <v>44625790.609999999</v>
          </cell>
          <cell r="G380">
            <v>324538702.36000001</v>
          </cell>
          <cell r="H380">
            <v>70614260.540000007</v>
          </cell>
          <cell r="I380">
            <v>406.99869899999999</v>
          </cell>
          <cell r="J380">
            <v>29.260840999999999</v>
          </cell>
          <cell r="K380">
            <v>634.58524499999999</v>
          </cell>
          <cell r="L380" t="str">
            <v>European Union</v>
          </cell>
          <cell r="M380">
            <v>19.870964000000001</v>
          </cell>
        </row>
        <row r="381">
          <cell r="A381" t="str">
            <v>H49.42EU1</v>
          </cell>
          <cell r="B381" t="str">
            <v>H</v>
          </cell>
          <cell r="C381" t="str">
            <v>EU1</v>
          </cell>
          <cell r="D381" t="str">
            <v>49.42</v>
          </cell>
          <cell r="E381">
            <v>1096980.4099999999</v>
          </cell>
          <cell r="F381">
            <v>7547559.6799999997</v>
          </cell>
          <cell r="G381">
            <v>15541174.380000001</v>
          </cell>
          <cell r="H381">
            <v>27491513.920000002</v>
          </cell>
          <cell r="I381">
            <v>300.62524200000001</v>
          </cell>
          <cell r="J381">
            <v>21.613205000000001</v>
          </cell>
          <cell r="K381">
            <v>468.72961199999997</v>
          </cell>
          <cell r="L381" t="str">
            <v>European Union</v>
          </cell>
          <cell r="M381">
            <v>1.0969800000000001</v>
          </cell>
        </row>
        <row r="382">
          <cell r="A382" t="str">
            <v>H50.20EU1</v>
          </cell>
          <cell r="B382" t="str">
            <v>H</v>
          </cell>
          <cell r="C382" t="str">
            <v>EU1</v>
          </cell>
          <cell r="D382" t="str">
            <v>50.20</v>
          </cell>
          <cell r="E382">
            <v>4425165.83</v>
          </cell>
          <cell r="F382">
            <v>22409145.219999999</v>
          </cell>
          <cell r="G382">
            <v>143076584.68000001</v>
          </cell>
          <cell r="H382">
            <v>236707252.56999999</v>
          </cell>
          <cell r="I382">
            <v>1484.8996030000001</v>
          </cell>
          <cell r="J382">
            <v>106.755653</v>
          </cell>
          <cell r="K382">
            <v>2315.2294649999999</v>
          </cell>
          <cell r="L382" t="str">
            <v>European Union</v>
          </cell>
          <cell r="M382">
            <v>4.4251659999999999</v>
          </cell>
        </row>
        <row r="383">
          <cell r="A383" t="str">
            <v>H52.23EU1</v>
          </cell>
          <cell r="B383" t="str">
            <v>H</v>
          </cell>
          <cell r="C383" t="str">
            <v>EU1</v>
          </cell>
          <cell r="D383" t="str">
            <v>52.23</v>
          </cell>
          <cell r="E383">
            <v>127974.46</v>
          </cell>
          <cell r="F383">
            <v>1196320</v>
          </cell>
          <cell r="G383">
            <v>2163830.08</v>
          </cell>
          <cell r="H383">
            <v>24637854.120000001</v>
          </cell>
          <cell r="I383">
            <v>783.124099</v>
          </cell>
          <cell r="J383">
            <v>56.302073</v>
          </cell>
          <cell r="K383">
            <v>1221.0333869999999</v>
          </cell>
          <cell r="L383" t="str">
            <v>European Union</v>
          </cell>
          <cell r="M383">
            <v>0.127974</v>
          </cell>
        </row>
        <row r="384">
          <cell r="A384" t="str">
            <v>H52.29EU1</v>
          </cell>
          <cell r="B384" t="str">
            <v>H</v>
          </cell>
          <cell r="C384" t="str">
            <v>EU1</v>
          </cell>
          <cell r="D384" t="str">
            <v>52.29</v>
          </cell>
          <cell r="E384">
            <v>13420434.239994001</v>
          </cell>
          <cell r="F384">
            <v>61010885.630000003</v>
          </cell>
          <cell r="G384">
            <v>142351668.11000001</v>
          </cell>
          <cell r="H384">
            <v>751053482.97000003</v>
          </cell>
          <cell r="I384">
            <v>13514.141626000001</v>
          </cell>
          <cell r="J384">
            <v>971.58827599999995</v>
          </cell>
          <cell r="K384">
            <v>21071.013054999999</v>
          </cell>
          <cell r="L384" t="str">
            <v>European Union</v>
          </cell>
          <cell r="M384">
            <v>13.420434</v>
          </cell>
        </row>
        <row r="385">
          <cell r="A385" t="str">
            <v>H50.10EU1</v>
          </cell>
          <cell r="B385" t="str">
            <v>H</v>
          </cell>
          <cell r="C385" t="str">
            <v>EU1</v>
          </cell>
          <cell r="D385" t="str">
            <v>50.10</v>
          </cell>
          <cell r="E385">
            <v>947336.37</v>
          </cell>
          <cell r="F385">
            <v>1470736.83</v>
          </cell>
          <cell r="G385">
            <v>2082785.15</v>
          </cell>
          <cell r="H385">
            <v>3504737.37</v>
          </cell>
          <cell r="I385">
            <v>178.00626199999999</v>
          </cell>
          <cell r="J385">
            <v>12.797616</v>
          </cell>
          <cell r="K385">
            <v>277.54425099999997</v>
          </cell>
          <cell r="L385" t="str">
            <v>European Union</v>
          </cell>
          <cell r="M385">
            <v>0.94733599999999996</v>
          </cell>
        </row>
        <row r="386">
          <cell r="A386" t="str">
            <v>H53.20EU1</v>
          </cell>
          <cell r="B386" t="str">
            <v>H</v>
          </cell>
          <cell r="C386" t="str">
            <v>EU1</v>
          </cell>
          <cell r="D386" t="str">
            <v>53.20</v>
          </cell>
          <cell r="E386">
            <v>23076036.84</v>
          </cell>
          <cell r="F386">
            <v>160667406.38</v>
          </cell>
          <cell r="G386">
            <v>146709732.50999999</v>
          </cell>
          <cell r="H386">
            <v>989268332.07000005</v>
          </cell>
          <cell r="I386">
            <v>789.14194399999997</v>
          </cell>
          <cell r="J386">
            <v>1759.4758159999999</v>
          </cell>
          <cell r="K386">
            <v>7037.2063200000002</v>
          </cell>
          <cell r="L386" t="str">
            <v>European Union</v>
          </cell>
          <cell r="M386">
            <v>23.076036999999999</v>
          </cell>
        </row>
        <row r="387">
          <cell r="A387" t="str">
            <v>I55.30EU1</v>
          </cell>
          <cell r="B387" t="str">
            <v>I</v>
          </cell>
          <cell r="C387" t="str">
            <v>EU1</v>
          </cell>
          <cell r="D387" t="str">
            <v>55.30</v>
          </cell>
          <cell r="E387">
            <v>3309035.5087450002</v>
          </cell>
          <cell r="F387">
            <v>24305145.07</v>
          </cell>
          <cell r="G387">
            <v>87688805.709999993</v>
          </cell>
          <cell r="H387">
            <v>45378545.549999997</v>
          </cell>
          <cell r="I387">
            <v>95.553101999999996</v>
          </cell>
          <cell r="J387">
            <v>45.386879999999998</v>
          </cell>
          <cell r="K387">
            <v>434.68875200000002</v>
          </cell>
          <cell r="L387" t="str">
            <v>European Union</v>
          </cell>
          <cell r="M387">
            <v>3.3090359999999999</v>
          </cell>
        </row>
        <row r="388">
          <cell r="A388" t="str">
            <v>I55.10EU1</v>
          </cell>
          <cell r="B388" t="str">
            <v>I</v>
          </cell>
          <cell r="C388" t="str">
            <v>EU1</v>
          </cell>
          <cell r="D388" t="str">
            <v>55.10</v>
          </cell>
          <cell r="E388">
            <v>90198309.962486997</v>
          </cell>
          <cell r="F388">
            <v>1319260685.46</v>
          </cell>
          <cell r="G388">
            <v>2308812918.77</v>
          </cell>
          <cell r="H388">
            <v>1630517058.54</v>
          </cell>
          <cell r="I388">
            <v>2773.99332</v>
          </cell>
          <cell r="J388">
            <v>1317.6223359999999</v>
          </cell>
          <cell r="K388">
            <v>12619.409093</v>
          </cell>
          <cell r="L388" t="str">
            <v>European Union</v>
          </cell>
          <cell r="M388">
            <v>90.198310000000006</v>
          </cell>
        </row>
        <row r="389">
          <cell r="A389" t="str">
            <v>I56.30EU1</v>
          </cell>
          <cell r="B389" t="str">
            <v>I</v>
          </cell>
          <cell r="C389" t="str">
            <v>EU1</v>
          </cell>
          <cell r="D389" t="str">
            <v>56.30</v>
          </cell>
          <cell r="E389">
            <v>23535417.800398</v>
          </cell>
          <cell r="F389">
            <v>73072456.200000003</v>
          </cell>
          <cell r="G389">
            <v>82362917.390000001</v>
          </cell>
          <cell r="H389">
            <v>293690417.63</v>
          </cell>
          <cell r="I389">
            <v>2126.57962</v>
          </cell>
          <cell r="J389">
            <v>1010.106547</v>
          </cell>
          <cell r="K389">
            <v>9674.2043809999996</v>
          </cell>
          <cell r="L389" t="str">
            <v>European Union</v>
          </cell>
          <cell r="M389">
            <v>23.535418</v>
          </cell>
        </row>
        <row r="390">
          <cell r="A390" t="str">
            <v>I55.20EU1</v>
          </cell>
          <cell r="B390" t="str">
            <v>I</v>
          </cell>
          <cell r="C390" t="str">
            <v>EU1</v>
          </cell>
          <cell r="D390" t="str">
            <v>55.20</v>
          </cell>
          <cell r="E390">
            <v>23317872.268424999</v>
          </cell>
          <cell r="F390">
            <v>167643500.19</v>
          </cell>
          <cell r="G390">
            <v>271646423.08999997</v>
          </cell>
          <cell r="H390">
            <v>225530762.65000001</v>
          </cell>
          <cell r="I390">
            <v>1167.3319530000001</v>
          </cell>
          <cell r="J390">
            <v>554.47238500000003</v>
          </cell>
          <cell r="K390">
            <v>5310.4091989999997</v>
          </cell>
          <cell r="L390" t="str">
            <v>European Union</v>
          </cell>
          <cell r="M390">
            <v>23.317872000000001</v>
          </cell>
        </row>
        <row r="391">
          <cell r="A391" t="str">
            <v>I56.21EU1</v>
          </cell>
          <cell r="B391" t="str">
            <v>I</v>
          </cell>
          <cell r="C391" t="str">
            <v>EU1</v>
          </cell>
          <cell r="D391" t="str">
            <v>56.21</v>
          </cell>
          <cell r="E391">
            <v>874098.16</v>
          </cell>
          <cell r="F391">
            <v>9547552.9399999995</v>
          </cell>
          <cell r="G391">
            <v>15250201.58</v>
          </cell>
          <cell r="H391">
            <v>43843258.539999999</v>
          </cell>
          <cell r="I391">
            <v>149.29934900000001</v>
          </cell>
          <cell r="J391">
            <v>70.915871999999993</v>
          </cell>
          <cell r="K391">
            <v>679.19036800000003</v>
          </cell>
          <cell r="L391" t="str">
            <v>European Union</v>
          </cell>
          <cell r="M391">
            <v>0.87409800000000004</v>
          </cell>
        </row>
        <row r="392">
          <cell r="A392" t="str">
            <v>I56.10EU1</v>
          </cell>
          <cell r="B392" t="str">
            <v>I</v>
          </cell>
          <cell r="C392" t="str">
            <v>EU1</v>
          </cell>
          <cell r="D392" t="str">
            <v>56.10</v>
          </cell>
          <cell r="E392">
            <v>102322148.144217</v>
          </cell>
          <cell r="F392">
            <v>339069948.04000002</v>
          </cell>
          <cell r="G392">
            <v>626723351.27999997</v>
          </cell>
          <cell r="H392">
            <v>1803557359.95</v>
          </cell>
          <cell r="I392">
            <v>10981.232110000001</v>
          </cell>
          <cell r="J392">
            <v>5215.9883440000003</v>
          </cell>
          <cell r="K392">
            <v>49955.657679999997</v>
          </cell>
          <cell r="L392" t="str">
            <v>European Union</v>
          </cell>
          <cell r="M392">
            <v>102.322148</v>
          </cell>
        </row>
        <row r="393">
          <cell r="A393" t="str">
            <v>I55.90EU1</v>
          </cell>
          <cell r="B393" t="str">
            <v>I</v>
          </cell>
          <cell r="C393" t="str">
            <v>EU1</v>
          </cell>
          <cell r="D393" t="str">
            <v>55.90</v>
          </cell>
          <cell r="E393">
            <v>170439.36</v>
          </cell>
          <cell r="F393">
            <v>14519347.550000001</v>
          </cell>
          <cell r="G393">
            <v>6535057.3399999999</v>
          </cell>
          <cell r="H393">
            <v>6212307.4699999997</v>
          </cell>
          <cell r="I393">
            <v>24.462437000000001</v>
          </cell>
          <cell r="J393">
            <v>11.619441</v>
          </cell>
          <cell r="K393">
            <v>111.284147</v>
          </cell>
          <cell r="L393" t="str">
            <v>European Union</v>
          </cell>
          <cell r="M393">
            <v>0.17043900000000001</v>
          </cell>
        </row>
        <row r="394">
          <cell r="A394" t="str">
            <v>I56.29EU1</v>
          </cell>
          <cell r="B394" t="str">
            <v>I</v>
          </cell>
          <cell r="C394" t="str">
            <v>EU1</v>
          </cell>
          <cell r="D394" t="str">
            <v>56.29</v>
          </cell>
          <cell r="E394">
            <v>2045073.3263920001</v>
          </cell>
          <cell r="F394">
            <v>15518692.18</v>
          </cell>
          <cell r="G394">
            <v>80495341</v>
          </cell>
          <cell r="H394">
            <v>512526358.19999999</v>
          </cell>
          <cell r="I394">
            <v>523.36931800000002</v>
          </cell>
          <cell r="J394">
            <v>248.59581499999999</v>
          </cell>
          <cell r="K394">
            <v>2380.9039560000001</v>
          </cell>
          <cell r="L394" t="str">
            <v>European Union</v>
          </cell>
          <cell r="M394">
            <v>2.0450729999999999</v>
          </cell>
        </row>
        <row r="395">
          <cell r="A395" t="str">
            <v>J58.21EU1</v>
          </cell>
          <cell r="B395" t="str">
            <v>J</v>
          </cell>
          <cell r="C395" t="str">
            <v>EU1</v>
          </cell>
          <cell r="D395" t="str">
            <v>58.21</v>
          </cell>
          <cell r="E395">
            <v>3681.76</v>
          </cell>
          <cell r="F395">
            <v>313.60000000000002</v>
          </cell>
          <cell r="G395">
            <v>2337228.86</v>
          </cell>
          <cell r="H395">
            <v>9031061</v>
          </cell>
          <cell r="I395">
            <v>0.29461900000000002</v>
          </cell>
          <cell r="J395">
            <v>0.132359</v>
          </cell>
          <cell r="K395">
            <v>1.6502399999999999</v>
          </cell>
          <cell r="L395" t="str">
            <v>European Union</v>
          </cell>
          <cell r="M395">
            <v>3.6819999999999999E-3</v>
          </cell>
        </row>
        <row r="396">
          <cell r="A396" t="str">
            <v>J59.14EU1</v>
          </cell>
          <cell r="B396" t="str">
            <v>J</v>
          </cell>
          <cell r="C396" t="str">
            <v>EU1</v>
          </cell>
          <cell r="D396" t="str">
            <v>59.14</v>
          </cell>
          <cell r="E396">
            <v>482.04</v>
          </cell>
          <cell r="F396">
            <v>226533.74</v>
          </cell>
          <cell r="G396">
            <v>547638.34</v>
          </cell>
          <cell r="H396">
            <v>236247.19</v>
          </cell>
          <cell r="I396">
            <v>3.5490000000000001E-3</v>
          </cell>
          <cell r="J396">
            <v>5.9299999999999999E-4</v>
          </cell>
          <cell r="K396">
            <v>6.4939999999999998E-3</v>
          </cell>
          <cell r="L396" t="str">
            <v>European Union</v>
          </cell>
          <cell r="M396">
            <v>4.8200000000000001E-4</v>
          </cell>
        </row>
        <row r="397">
          <cell r="A397" t="str">
            <v>J61.10EU1</v>
          </cell>
          <cell r="B397" t="str">
            <v>J</v>
          </cell>
          <cell r="C397" t="str">
            <v>EU1</v>
          </cell>
          <cell r="D397" t="str">
            <v>61.10</v>
          </cell>
          <cell r="E397">
            <v>2443100.7999999998</v>
          </cell>
          <cell r="F397">
            <v>314815592.07999998</v>
          </cell>
          <cell r="G397">
            <v>404713294.54000002</v>
          </cell>
          <cell r="H397">
            <v>2293186417.7399998</v>
          </cell>
          <cell r="I397">
            <v>103.98587499999999</v>
          </cell>
          <cell r="J397">
            <v>231.84755699999999</v>
          </cell>
          <cell r="K397">
            <v>927.29837799999996</v>
          </cell>
          <cell r="L397" t="str">
            <v>European Union</v>
          </cell>
          <cell r="M397">
            <v>2.443101</v>
          </cell>
        </row>
        <row r="398">
          <cell r="A398" t="str">
            <v>J63.91EU1</v>
          </cell>
          <cell r="B398" t="str">
            <v>J</v>
          </cell>
          <cell r="C398" t="str">
            <v>EU1</v>
          </cell>
          <cell r="D398" t="str">
            <v>63.91</v>
          </cell>
          <cell r="E398">
            <v>103963.5</v>
          </cell>
          <cell r="F398">
            <v>60424.14</v>
          </cell>
          <cell r="G398">
            <v>568977.37</v>
          </cell>
          <cell r="H398">
            <v>523028.81</v>
          </cell>
          <cell r="I398">
            <v>8.8751060000000006</v>
          </cell>
          <cell r="J398">
            <v>1.4835940000000001</v>
          </cell>
          <cell r="K398">
            <v>16.239156000000001</v>
          </cell>
          <cell r="L398" t="str">
            <v>European Union</v>
          </cell>
          <cell r="M398">
            <v>0.103964</v>
          </cell>
        </row>
        <row r="399">
          <cell r="A399" t="str">
            <v>J59.11EU1</v>
          </cell>
          <cell r="B399" t="str">
            <v>J</v>
          </cell>
          <cell r="C399" t="str">
            <v>EU1</v>
          </cell>
          <cell r="D399" t="str">
            <v>59.11</v>
          </cell>
          <cell r="E399">
            <v>6361617.6893849997</v>
          </cell>
          <cell r="F399">
            <v>28179603.510000002</v>
          </cell>
          <cell r="G399">
            <v>44199584.280000001</v>
          </cell>
          <cell r="H399">
            <v>89751754.349999994</v>
          </cell>
          <cell r="I399">
            <v>634.60875199999998</v>
          </cell>
          <cell r="J399">
            <v>106.08337</v>
          </cell>
          <cell r="K399">
            <v>1161.170613</v>
          </cell>
          <cell r="L399" t="str">
            <v>European Union</v>
          </cell>
          <cell r="M399">
            <v>6.361618</v>
          </cell>
        </row>
        <row r="400">
          <cell r="A400" t="str">
            <v>J59.20EU1</v>
          </cell>
          <cell r="B400" t="str">
            <v>J</v>
          </cell>
          <cell r="C400" t="str">
            <v>EU1</v>
          </cell>
          <cell r="D400" t="str">
            <v>59.20</v>
          </cell>
          <cell r="E400">
            <v>3351378.1233890001</v>
          </cell>
          <cell r="F400">
            <v>3283177.2</v>
          </cell>
          <cell r="G400">
            <v>6755897.8499999996</v>
          </cell>
          <cell r="H400">
            <v>9090844.5700000003</v>
          </cell>
          <cell r="I400">
            <v>459.97528799999998</v>
          </cell>
          <cell r="J400">
            <v>76.891045000000005</v>
          </cell>
          <cell r="K400">
            <v>841.63635199999999</v>
          </cell>
          <cell r="L400" t="str">
            <v>European Union</v>
          </cell>
          <cell r="M400">
            <v>3.351378</v>
          </cell>
        </row>
        <row r="401">
          <cell r="A401" t="str">
            <v>J60.20EU1</v>
          </cell>
          <cell r="B401" t="str">
            <v>J</v>
          </cell>
          <cell r="C401" t="str">
            <v>EU1</v>
          </cell>
          <cell r="D401" t="str">
            <v>60.20</v>
          </cell>
          <cell r="E401">
            <v>5330433.2</v>
          </cell>
          <cell r="F401">
            <v>99996459.400000006</v>
          </cell>
          <cell r="G401">
            <v>43453230.07</v>
          </cell>
          <cell r="H401">
            <v>280227884.89999998</v>
          </cell>
          <cell r="I401">
            <v>75.812533999999999</v>
          </cell>
          <cell r="J401">
            <v>169.03210100000001</v>
          </cell>
          <cell r="K401">
            <v>676.06144200000006</v>
          </cell>
          <cell r="L401" t="str">
            <v>European Union</v>
          </cell>
          <cell r="M401">
            <v>5.3304330000000002</v>
          </cell>
        </row>
        <row r="402">
          <cell r="A402" t="str">
            <v>J58.29EU1</v>
          </cell>
          <cell r="B402" t="str">
            <v>J</v>
          </cell>
          <cell r="C402" t="str">
            <v>EU1</v>
          </cell>
          <cell r="D402" t="str">
            <v>58.29</v>
          </cell>
          <cell r="E402">
            <v>874784.61</v>
          </cell>
          <cell r="F402">
            <v>14851407.970000001</v>
          </cell>
          <cell r="G402">
            <v>22543953.699999999</v>
          </cell>
          <cell r="H402">
            <v>39218685.189999998</v>
          </cell>
          <cell r="I402">
            <v>27.897988000000002</v>
          </cell>
          <cell r="J402">
            <v>12.53327</v>
          </cell>
          <cell r="K402">
            <v>156.26417900000001</v>
          </cell>
          <cell r="L402" t="str">
            <v>European Union</v>
          </cell>
          <cell r="M402">
            <v>0.87478500000000003</v>
          </cell>
        </row>
        <row r="403">
          <cell r="A403" t="str">
            <v>J61.30EU1</v>
          </cell>
          <cell r="B403" t="str">
            <v>J</v>
          </cell>
          <cell r="C403" t="str">
            <v>EU1</v>
          </cell>
          <cell r="D403" t="str">
            <v>61.30</v>
          </cell>
          <cell r="E403">
            <v>101220.73</v>
          </cell>
          <cell r="F403">
            <v>35631.43</v>
          </cell>
          <cell r="G403">
            <v>11901.65</v>
          </cell>
          <cell r="H403">
            <v>263587.3</v>
          </cell>
          <cell r="I403">
            <v>5.9106449999999997</v>
          </cell>
          <cell r="J403">
            <v>13.178407999999999</v>
          </cell>
          <cell r="K403">
            <v>52.708410000000001</v>
          </cell>
          <cell r="L403" t="str">
            <v>European Union</v>
          </cell>
          <cell r="M403">
            <v>0.10122100000000001</v>
          </cell>
        </row>
        <row r="404">
          <cell r="A404" t="str">
            <v>J63.12EU1</v>
          </cell>
          <cell r="B404" t="str">
            <v>J</v>
          </cell>
          <cell r="C404" t="str">
            <v>EU1</v>
          </cell>
          <cell r="D404" t="str">
            <v>63.12</v>
          </cell>
          <cell r="E404">
            <v>399485.28</v>
          </cell>
          <cell r="F404">
            <v>1576808.99</v>
          </cell>
          <cell r="G404">
            <v>6138980.0899999999</v>
          </cell>
          <cell r="H404">
            <v>14065973.74</v>
          </cell>
          <cell r="I404">
            <v>17.225881000000001</v>
          </cell>
          <cell r="J404">
            <v>7.738791</v>
          </cell>
          <cell r="K404">
            <v>96.486830999999995</v>
          </cell>
          <cell r="L404" t="str">
            <v>European Union</v>
          </cell>
          <cell r="M404">
            <v>0.39948499999999998</v>
          </cell>
        </row>
        <row r="405">
          <cell r="A405" t="str">
            <v>J63.99EU1</v>
          </cell>
          <cell r="B405" t="str">
            <v>J</v>
          </cell>
          <cell r="C405" t="str">
            <v>EU1</v>
          </cell>
          <cell r="D405" t="str">
            <v>63.99</v>
          </cell>
          <cell r="E405">
            <v>15941.88</v>
          </cell>
          <cell r="F405">
            <v>137171.9</v>
          </cell>
          <cell r="G405">
            <v>396157.27</v>
          </cell>
          <cell r="H405">
            <v>441694.24</v>
          </cell>
          <cell r="I405">
            <v>9.3082999999999999E-2</v>
          </cell>
          <cell r="J405">
            <v>4.1818000000000001E-2</v>
          </cell>
          <cell r="K405">
            <v>0.52138499999999999</v>
          </cell>
          <cell r="L405" t="str">
            <v>European Union</v>
          </cell>
          <cell r="M405">
            <v>1.5942000000000001E-2</v>
          </cell>
        </row>
        <row r="406">
          <cell r="A406" t="str">
            <v>J59.13EU1</v>
          </cell>
          <cell r="B406" t="str">
            <v>J</v>
          </cell>
          <cell r="C406" t="str">
            <v>EU1</v>
          </cell>
          <cell r="D406" t="str">
            <v>59.13</v>
          </cell>
          <cell r="E406">
            <v>349802.51</v>
          </cell>
          <cell r="F406">
            <v>1499446.83</v>
          </cell>
          <cell r="G406">
            <v>4753729.07</v>
          </cell>
          <cell r="H406">
            <v>6948897.4900000002</v>
          </cell>
          <cell r="I406">
            <v>78.290447</v>
          </cell>
          <cell r="J406">
            <v>13.087300000000001</v>
          </cell>
          <cell r="K406">
            <v>143.251362</v>
          </cell>
          <cell r="L406" t="str">
            <v>European Union</v>
          </cell>
          <cell r="M406">
            <v>0.34980299999999998</v>
          </cell>
        </row>
        <row r="407">
          <cell r="A407" t="str">
            <v>J62.09EU1</v>
          </cell>
          <cell r="B407" t="str">
            <v>J</v>
          </cell>
          <cell r="C407" t="str">
            <v>EU1</v>
          </cell>
          <cell r="D407" t="str">
            <v>62.09</v>
          </cell>
          <cell r="E407">
            <v>3997556.4</v>
          </cell>
          <cell r="F407">
            <v>69436749.200000003</v>
          </cell>
          <cell r="G407">
            <v>182812162.87</v>
          </cell>
          <cell r="H407">
            <v>343738006.25</v>
          </cell>
          <cell r="I407">
            <v>213.87175500000001</v>
          </cell>
          <cell r="J407">
            <v>96.082650000000001</v>
          </cell>
          <cell r="K407">
            <v>1197.953602</v>
          </cell>
          <cell r="L407" t="str">
            <v>European Union</v>
          </cell>
          <cell r="M407">
            <v>3.9975559999999999</v>
          </cell>
        </row>
        <row r="408">
          <cell r="A408" t="str">
            <v>J61.90EU1</v>
          </cell>
          <cell r="B408" t="str">
            <v>J</v>
          </cell>
          <cell r="C408" t="str">
            <v>EU1</v>
          </cell>
          <cell r="D408" t="str">
            <v>61.90</v>
          </cell>
          <cell r="E408">
            <v>15354273.67</v>
          </cell>
          <cell r="F408">
            <v>226556326.31</v>
          </cell>
          <cell r="G408">
            <v>120869366.02</v>
          </cell>
          <cell r="H408">
            <v>162066662.99000001</v>
          </cell>
          <cell r="I408">
            <v>80.556546999999995</v>
          </cell>
          <cell r="J408">
            <v>179.60937999999999</v>
          </cell>
          <cell r="K408">
            <v>718.36637900000005</v>
          </cell>
          <cell r="L408" t="str">
            <v>European Union</v>
          </cell>
          <cell r="M408">
            <v>15.354274</v>
          </cell>
        </row>
        <row r="409">
          <cell r="A409" t="str">
            <v>J58.11EU1</v>
          </cell>
          <cell r="B409" t="str">
            <v>J</v>
          </cell>
          <cell r="C409" t="str">
            <v>EU1</v>
          </cell>
          <cell r="D409" t="str">
            <v>58.11</v>
          </cell>
          <cell r="E409">
            <v>1738389.05</v>
          </cell>
          <cell r="F409">
            <v>9961759.4100000001</v>
          </cell>
          <cell r="G409">
            <v>35696725.299999997</v>
          </cell>
          <cell r="H409">
            <v>40156420.600000001</v>
          </cell>
          <cell r="I409">
            <v>134.11517699999999</v>
          </cell>
          <cell r="J409">
            <v>121.37916199999999</v>
          </cell>
          <cell r="K409">
            <v>627.10855500000002</v>
          </cell>
          <cell r="L409" t="str">
            <v>European Union</v>
          </cell>
          <cell r="M409">
            <v>1.738389</v>
          </cell>
        </row>
        <row r="410">
          <cell r="A410" t="str">
            <v>J63.11EU1</v>
          </cell>
          <cell r="B410" t="str">
            <v>J</v>
          </cell>
          <cell r="C410" t="str">
            <v>EU1</v>
          </cell>
          <cell r="D410" t="str">
            <v>63.11</v>
          </cell>
          <cell r="E410">
            <v>1897870.1</v>
          </cell>
          <cell r="F410">
            <v>12529618.800000001</v>
          </cell>
          <cell r="G410">
            <v>12731605.609999999</v>
          </cell>
          <cell r="H410">
            <v>56119165.829999998</v>
          </cell>
          <cell r="I410">
            <v>87.820339000000004</v>
          </cell>
          <cell r="J410">
            <v>39.453612</v>
          </cell>
          <cell r="K410">
            <v>491.905531</v>
          </cell>
          <cell r="L410" t="str">
            <v>European Union</v>
          </cell>
          <cell r="M410">
            <v>1.8978699999999999</v>
          </cell>
        </row>
        <row r="411">
          <cell r="A411" t="str">
            <v>J59.12EU1</v>
          </cell>
          <cell r="B411" t="str">
            <v>J</v>
          </cell>
          <cell r="C411" t="str">
            <v>EU1</v>
          </cell>
          <cell r="D411" t="str">
            <v>59.12</v>
          </cell>
          <cell r="E411">
            <v>266397.74</v>
          </cell>
          <cell r="F411">
            <v>2612577</v>
          </cell>
          <cell r="G411">
            <v>1919266.65</v>
          </cell>
          <cell r="H411">
            <v>3516053.93</v>
          </cell>
          <cell r="I411">
            <v>39.032705</v>
          </cell>
          <cell r="J411">
            <v>6.5248400000000002</v>
          </cell>
          <cell r="K411">
            <v>71.419798999999998</v>
          </cell>
          <cell r="L411" t="str">
            <v>European Union</v>
          </cell>
          <cell r="M411">
            <v>0.26639800000000002</v>
          </cell>
        </row>
        <row r="412">
          <cell r="A412" t="str">
            <v>J62.02EU1</v>
          </cell>
          <cell r="B412" t="str">
            <v>J</v>
          </cell>
          <cell r="C412" t="str">
            <v>EU1</v>
          </cell>
          <cell r="D412" t="str">
            <v>62.02</v>
          </cell>
          <cell r="E412">
            <v>16852010.940000001</v>
          </cell>
          <cell r="F412">
            <v>88991033.030000001</v>
          </cell>
          <cell r="G412">
            <v>278228133.20999998</v>
          </cell>
          <cell r="H412">
            <v>867418324.62</v>
          </cell>
          <cell r="I412">
            <v>805.63365899999997</v>
          </cell>
          <cell r="J412">
            <v>361.93382700000001</v>
          </cell>
          <cell r="K412">
            <v>4512.5721970000004</v>
          </cell>
          <cell r="L412" t="str">
            <v>European Union</v>
          </cell>
          <cell r="M412">
            <v>16.852011000000001</v>
          </cell>
        </row>
        <row r="413">
          <cell r="A413" t="str">
            <v>J58.14EU1</v>
          </cell>
          <cell r="B413" t="str">
            <v>J</v>
          </cell>
          <cell r="C413" t="str">
            <v>EU1</v>
          </cell>
          <cell r="D413" t="str">
            <v>58.14</v>
          </cell>
          <cell r="E413">
            <v>781984.4</v>
          </cell>
          <cell r="F413">
            <v>2556124.48</v>
          </cell>
          <cell r="G413">
            <v>2683793.5699999998</v>
          </cell>
          <cell r="H413">
            <v>8603763.2799999993</v>
          </cell>
          <cell r="I413">
            <v>111.069253</v>
          </cell>
          <cell r="J413">
            <v>100.521762</v>
          </cell>
          <cell r="K413">
            <v>519.348206</v>
          </cell>
          <cell r="L413" t="str">
            <v>European Union</v>
          </cell>
          <cell r="M413">
            <v>0.78198400000000001</v>
          </cell>
        </row>
        <row r="414">
          <cell r="A414" t="str">
            <v>J61.20EU1</v>
          </cell>
          <cell r="B414" t="str">
            <v>J</v>
          </cell>
          <cell r="C414" t="str">
            <v>EU1</v>
          </cell>
          <cell r="D414" t="str">
            <v>61.20</v>
          </cell>
          <cell r="E414">
            <v>176384.82</v>
          </cell>
          <cell r="F414">
            <v>141330.57</v>
          </cell>
          <cell r="G414">
            <v>310139</v>
          </cell>
          <cell r="H414">
            <v>1096043.08</v>
          </cell>
          <cell r="I414">
            <v>4.0217260000000001</v>
          </cell>
          <cell r="J414">
            <v>8.9668639999999993</v>
          </cell>
          <cell r="K414">
            <v>35.863906</v>
          </cell>
          <cell r="L414" t="str">
            <v>European Union</v>
          </cell>
          <cell r="M414">
            <v>0.17638499999999999</v>
          </cell>
        </row>
        <row r="415">
          <cell r="A415" t="str">
            <v>J58.13EU1</v>
          </cell>
          <cell r="B415" t="str">
            <v>J</v>
          </cell>
          <cell r="C415" t="str">
            <v>EU1</v>
          </cell>
          <cell r="D415" t="str">
            <v>58.13</v>
          </cell>
          <cell r="E415">
            <v>356449.29</v>
          </cell>
          <cell r="F415">
            <v>2845911.31</v>
          </cell>
          <cell r="G415">
            <v>3599980.72</v>
          </cell>
          <cell r="H415">
            <v>10772745.42</v>
          </cell>
          <cell r="I415">
            <v>39.813861000000003</v>
          </cell>
          <cell r="J415">
            <v>36.033006</v>
          </cell>
          <cell r="K415">
            <v>186.16544999999999</v>
          </cell>
          <cell r="L415" t="str">
            <v>European Union</v>
          </cell>
          <cell r="M415">
            <v>0.35644900000000002</v>
          </cell>
        </row>
        <row r="416">
          <cell r="A416" t="str">
            <v>J62.03EU1</v>
          </cell>
          <cell r="B416" t="str">
            <v>J</v>
          </cell>
          <cell r="C416" t="str">
            <v>EU1</v>
          </cell>
          <cell r="D416" t="str">
            <v>62.03</v>
          </cell>
          <cell r="E416">
            <v>325718.93</v>
          </cell>
          <cell r="F416">
            <v>676177.67</v>
          </cell>
          <cell r="G416">
            <v>3510839.18</v>
          </cell>
          <cell r="H416">
            <v>3427556.79</v>
          </cell>
          <cell r="I416">
            <v>18.057209</v>
          </cell>
          <cell r="J416">
            <v>8.1122709999999998</v>
          </cell>
          <cell r="K416">
            <v>101.14333499999999</v>
          </cell>
          <cell r="L416" t="str">
            <v>European Union</v>
          </cell>
          <cell r="M416">
            <v>0.32571899999999998</v>
          </cell>
        </row>
        <row r="417">
          <cell r="A417" t="str">
            <v>J62.01EU1</v>
          </cell>
          <cell r="B417" t="str">
            <v>J</v>
          </cell>
          <cell r="C417" t="str">
            <v>EU1</v>
          </cell>
          <cell r="D417" t="str">
            <v>62.01</v>
          </cell>
          <cell r="E417">
            <v>11195077.68</v>
          </cell>
          <cell r="F417">
            <v>46260357.640000001</v>
          </cell>
          <cell r="G417">
            <v>158370722.30000001</v>
          </cell>
          <cell r="H417">
            <v>446431909.73000002</v>
          </cell>
          <cell r="I417">
            <v>719.37954100000002</v>
          </cell>
          <cell r="J417">
            <v>323.183829</v>
          </cell>
          <cell r="K417">
            <v>4029.439601</v>
          </cell>
          <cell r="L417" t="str">
            <v>European Union</v>
          </cell>
          <cell r="M417">
            <v>11.195078000000001</v>
          </cell>
        </row>
        <row r="418">
          <cell r="A418" t="str">
            <v>J60.10EU1</v>
          </cell>
          <cell r="B418" t="str">
            <v>J</v>
          </cell>
          <cell r="C418" t="str">
            <v>EU1</v>
          </cell>
          <cell r="D418" t="str">
            <v>60.10</v>
          </cell>
          <cell r="E418">
            <v>11705.14</v>
          </cell>
          <cell r="F418">
            <v>1070314.92</v>
          </cell>
          <cell r="G418">
            <v>8568161.2100000009</v>
          </cell>
          <cell r="H418">
            <v>20351387.870000001</v>
          </cell>
          <cell r="I418">
            <v>0.265488</v>
          </cell>
          <cell r="J418">
            <v>0.59193200000000001</v>
          </cell>
          <cell r="K418">
            <v>2.3674949999999999</v>
          </cell>
          <cell r="L418" t="str">
            <v>European Union</v>
          </cell>
          <cell r="M418">
            <v>1.1705E-2</v>
          </cell>
        </row>
        <row r="419">
          <cell r="A419" t="str">
            <v>J58.19EU1</v>
          </cell>
          <cell r="B419" t="str">
            <v>J</v>
          </cell>
          <cell r="C419" t="str">
            <v>EU1</v>
          </cell>
          <cell r="D419" t="str">
            <v>58.19</v>
          </cell>
          <cell r="E419">
            <v>349753.4</v>
          </cell>
          <cell r="F419">
            <v>995480.93</v>
          </cell>
          <cell r="G419">
            <v>1409595.98</v>
          </cell>
          <cell r="H419">
            <v>3312267.14</v>
          </cell>
          <cell r="I419">
            <v>32.563338000000002</v>
          </cell>
          <cell r="J419">
            <v>29.471018000000001</v>
          </cell>
          <cell r="K419">
            <v>152.26276200000001</v>
          </cell>
          <cell r="L419" t="str">
            <v>European Union</v>
          </cell>
          <cell r="M419">
            <v>0.34975299999999998</v>
          </cell>
        </row>
        <row r="420">
          <cell r="A420" t="str">
            <v>K66.22EU1</v>
          </cell>
          <cell r="B420" t="str">
            <v>K</v>
          </cell>
          <cell r="C420" t="str">
            <v>EU1</v>
          </cell>
          <cell r="D420" t="str">
            <v>66.22</v>
          </cell>
          <cell r="E420">
            <v>140044.88</v>
          </cell>
          <cell r="F420">
            <v>647217.44999999995</v>
          </cell>
          <cell r="G420">
            <v>903118.8</v>
          </cell>
          <cell r="H420">
            <v>11776759.41</v>
          </cell>
          <cell r="I420">
            <v>7.7533390000000004</v>
          </cell>
          <cell r="J420">
            <v>3.4832160000000001</v>
          </cell>
          <cell r="K420">
            <v>43.428553999999998</v>
          </cell>
          <cell r="L420" t="str">
            <v>European Union</v>
          </cell>
          <cell r="M420">
            <v>0.140045</v>
          </cell>
        </row>
        <row r="421">
          <cell r="A421" t="str">
            <v>K64.92EU1</v>
          </cell>
          <cell r="B421" t="str">
            <v>K</v>
          </cell>
          <cell r="C421" t="str">
            <v>EU1</v>
          </cell>
          <cell r="D421" t="str">
            <v>64.92</v>
          </cell>
          <cell r="E421">
            <v>11581.27</v>
          </cell>
          <cell r="F421">
            <v>46463.85</v>
          </cell>
          <cell r="G421">
            <v>135729.79</v>
          </cell>
          <cell r="H421">
            <v>399242.47</v>
          </cell>
          <cell r="I421">
            <v>0.91834300000000002</v>
          </cell>
          <cell r="J421">
            <v>0.41256900000000002</v>
          </cell>
          <cell r="K421">
            <v>5.1438899999999999</v>
          </cell>
          <cell r="L421" t="str">
            <v>European Union</v>
          </cell>
          <cell r="M421">
            <v>1.1580999999999999E-2</v>
          </cell>
        </row>
        <row r="422">
          <cell r="A422" t="str">
            <v>K66.19EU1</v>
          </cell>
          <cell r="B422" t="str">
            <v>K</v>
          </cell>
          <cell r="C422" t="str">
            <v>EU1</v>
          </cell>
          <cell r="D422" t="str">
            <v>66.19</v>
          </cell>
          <cell r="E422">
            <v>534212.52</v>
          </cell>
          <cell r="F422">
            <v>704762.08</v>
          </cell>
          <cell r="G422">
            <v>2295072.69</v>
          </cell>
          <cell r="H422">
            <v>7771845.0300000003</v>
          </cell>
          <cell r="I422">
            <v>71.665273999999997</v>
          </cell>
          <cell r="J422">
            <v>32.195880000000002</v>
          </cell>
          <cell r="K422">
            <v>401.41659600000003</v>
          </cell>
          <cell r="L422" t="str">
            <v>European Union</v>
          </cell>
          <cell r="M422">
            <v>0.53421300000000005</v>
          </cell>
        </row>
        <row r="423">
          <cell r="A423" t="str">
            <v>K64.99EU1</v>
          </cell>
          <cell r="B423" t="str">
            <v>K</v>
          </cell>
          <cell r="C423" t="str">
            <v>EU1</v>
          </cell>
          <cell r="D423" t="str">
            <v>64.99</v>
          </cell>
          <cell r="E423">
            <v>442376.6</v>
          </cell>
          <cell r="F423">
            <v>99483.71</v>
          </cell>
          <cell r="G423">
            <v>3202789.06</v>
          </cell>
          <cell r="H423">
            <v>721446.79</v>
          </cell>
          <cell r="I423">
            <v>6.2782980000000004</v>
          </cell>
          <cell r="J423">
            <v>2.8205480000000001</v>
          </cell>
          <cell r="K423">
            <v>35.166446999999998</v>
          </cell>
          <cell r="L423" t="str">
            <v>European Union</v>
          </cell>
          <cell r="M423">
            <v>0.44237700000000002</v>
          </cell>
        </row>
        <row r="424">
          <cell r="A424" t="str">
            <v>K66.21EU1</v>
          </cell>
          <cell r="B424" t="str">
            <v>K</v>
          </cell>
          <cell r="C424" t="str">
            <v>EU1</v>
          </cell>
          <cell r="D424" t="str">
            <v>66.21</v>
          </cell>
          <cell r="E424">
            <v>30724.65</v>
          </cell>
          <cell r="F424">
            <v>219294.86</v>
          </cell>
          <cell r="G424">
            <v>35022.99</v>
          </cell>
          <cell r="H424">
            <v>42483.32</v>
          </cell>
          <cell r="I424">
            <v>0.34256900000000001</v>
          </cell>
          <cell r="J424">
            <v>0.15390000000000001</v>
          </cell>
          <cell r="K424">
            <v>1.918822</v>
          </cell>
          <cell r="L424" t="str">
            <v>European Union</v>
          </cell>
          <cell r="M424">
            <v>3.0724999999999999E-2</v>
          </cell>
        </row>
        <row r="425">
          <cell r="A425" t="str">
            <v>K66.30EU1</v>
          </cell>
          <cell r="B425" t="str">
            <v>K</v>
          </cell>
          <cell r="C425" t="str">
            <v>EU1</v>
          </cell>
          <cell r="D425" t="str">
            <v>66.30</v>
          </cell>
          <cell r="E425">
            <v>279.56</v>
          </cell>
          <cell r="F425">
            <v>1669.48</v>
          </cell>
          <cell r="G425">
            <v>3954333.86</v>
          </cell>
          <cell r="H425">
            <v>3857521.98</v>
          </cell>
          <cell r="I425">
            <v>5.6550000000000003E-3</v>
          </cell>
          <cell r="J425">
            <v>2.5400000000000002E-3</v>
          </cell>
          <cell r="K425">
            <v>3.1673E-2</v>
          </cell>
          <cell r="L425" t="str">
            <v>European Union</v>
          </cell>
          <cell r="M425">
            <v>2.7999999999999998E-4</v>
          </cell>
        </row>
        <row r="426">
          <cell r="A426" t="str">
            <v>L68.31EU1</v>
          </cell>
          <cell r="B426" t="str">
            <v>L</v>
          </cell>
          <cell r="C426" t="str">
            <v>EU1</v>
          </cell>
          <cell r="D426" t="str">
            <v>68.31</v>
          </cell>
          <cell r="E426">
            <v>17016487.219999999</v>
          </cell>
          <cell r="F426">
            <v>102124369.11</v>
          </cell>
          <cell r="G426">
            <v>144750035.91</v>
          </cell>
          <cell r="H426">
            <v>367150290.37</v>
          </cell>
          <cell r="I426">
            <v>784.58743400000003</v>
          </cell>
          <cell r="J426">
            <v>352.47873499999997</v>
          </cell>
          <cell r="K426">
            <v>4394.6866309999996</v>
          </cell>
          <cell r="L426" t="str">
            <v>European Union</v>
          </cell>
          <cell r="M426">
            <v>17.016487000000001</v>
          </cell>
        </row>
        <row r="427">
          <cell r="A427" t="str">
            <v>L68.20EU1</v>
          </cell>
          <cell r="B427" t="str">
            <v>L</v>
          </cell>
          <cell r="C427" t="str">
            <v>EU1</v>
          </cell>
          <cell r="D427" t="str">
            <v>68.20</v>
          </cell>
          <cell r="E427">
            <v>18800264.365596998</v>
          </cell>
          <cell r="F427">
            <v>127548478.79000001</v>
          </cell>
          <cell r="G427">
            <v>363387558.81</v>
          </cell>
          <cell r="H427">
            <v>87572235.219999999</v>
          </cell>
          <cell r="I427">
            <v>247.28258500000001</v>
          </cell>
          <cell r="J427">
            <v>111.092584</v>
          </cell>
          <cell r="K427">
            <v>1385.0966679999999</v>
          </cell>
          <cell r="L427" t="str">
            <v>European Union</v>
          </cell>
          <cell r="M427">
            <v>18.800263999999999</v>
          </cell>
        </row>
        <row r="428">
          <cell r="A428" t="str">
            <v>L68.10EU1</v>
          </cell>
          <cell r="B428" t="str">
            <v>L</v>
          </cell>
          <cell r="C428" t="str">
            <v>EU1</v>
          </cell>
          <cell r="D428" t="str">
            <v>68.10</v>
          </cell>
          <cell r="E428">
            <v>106311160.440106</v>
          </cell>
          <cell r="F428">
            <v>870798261.50999999</v>
          </cell>
          <cell r="G428">
            <v>2221365743.0900002</v>
          </cell>
          <cell r="H428">
            <v>741361926.14999998</v>
          </cell>
          <cell r="I428">
            <v>1287.0574449999999</v>
          </cell>
          <cell r="J428">
            <v>578.21518300000002</v>
          </cell>
          <cell r="K428">
            <v>7209.1570819999997</v>
          </cell>
          <cell r="L428" t="str">
            <v>European Union</v>
          </cell>
          <cell r="M428">
            <v>106.31116</v>
          </cell>
        </row>
        <row r="429">
          <cell r="A429" t="str">
            <v>L68.32EU1</v>
          </cell>
          <cell r="B429" t="str">
            <v>L</v>
          </cell>
          <cell r="C429" t="str">
            <v>EU1</v>
          </cell>
          <cell r="D429" t="str">
            <v>68.32</v>
          </cell>
          <cell r="E429">
            <v>8848405.3399999999</v>
          </cell>
          <cell r="F429">
            <v>26096789.41</v>
          </cell>
          <cell r="G429">
            <v>37760042.079999998</v>
          </cell>
          <cell r="H429">
            <v>45696549.140000001</v>
          </cell>
          <cell r="I429">
            <v>103.62363499999999</v>
          </cell>
          <cell r="J429">
            <v>46.553286</v>
          </cell>
          <cell r="K429">
            <v>580.42401099999995</v>
          </cell>
          <cell r="L429" t="str">
            <v>European Union</v>
          </cell>
          <cell r="M429">
            <v>8.8484049999999996</v>
          </cell>
        </row>
        <row r="430">
          <cell r="A430" t="str">
            <v>M74.20EU1</v>
          </cell>
          <cell r="B430" t="str">
            <v>M</v>
          </cell>
          <cell r="C430" t="str">
            <v>EU1</v>
          </cell>
          <cell r="D430" t="str">
            <v>74.20</v>
          </cell>
          <cell r="E430">
            <v>270187.77</v>
          </cell>
          <cell r="F430">
            <v>1750901.36</v>
          </cell>
          <cell r="G430">
            <v>1811667.71</v>
          </cell>
          <cell r="H430">
            <v>3584519.67</v>
          </cell>
          <cell r="I430">
            <v>7.3231130000000002</v>
          </cell>
          <cell r="J430">
            <v>3.289936</v>
          </cell>
          <cell r="K430">
            <v>41.018742000000003</v>
          </cell>
          <cell r="L430" t="str">
            <v>European Union</v>
          </cell>
          <cell r="M430">
            <v>0.27018799999999998</v>
          </cell>
        </row>
        <row r="431">
          <cell r="A431" t="str">
            <v>M74.90EU1</v>
          </cell>
          <cell r="B431" t="str">
            <v>M</v>
          </cell>
          <cell r="C431" t="str">
            <v>EU1</v>
          </cell>
          <cell r="D431" t="str">
            <v>74.90</v>
          </cell>
          <cell r="E431">
            <v>12279575.421781</v>
          </cell>
          <cell r="F431">
            <v>111065744.94</v>
          </cell>
          <cell r="G431">
            <v>164606963.58000001</v>
          </cell>
          <cell r="H431">
            <v>205296024.93000001</v>
          </cell>
          <cell r="I431">
            <v>400.90852100000001</v>
          </cell>
          <cell r="J431">
            <v>180.10958199999999</v>
          </cell>
          <cell r="K431">
            <v>2245.5970689999999</v>
          </cell>
          <cell r="L431" t="str">
            <v>European Union</v>
          </cell>
          <cell r="M431">
            <v>12.279574999999999</v>
          </cell>
        </row>
        <row r="432">
          <cell r="A432" t="str">
            <v>M72.11EU1</v>
          </cell>
          <cell r="B432" t="str">
            <v>M</v>
          </cell>
          <cell r="C432" t="str">
            <v>EU1</v>
          </cell>
          <cell r="D432" t="str">
            <v>72.11</v>
          </cell>
          <cell r="E432">
            <v>776353.93987799995</v>
          </cell>
          <cell r="F432">
            <v>2555638.7599999998</v>
          </cell>
          <cell r="G432">
            <v>5491291.1799999997</v>
          </cell>
          <cell r="H432">
            <v>3838910.74</v>
          </cell>
          <cell r="I432">
            <v>3.634309</v>
          </cell>
          <cell r="J432">
            <v>1.632728</v>
          </cell>
          <cell r="K432">
            <v>20.356750000000002</v>
          </cell>
          <cell r="L432" t="str">
            <v>European Union</v>
          </cell>
          <cell r="M432">
            <v>0.77635399999999999</v>
          </cell>
        </row>
        <row r="433">
          <cell r="A433" t="str">
            <v>M71.12EU1</v>
          </cell>
          <cell r="B433" t="str">
            <v>M</v>
          </cell>
          <cell r="C433" t="str">
            <v>EU1</v>
          </cell>
          <cell r="D433" t="str">
            <v>71.12</v>
          </cell>
          <cell r="E433">
            <v>52701036.178898998</v>
          </cell>
          <cell r="F433">
            <v>1751249650</v>
          </cell>
          <cell r="G433">
            <v>1178412411.6900001</v>
          </cell>
          <cell r="H433">
            <v>2022226410.9200001</v>
          </cell>
          <cell r="I433">
            <v>1966.4890640000001</v>
          </cell>
          <cell r="J433">
            <v>883.45234900000003</v>
          </cell>
          <cell r="K433">
            <v>11014.83754</v>
          </cell>
          <cell r="L433" t="str">
            <v>European Union</v>
          </cell>
          <cell r="M433">
            <v>52.701036000000002</v>
          </cell>
        </row>
        <row r="434">
          <cell r="A434" t="str">
            <v>M71.20EU1</v>
          </cell>
          <cell r="B434" t="str">
            <v>M</v>
          </cell>
          <cell r="C434" t="str">
            <v>EU1</v>
          </cell>
          <cell r="D434" t="str">
            <v>71.20</v>
          </cell>
          <cell r="E434">
            <v>6484843.0599560002</v>
          </cell>
          <cell r="F434">
            <v>46621424.579999998</v>
          </cell>
          <cell r="G434">
            <v>112836401.81999999</v>
          </cell>
          <cell r="H434">
            <v>79619692.170000002</v>
          </cell>
          <cell r="I434">
            <v>56.835116999999997</v>
          </cell>
          <cell r="J434">
            <v>25.533379</v>
          </cell>
          <cell r="K434">
            <v>318.34886599999999</v>
          </cell>
          <cell r="L434" t="str">
            <v>European Union</v>
          </cell>
          <cell r="M434">
            <v>6.4848429999999997</v>
          </cell>
        </row>
        <row r="435">
          <cell r="A435" t="str">
            <v>M72.19EU1</v>
          </cell>
          <cell r="B435" t="str">
            <v>M</v>
          </cell>
          <cell r="C435" t="str">
            <v>EU1</v>
          </cell>
          <cell r="D435" t="str">
            <v>72.19</v>
          </cell>
          <cell r="E435">
            <v>3751698.3497970002</v>
          </cell>
          <cell r="F435">
            <v>33883896.799999997</v>
          </cell>
          <cell r="G435">
            <v>84757598.900000006</v>
          </cell>
          <cell r="H435">
            <v>62698304.020000003</v>
          </cell>
          <cell r="I435">
            <v>49.456032999999998</v>
          </cell>
          <cell r="J435">
            <v>22.218302999999999</v>
          </cell>
          <cell r="K435">
            <v>277.01664099999999</v>
          </cell>
          <cell r="L435" t="str">
            <v>European Union</v>
          </cell>
          <cell r="M435">
            <v>3.7516980000000002</v>
          </cell>
        </row>
        <row r="436">
          <cell r="A436" t="str">
            <v>M70.22EU1</v>
          </cell>
          <cell r="B436" t="str">
            <v>M</v>
          </cell>
          <cell r="C436" t="str">
            <v>EU1</v>
          </cell>
          <cell r="D436" t="str">
            <v>70.22</v>
          </cell>
          <cell r="E436">
            <v>133884915.92353299</v>
          </cell>
          <cell r="F436">
            <v>783997241.25</v>
          </cell>
          <cell r="G436">
            <v>2727407428.8899999</v>
          </cell>
          <cell r="H436">
            <v>1482204333.8</v>
          </cell>
          <cell r="I436">
            <v>1893.2995390000001</v>
          </cell>
          <cell r="J436">
            <v>850.57164</v>
          </cell>
          <cell r="K436">
            <v>10604.883185999999</v>
          </cell>
          <cell r="L436" t="str">
            <v>European Union</v>
          </cell>
          <cell r="M436">
            <v>133.884916</v>
          </cell>
        </row>
        <row r="437">
          <cell r="A437" t="str">
            <v>M72.20EU1</v>
          </cell>
          <cell r="B437" t="str">
            <v>M</v>
          </cell>
          <cell r="C437" t="str">
            <v>EU1</v>
          </cell>
          <cell r="D437" t="str">
            <v>72.20</v>
          </cell>
          <cell r="E437">
            <v>50976.17</v>
          </cell>
          <cell r="F437">
            <v>325637.81</v>
          </cell>
          <cell r="G437">
            <v>339949.2</v>
          </cell>
          <cell r="H437">
            <v>10671.98</v>
          </cell>
          <cell r="I437">
            <v>1.6923000000000001E-2</v>
          </cell>
          <cell r="J437">
            <v>7.6020000000000003E-3</v>
          </cell>
          <cell r="K437">
            <v>9.4786999999999996E-2</v>
          </cell>
          <cell r="L437" t="str">
            <v>European Union</v>
          </cell>
          <cell r="M437">
            <v>5.0976E-2</v>
          </cell>
        </row>
        <row r="438">
          <cell r="A438" t="str">
            <v>M74.10EU1</v>
          </cell>
          <cell r="B438" t="str">
            <v>M</v>
          </cell>
          <cell r="C438" t="str">
            <v>EU1</v>
          </cell>
          <cell r="D438" t="str">
            <v>74.10</v>
          </cell>
          <cell r="E438">
            <v>4444906.1002890002</v>
          </cell>
          <cell r="F438">
            <v>21590101.52</v>
          </cell>
          <cell r="G438">
            <v>21580588.949999999</v>
          </cell>
          <cell r="H438">
            <v>71353145.829999998</v>
          </cell>
          <cell r="I438">
            <v>231.527164</v>
          </cell>
          <cell r="J438">
            <v>104.014405</v>
          </cell>
          <cell r="K438">
            <v>1296.8463039999999</v>
          </cell>
          <cell r="L438" t="str">
            <v>European Union</v>
          </cell>
          <cell r="M438">
            <v>4.4449059999999996</v>
          </cell>
        </row>
        <row r="439">
          <cell r="A439" t="str">
            <v>M70.10EU1</v>
          </cell>
          <cell r="B439" t="str">
            <v>M</v>
          </cell>
          <cell r="C439" t="str">
            <v>EU1</v>
          </cell>
          <cell r="D439" t="str">
            <v>70.10</v>
          </cell>
          <cell r="E439">
            <v>214810310.19999999</v>
          </cell>
          <cell r="F439">
            <v>1331939479.54</v>
          </cell>
          <cell r="G439">
            <v>3552444549.9400001</v>
          </cell>
          <cell r="H439">
            <v>130605175.98</v>
          </cell>
          <cell r="I439">
            <v>198.82773299999999</v>
          </cell>
          <cell r="J439">
            <v>89.324072000000001</v>
          </cell>
          <cell r="K439">
            <v>1113.687991</v>
          </cell>
          <cell r="L439" t="str">
            <v>European Union</v>
          </cell>
          <cell r="M439">
            <v>214.81030999999999</v>
          </cell>
        </row>
        <row r="440">
          <cell r="A440" t="str">
            <v>M73.11EU1</v>
          </cell>
          <cell r="B440" t="str">
            <v>M</v>
          </cell>
          <cell r="C440" t="str">
            <v>EU1</v>
          </cell>
          <cell r="D440" t="str">
            <v>73.11</v>
          </cell>
          <cell r="E440">
            <v>6448831.7407919997</v>
          </cell>
          <cell r="F440">
            <v>33597838.619999997</v>
          </cell>
          <cell r="G440">
            <v>66204166.530000001</v>
          </cell>
          <cell r="H440">
            <v>156647119.34999999</v>
          </cell>
          <cell r="I440">
            <v>312.22711099999998</v>
          </cell>
          <cell r="J440">
            <v>140.26915700000001</v>
          </cell>
          <cell r="K440">
            <v>1748.868547</v>
          </cell>
          <cell r="L440" t="str">
            <v>European Union</v>
          </cell>
          <cell r="M440">
            <v>6.4488320000000003</v>
          </cell>
        </row>
        <row r="441">
          <cell r="A441" t="str">
            <v>M69.20EU1</v>
          </cell>
          <cell r="B441" t="str">
            <v>M</v>
          </cell>
          <cell r="C441" t="str">
            <v>EU1</v>
          </cell>
          <cell r="D441" t="str">
            <v>69.20</v>
          </cell>
          <cell r="E441">
            <v>85486337.759626999</v>
          </cell>
          <cell r="F441">
            <v>109678687.12</v>
          </cell>
          <cell r="G441">
            <v>577072409.30999994</v>
          </cell>
          <cell r="H441">
            <v>334569007.89999998</v>
          </cell>
          <cell r="I441">
            <v>548.88586299999997</v>
          </cell>
          <cell r="J441">
            <v>246.58895799999999</v>
          </cell>
          <cell r="K441">
            <v>3074.4583040000002</v>
          </cell>
          <cell r="L441" t="str">
            <v>European Union</v>
          </cell>
          <cell r="M441">
            <v>85.486338000000003</v>
          </cell>
        </row>
        <row r="442">
          <cell r="A442" t="str">
            <v>M73.20EU1</v>
          </cell>
          <cell r="B442" t="str">
            <v>M</v>
          </cell>
          <cell r="C442" t="str">
            <v>EU1</v>
          </cell>
          <cell r="D442" t="str">
            <v>73.20</v>
          </cell>
          <cell r="E442">
            <v>101279.43</v>
          </cell>
          <cell r="F442">
            <v>317269.64</v>
          </cell>
          <cell r="G442">
            <v>4477857.5599999996</v>
          </cell>
          <cell r="H442">
            <v>5237551.42</v>
          </cell>
          <cell r="I442">
            <v>18.804282000000001</v>
          </cell>
          <cell r="J442">
            <v>8.4478930000000005</v>
          </cell>
          <cell r="K442">
            <v>105.32786900000001</v>
          </cell>
          <cell r="L442" t="str">
            <v>European Union</v>
          </cell>
          <cell r="M442">
            <v>0.10127899999999999</v>
          </cell>
        </row>
        <row r="443">
          <cell r="A443" t="str">
            <v>M75.00EU1</v>
          </cell>
          <cell r="B443" t="str">
            <v>M</v>
          </cell>
          <cell r="C443" t="str">
            <v>EU1</v>
          </cell>
          <cell r="D443" t="str">
            <v>75.00</v>
          </cell>
          <cell r="E443">
            <v>906462.12867999997</v>
          </cell>
          <cell r="F443">
            <v>7526462.4400000004</v>
          </cell>
          <cell r="G443">
            <v>8932704.8100000005</v>
          </cell>
          <cell r="H443">
            <v>29841713.489999998</v>
          </cell>
          <cell r="I443">
            <v>123.684355</v>
          </cell>
          <cell r="J443">
            <v>20.675504</v>
          </cell>
          <cell r="K443">
            <v>226.31052299999999</v>
          </cell>
          <cell r="L443" t="str">
            <v>European Union</v>
          </cell>
          <cell r="M443">
            <v>0.90646199999999999</v>
          </cell>
        </row>
        <row r="444">
          <cell r="A444" t="str">
            <v>M70.21EU1</v>
          </cell>
          <cell r="B444" t="str">
            <v>M</v>
          </cell>
          <cell r="C444" t="str">
            <v>EU1</v>
          </cell>
          <cell r="D444" t="str">
            <v>70.21</v>
          </cell>
          <cell r="E444">
            <v>879270.46</v>
          </cell>
          <cell r="F444">
            <v>3445224.34</v>
          </cell>
          <cell r="G444">
            <v>6483763.1600000001</v>
          </cell>
          <cell r="H444">
            <v>20429078.579999998</v>
          </cell>
          <cell r="I444">
            <v>51.302250999999998</v>
          </cell>
          <cell r="J444">
            <v>23.047723000000001</v>
          </cell>
          <cell r="K444">
            <v>287.35779100000002</v>
          </cell>
          <cell r="L444" t="str">
            <v>European Union</v>
          </cell>
          <cell r="M444">
            <v>0.87927</v>
          </cell>
        </row>
        <row r="445">
          <cell r="A445" t="str">
            <v>M74.30EU1</v>
          </cell>
          <cell r="B445" t="str">
            <v>M</v>
          </cell>
          <cell r="C445" t="str">
            <v>EU1</v>
          </cell>
          <cell r="D445" t="str">
            <v>74.30</v>
          </cell>
          <cell r="E445">
            <v>369016.44</v>
          </cell>
          <cell r="F445">
            <v>886887.93</v>
          </cell>
          <cell r="G445">
            <v>1809030.06</v>
          </cell>
          <cell r="H445">
            <v>2968827.13</v>
          </cell>
          <cell r="I445">
            <v>34.224401</v>
          </cell>
          <cell r="J445">
            <v>15.375436000000001</v>
          </cell>
          <cell r="K445">
            <v>191.70013599999999</v>
          </cell>
          <cell r="L445" t="str">
            <v>European Union</v>
          </cell>
          <cell r="M445">
            <v>0.36901600000000001</v>
          </cell>
        </row>
        <row r="446">
          <cell r="A446" t="str">
            <v>M69.10EU1</v>
          </cell>
          <cell r="B446" t="str">
            <v>M</v>
          </cell>
          <cell r="C446" t="str">
            <v>EU1</v>
          </cell>
          <cell r="D446" t="str">
            <v>69.10</v>
          </cell>
          <cell r="E446">
            <v>22144071.097553</v>
          </cell>
          <cell r="F446">
            <v>223886705.06</v>
          </cell>
          <cell r="G446">
            <v>169084238.50999999</v>
          </cell>
          <cell r="H446">
            <v>738600000.84000003</v>
          </cell>
          <cell r="I446">
            <v>885.46463900000003</v>
          </cell>
          <cell r="J446">
            <v>397.798182</v>
          </cell>
          <cell r="K446">
            <v>4959.7271499999997</v>
          </cell>
          <cell r="L446" t="str">
            <v>European Union</v>
          </cell>
          <cell r="M446">
            <v>22.144071</v>
          </cell>
        </row>
        <row r="447">
          <cell r="A447" t="str">
            <v>M71.11EU1</v>
          </cell>
          <cell r="B447" t="str">
            <v>M</v>
          </cell>
          <cell r="C447" t="str">
            <v>EU1</v>
          </cell>
          <cell r="D447" t="str">
            <v>71.11</v>
          </cell>
          <cell r="E447">
            <v>6283616.5108690001</v>
          </cell>
          <cell r="F447">
            <v>37605855.57</v>
          </cell>
          <cell r="G447">
            <v>58227337.07</v>
          </cell>
          <cell r="H447">
            <v>110460306.91</v>
          </cell>
          <cell r="I447">
            <v>312.87489099999999</v>
          </cell>
          <cell r="J447">
            <v>140.56017499999999</v>
          </cell>
          <cell r="K447">
            <v>1752.4970109999999</v>
          </cell>
          <cell r="L447" t="str">
            <v>European Union</v>
          </cell>
          <cell r="M447">
            <v>6.2836169999999996</v>
          </cell>
        </row>
        <row r="448">
          <cell r="A448" t="str">
            <v>M73.12EU1</v>
          </cell>
          <cell r="B448" t="str">
            <v>M</v>
          </cell>
          <cell r="C448" t="str">
            <v>EU1</v>
          </cell>
          <cell r="D448" t="str">
            <v>73.12</v>
          </cell>
          <cell r="E448">
            <v>1241223.789965</v>
          </cell>
          <cell r="F448">
            <v>7418775.2699999996</v>
          </cell>
          <cell r="G448">
            <v>9910408.6199999992</v>
          </cell>
          <cell r="H448">
            <v>37961932.689999998</v>
          </cell>
          <cell r="I448">
            <v>75.731961999999996</v>
          </cell>
          <cell r="J448">
            <v>34.022857000000002</v>
          </cell>
          <cell r="K448">
            <v>424.195223</v>
          </cell>
          <cell r="L448" t="str">
            <v>European Union</v>
          </cell>
          <cell r="M448">
            <v>1.2412240000000001</v>
          </cell>
        </row>
        <row r="449">
          <cell r="A449" t="str">
            <v>N77.11EU1</v>
          </cell>
          <cell r="B449" t="str">
            <v>N</v>
          </cell>
          <cell r="C449" t="str">
            <v>EU1</v>
          </cell>
          <cell r="D449" t="str">
            <v>77.11</v>
          </cell>
          <cell r="E449">
            <v>21493303.524181001</v>
          </cell>
          <cell r="F449">
            <v>452413005.95999998</v>
          </cell>
          <cell r="G449">
            <v>378232402.27999997</v>
          </cell>
          <cell r="H449">
            <v>784363659.51999998</v>
          </cell>
          <cell r="I449">
            <v>406.04444100000001</v>
          </cell>
          <cell r="J449">
            <v>182.416922</v>
          </cell>
          <cell r="K449">
            <v>2274.3647259999998</v>
          </cell>
          <cell r="L449" t="str">
            <v>European Union</v>
          </cell>
          <cell r="M449">
            <v>21.493303999999998</v>
          </cell>
        </row>
        <row r="450">
          <cell r="A450" t="str">
            <v>N81.22EU1</v>
          </cell>
          <cell r="B450" t="str">
            <v>N</v>
          </cell>
          <cell r="C450" t="str">
            <v>EU1</v>
          </cell>
          <cell r="D450" t="str">
            <v>81.22</v>
          </cell>
          <cell r="E450">
            <v>1852763.3388179999</v>
          </cell>
          <cell r="F450">
            <v>6595415.7699999996</v>
          </cell>
          <cell r="G450">
            <v>7547984.96</v>
          </cell>
          <cell r="H450">
            <v>24669420.75</v>
          </cell>
          <cell r="I450">
            <v>84.786148999999995</v>
          </cell>
          <cell r="J450">
            <v>38.090482999999999</v>
          </cell>
          <cell r="K450">
            <v>474.910168</v>
          </cell>
          <cell r="L450" t="str">
            <v>European Union</v>
          </cell>
          <cell r="M450">
            <v>1.8527629999999999</v>
          </cell>
        </row>
        <row r="451">
          <cell r="A451" t="str">
            <v>N82.91EU1</v>
          </cell>
          <cell r="B451" t="str">
            <v>N</v>
          </cell>
          <cell r="C451" t="str">
            <v>EU1</v>
          </cell>
          <cell r="D451" t="str">
            <v>82.91</v>
          </cell>
          <cell r="E451">
            <v>304969.42</v>
          </cell>
          <cell r="F451">
            <v>43905142.719999999</v>
          </cell>
          <cell r="G451">
            <v>8455986.0099999998</v>
          </cell>
          <cell r="H451">
            <v>8621488.3800000008</v>
          </cell>
          <cell r="I451">
            <v>4.5471649999999997</v>
          </cell>
          <cell r="J451">
            <v>2.0428310000000001</v>
          </cell>
          <cell r="K451">
            <v>25.469895000000001</v>
          </cell>
          <cell r="L451" t="str">
            <v>European Union</v>
          </cell>
          <cell r="M451">
            <v>0.30496899999999999</v>
          </cell>
        </row>
        <row r="452">
          <cell r="A452" t="str">
            <v>N78.10EU1</v>
          </cell>
          <cell r="B452" t="str">
            <v>N</v>
          </cell>
          <cell r="C452" t="str">
            <v>EU1</v>
          </cell>
          <cell r="D452" t="str">
            <v>78.10</v>
          </cell>
          <cell r="E452">
            <v>366378.6</v>
          </cell>
          <cell r="F452">
            <v>899297.81</v>
          </cell>
          <cell r="G452">
            <v>3546548.83</v>
          </cell>
          <cell r="H452">
            <v>13643733.039999999</v>
          </cell>
          <cell r="I452">
            <v>23.967835000000001</v>
          </cell>
          <cell r="J452">
            <v>10.767636</v>
          </cell>
          <cell r="K452">
            <v>134.25034199999999</v>
          </cell>
          <cell r="L452" t="str">
            <v>European Union</v>
          </cell>
          <cell r="M452">
            <v>0.36637900000000001</v>
          </cell>
        </row>
        <row r="453">
          <cell r="A453" t="str">
            <v>N79.11EU1</v>
          </cell>
          <cell r="B453" t="str">
            <v>N</v>
          </cell>
          <cell r="C453" t="str">
            <v>EU1</v>
          </cell>
          <cell r="D453" t="str">
            <v>79.11</v>
          </cell>
          <cell r="E453">
            <v>9614995.5700000003</v>
          </cell>
          <cell r="F453">
            <v>128843660.58</v>
          </cell>
          <cell r="G453">
            <v>94426726.849999994</v>
          </cell>
          <cell r="H453">
            <v>1125736105.95</v>
          </cell>
          <cell r="I453">
            <v>8739.5415709999997</v>
          </cell>
          <cell r="J453">
            <v>628.32226400000002</v>
          </cell>
          <cell r="K453">
            <v>13626.540213</v>
          </cell>
          <cell r="L453" t="str">
            <v>European Union</v>
          </cell>
          <cell r="M453">
            <v>9.6149959999999997</v>
          </cell>
        </row>
        <row r="454">
          <cell r="A454" t="str">
            <v>N78.30EU1</v>
          </cell>
          <cell r="B454" t="str">
            <v>N</v>
          </cell>
          <cell r="C454" t="str">
            <v>EU1</v>
          </cell>
          <cell r="D454" t="str">
            <v>78.30</v>
          </cell>
          <cell r="E454">
            <v>531599.62</v>
          </cell>
          <cell r="F454">
            <v>1226723.3899999999</v>
          </cell>
          <cell r="G454">
            <v>2077934.68</v>
          </cell>
          <cell r="H454">
            <v>11350107.310000001</v>
          </cell>
          <cell r="I454">
            <v>85.071712000000005</v>
          </cell>
          <cell r="J454">
            <v>38.218775000000001</v>
          </cell>
          <cell r="K454">
            <v>476.50970699999999</v>
          </cell>
          <cell r="L454" t="str">
            <v>European Union</v>
          </cell>
          <cell r="M454">
            <v>0.53159999999999996</v>
          </cell>
        </row>
        <row r="455">
          <cell r="A455" t="str">
            <v>N77.40EU1</v>
          </cell>
          <cell r="B455" t="str">
            <v>N</v>
          </cell>
          <cell r="C455" t="str">
            <v>EU1</v>
          </cell>
          <cell r="D455" t="str">
            <v>77.40</v>
          </cell>
          <cell r="E455">
            <v>214914.22880400001</v>
          </cell>
          <cell r="F455">
            <v>221974.31</v>
          </cell>
          <cell r="G455">
            <v>1265211.1000000001</v>
          </cell>
          <cell r="H455">
            <v>2946750.53</v>
          </cell>
          <cell r="I455">
            <v>16.372536</v>
          </cell>
          <cell r="J455">
            <v>7.3554219999999999</v>
          </cell>
          <cell r="K455">
            <v>91.707008000000002</v>
          </cell>
          <cell r="L455" t="str">
            <v>European Union</v>
          </cell>
          <cell r="M455">
            <v>0.21491399999999999</v>
          </cell>
        </row>
        <row r="456">
          <cell r="A456" t="str">
            <v>N77.32EU1</v>
          </cell>
          <cell r="B456" t="str">
            <v>N</v>
          </cell>
          <cell r="C456" t="str">
            <v>EU1</v>
          </cell>
          <cell r="D456" t="str">
            <v>77.32</v>
          </cell>
          <cell r="E456">
            <v>7437019.8672350002</v>
          </cell>
          <cell r="F456">
            <v>37443630.450000003</v>
          </cell>
          <cell r="G456">
            <v>47544082.729999997</v>
          </cell>
          <cell r="H456">
            <v>84076981.430000007</v>
          </cell>
          <cell r="I456">
            <v>146.639194</v>
          </cell>
          <cell r="J456">
            <v>65.878189000000006</v>
          </cell>
          <cell r="K456">
            <v>821.36578599999996</v>
          </cell>
          <cell r="L456" t="str">
            <v>European Union</v>
          </cell>
          <cell r="M456">
            <v>7.4370200000000004</v>
          </cell>
        </row>
        <row r="457">
          <cell r="A457" t="str">
            <v>N80.10EU1</v>
          </cell>
          <cell r="B457" t="str">
            <v>N</v>
          </cell>
          <cell r="C457" t="str">
            <v>EU1</v>
          </cell>
          <cell r="D457" t="str">
            <v>80.10</v>
          </cell>
          <cell r="E457">
            <v>3854095.36</v>
          </cell>
          <cell r="F457">
            <v>25325353.469999999</v>
          </cell>
          <cell r="G457">
            <v>82800238.260000005</v>
          </cell>
          <cell r="H457">
            <v>416896041.06</v>
          </cell>
          <cell r="I457">
            <v>458.638957</v>
          </cell>
          <cell r="J457">
            <v>206.04520299999999</v>
          </cell>
          <cell r="K457">
            <v>2568.9609340000002</v>
          </cell>
          <cell r="L457" t="str">
            <v>European Union</v>
          </cell>
          <cell r="M457">
            <v>3.854095</v>
          </cell>
        </row>
        <row r="458">
          <cell r="A458" t="str">
            <v>N77.39EU1</v>
          </cell>
          <cell r="B458" t="str">
            <v>N</v>
          </cell>
          <cell r="C458" t="str">
            <v>EU1</v>
          </cell>
          <cell r="D458" t="str">
            <v>77.39</v>
          </cell>
          <cell r="E458">
            <v>22045503.339924</v>
          </cell>
          <cell r="F458">
            <v>331450768.81999999</v>
          </cell>
          <cell r="G458">
            <v>1190166764.8599999</v>
          </cell>
          <cell r="H458">
            <v>248745147.47</v>
          </cell>
          <cell r="I458">
            <v>269.14122800000001</v>
          </cell>
          <cell r="J458">
            <v>120.91265799999999</v>
          </cell>
          <cell r="K458">
            <v>1507.5329099999999</v>
          </cell>
          <cell r="L458" t="str">
            <v>European Union</v>
          </cell>
          <cell r="M458">
            <v>22.045503</v>
          </cell>
        </row>
        <row r="459">
          <cell r="A459" t="str">
            <v>N78.20EU1</v>
          </cell>
          <cell r="B459" t="str">
            <v>N</v>
          </cell>
          <cell r="C459" t="str">
            <v>EU1</v>
          </cell>
          <cell r="D459" t="str">
            <v>78.20</v>
          </cell>
          <cell r="E459">
            <v>6791942.5700000003</v>
          </cell>
          <cell r="F459">
            <v>40269264.299999997</v>
          </cell>
          <cell r="G459">
            <v>64266095.969999999</v>
          </cell>
          <cell r="H459">
            <v>557573246.58000004</v>
          </cell>
          <cell r="I459">
            <v>663.37922000000003</v>
          </cell>
          <cell r="J459">
            <v>298.02549900000002</v>
          </cell>
          <cell r="K459">
            <v>3715.7666049999998</v>
          </cell>
          <cell r="L459" t="str">
            <v>European Union</v>
          </cell>
          <cell r="M459">
            <v>6.7919429999999998</v>
          </cell>
        </row>
        <row r="460">
          <cell r="A460" t="str">
            <v>N82.99EU1</v>
          </cell>
          <cell r="B460" t="str">
            <v>N</v>
          </cell>
          <cell r="C460" t="str">
            <v>EU1</v>
          </cell>
          <cell r="D460" t="str">
            <v>82.99</v>
          </cell>
          <cell r="E460">
            <v>16441296.643402999</v>
          </cell>
          <cell r="F460">
            <v>207666064.99000001</v>
          </cell>
          <cell r="G460">
            <v>399531888.89999998</v>
          </cell>
          <cell r="H460">
            <v>332811909.31999999</v>
          </cell>
          <cell r="I460">
            <v>658.10128399999996</v>
          </cell>
          <cell r="J460">
            <v>295.65439300000003</v>
          </cell>
          <cell r="K460">
            <v>3686.2034739999999</v>
          </cell>
          <cell r="L460" t="str">
            <v>European Union</v>
          </cell>
          <cell r="M460">
            <v>16.441296999999999</v>
          </cell>
        </row>
        <row r="461">
          <cell r="A461" t="str">
            <v>N82.30EU1</v>
          </cell>
          <cell r="B461" t="str">
            <v>N</v>
          </cell>
          <cell r="C461" t="str">
            <v>EU1</v>
          </cell>
          <cell r="D461" t="str">
            <v>82.30</v>
          </cell>
          <cell r="E461">
            <v>7343882.9007529998</v>
          </cell>
          <cell r="F461">
            <v>76338868.930000007</v>
          </cell>
          <cell r="G461">
            <v>118078054.70999999</v>
          </cell>
          <cell r="H461">
            <v>179335805.15000001</v>
          </cell>
          <cell r="I461">
            <v>466.57304099999999</v>
          </cell>
          <cell r="J461">
            <v>209.60960600000001</v>
          </cell>
          <cell r="K461">
            <v>2613.401856</v>
          </cell>
          <cell r="L461" t="str">
            <v>European Union</v>
          </cell>
          <cell r="M461">
            <v>7.3438829999999999</v>
          </cell>
        </row>
        <row r="462">
          <cell r="A462" t="str">
            <v>N77.34EU1</v>
          </cell>
          <cell r="B462" t="str">
            <v>N</v>
          </cell>
          <cell r="C462" t="str">
            <v>EU1</v>
          </cell>
          <cell r="D462" t="str">
            <v>77.34</v>
          </cell>
          <cell r="E462">
            <v>58411.64</v>
          </cell>
          <cell r="F462">
            <v>663829.1</v>
          </cell>
          <cell r="G462">
            <v>99240.69</v>
          </cell>
          <cell r="H462">
            <v>1410120.41</v>
          </cell>
          <cell r="I462">
            <v>2.2357809999999998</v>
          </cell>
          <cell r="J462">
            <v>1.004432</v>
          </cell>
          <cell r="K462">
            <v>12.523215</v>
          </cell>
          <cell r="L462" t="str">
            <v>European Union</v>
          </cell>
          <cell r="M462">
            <v>5.8411999999999999E-2</v>
          </cell>
        </row>
        <row r="463">
          <cell r="A463" t="str">
            <v>N82.11EU1</v>
          </cell>
          <cell r="B463" t="str">
            <v>N</v>
          </cell>
          <cell r="C463" t="str">
            <v>EU1</v>
          </cell>
          <cell r="D463" t="str">
            <v>82.11</v>
          </cell>
          <cell r="E463">
            <v>6664124.4217250003</v>
          </cell>
          <cell r="F463">
            <v>197570045.91</v>
          </cell>
          <cell r="G463">
            <v>271804766.80000001</v>
          </cell>
          <cell r="H463">
            <v>143450131.72</v>
          </cell>
          <cell r="I463">
            <v>154.27115000000001</v>
          </cell>
          <cell r="J463">
            <v>69.306869000000006</v>
          </cell>
          <cell r="K463">
            <v>864.11447299999998</v>
          </cell>
          <cell r="L463" t="str">
            <v>European Union</v>
          </cell>
          <cell r="M463">
            <v>6.6641240000000002</v>
          </cell>
        </row>
        <row r="464">
          <cell r="A464" t="str">
            <v>N77.12EU1</v>
          </cell>
          <cell r="B464" t="str">
            <v>N</v>
          </cell>
          <cell r="C464" t="str">
            <v>EU1</v>
          </cell>
          <cell r="D464" t="str">
            <v>77.12</v>
          </cell>
          <cell r="E464">
            <v>85723.88</v>
          </cell>
          <cell r="F464">
            <v>1529669.34</v>
          </cell>
          <cell r="G464">
            <v>879720.91</v>
          </cell>
          <cell r="H464">
            <v>2723277.69</v>
          </cell>
          <cell r="I464">
            <v>1.25244</v>
          </cell>
          <cell r="J464">
            <v>0.56266300000000002</v>
          </cell>
          <cell r="K464">
            <v>7.0152590000000004</v>
          </cell>
          <cell r="L464" t="str">
            <v>European Union</v>
          </cell>
          <cell r="M464">
            <v>8.5723999999999995E-2</v>
          </cell>
        </row>
        <row r="465">
          <cell r="A465" t="str">
            <v>N79.90EU1</v>
          </cell>
          <cell r="B465" t="str">
            <v>N</v>
          </cell>
          <cell r="C465" t="str">
            <v>EU1</v>
          </cell>
          <cell r="D465" t="str">
            <v>79.90</v>
          </cell>
          <cell r="E465">
            <v>1620420.2501409999</v>
          </cell>
          <cell r="F465">
            <v>8253880.8799999999</v>
          </cell>
          <cell r="G465">
            <v>17290620.879999999</v>
          </cell>
          <cell r="H465">
            <v>26402745.989999998</v>
          </cell>
          <cell r="I465">
            <v>1192.829101</v>
          </cell>
          <cell r="J465">
            <v>85.757482999999993</v>
          </cell>
          <cell r="K465">
            <v>1859.8382570000001</v>
          </cell>
          <cell r="L465" t="str">
            <v>European Union</v>
          </cell>
          <cell r="M465">
            <v>1.62042</v>
          </cell>
        </row>
        <row r="466">
          <cell r="A466" t="str">
            <v>N81.10EU1</v>
          </cell>
          <cell r="B466" t="str">
            <v>N</v>
          </cell>
          <cell r="C466" t="str">
            <v>EU1</v>
          </cell>
          <cell r="D466" t="str">
            <v>81.10</v>
          </cell>
          <cell r="E466">
            <v>1772798.106709</v>
          </cell>
          <cell r="F466">
            <v>4355234.0599999996</v>
          </cell>
          <cell r="G466">
            <v>20930618.710000001</v>
          </cell>
          <cell r="H466">
            <v>69302250.090000004</v>
          </cell>
          <cell r="I466">
            <v>230.74083999999999</v>
          </cell>
          <cell r="J466">
            <v>103.66116</v>
          </cell>
          <cell r="K466">
            <v>1292.4419</v>
          </cell>
          <cell r="L466" t="str">
            <v>European Union</v>
          </cell>
          <cell r="M466">
            <v>1.7727980000000001</v>
          </cell>
        </row>
        <row r="467">
          <cell r="A467" t="str">
            <v>N82.92EU1</v>
          </cell>
          <cell r="B467" t="str">
            <v>N</v>
          </cell>
          <cell r="C467" t="str">
            <v>EU1</v>
          </cell>
          <cell r="D467" t="str">
            <v>82.92</v>
          </cell>
          <cell r="E467">
            <v>338812.20972500002</v>
          </cell>
          <cell r="F467">
            <v>1204998.21</v>
          </cell>
          <cell r="G467">
            <v>2584266.7999999998</v>
          </cell>
          <cell r="H467">
            <v>13268779.42</v>
          </cell>
          <cell r="I467">
            <v>17.875809</v>
          </cell>
          <cell r="J467">
            <v>8.0307720000000007</v>
          </cell>
          <cell r="K467">
            <v>100.127247</v>
          </cell>
          <cell r="L467" t="str">
            <v>European Union</v>
          </cell>
          <cell r="M467">
            <v>0.338812</v>
          </cell>
        </row>
        <row r="468">
          <cell r="A468" t="str">
            <v>N79.12EU1</v>
          </cell>
          <cell r="B468" t="str">
            <v>N</v>
          </cell>
          <cell r="C468" t="str">
            <v>EU1</v>
          </cell>
          <cell r="D468" t="str">
            <v>79.12</v>
          </cell>
          <cell r="E468">
            <v>4818751.0199999996</v>
          </cell>
          <cell r="F468">
            <v>30353301.170000002</v>
          </cell>
          <cell r="G468">
            <v>27262700.940000001</v>
          </cell>
          <cell r="H468">
            <v>179961894.21000001</v>
          </cell>
          <cell r="I468">
            <v>4160.639177</v>
          </cell>
          <cell r="J468">
            <v>299.12577900000002</v>
          </cell>
          <cell r="K468">
            <v>6487.1957549999997</v>
          </cell>
          <cell r="L468" t="str">
            <v>European Union</v>
          </cell>
          <cell r="M468">
            <v>4.8187509999999998</v>
          </cell>
        </row>
        <row r="469">
          <cell r="A469" t="str">
            <v>N81.29EU1</v>
          </cell>
          <cell r="B469" t="str">
            <v>N</v>
          </cell>
          <cell r="C469" t="str">
            <v>EU1</v>
          </cell>
          <cell r="D469" t="str">
            <v>81.29</v>
          </cell>
          <cell r="E469">
            <v>956443.09</v>
          </cell>
          <cell r="F469">
            <v>5956787.9100000001</v>
          </cell>
          <cell r="G469">
            <v>14116105.84</v>
          </cell>
          <cell r="H469">
            <v>34467143.710000001</v>
          </cell>
          <cell r="I469">
            <v>40.570597999999997</v>
          </cell>
          <cell r="J469">
            <v>18.226489999999998</v>
          </cell>
          <cell r="K469">
            <v>227.246893</v>
          </cell>
          <cell r="L469" t="str">
            <v>European Union</v>
          </cell>
          <cell r="M469">
            <v>0.95644300000000004</v>
          </cell>
        </row>
        <row r="470">
          <cell r="A470" t="str">
            <v>N81.30EU1</v>
          </cell>
          <cell r="B470" t="str">
            <v>N</v>
          </cell>
          <cell r="C470" t="str">
            <v>EU1</v>
          </cell>
          <cell r="D470" t="str">
            <v>81.30</v>
          </cell>
          <cell r="E470">
            <v>4223567.7668909999</v>
          </cell>
          <cell r="F470">
            <v>21545662.890000001</v>
          </cell>
          <cell r="G470">
            <v>21140332.390000001</v>
          </cell>
          <cell r="H470">
            <v>84066725.150000006</v>
          </cell>
          <cell r="I470">
            <v>238.20091500000001</v>
          </cell>
          <cell r="J470">
            <v>107.01261</v>
          </cell>
          <cell r="K470">
            <v>1334.2277549999999</v>
          </cell>
          <cell r="L470" t="str">
            <v>European Union</v>
          </cell>
          <cell r="M470">
            <v>4.2235680000000002</v>
          </cell>
        </row>
        <row r="471">
          <cell r="A471" t="str">
            <v>N77.35EU1</v>
          </cell>
          <cell r="B471" t="str">
            <v>N</v>
          </cell>
          <cell r="C471" t="str">
            <v>EU1</v>
          </cell>
          <cell r="D471" t="str">
            <v>77.35</v>
          </cell>
          <cell r="E471">
            <v>4122.21</v>
          </cell>
          <cell r="F471">
            <v>5065.12</v>
          </cell>
          <cell r="G471">
            <v>21886.080000000002</v>
          </cell>
          <cell r="H471">
            <v>75282.36</v>
          </cell>
          <cell r="I471">
            <v>0.23848800000000001</v>
          </cell>
          <cell r="J471">
            <v>0.107142</v>
          </cell>
          <cell r="K471">
            <v>1.335831</v>
          </cell>
          <cell r="L471" t="str">
            <v>European Union</v>
          </cell>
          <cell r="M471">
            <v>4.1219999999999998E-3</v>
          </cell>
        </row>
        <row r="472">
          <cell r="A472" t="str">
            <v>N77.21EU1</v>
          </cell>
          <cell r="B472" t="str">
            <v>N</v>
          </cell>
          <cell r="C472" t="str">
            <v>EU1</v>
          </cell>
          <cell r="D472" t="str">
            <v>77.21</v>
          </cell>
          <cell r="E472">
            <v>751468.61996599997</v>
          </cell>
          <cell r="F472">
            <v>3354808.18</v>
          </cell>
          <cell r="G472">
            <v>4353062.38</v>
          </cell>
          <cell r="H472">
            <v>11124584.939999999</v>
          </cell>
          <cell r="I472">
            <v>33.113165000000002</v>
          </cell>
          <cell r="J472">
            <v>14.876206</v>
          </cell>
          <cell r="K472">
            <v>185.475773</v>
          </cell>
          <cell r="L472" t="str">
            <v>European Union</v>
          </cell>
          <cell r="M472">
            <v>0.75146900000000005</v>
          </cell>
        </row>
        <row r="473">
          <cell r="A473" t="str">
            <v>N80.20EU1</v>
          </cell>
          <cell r="B473" t="str">
            <v>N</v>
          </cell>
          <cell r="C473" t="str">
            <v>EU1</v>
          </cell>
          <cell r="D473" t="str">
            <v>80.20</v>
          </cell>
          <cell r="E473">
            <v>1529609.38</v>
          </cell>
          <cell r="F473">
            <v>9668413.4600000009</v>
          </cell>
          <cell r="G473">
            <v>17058839.48</v>
          </cell>
          <cell r="H473">
            <v>35422522.840000004</v>
          </cell>
          <cell r="I473">
            <v>78.569163000000003</v>
          </cell>
          <cell r="J473">
            <v>35.297474000000001</v>
          </cell>
          <cell r="K473">
            <v>440.08713499999999</v>
          </cell>
          <cell r="L473" t="str">
            <v>European Union</v>
          </cell>
          <cell r="M473">
            <v>1.529609</v>
          </cell>
        </row>
        <row r="474">
          <cell r="A474" t="str">
            <v>N77.31EU1</v>
          </cell>
          <cell r="B474" t="str">
            <v>N</v>
          </cell>
          <cell r="C474" t="str">
            <v>EU1</v>
          </cell>
          <cell r="D474" t="str">
            <v>77.31</v>
          </cell>
          <cell r="E474">
            <v>687698.34939900006</v>
          </cell>
          <cell r="F474">
            <v>4281956.6399999997</v>
          </cell>
          <cell r="G474">
            <v>3020615.26</v>
          </cell>
          <cell r="H474">
            <v>6734521.21</v>
          </cell>
          <cell r="I474">
            <v>14.138063000000001</v>
          </cell>
          <cell r="J474">
            <v>6.3515730000000001</v>
          </cell>
          <cell r="K474">
            <v>79.191100000000006</v>
          </cell>
          <cell r="L474" t="str">
            <v>European Union</v>
          </cell>
          <cell r="M474">
            <v>0.68769800000000003</v>
          </cell>
        </row>
        <row r="475">
          <cell r="A475" t="str">
            <v>N81.21EU1</v>
          </cell>
          <cell r="B475" t="str">
            <v>N</v>
          </cell>
          <cell r="C475" t="str">
            <v>EU1</v>
          </cell>
          <cell r="D475" t="str">
            <v>81.21</v>
          </cell>
          <cell r="E475">
            <v>4693372.5250850003</v>
          </cell>
          <cell r="F475">
            <v>24557758.969999999</v>
          </cell>
          <cell r="G475">
            <v>30303946.57</v>
          </cell>
          <cell r="H475">
            <v>309225866.20999998</v>
          </cell>
          <cell r="I475">
            <v>519.15753500000005</v>
          </cell>
          <cell r="J475">
            <v>233.23339200000001</v>
          </cell>
          <cell r="K475">
            <v>2907.941859</v>
          </cell>
          <cell r="L475" t="str">
            <v>European Union</v>
          </cell>
          <cell r="M475">
            <v>4.6933730000000002</v>
          </cell>
        </row>
        <row r="476">
          <cell r="A476" t="str">
            <v>N77.29EU1</v>
          </cell>
          <cell r="B476" t="str">
            <v>N</v>
          </cell>
          <cell r="C476" t="str">
            <v>EU1</v>
          </cell>
          <cell r="D476" t="str">
            <v>77.29</v>
          </cell>
          <cell r="E476">
            <v>577481.68999999994</v>
          </cell>
          <cell r="F476">
            <v>1414470.27</v>
          </cell>
          <cell r="G476">
            <v>2910534.29</v>
          </cell>
          <cell r="H476">
            <v>5052610.37</v>
          </cell>
          <cell r="I476">
            <v>31.393169</v>
          </cell>
          <cell r="J476">
            <v>14.103496</v>
          </cell>
          <cell r="K476">
            <v>175.84164000000001</v>
          </cell>
          <cell r="L476" t="str">
            <v>European Union</v>
          </cell>
          <cell r="M476">
            <v>0.57748200000000005</v>
          </cell>
        </row>
        <row r="477">
          <cell r="A477" t="str">
            <v>N82.20EU1</v>
          </cell>
          <cell r="B477" t="str">
            <v>N</v>
          </cell>
          <cell r="C477" t="str">
            <v>EU1</v>
          </cell>
          <cell r="D477" t="str">
            <v>82.20</v>
          </cell>
          <cell r="E477">
            <v>108401.39</v>
          </cell>
          <cell r="F477">
            <v>2028539.86</v>
          </cell>
          <cell r="G477">
            <v>4796680.0599999996</v>
          </cell>
          <cell r="H477">
            <v>41563912.939999998</v>
          </cell>
          <cell r="I477">
            <v>8.8939299999999992</v>
          </cell>
          <cell r="J477">
            <v>3.9956309999999999</v>
          </cell>
          <cell r="K477">
            <v>49.817315999999998</v>
          </cell>
          <cell r="L477" t="str">
            <v>European Union</v>
          </cell>
          <cell r="M477">
            <v>0.108401</v>
          </cell>
        </row>
        <row r="478">
          <cell r="A478" t="str">
            <v>O84.25EU1</v>
          </cell>
          <cell r="B478" t="str">
            <v>O</v>
          </cell>
          <cell r="C478" t="str">
            <v>EU1</v>
          </cell>
          <cell r="D478" t="str">
            <v>84.25</v>
          </cell>
          <cell r="E478">
            <v>175888.35</v>
          </cell>
          <cell r="F478">
            <v>380968.04</v>
          </cell>
          <cell r="G478">
            <v>5121918.6500000004</v>
          </cell>
          <cell r="H478">
            <v>1098597.9099999999</v>
          </cell>
          <cell r="I478">
            <v>3.330139</v>
          </cell>
          <cell r="J478">
            <v>0.55667699999999998</v>
          </cell>
          <cell r="K478">
            <v>6.0932969999999997</v>
          </cell>
          <cell r="L478" t="str">
            <v>European Union</v>
          </cell>
          <cell r="M478">
            <v>0.17588799999999999</v>
          </cell>
        </row>
        <row r="479">
          <cell r="A479" t="str">
            <v>P85.52EU1</v>
          </cell>
          <cell r="B479" t="str">
            <v>P</v>
          </cell>
          <cell r="C479" t="str">
            <v>EU1</v>
          </cell>
          <cell r="D479" t="str">
            <v>85.52</v>
          </cell>
          <cell r="E479">
            <v>99975.38</v>
          </cell>
          <cell r="F479">
            <v>647406.6</v>
          </cell>
          <cell r="G479">
            <v>139493.73000000001</v>
          </cell>
          <cell r="H479">
            <v>1211891.3899999999</v>
          </cell>
          <cell r="I479">
            <v>16.272082000000001</v>
          </cell>
          <cell r="J479">
            <v>2.7200959999999998</v>
          </cell>
          <cell r="K479">
            <v>29.773719</v>
          </cell>
          <cell r="L479" t="str">
            <v>European Union</v>
          </cell>
          <cell r="M479">
            <v>9.9974999999999994E-2</v>
          </cell>
        </row>
        <row r="480">
          <cell r="A480" t="str">
            <v>P85.32EU1</v>
          </cell>
          <cell r="B480" t="str">
            <v>P</v>
          </cell>
          <cell r="C480" t="str">
            <v>EU1</v>
          </cell>
          <cell r="D480" t="str">
            <v>85.32</v>
          </cell>
          <cell r="E480">
            <v>2217272.27</v>
          </cell>
          <cell r="F480">
            <v>4908793.7300000004</v>
          </cell>
          <cell r="G480">
            <v>8252023.8799999999</v>
          </cell>
          <cell r="H480">
            <v>6065105.75</v>
          </cell>
          <cell r="I480">
            <v>16.103268</v>
          </cell>
          <cell r="J480">
            <v>2.691878</v>
          </cell>
          <cell r="K480">
            <v>29.464832999999999</v>
          </cell>
          <cell r="L480" t="str">
            <v>European Union</v>
          </cell>
          <cell r="M480">
            <v>2.2172719999999999</v>
          </cell>
        </row>
        <row r="481">
          <cell r="A481" t="str">
            <v>P85.51EU1</v>
          </cell>
          <cell r="B481" t="str">
            <v>P</v>
          </cell>
          <cell r="C481" t="str">
            <v>EU1</v>
          </cell>
          <cell r="D481" t="str">
            <v>85.51</v>
          </cell>
          <cell r="E481">
            <v>272812.57</v>
          </cell>
          <cell r="F481">
            <v>1265564.76</v>
          </cell>
          <cell r="G481">
            <v>515210.57</v>
          </cell>
          <cell r="H481">
            <v>2700298.28</v>
          </cell>
          <cell r="I481">
            <v>40.930985999999997</v>
          </cell>
          <cell r="J481">
            <v>6.8421649999999996</v>
          </cell>
          <cell r="K481">
            <v>74.893173000000004</v>
          </cell>
          <cell r="L481" t="str">
            <v>European Union</v>
          </cell>
          <cell r="M481">
            <v>0.27281300000000003</v>
          </cell>
        </row>
        <row r="482">
          <cell r="A482" t="str">
            <v>P85.10EU1</v>
          </cell>
          <cell r="B482" t="str">
            <v>P</v>
          </cell>
          <cell r="C482" t="str">
            <v>EU1</v>
          </cell>
          <cell r="D482" t="str">
            <v>85.10</v>
          </cell>
          <cell r="E482">
            <v>3924778.04</v>
          </cell>
          <cell r="F482">
            <v>25286089.550000001</v>
          </cell>
          <cell r="G482">
            <v>118391288.01000001</v>
          </cell>
          <cell r="H482">
            <v>89440587.159999996</v>
          </cell>
          <cell r="I482">
            <v>359.890762</v>
          </cell>
          <cell r="J482">
            <v>60.160572999999999</v>
          </cell>
          <cell r="K482">
            <v>658.50742200000002</v>
          </cell>
          <cell r="L482" t="str">
            <v>European Union</v>
          </cell>
          <cell r="M482">
            <v>3.9247779999999999</v>
          </cell>
        </row>
        <row r="483">
          <cell r="A483" t="str">
            <v>P85.59EU1</v>
          </cell>
          <cell r="B483" t="str">
            <v>P</v>
          </cell>
          <cell r="C483" t="str">
            <v>EU1</v>
          </cell>
          <cell r="D483" t="str">
            <v>85.59</v>
          </cell>
          <cell r="E483">
            <v>6160582.3725319998</v>
          </cell>
          <cell r="F483">
            <v>28457746.170000002</v>
          </cell>
          <cell r="G483">
            <v>64359749.450000003</v>
          </cell>
          <cell r="H483">
            <v>94711744.680000007</v>
          </cell>
          <cell r="I483">
            <v>691.15729299999998</v>
          </cell>
          <cell r="J483">
            <v>115.53622</v>
          </cell>
          <cell r="K483">
            <v>1264.639897</v>
          </cell>
          <cell r="L483" t="str">
            <v>European Union</v>
          </cell>
          <cell r="M483">
            <v>6.1605819999999998</v>
          </cell>
        </row>
        <row r="484">
          <cell r="A484" t="str">
            <v>P85.42EU1</v>
          </cell>
          <cell r="B484" t="str">
            <v>P</v>
          </cell>
          <cell r="C484" t="str">
            <v>EU1</v>
          </cell>
          <cell r="D484" t="str">
            <v>85.42</v>
          </cell>
          <cell r="E484">
            <v>933263.927746</v>
          </cell>
          <cell r="F484">
            <v>39919386.640000001</v>
          </cell>
          <cell r="G484">
            <v>121530123.34999999</v>
          </cell>
          <cell r="H484">
            <v>106888860.03</v>
          </cell>
          <cell r="I484">
            <v>50.057645000000001</v>
          </cell>
          <cell r="J484">
            <v>8.3678070000000009</v>
          </cell>
          <cell r="K484">
            <v>91.592601999999999</v>
          </cell>
          <cell r="L484" t="str">
            <v>European Union</v>
          </cell>
          <cell r="M484">
            <v>0.93326399999999998</v>
          </cell>
        </row>
        <row r="485">
          <cell r="A485" t="str">
            <v>P85.53EU1</v>
          </cell>
          <cell r="B485" t="str">
            <v>P</v>
          </cell>
          <cell r="C485" t="str">
            <v>EU1</v>
          </cell>
          <cell r="D485" t="str">
            <v>85.53</v>
          </cell>
          <cell r="E485">
            <v>1215643.039961</v>
          </cell>
          <cell r="F485">
            <v>20127227.780000001</v>
          </cell>
          <cell r="G485">
            <v>12588243.5</v>
          </cell>
          <cell r="H485">
            <v>155419720.91999999</v>
          </cell>
          <cell r="I485">
            <v>210.47915800000001</v>
          </cell>
          <cell r="J485">
            <v>35.184418999999998</v>
          </cell>
          <cell r="K485">
            <v>385.12266799999998</v>
          </cell>
          <cell r="L485" t="str">
            <v>European Union</v>
          </cell>
          <cell r="M485">
            <v>1.215643</v>
          </cell>
        </row>
        <row r="486">
          <cell r="A486" t="str">
            <v>P85.20EU1</v>
          </cell>
          <cell r="B486" t="str">
            <v>P</v>
          </cell>
          <cell r="C486" t="str">
            <v>EU1</v>
          </cell>
          <cell r="D486" t="str">
            <v>85.20</v>
          </cell>
          <cell r="E486">
            <v>564375.06000000006</v>
          </cell>
          <cell r="F486">
            <v>5191869.92</v>
          </cell>
          <cell r="G486">
            <v>78844185.680000007</v>
          </cell>
          <cell r="H486">
            <v>59131516.979999997</v>
          </cell>
          <cell r="I486">
            <v>89.719607999999994</v>
          </cell>
          <cell r="J486">
            <v>14.997833</v>
          </cell>
          <cell r="K486">
            <v>164.16378399999999</v>
          </cell>
          <cell r="L486" t="str">
            <v>European Union</v>
          </cell>
          <cell r="M486">
            <v>0.56437499999999996</v>
          </cell>
        </row>
        <row r="487">
          <cell r="A487" t="str">
            <v>P85.60EU1</v>
          </cell>
          <cell r="B487" t="str">
            <v>P</v>
          </cell>
          <cell r="C487" t="str">
            <v>EU1</v>
          </cell>
          <cell r="D487" t="str">
            <v>85.60</v>
          </cell>
          <cell r="E487">
            <v>3797611.04</v>
          </cell>
          <cell r="F487">
            <v>13998560.029999999</v>
          </cell>
          <cell r="G487">
            <v>39291833.140000001</v>
          </cell>
          <cell r="H487">
            <v>6728692.8099999996</v>
          </cell>
          <cell r="I487">
            <v>65.091598000000005</v>
          </cell>
          <cell r="J487">
            <v>10.880934999999999</v>
          </cell>
          <cell r="K487">
            <v>119.10086200000001</v>
          </cell>
          <cell r="L487" t="str">
            <v>European Union</v>
          </cell>
          <cell r="M487">
            <v>3.7976109999999998</v>
          </cell>
        </row>
        <row r="488">
          <cell r="A488" t="str">
            <v>P85.31EU1</v>
          </cell>
          <cell r="B488" t="str">
            <v>P</v>
          </cell>
          <cell r="C488" t="str">
            <v>EU1</v>
          </cell>
          <cell r="D488" t="str">
            <v>85.31</v>
          </cell>
          <cell r="E488">
            <v>4473321.4600059995</v>
          </cell>
          <cell r="F488">
            <v>10030152.66</v>
          </cell>
          <cell r="G488">
            <v>24219046.329999998</v>
          </cell>
          <cell r="H488">
            <v>35061339.82</v>
          </cell>
          <cell r="I488">
            <v>261.87868300000002</v>
          </cell>
          <cell r="J488">
            <v>43.776536</v>
          </cell>
          <cell r="K488">
            <v>479.17056100000002</v>
          </cell>
          <cell r="L488" t="str">
            <v>European Union</v>
          </cell>
          <cell r="M488">
            <v>4.4733210000000003</v>
          </cell>
        </row>
        <row r="489">
          <cell r="A489" t="str">
            <v>Q86.90EU1</v>
          </cell>
          <cell r="B489" t="str">
            <v>Q</v>
          </cell>
          <cell r="C489" t="str">
            <v>EU1</v>
          </cell>
          <cell r="D489" t="str">
            <v>86.90</v>
          </cell>
          <cell r="E489">
            <v>19136716.581877999</v>
          </cell>
          <cell r="F489">
            <v>125804338.91</v>
          </cell>
          <cell r="G489">
            <v>301118939.39999998</v>
          </cell>
          <cell r="H489">
            <v>469095654.94999999</v>
          </cell>
          <cell r="I489">
            <v>2690.1852749999998</v>
          </cell>
          <cell r="J489">
            <v>449.70058499999999</v>
          </cell>
          <cell r="K489">
            <v>4922.3463920000004</v>
          </cell>
          <cell r="L489" t="str">
            <v>European Union</v>
          </cell>
          <cell r="M489">
            <v>19.136717000000001</v>
          </cell>
        </row>
        <row r="490">
          <cell r="A490" t="str">
            <v>Q87.30EU1</v>
          </cell>
          <cell r="B490" t="str">
            <v>Q</v>
          </cell>
          <cell r="C490" t="str">
            <v>EU1</v>
          </cell>
          <cell r="D490" t="str">
            <v>87.30</v>
          </cell>
          <cell r="E490">
            <v>6355565.9294050001</v>
          </cell>
          <cell r="F490">
            <v>39132871.469999999</v>
          </cell>
          <cell r="G490">
            <v>28509991.239999998</v>
          </cell>
          <cell r="H490">
            <v>54024263.859999999</v>
          </cell>
          <cell r="I490">
            <v>388.21040699999998</v>
          </cell>
          <cell r="J490">
            <v>64.894578999999993</v>
          </cell>
          <cell r="K490">
            <v>710.32507799999996</v>
          </cell>
          <cell r="L490" t="str">
            <v>European Union</v>
          </cell>
          <cell r="M490">
            <v>6.3555659999999996</v>
          </cell>
        </row>
        <row r="491">
          <cell r="A491" t="str">
            <v>Q87.90EU1</v>
          </cell>
          <cell r="B491" t="str">
            <v>Q</v>
          </cell>
          <cell r="C491" t="str">
            <v>EU1</v>
          </cell>
          <cell r="D491" t="str">
            <v>87.90</v>
          </cell>
          <cell r="E491">
            <v>145741.59</v>
          </cell>
          <cell r="F491">
            <v>1880666.89</v>
          </cell>
          <cell r="G491">
            <v>885767.39</v>
          </cell>
          <cell r="H491">
            <v>4460437.22</v>
          </cell>
          <cell r="I491">
            <v>16.351478</v>
          </cell>
          <cell r="J491">
            <v>2.7333699999999999</v>
          </cell>
          <cell r="K491">
            <v>29.918994999999999</v>
          </cell>
          <cell r="L491" t="str">
            <v>European Union</v>
          </cell>
          <cell r="M491">
            <v>0.14574200000000001</v>
          </cell>
        </row>
        <row r="492">
          <cell r="A492" t="str">
            <v>Q86.23EU1</v>
          </cell>
          <cell r="B492" t="str">
            <v>Q</v>
          </cell>
          <cell r="C492" t="str">
            <v>EU1</v>
          </cell>
          <cell r="D492" t="str">
            <v>86.23</v>
          </cell>
          <cell r="E492">
            <v>14002209.047669999</v>
          </cell>
          <cell r="F492">
            <v>49874951.859999999</v>
          </cell>
          <cell r="G492">
            <v>72240911.069999993</v>
          </cell>
          <cell r="H492">
            <v>171416910.66</v>
          </cell>
          <cell r="I492">
            <v>3241.4143960000001</v>
          </cell>
          <cell r="J492">
            <v>541.84591999999998</v>
          </cell>
          <cell r="K492">
            <v>5930.9537600000003</v>
          </cell>
          <cell r="L492" t="str">
            <v>European Union</v>
          </cell>
          <cell r="M492">
            <v>14.002209000000001</v>
          </cell>
        </row>
        <row r="493">
          <cell r="A493" t="str">
            <v>Q86.22EU1</v>
          </cell>
          <cell r="B493" t="str">
            <v>Q</v>
          </cell>
          <cell r="C493" t="str">
            <v>EU1</v>
          </cell>
          <cell r="D493" t="str">
            <v>86.22</v>
          </cell>
          <cell r="E493">
            <v>19367798.844423</v>
          </cell>
          <cell r="F493">
            <v>124891111.22</v>
          </cell>
          <cell r="G493">
            <v>390744679.27999997</v>
          </cell>
          <cell r="H493">
            <v>307351186.81999999</v>
          </cell>
          <cell r="I493">
            <v>2057.3005079999998</v>
          </cell>
          <cell r="J493">
            <v>343.90540399999998</v>
          </cell>
          <cell r="K493">
            <v>3764.3302130000002</v>
          </cell>
          <cell r="L493" t="str">
            <v>European Union</v>
          </cell>
          <cell r="M493">
            <v>19.367799000000002</v>
          </cell>
        </row>
        <row r="494">
          <cell r="A494" t="str">
            <v>Q87.20EU1</v>
          </cell>
          <cell r="B494" t="str">
            <v>Q</v>
          </cell>
          <cell r="C494" t="str">
            <v>EU1</v>
          </cell>
          <cell r="D494" t="str">
            <v>87.20</v>
          </cell>
          <cell r="E494">
            <v>4.37</v>
          </cell>
          <cell r="F494">
            <v>463194.38</v>
          </cell>
          <cell r="G494">
            <v>562678.87</v>
          </cell>
          <cell r="H494">
            <v>1549704.58</v>
          </cell>
          <cell r="I494">
            <v>4.8700000000000002E-4</v>
          </cell>
          <cell r="J494">
            <v>8.1000000000000004E-5</v>
          </cell>
          <cell r="K494">
            <v>8.9099999999999997E-4</v>
          </cell>
          <cell r="L494" t="str">
            <v>European Union</v>
          </cell>
          <cell r="M494">
            <v>3.9999999999999998E-6</v>
          </cell>
        </row>
        <row r="495">
          <cell r="A495" t="str">
            <v>Q88.99EU1</v>
          </cell>
          <cell r="B495" t="str">
            <v>Q</v>
          </cell>
          <cell r="C495" t="str">
            <v>EU1</v>
          </cell>
          <cell r="D495" t="str">
            <v>88.99</v>
          </cell>
          <cell r="E495">
            <v>21625.850867000001</v>
          </cell>
          <cell r="F495">
            <v>335243.69</v>
          </cell>
          <cell r="G495">
            <v>1123125.7</v>
          </cell>
          <cell r="H495">
            <v>1932066.46</v>
          </cell>
          <cell r="I495">
            <v>2.0324439999999999</v>
          </cell>
          <cell r="J495">
            <v>0.33975</v>
          </cell>
          <cell r="K495">
            <v>3.7188500000000002</v>
          </cell>
          <cell r="L495" t="str">
            <v>European Union</v>
          </cell>
          <cell r="M495">
            <v>2.1625999999999999E-2</v>
          </cell>
        </row>
        <row r="496">
          <cell r="A496" t="str">
            <v>Q86.21EU1</v>
          </cell>
          <cell r="B496" t="str">
            <v>Q</v>
          </cell>
          <cell r="C496" t="str">
            <v>EU1</v>
          </cell>
          <cell r="D496" t="str">
            <v>86.21</v>
          </cell>
          <cell r="E496">
            <v>11087788.793365</v>
          </cell>
          <cell r="F496">
            <v>59031304.619999997</v>
          </cell>
          <cell r="G496">
            <v>104996364.02</v>
          </cell>
          <cell r="H496">
            <v>141641671.16</v>
          </cell>
          <cell r="I496">
            <v>1218.7426270000001</v>
          </cell>
          <cell r="J496">
            <v>203.729185</v>
          </cell>
          <cell r="K496">
            <v>2229.9851910000002</v>
          </cell>
          <cell r="L496" t="str">
            <v>European Union</v>
          </cell>
          <cell r="M496">
            <v>11.087789000000001</v>
          </cell>
        </row>
        <row r="497">
          <cell r="A497" t="str">
            <v>Q86.10EU1</v>
          </cell>
          <cell r="B497" t="str">
            <v>Q</v>
          </cell>
          <cell r="C497" t="str">
            <v>EU1</v>
          </cell>
          <cell r="D497" t="str">
            <v>86.10</v>
          </cell>
          <cell r="E497">
            <v>19520481.654739998</v>
          </cell>
          <cell r="F497">
            <v>1130291981.72</v>
          </cell>
          <cell r="G497">
            <v>648894127.44000006</v>
          </cell>
          <cell r="H497">
            <v>2068790050.03</v>
          </cell>
          <cell r="I497">
            <v>1699.477817</v>
          </cell>
          <cell r="J497">
            <v>284.09053299999999</v>
          </cell>
          <cell r="K497">
            <v>3109.6068380000002</v>
          </cell>
          <cell r="L497" t="str">
            <v>European Union</v>
          </cell>
          <cell r="M497">
            <v>19.520482000000001</v>
          </cell>
        </row>
        <row r="498">
          <cell r="A498" t="str">
            <v>Q88.10EU1</v>
          </cell>
          <cell r="B498" t="str">
            <v>Q</v>
          </cell>
          <cell r="C498" t="str">
            <v>EU1</v>
          </cell>
          <cell r="D498" t="str">
            <v>88.10</v>
          </cell>
          <cell r="E498">
            <v>517747.12</v>
          </cell>
          <cell r="F498">
            <v>1766052.38</v>
          </cell>
          <cell r="G498">
            <v>4801288.01</v>
          </cell>
          <cell r="H498">
            <v>11636093.310000001</v>
          </cell>
          <cell r="I498">
            <v>80.214406999999994</v>
          </cell>
          <cell r="J498">
            <v>13.408913999999999</v>
          </cell>
          <cell r="K498">
            <v>146.771715</v>
          </cell>
          <cell r="L498" t="str">
            <v>European Union</v>
          </cell>
          <cell r="M498">
            <v>0.51774699999999996</v>
          </cell>
        </row>
        <row r="499">
          <cell r="A499" t="str">
            <v>Q88.91EU1</v>
          </cell>
          <cell r="B499" t="str">
            <v>Q</v>
          </cell>
          <cell r="C499" t="str">
            <v>EU1</v>
          </cell>
          <cell r="D499" t="str">
            <v>88.91</v>
          </cell>
          <cell r="E499">
            <v>512169.84</v>
          </cell>
          <cell r="F499">
            <v>2229189.69</v>
          </cell>
          <cell r="G499">
            <v>2400054</v>
          </cell>
          <cell r="H499">
            <v>6538518.54</v>
          </cell>
          <cell r="I499">
            <v>74.372801999999993</v>
          </cell>
          <cell r="J499">
            <v>12.432411999999999</v>
          </cell>
          <cell r="K499">
            <v>136.083078</v>
          </cell>
          <cell r="L499" t="str">
            <v>European Union</v>
          </cell>
          <cell r="M499">
            <v>0.51217000000000001</v>
          </cell>
        </row>
        <row r="500">
          <cell r="A500" t="str">
            <v>R90.03EU1</v>
          </cell>
          <cell r="B500" t="str">
            <v>R</v>
          </cell>
          <cell r="C500" t="str">
            <v>EU1</v>
          </cell>
          <cell r="D500" t="str">
            <v>90.03</v>
          </cell>
          <cell r="E500">
            <v>342581.94420700002</v>
          </cell>
          <cell r="F500">
            <v>409569.48</v>
          </cell>
          <cell r="G500">
            <v>1610252.39</v>
          </cell>
          <cell r="H500">
            <v>3621676.51</v>
          </cell>
          <cell r="I500">
            <v>49.291232999999998</v>
          </cell>
          <cell r="J500">
            <v>8.2396910000000005</v>
          </cell>
          <cell r="K500">
            <v>90.190264999999997</v>
          </cell>
          <cell r="L500" t="str">
            <v>European Union</v>
          </cell>
          <cell r="M500">
            <v>0.342582</v>
          </cell>
        </row>
        <row r="501">
          <cell r="A501" t="str">
            <v>R93.13EU1</v>
          </cell>
          <cell r="B501" t="str">
            <v>R</v>
          </cell>
          <cell r="C501" t="str">
            <v>EU1</v>
          </cell>
          <cell r="D501" t="str">
            <v>93.13</v>
          </cell>
          <cell r="E501">
            <v>3025959.9286159999</v>
          </cell>
          <cell r="F501">
            <v>16267295.74</v>
          </cell>
          <cell r="G501">
            <v>18559072.870000001</v>
          </cell>
          <cell r="H501">
            <v>39587603.640000001</v>
          </cell>
          <cell r="I501">
            <v>418.737844</v>
          </cell>
          <cell r="J501">
            <v>69.997646000000003</v>
          </cell>
          <cell r="K501">
            <v>766.182457</v>
          </cell>
          <cell r="L501" t="str">
            <v>European Union</v>
          </cell>
          <cell r="M501">
            <v>3.02596</v>
          </cell>
        </row>
        <row r="502">
          <cell r="A502" t="str">
            <v>R93.11EU1</v>
          </cell>
          <cell r="B502" t="str">
            <v>R</v>
          </cell>
          <cell r="C502" t="str">
            <v>EU1</v>
          </cell>
          <cell r="D502" t="str">
            <v>93.11</v>
          </cell>
          <cell r="E502">
            <v>3025379.873197</v>
          </cell>
          <cell r="F502">
            <v>14159277.810000001</v>
          </cell>
          <cell r="G502">
            <v>17856195.300000001</v>
          </cell>
          <cell r="H502">
            <v>33635160.539999999</v>
          </cell>
          <cell r="I502">
            <v>326.60788400000001</v>
          </cell>
          <cell r="J502">
            <v>54.596890999999999</v>
          </cell>
          <cell r="K502">
            <v>597.60832000000005</v>
          </cell>
          <cell r="L502" t="str">
            <v>European Union</v>
          </cell>
          <cell r="M502">
            <v>3.0253800000000002</v>
          </cell>
        </row>
        <row r="503">
          <cell r="A503" t="str">
            <v>R90.01EU1</v>
          </cell>
          <cell r="B503" t="str">
            <v>R</v>
          </cell>
          <cell r="C503" t="str">
            <v>EU1</v>
          </cell>
          <cell r="D503" t="str">
            <v>90.01</v>
          </cell>
          <cell r="E503">
            <v>4398555.4769510003</v>
          </cell>
          <cell r="F503">
            <v>13134463.68</v>
          </cell>
          <cell r="G503">
            <v>18197674.390000001</v>
          </cell>
          <cell r="H503">
            <v>61761739.409999996</v>
          </cell>
          <cell r="I503">
            <v>580.96593499999994</v>
          </cell>
          <cell r="J503">
            <v>97.116251000000005</v>
          </cell>
          <cell r="K503">
            <v>1063.0180780000001</v>
          </cell>
          <cell r="L503" t="str">
            <v>European Union</v>
          </cell>
          <cell r="M503">
            <v>4.398555</v>
          </cell>
        </row>
        <row r="504">
          <cell r="A504" t="str">
            <v>R90.04EU1</v>
          </cell>
          <cell r="B504" t="str">
            <v>R</v>
          </cell>
          <cell r="C504" t="str">
            <v>EU1</v>
          </cell>
          <cell r="D504" t="str">
            <v>90.04</v>
          </cell>
          <cell r="E504">
            <v>110950.83</v>
          </cell>
          <cell r="F504">
            <v>489968.73</v>
          </cell>
          <cell r="G504">
            <v>1446398.6</v>
          </cell>
          <cell r="H504">
            <v>2717009.54</v>
          </cell>
          <cell r="I504">
            <v>8.8550649999999997</v>
          </cell>
          <cell r="J504">
            <v>1.4802420000000001</v>
          </cell>
          <cell r="K504">
            <v>16.202487999999999</v>
          </cell>
          <cell r="L504" t="str">
            <v>European Union</v>
          </cell>
          <cell r="M504">
            <v>0.11095099999999999</v>
          </cell>
        </row>
        <row r="505">
          <cell r="A505" t="str">
            <v>R93.19EU1</v>
          </cell>
          <cell r="B505" t="str">
            <v>R</v>
          </cell>
          <cell r="C505" t="str">
            <v>EU1</v>
          </cell>
          <cell r="D505" t="str">
            <v>93.19</v>
          </cell>
          <cell r="E505">
            <v>2948014.4950000001</v>
          </cell>
          <cell r="F505">
            <v>12821516.17</v>
          </cell>
          <cell r="G505">
            <v>47706264.740000002</v>
          </cell>
          <cell r="H505">
            <v>50693280.719999999</v>
          </cell>
          <cell r="I505">
            <v>275.549668</v>
          </cell>
          <cell r="J505">
            <v>46.061822999999997</v>
          </cell>
          <cell r="K505">
            <v>504.18494900000002</v>
          </cell>
          <cell r="L505" t="str">
            <v>European Union</v>
          </cell>
          <cell r="M505">
            <v>2.9480140000000001</v>
          </cell>
        </row>
        <row r="506">
          <cell r="A506" t="str">
            <v>R91.03EU1</v>
          </cell>
          <cell r="B506" t="str">
            <v>R</v>
          </cell>
          <cell r="C506" t="str">
            <v>EU1</v>
          </cell>
          <cell r="D506" t="str">
            <v>91.03</v>
          </cell>
          <cell r="E506">
            <v>550867.57999999996</v>
          </cell>
          <cell r="F506">
            <v>3587005.43</v>
          </cell>
          <cell r="G506">
            <v>4818143.3499999996</v>
          </cell>
          <cell r="H506">
            <v>10337279.779999999</v>
          </cell>
          <cell r="I506">
            <v>65.513005000000007</v>
          </cell>
          <cell r="J506">
            <v>10.951378</v>
          </cell>
          <cell r="K506">
            <v>119.87193000000001</v>
          </cell>
          <cell r="L506" t="str">
            <v>European Union</v>
          </cell>
          <cell r="M506">
            <v>0.55086800000000002</v>
          </cell>
        </row>
        <row r="507">
          <cell r="A507" t="str">
            <v>R91.02EU1</v>
          </cell>
          <cell r="B507" t="str">
            <v>R</v>
          </cell>
          <cell r="C507" t="str">
            <v>EU1</v>
          </cell>
          <cell r="D507" t="str">
            <v>91.02</v>
          </cell>
          <cell r="E507">
            <v>1001953.54</v>
          </cell>
          <cell r="F507">
            <v>1500000</v>
          </cell>
          <cell r="G507">
            <v>3346788.09</v>
          </cell>
          <cell r="H507">
            <v>26900945.550000001</v>
          </cell>
          <cell r="I507">
            <v>386.97060399999998</v>
          </cell>
          <cell r="J507">
            <v>64.687329000000005</v>
          </cell>
          <cell r="K507">
            <v>708.05657199999996</v>
          </cell>
          <cell r="L507" t="str">
            <v>European Union</v>
          </cell>
          <cell r="M507">
            <v>1.001954</v>
          </cell>
        </row>
        <row r="508">
          <cell r="A508" t="str">
            <v>R93.12EU1</v>
          </cell>
          <cell r="B508" t="str">
            <v>R</v>
          </cell>
          <cell r="C508" t="str">
            <v>EU1</v>
          </cell>
          <cell r="D508" t="str">
            <v>93.12</v>
          </cell>
          <cell r="E508">
            <v>71535.86</v>
          </cell>
          <cell r="F508">
            <v>164789</v>
          </cell>
          <cell r="G508">
            <v>14842981</v>
          </cell>
          <cell r="H508">
            <v>949562</v>
          </cell>
          <cell r="I508">
            <v>0.31494299999999997</v>
          </cell>
          <cell r="J508">
            <v>5.2646999999999999E-2</v>
          </cell>
          <cell r="K508">
            <v>0.576264</v>
          </cell>
          <cell r="L508" t="str">
            <v>European Union</v>
          </cell>
          <cell r="M508">
            <v>7.1536000000000002E-2</v>
          </cell>
        </row>
        <row r="509">
          <cell r="A509" t="str">
            <v>R93.29EU1</v>
          </cell>
          <cell r="B509" t="str">
            <v>R</v>
          </cell>
          <cell r="C509" t="str">
            <v>EU1</v>
          </cell>
          <cell r="D509" t="str">
            <v>93.29</v>
          </cell>
          <cell r="E509">
            <v>11789193.5</v>
          </cell>
          <cell r="F509">
            <v>113288377.08</v>
          </cell>
          <cell r="G509">
            <v>94999088.75</v>
          </cell>
          <cell r="H509">
            <v>94244300.519999996</v>
          </cell>
          <cell r="I509">
            <v>911.60800800000004</v>
          </cell>
          <cell r="J509">
            <v>152.38751300000001</v>
          </cell>
          <cell r="K509">
            <v>1668.0079450000001</v>
          </cell>
          <cell r="L509" t="str">
            <v>European Union</v>
          </cell>
          <cell r="M509">
            <v>11.789194</v>
          </cell>
        </row>
        <row r="510">
          <cell r="A510" t="str">
            <v>R93.21EU1</v>
          </cell>
          <cell r="B510" t="str">
            <v>R</v>
          </cell>
          <cell r="C510" t="str">
            <v>EU1</v>
          </cell>
          <cell r="D510" t="str">
            <v>93.21</v>
          </cell>
          <cell r="E510">
            <v>278349.65000000002</v>
          </cell>
          <cell r="F510">
            <v>2165055.2799999998</v>
          </cell>
          <cell r="G510">
            <v>5023105.5</v>
          </cell>
          <cell r="H510">
            <v>4378461.82</v>
          </cell>
          <cell r="I510">
            <v>10.967879</v>
          </cell>
          <cell r="J510">
            <v>1.8334269999999999</v>
          </cell>
          <cell r="K510">
            <v>20.068397999999998</v>
          </cell>
          <cell r="L510" t="str">
            <v>European Union</v>
          </cell>
          <cell r="M510">
            <v>0.27834999999999999</v>
          </cell>
        </row>
        <row r="511">
          <cell r="A511" t="str">
            <v>R91.04EU1</v>
          </cell>
          <cell r="B511" t="str">
            <v>R</v>
          </cell>
          <cell r="C511" t="str">
            <v>EU1</v>
          </cell>
          <cell r="D511" t="str">
            <v>91.04</v>
          </cell>
          <cell r="E511">
            <v>7902244.8099999996</v>
          </cell>
          <cell r="F511">
            <v>28368268.16</v>
          </cell>
          <cell r="G511">
            <v>29450704.57</v>
          </cell>
          <cell r="H511">
            <v>50938549.990000002</v>
          </cell>
          <cell r="I511">
            <v>724.905213</v>
          </cell>
          <cell r="J511">
            <v>121.177635</v>
          </cell>
          <cell r="K511">
            <v>1326.389901</v>
          </cell>
          <cell r="L511" t="str">
            <v>European Union</v>
          </cell>
          <cell r="M511">
            <v>7.9022449999999997</v>
          </cell>
        </row>
        <row r="512">
          <cell r="A512" t="str">
            <v>R92.00EU1</v>
          </cell>
          <cell r="B512" t="str">
            <v>R</v>
          </cell>
          <cell r="C512" t="str">
            <v>EU1</v>
          </cell>
          <cell r="D512" t="str">
            <v>92.00</v>
          </cell>
          <cell r="E512">
            <v>919188.43</v>
          </cell>
          <cell r="F512">
            <v>19054576.079999998</v>
          </cell>
          <cell r="G512">
            <v>101333441.38</v>
          </cell>
          <cell r="H512">
            <v>190260082.72</v>
          </cell>
          <cell r="I512">
            <v>348.473499</v>
          </cell>
          <cell r="J512">
            <v>58.252023000000001</v>
          </cell>
          <cell r="K512">
            <v>637.61677799999995</v>
          </cell>
          <cell r="L512" t="str">
            <v>European Union</v>
          </cell>
          <cell r="M512">
            <v>0.91918800000000001</v>
          </cell>
        </row>
        <row r="513">
          <cell r="A513" t="str">
            <v>R90.02EU1</v>
          </cell>
          <cell r="B513" t="str">
            <v>R</v>
          </cell>
          <cell r="C513" t="str">
            <v>EU1</v>
          </cell>
          <cell r="D513" t="str">
            <v>90.02</v>
          </cell>
          <cell r="E513">
            <v>1583339.2193380001</v>
          </cell>
          <cell r="F513">
            <v>7466035.5599999996</v>
          </cell>
          <cell r="G513">
            <v>5989384.7699999996</v>
          </cell>
          <cell r="H513">
            <v>29118860.91</v>
          </cell>
          <cell r="I513">
            <v>344.38529799999998</v>
          </cell>
          <cell r="J513">
            <v>57.568620000000003</v>
          </cell>
          <cell r="K513">
            <v>630.13642300000004</v>
          </cell>
          <cell r="L513" t="str">
            <v>European Union</v>
          </cell>
          <cell r="M513">
            <v>1.5833390000000001</v>
          </cell>
        </row>
        <row r="514">
          <cell r="A514" t="str">
            <v>R91.01EU1</v>
          </cell>
          <cell r="B514" t="str">
            <v>R</v>
          </cell>
          <cell r="C514" t="str">
            <v>EU1</v>
          </cell>
          <cell r="D514" t="str">
            <v>91.01</v>
          </cell>
          <cell r="E514">
            <v>4.37</v>
          </cell>
          <cell r="F514">
            <v>5588653.4800000004</v>
          </cell>
          <cell r="G514">
            <v>10746789.109999999</v>
          </cell>
          <cell r="H514">
            <v>7763812</v>
          </cell>
          <cell r="I514">
            <v>1.3899999999999999E-4</v>
          </cell>
          <cell r="J514">
            <v>2.3E-5</v>
          </cell>
          <cell r="K514">
            <v>2.5500000000000002E-4</v>
          </cell>
          <cell r="L514" t="str">
            <v>European Union</v>
          </cell>
          <cell r="M514">
            <v>3.9999999999999998E-6</v>
          </cell>
        </row>
        <row r="515">
          <cell r="A515" t="str">
            <v>S96.03EU1</v>
          </cell>
          <cell r="B515" t="str">
            <v>S</v>
          </cell>
          <cell r="C515" t="str">
            <v>EU1</v>
          </cell>
          <cell r="D515" t="str">
            <v>96.03</v>
          </cell>
          <cell r="E515">
            <v>1851361.26</v>
          </cell>
          <cell r="F515">
            <v>5916360.0999999996</v>
          </cell>
          <cell r="G515">
            <v>18440624.260000002</v>
          </cell>
          <cell r="H515">
            <v>25559917.609999999</v>
          </cell>
          <cell r="I515">
            <v>190.627059</v>
          </cell>
          <cell r="J515">
            <v>31.865873000000001</v>
          </cell>
          <cell r="K515">
            <v>348.798427</v>
          </cell>
          <cell r="L515" t="str">
            <v>European Union</v>
          </cell>
          <cell r="M515">
            <v>1.851361</v>
          </cell>
        </row>
        <row r="516">
          <cell r="A516" t="str">
            <v>S95.22EU1</v>
          </cell>
          <cell r="B516" t="str">
            <v>S</v>
          </cell>
          <cell r="C516" t="str">
            <v>EU1</v>
          </cell>
          <cell r="D516" t="str">
            <v>95.22</v>
          </cell>
          <cell r="E516">
            <v>300264.59000000003</v>
          </cell>
          <cell r="F516">
            <v>955556.38</v>
          </cell>
          <cell r="G516">
            <v>1626003.79</v>
          </cell>
          <cell r="H516">
            <v>5248194.87</v>
          </cell>
          <cell r="I516">
            <v>20.547930999999998</v>
          </cell>
          <cell r="J516">
            <v>11.170013000000001</v>
          </cell>
          <cell r="K516">
            <v>182.95885000000001</v>
          </cell>
          <cell r="L516" t="str">
            <v>European Union</v>
          </cell>
          <cell r="M516">
            <v>0.300265</v>
          </cell>
        </row>
        <row r="517">
          <cell r="A517" t="str">
            <v>S96.01EU1</v>
          </cell>
          <cell r="B517" t="str">
            <v>S</v>
          </cell>
          <cell r="C517" t="str">
            <v>EU1</v>
          </cell>
          <cell r="D517" t="str">
            <v>96.01</v>
          </cell>
          <cell r="E517">
            <v>3666036.320388</v>
          </cell>
          <cell r="F517">
            <v>11933907.9</v>
          </cell>
          <cell r="G517">
            <v>15142997.380000001</v>
          </cell>
          <cell r="H517">
            <v>38273497.350000001</v>
          </cell>
          <cell r="I517">
            <v>446.965509</v>
          </cell>
          <cell r="J517">
            <v>74.716282000000007</v>
          </cell>
          <cell r="K517">
            <v>817.83179099999995</v>
          </cell>
          <cell r="L517" t="str">
            <v>European Union</v>
          </cell>
          <cell r="M517">
            <v>3.6660360000000001</v>
          </cell>
        </row>
        <row r="518">
          <cell r="A518" t="str">
            <v>S96.09EU1</v>
          </cell>
          <cell r="B518" t="str">
            <v>S</v>
          </cell>
          <cell r="C518" t="str">
            <v>EU1</v>
          </cell>
          <cell r="D518" t="str">
            <v>96.09</v>
          </cell>
          <cell r="E518">
            <v>7331461.8514259998</v>
          </cell>
          <cell r="F518">
            <v>1944906.64</v>
          </cell>
          <cell r="G518">
            <v>9426525.0500000007</v>
          </cell>
          <cell r="H518">
            <v>15412025.6</v>
          </cell>
          <cell r="I518">
            <v>632.13512900000001</v>
          </cell>
          <cell r="J518">
            <v>105.66986799999999</v>
          </cell>
          <cell r="K518">
            <v>1156.64453</v>
          </cell>
          <cell r="L518" t="str">
            <v>European Union</v>
          </cell>
          <cell r="M518">
            <v>7.3314620000000001</v>
          </cell>
        </row>
        <row r="519">
          <cell r="A519" t="str">
            <v>S96.04EU1</v>
          </cell>
          <cell r="B519" t="str">
            <v>S</v>
          </cell>
          <cell r="C519" t="str">
            <v>EU1</v>
          </cell>
          <cell r="D519" t="str">
            <v>96.04</v>
          </cell>
          <cell r="E519">
            <v>194480.14996400001</v>
          </cell>
          <cell r="F519">
            <v>447441.17</v>
          </cell>
          <cell r="G519">
            <v>300192.86</v>
          </cell>
          <cell r="H519">
            <v>753112.68</v>
          </cell>
          <cell r="I519">
            <v>9.3758420000000005</v>
          </cell>
          <cell r="J519">
            <v>1.5672980000000001</v>
          </cell>
          <cell r="K519">
            <v>17.155373000000001</v>
          </cell>
          <cell r="L519" t="str">
            <v>European Union</v>
          </cell>
          <cell r="M519">
            <v>0.19447999999999999</v>
          </cell>
        </row>
        <row r="520">
          <cell r="A520" t="str">
            <v>S95.29EU1</v>
          </cell>
          <cell r="B520" t="str">
            <v>S</v>
          </cell>
          <cell r="C520" t="str">
            <v>EU1</v>
          </cell>
          <cell r="D520" t="str">
            <v>95.29</v>
          </cell>
          <cell r="E520">
            <v>62672.34</v>
          </cell>
          <cell r="F520">
            <v>452247.91</v>
          </cell>
          <cell r="G520">
            <v>522134.62</v>
          </cell>
          <cell r="H520">
            <v>4897009.25</v>
          </cell>
          <cell r="I520">
            <v>19.948884</v>
          </cell>
          <cell r="J520">
            <v>7.2586060000000003</v>
          </cell>
          <cell r="K520">
            <v>69.724977999999993</v>
          </cell>
          <cell r="L520" t="str">
            <v>European Union</v>
          </cell>
          <cell r="M520">
            <v>6.2672000000000005E-2</v>
          </cell>
        </row>
        <row r="521">
          <cell r="A521" t="str">
            <v>S95.23EU1</v>
          </cell>
          <cell r="B521" t="str">
            <v>S</v>
          </cell>
          <cell r="C521" t="str">
            <v>EU1</v>
          </cell>
          <cell r="D521" t="str">
            <v>95.23</v>
          </cell>
          <cell r="E521">
            <v>200538.26</v>
          </cell>
          <cell r="F521">
            <v>326389.40000000002</v>
          </cell>
          <cell r="G521">
            <v>851171.56</v>
          </cell>
          <cell r="H521">
            <v>1823669.78</v>
          </cell>
          <cell r="I521">
            <v>11.621532999999999</v>
          </cell>
          <cell r="J521">
            <v>5.5201260000000003</v>
          </cell>
          <cell r="K521">
            <v>52.868501000000002</v>
          </cell>
          <cell r="L521" t="str">
            <v>European Union</v>
          </cell>
          <cell r="M521">
            <v>0.20053799999999999</v>
          </cell>
        </row>
        <row r="522">
          <cell r="A522" t="str">
            <v>S95.24EU1</v>
          </cell>
          <cell r="B522" t="str">
            <v>S</v>
          </cell>
          <cell r="C522" t="str">
            <v>EU1</v>
          </cell>
          <cell r="D522" t="str">
            <v>95.24</v>
          </cell>
          <cell r="E522">
            <v>38823.89</v>
          </cell>
          <cell r="F522">
            <v>51881.11</v>
          </cell>
          <cell r="G522">
            <v>23560.98</v>
          </cell>
          <cell r="H522">
            <v>486315.75</v>
          </cell>
          <cell r="I522">
            <v>14.079589</v>
          </cell>
          <cell r="J522">
            <v>5.1230019999999996</v>
          </cell>
          <cell r="K522">
            <v>49.210720999999999</v>
          </cell>
          <cell r="L522" t="str">
            <v>European Union</v>
          </cell>
          <cell r="M522">
            <v>3.8823999999999997E-2</v>
          </cell>
        </row>
        <row r="523">
          <cell r="A523" t="str">
            <v>S96.02EU1</v>
          </cell>
          <cell r="B523" t="str">
            <v>S</v>
          </cell>
          <cell r="C523" t="str">
            <v>EU1</v>
          </cell>
          <cell r="D523" t="str">
            <v>96.02</v>
          </cell>
          <cell r="E523">
            <v>2610711.9348590001</v>
          </cell>
          <cell r="F523">
            <v>9130681.6899999995</v>
          </cell>
          <cell r="G523">
            <v>7031909.3300000001</v>
          </cell>
          <cell r="H523">
            <v>27277721.879999999</v>
          </cell>
          <cell r="I523">
            <v>471.18213300000002</v>
          </cell>
          <cell r="J523">
            <v>78.764407000000006</v>
          </cell>
          <cell r="K523">
            <v>862.14197899999999</v>
          </cell>
          <cell r="L523" t="str">
            <v>European Union</v>
          </cell>
          <cell r="M523">
            <v>2.6107119999999999</v>
          </cell>
        </row>
        <row r="524">
          <cell r="A524" t="str">
            <v>S94.11EU1</v>
          </cell>
          <cell r="B524" t="str">
            <v>S</v>
          </cell>
          <cell r="C524" t="str">
            <v>EU1</v>
          </cell>
          <cell r="D524" t="str">
            <v>94.11</v>
          </cell>
          <cell r="E524">
            <v>1829995</v>
          </cell>
          <cell r="F524">
            <v>6919547.8799999999</v>
          </cell>
          <cell r="G524">
            <v>22692724.100000001</v>
          </cell>
          <cell r="H524">
            <v>12251318.99</v>
          </cell>
          <cell r="I524">
            <v>75.903464999999997</v>
          </cell>
          <cell r="J524">
            <v>12.688283999999999</v>
          </cell>
          <cell r="K524">
            <v>138.88380100000001</v>
          </cell>
          <cell r="L524" t="str">
            <v>European Union</v>
          </cell>
          <cell r="M524">
            <v>1.829995</v>
          </cell>
        </row>
        <row r="525">
          <cell r="A525" t="str">
            <v>S95.21EU1</v>
          </cell>
          <cell r="B525" t="str">
            <v>S</v>
          </cell>
          <cell r="C525" t="str">
            <v>EU1</v>
          </cell>
          <cell r="D525" t="str">
            <v>95.21</v>
          </cell>
          <cell r="E525">
            <v>128778.26</v>
          </cell>
          <cell r="F525">
            <v>279631.7</v>
          </cell>
          <cell r="G525">
            <v>246312.12</v>
          </cell>
          <cell r="H525">
            <v>1245192.74</v>
          </cell>
          <cell r="I525">
            <v>11.379977</v>
          </cell>
          <cell r="J525">
            <v>5.4053890000000004</v>
          </cell>
          <cell r="K525">
            <v>51.769623000000003</v>
          </cell>
          <cell r="L525" t="str">
            <v>European Union</v>
          </cell>
          <cell r="M525">
            <v>0.128778</v>
          </cell>
        </row>
        <row r="526">
          <cell r="A526" t="str">
            <v>S94.99EU1</v>
          </cell>
          <cell r="B526" t="str">
            <v>S</v>
          </cell>
          <cell r="C526" t="str">
            <v>EU1</v>
          </cell>
          <cell r="D526" t="str">
            <v>94.99</v>
          </cell>
          <cell r="E526">
            <v>77886.929999999993</v>
          </cell>
          <cell r="F526">
            <v>4516102.97</v>
          </cell>
          <cell r="G526">
            <v>24271662.539999999</v>
          </cell>
          <cell r="H526">
            <v>28769788.940000001</v>
          </cell>
          <cell r="I526">
            <v>3.2544309999999999</v>
          </cell>
          <cell r="J526">
            <v>0.54402200000000001</v>
          </cell>
          <cell r="K526">
            <v>5.9547699999999999</v>
          </cell>
          <cell r="L526" t="str">
            <v>European Union</v>
          </cell>
          <cell r="M526">
            <v>7.7886999999999998E-2</v>
          </cell>
        </row>
        <row r="527">
          <cell r="A527" t="str">
            <v>S95.11EU1</v>
          </cell>
          <cell r="B527" t="str">
            <v>S</v>
          </cell>
          <cell r="C527" t="str">
            <v>EU1</v>
          </cell>
          <cell r="D527" t="str">
            <v>95.11</v>
          </cell>
          <cell r="E527">
            <v>1791490.46</v>
          </cell>
          <cell r="F527">
            <v>6689500.2400000002</v>
          </cell>
          <cell r="G527">
            <v>10605124.539999999</v>
          </cell>
          <cell r="H527">
            <v>22267014.949999999</v>
          </cell>
          <cell r="I527">
            <v>62.212839000000002</v>
          </cell>
          <cell r="J527">
            <v>27.949342999999999</v>
          </cell>
          <cell r="K527">
            <v>348.47096299999998</v>
          </cell>
          <cell r="L527" t="str">
            <v>European Union</v>
          </cell>
          <cell r="M527">
            <v>1.79149</v>
          </cell>
        </row>
        <row r="528">
          <cell r="A528" t="str">
            <v>S95.12EU1</v>
          </cell>
          <cell r="B528" t="str">
            <v>S</v>
          </cell>
          <cell r="C528" t="str">
            <v>EU1</v>
          </cell>
          <cell r="D528" t="str">
            <v>95.12</v>
          </cell>
          <cell r="E528">
            <v>181136.45</v>
          </cell>
          <cell r="F528">
            <v>543597.48</v>
          </cell>
          <cell r="G528">
            <v>2586300.71</v>
          </cell>
          <cell r="H528">
            <v>18007937.719999999</v>
          </cell>
          <cell r="I528">
            <v>83.985506000000001</v>
          </cell>
          <cell r="J528">
            <v>45.655171000000003</v>
          </cell>
          <cell r="K528">
            <v>747.807323</v>
          </cell>
          <cell r="L528" t="str">
            <v>European Union</v>
          </cell>
          <cell r="M528">
            <v>0.18113599999999999</v>
          </cell>
        </row>
        <row r="529">
          <cell r="A529" t="str">
            <v>T98.10EU1</v>
          </cell>
          <cell r="B529" t="str">
            <v>T</v>
          </cell>
          <cell r="C529" t="str">
            <v>EU1</v>
          </cell>
          <cell r="D529" t="str">
            <v>98.10</v>
          </cell>
          <cell r="E529">
            <v>52086.45</v>
          </cell>
          <cell r="F529">
            <v>372919.5</v>
          </cell>
          <cell r="G529">
            <v>140832.92000000001</v>
          </cell>
          <cell r="H529">
            <v>561442.55000000005</v>
          </cell>
          <cell r="I529">
            <v>5.7923419999999997</v>
          </cell>
          <cell r="J529">
            <v>0.96826800000000002</v>
          </cell>
          <cell r="K529">
            <v>10.598494000000001</v>
          </cell>
          <cell r="L529" t="str">
            <v>European Union</v>
          </cell>
          <cell r="M529">
            <v>5.2086E-2</v>
          </cell>
        </row>
        <row r="530">
          <cell r="A530" t="str">
            <v>U99.00EU1</v>
          </cell>
          <cell r="B530" t="str">
            <v>U</v>
          </cell>
          <cell r="C530" t="str">
            <v>EU1</v>
          </cell>
          <cell r="D530" t="str">
            <v>99.00</v>
          </cell>
          <cell r="E530">
            <v>153986.26</v>
          </cell>
          <cell r="F530">
            <v>3162488.65</v>
          </cell>
          <cell r="G530">
            <v>5653652.8499999996</v>
          </cell>
          <cell r="H530">
            <v>16973385.469999999</v>
          </cell>
          <cell r="I530">
            <v>27.665963000000001</v>
          </cell>
          <cell r="J530">
            <v>4.6247309999999997</v>
          </cell>
          <cell r="K530">
            <v>50.621585000000003</v>
          </cell>
          <cell r="L530" t="str">
            <v>European Union</v>
          </cell>
          <cell r="M530">
            <v>0.15398600000000001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1"/>
  <sheetViews>
    <sheetView showGridLines="0" tabSelected="1" zoomScale="67" workbookViewId="0">
      <selection activeCell="H3" sqref="H3"/>
    </sheetView>
  </sheetViews>
  <sheetFormatPr defaultColWidth="11.42578125" defaultRowHeight="18.75" x14ac:dyDescent="0.25"/>
  <cols>
    <col min="1" max="1" width="6.28515625" style="6" customWidth="1"/>
    <col min="2" max="2" width="15" style="6" bestFit="1" customWidth="1"/>
    <col min="3" max="3" width="15.42578125" style="6" bestFit="1" customWidth="1"/>
    <col min="4" max="4" width="21.28515625" style="6" customWidth="1"/>
    <col min="5" max="5" width="18.7109375" style="6" customWidth="1"/>
    <col min="6" max="7" width="19.140625" style="6" customWidth="1"/>
    <col min="8" max="8" width="14.42578125" style="6" customWidth="1"/>
    <col min="9" max="9" width="16.140625" style="6" customWidth="1"/>
    <col min="10" max="12" width="24.28515625" style="6" customWidth="1"/>
    <col min="13" max="13" width="13.140625" style="6" bestFit="1" customWidth="1"/>
    <col min="14" max="15" width="11.42578125" style="6"/>
    <col min="16" max="16" width="14.42578125" style="6" bestFit="1" customWidth="1"/>
    <col min="17" max="16384" width="11.42578125" style="6"/>
  </cols>
  <sheetData>
    <row r="1" spans="2:16" ht="19.5" thickBot="1" x14ac:dyDescent="0.3"/>
    <row r="2" spans="2:16" x14ac:dyDescent="0.25">
      <c r="B2" s="17" t="s">
        <v>16</v>
      </c>
      <c r="C2" s="18"/>
      <c r="D2" s="19"/>
    </row>
    <row r="3" spans="2:16" ht="23.25" customHeight="1" thickBot="1" x14ac:dyDescent="0.3">
      <c r="B3" s="20"/>
      <c r="C3" s="21"/>
      <c r="D3" s="22"/>
      <c r="G3" s="9"/>
      <c r="I3" s="10"/>
      <c r="O3" s="6" t="s">
        <v>716</v>
      </c>
      <c r="P3" s="13">
        <f>+SUM(J7:L7)</f>
        <v>1606711.9599999995</v>
      </c>
    </row>
    <row r="4" spans="2:16" x14ac:dyDescent="0.25">
      <c r="O4" s="6" t="s">
        <v>718</v>
      </c>
      <c r="P4" s="13">
        <f>+SUM('DQS4'!K7:M7)</f>
        <v>4112241.9499999997</v>
      </c>
    </row>
    <row r="5" spans="2:16" x14ac:dyDescent="0.25">
      <c r="O5" s="6" t="s">
        <v>717</v>
      </c>
      <c r="P5" s="13">
        <f>+SUM('DQS5'!H7:J7)</f>
        <v>517996.9200000001</v>
      </c>
    </row>
    <row r="6" spans="2:16" x14ac:dyDescent="0.25">
      <c r="P6" s="13">
        <f>+SUM(P3:P5)</f>
        <v>6236950.8299999991</v>
      </c>
    </row>
    <row r="7" spans="2:16" ht="19.5" thickBot="1" x14ac:dyDescent="0.3">
      <c r="D7" s="13">
        <f>+SUM(D9:D169)</f>
        <v>1642.4894709999996</v>
      </c>
      <c r="E7" s="14" t="s">
        <v>24</v>
      </c>
      <c r="F7" s="15"/>
      <c r="G7" s="15"/>
      <c r="H7" s="15"/>
      <c r="I7" s="16"/>
      <c r="J7" s="13">
        <f t="shared" ref="J7:L7" si="0">+SUM(J9:J169)</f>
        <v>175800.34</v>
      </c>
      <c r="K7" s="13">
        <f t="shared" si="0"/>
        <v>48454.020000000004</v>
      </c>
      <c r="L7" s="13">
        <f t="shared" si="0"/>
        <v>1382457.5999999996</v>
      </c>
      <c r="M7" s="13"/>
      <c r="P7" s="13">
        <f>+[1]SCIB!$P$7-P6</f>
        <v>68480.830000001937</v>
      </c>
    </row>
    <row r="8" spans="2:16" s="8" customFormat="1" ht="39.75" customHeight="1" thickBot="1" x14ac:dyDescent="0.3">
      <c r="B8" s="2" t="s">
        <v>10</v>
      </c>
      <c r="C8" s="3" t="s">
        <v>9</v>
      </c>
      <c r="D8" s="3" t="s">
        <v>8</v>
      </c>
      <c r="E8" s="4" t="s">
        <v>7</v>
      </c>
      <c r="F8" s="4" t="s">
        <v>6</v>
      </c>
      <c r="G8" s="4" t="s">
        <v>5</v>
      </c>
      <c r="H8" s="4" t="s">
        <v>4</v>
      </c>
      <c r="I8" s="4" t="s">
        <v>3</v>
      </c>
      <c r="J8" s="3" t="s">
        <v>2</v>
      </c>
      <c r="K8" s="3" t="s">
        <v>1</v>
      </c>
      <c r="L8" s="5" t="s">
        <v>0</v>
      </c>
    </row>
    <row r="9" spans="2:16" x14ac:dyDescent="0.25">
      <c r="B9" s="7" t="s">
        <v>85</v>
      </c>
      <c r="C9" s="7" t="s">
        <v>126</v>
      </c>
      <c r="D9" s="12">
        <v>1.214809</v>
      </c>
      <c r="E9" s="12"/>
      <c r="F9" s="12"/>
      <c r="G9" s="12"/>
      <c r="H9" s="12"/>
      <c r="I9" s="12"/>
      <c r="J9" s="12">
        <v>6.7</v>
      </c>
      <c r="K9" s="12">
        <v>77.849999999999994</v>
      </c>
      <c r="L9" s="12">
        <v>789.83</v>
      </c>
    </row>
    <row r="10" spans="2:16" x14ac:dyDescent="0.25">
      <c r="B10" s="7" t="s">
        <v>88</v>
      </c>
      <c r="C10" s="7" t="s">
        <v>174</v>
      </c>
      <c r="D10" s="12">
        <v>2.0600000000000002E-3</v>
      </c>
      <c r="E10" s="12"/>
      <c r="F10" s="12"/>
      <c r="G10" s="12"/>
      <c r="H10" s="12"/>
      <c r="I10" s="12"/>
      <c r="J10" s="12">
        <v>0</v>
      </c>
      <c r="K10" s="12">
        <v>0</v>
      </c>
      <c r="L10" s="12">
        <v>0</v>
      </c>
    </row>
    <row r="11" spans="2:16" x14ac:dyDescent="0.25">
      <c r="B11" s="7" t="s">
        <v>166</v>
      </c>
      <c r="C11" s="7" t="s">
        <v>139</v>
      </c>
      <c r="D11" s="12">
        <v>3.5332000000000002E-2</v>
      </c>
      <c r="E11" s="12"/>
      <c r="F11" s="12"/>
      <c r="G11" s="12"/>
      <c r="H11" s="12"/>
      <c r="I11" s="12"/>
      <c r="J11" s="12">
        <v>2.54</v>
      </c>
      <c r="K11" s="12">
        <v>0.75</v>
      </c>
      <c r="L11" s="12">
        <v>3.61</v>
      </c>
    </row>
    <row r="12" spans="2:16" x14ac:dyDescent="0.25">
      <c r="B12" s="7" t="s">
        <v>36</v>
      </c>
      <c r="C12" s="7" t="s">
        <v>100</v>
      </c>
      <c r="D12" s="12">
        <v>0.205481</v>
      </c>
      <c r="E12" s="12"/>
      <c r="F12" s="12"/>
      <c r="G12" s="12"/>
      <c r="H12" s="12"/>
      <c r="I12" s="12"/>
      <c r="J12" s="12">
        <v>18.03</v>
      </c>
      <c r="K12" s="12">
        <v>7.78</v>
      </c>
      <c r="L12" s="12">
        <v>506.85</v>
      </c>
    </row>
    <row r="13" spans="2:16" x14ac:dyDescent="0.25">
      <c r="B13" s="7" t="s">
        <v>176</v>
      </c>
      <c r="C13" s="7" t="s">
        <v>175</v>
      </c>
      <c r="D13" s="12">
        <v>2.2000000000000001E-3</v>
      </c>
      <c r="E13" s="12"/>
      <c r="F13" s="12"/>
      <c r="G13" s="12"/>
      <c r="H13" s="12"/>
      <c r="I13" s="12"/>
      <c r="J13" s="12">
        <v>0</v>
      </c>
      <c r="K13" s="12">
        <v>0</v>
      </c>
      <c r="L13" s="12">
        <v>0</v>
      </c>
    </row>
    <row r="14" spans="2:16" x14ac:dyDescent="0.25">
      <c r="B14" s="7" t="s">
        <v>108</v>
      </c>
      <c r="C14" s="7" t="s">
        <v>107</v>
      </c>
      <c r="D14" s="12">
        <v>5.0379E-2</v>
      </c>
      <c r="E14" s="12"/>
      <c r="F14" s="12"/>
      <c r="G14" s="12"/>
      <c r="H14" s="12"/>
      <c r="I14" s="12"/>
      <c r="J14" s="12">
        <v>0.55000000000000004</v>
      </c>
      <c r="K14" s="12">
        <v>0.85</v>
      </c>
      <c r="L14" s="12">
        <v>224.6</v>
      </c>
    </row>
    <row r="15" spans="2:16" x14ac:dyDescent="0.25">
      <c r="B15" s="7" t="s">
        <v>171</v>
      </c>
      <c r="C15" s="7" t="s">
        <v>170</v>
      </c>
      <c r="D15" s="12">
        <v>0.40846300000000002</v>
      </c>
      <c r="E15" s="12"/>
      <c r="F15" s="12"/>
      <c r="G15" s="12"/>
      <c r="H15" s="12"/>
      <c r="I15" s="12"/>
      <c r="J15" s="12">
        <v>3.85</v>
      </c>
      <c r="K15" s="12">
        <v>3.95</v>
      </c>
      <c r="L15" s="12">
        <v>112.42</v>
      </c>
    </row>
    <row r="16" spans="2:16" x14ac:dyDescent="0.25">
      <c r="B16" s="7" t="s">
        <v>113</v>
      </c>
      <c r="C16" s="7" t="s">
        <v>112</v>
      </c>
      <c r="D16" s="12">
        <v>0.22101599999999999</v>
      </c>
      <c r="E16" s="12"/>
      <c r="F16" s="12"/>
      <c r="G16" s="12"/>
      <c r="H16" s="12"/>
      <c r="I16" s="12"/>
      <c r="J16" s="12">
        <v>1.1299999999999999</v>
      </c>
      <c r="K16" s="12">
        <v>1.8</v>
      </c>
      <c r="L16" s="12">
        <v>10.1</v>
      </c>
    </row>
    <row r="17" spans="2:16" x14ac:dyDescent="0.25">
      <c r="B17" s="7" t="s">
        <v>88</v>
      </c>
      <c r="C17" s="7" t="s">
        <v>119</v>
      </c>
      <c r="D17" s="12">
        <v>15.047767</v>
      </c>
      <c r="E17" s="12"/>
      <c r="F17" s="12"/>
      <c r="G17" s="12"/>
      <c r="H17" s="12"/>
      <c r="I17" s="12"/>
      <c r="J17" s="12">
        <v>22809.52</v>
      </c>
      <c r="K17" s="12">
        <v>2927.83</v>
      </c>
      <c r="L17" s="12">
        <v>12847.19</v>
      </c>
    </row>
    <row r="18" spans="2:16" x14ac:dyDescent="0.25">
      <c r="B18" s="7" t="s">
        <v>178</v>
      </c>
      <c r="C18" s="7" t="s">
        <v>177</v>
      </c>
      <c r="D18" s="12">
        <v>5.4000000000000001E-4</v>
      </c>
      <c r="E18" s="12"/>
      <c r="F18" s="12"/>
      <c r="G18" s="12"/>
      <c r="H18" s="12"/>
      <c r="I18" s="12"/>
      <c r="J18" s="12">
        <v>0</v>
      </c>
      <c r="K18" s="12">
        <v>0</v>
      </c>
      <c r="L18" s="12">
        <v>0</v>
      </c>
    </row>
    <row r="19" spans="2:16" x14ac:dyDescent="0.25">
      <c r="B19" s="7" t="s">
        <v>88</v>
      </c>
      <c r="C19" s="7" t="s">
        <v>64</v>
      </c>
      <c r="D19" s="12">
        <v>14.518409999999999</v>
      </c>
      <c r="E19" s="12"/>
      <c r="F19" s="12"/>
      <c r="G19" s="12"/>
      <c r="H19" s="12"/>
      <c r="I19" s="12"/>
      <c r="J19" s="12">
        <v>22237.85</v>
      </c>
      <c r="K19" s="12">
        <v>2854.45</v>
      </c>
      <c r="L19" s="12">
        <v>12525.2</v>
      </c>
    </row>
    <row r="20" spans="2:16" x14ac:dyDescent="0.25">
      <c r="B20" s="7" t="s">
        <v>132</v>
      </c>
      <c r="C20" s="7" t="s">
        <v>131</v>
      </c>
      <c r="D20" s="12">
        <v>5.170274</v>
      </c>
      <c r="E20" s="12"/>
      <c r="F20" s="12"/>
      <c r="G20" s="12"/>
      <c r="H20" s="12"/>
      <c r="I20" s="12"/>
      <c r="J20" s="12">
        <v>47.37</v>
      </c>
      <c r="K20" s="12">
        <v>115.15</v>
      </c>
      <c r="L20" s="12">
        <v>5572.47</v>
      </c>
    </row>
    <row r="21" spans="2:16" x14ac:dyDescent="0.25">
      <c r="B21" s="7" t="s">
        <v>88</v>
      </c>
      <c r="C21" s="7" t="s">
        <v>154</v>
      </c>
      <c r="D21" s="12">
        <v>5.7850000000000002E-3</v>
      </c>
      <c r="E21" s="12"/>
      <c r="F21" s="12"/>
      <c r="G21" s="12"/>
      <c r="H21" s="12"/>
      <c r="I21" s="12"/>
      <c r="J21" s="12">
        <v>0</v>
      </c>
      <c r="K21" s="12">
        <v>0</v>
      </c>
      <c r="L21" s="12">
        <v>0</v>
      </c>
    </row>
    <row r="22" spans="2:16" x14ac:dyDescent="0.25">
      <c r="B22" s="7" t="s">
        <v>40</v>
      </c>
      <c r="C22" s="7" t="s">
        <v>39</v>
      </c>
      <c r="D22" s="12">
        <v>1.7759389999999999</v>
      </c>
      <c r="E22" s="12"/>
      <c r="F22" s="12"/>
      <c r="G22" s="12"/>
      <c r="H22" s="12"/>
      <c r="I22" s="12"/>
      <c r="J22" s="12">
        <v>0.88</v>
      </c>
      <c r="K22" s="12">
        <v>5.1100000000000003</v>
      </c>
      <c r="L22" s="12">
        <v>118.81</v>
      </c>
    </row>
    <row r="23" spans="2:16" x14ac:dyDescent="0.25">
      <c r="B23" s="7" t="s">
        <v>104</v>
      </c>
      <c r="C23" s="7" t="s">
        <v>59</v>
      </c>
      <c r="D23" s="12">
        <v>1.206E-3</v>
      </c>
      <c r="E23" s="12"/>
      <c r="F23" s="12"/>
      <c r="G23" s="12"/>
      <c r="H23" s="12"/>
      <c r="I23" s="12"/>
      <c r="J23" s="12">
        <v>0</v>
      </c>
      <c r="K23" s="12">
        <v>0</v>
      </c>
      <c r="L23" s="12">
        <v>0</v>
      </c>
    </row>
    <row r="24" spans="2:16" x14ac:dyDescent="0.25">
      <c r="B24" s="7" t="s">
        <v>88</v>
      </c>
      <c r="C24" s="7" t="s">
        <v>179</v>
      </c>
      <c r="D24" s="12">
        <v>5.8E-4</v>
      </c>
      <c r="E24" s="12"/>
      <c r="F24" s="12"/>
      <c r="G24" s="12"/>
      <c r="H24" s="12"/>
      <c r="I24" s="12"/>
      <c r="J24" s="12">
        <v>0</v>
      </c>
      <c r="K24" s="12">
        <v>0</v>
      </c>
      <c r="L24" s="12">
        <v>0</v>
      </c>
    </row>
    <row r="25" spans="2:16" x14ac:dyDescent="0.25">
      <c r="B25" s="7" t="s">
        <v>181</v>
      </c>
      <c r="C25" s="7" t="s">
        <v>180</v>
      </c>
      <c r="D25" s="12">
        <v>3.3736000000000002E-2</v>
      </c>
      <c r="E25" s="12"/>
      <c r="F25" s="12"/>
      <c r="G25" s="12"/>
      <c r="H25" s="12"/>
      <c r="I25" s="12"/>
      <c r="J25" s="12">
        <v>0</v>
      </c>
      <c r="K25" s="12">
        <v>0</v>
      </c>
      <c r="L25" s="12">
        <v>0</v>
      </c>
      <c r="P25" s="11"/>
    </row>
    <row r="26" spans="2:16" x14ac:dyDescent="0.25">
      <c r="B26" s="7" t="s">
        <v>90</v>
      </c>
      <c r="C26" s="7" t="s">
        <v>89</v>
      </c>
      <c r="D26" s="12">
        <v>103.25823699999999</v>
      </c>
      <c r="E26" s="12"/>
      <c r="F26" s="12"/>
      <c r="G26" s="12"/>
      <c r="H26" s="12"/>
      <c r="I26" s="12"/>
      <c r="J26" s="12">
        <v>749.57</v>
      </c>
      <c r="K26" s="12">
        <v>322.27</v>
      </c>
      <c r="L26" s="12">
        <v>356641.73</v>
      </c>
    </row>
    <row r="27" spans="2:16" x14ac:dyDescent="0.25">
      <c r="B27" s="7" t="s">
        <v>88</v>
      </c>
      <c r="C27" s="7" t="s">
        <v>128</v>
      </c>
      <c r="D27" s="12">
        <v>0.32282899999999998</v>
      </c>
      <c r="E27" s="12"/>
      <c r="F27" s="12"/>
      <c r="G27" s="12"/>
      <c r="H27" s="12"/>
      <c r="I27" s="12"/>
      <c r="J27" s="12">
        <v>360.15</v>
      </c>
      <c r="K27" s="12">
        <v>46.23</v>
      </c>
      <c r="L27" s="12">
        <v>202.85</v>
      </c>
    </row>
    <row r="28" spans="2:16" x14ac:dyDescent="0.25">
      <c r="B28" s="7" t="s">
        <v>183</v>
      </c>
      <c r="C28" s="7" t="s">
        <v>182</v>
      </c>
      <c r="D28" s="12">
        <v>2.833E-3</v>
      </c>
      <c r="E28" s="12"/>
      <c r="F28" s="12"/>
      <c r="G28" s="12"/>
      <c r="H28" s="12"/>
      <c r="I28" s="12"/>
      <c r="J28" s="12">
        <v>0</v>
      </c>
      <c r="K28" s="12">
        <v>0</v>
      </c>
      <c r="L28" s="12">
        <v>0</v>
      </c>
    </row>
    <row r="29" spans="2:16" x14ac:dyDescent="0.25">
      <c r="B29" s="7" t="s">
        <v>53</v>
      </c>
      <c r="C29" s="7" t="s">
        <v>52</v>
      </c>
      <c r="D29" s="12">
        <v>0.552014</v>
      </c>
      <c r="E29" s="12"/>
      <c r="F29" s="12"/>
      <c r="G29" s="12"/>
      <c r="H29" s="12"/>
      <c r="I29" s="12"/>
      <c r="J29" s="12">
        <v>0.47</v>
      </c>
      <c r="K29" s="12">
        <v>0.48</v>
      </c>
      <c r="L29" s="12">
        <v>52.94</v>
      </c>
    </row>
    <row r="30" spans="2:16" x14ac:dyDescent="0.25">
      <c r="B30" s="7" t="s">
        <v>65</v>
      </c>
      <c r="C30" s="7" t="s">
        <v>139</v>
      </c>
      <c r="D30" s="12">
        <v>0.75617299999999998</v>
      </c>
      <c r="E30" s="12"/>
      <c r="F30" s="12"/>
      <c r="G30" s="12"/>
      <c r="H30" s="12"/>
      <c r="I30" s="12"/>
      <c r="J30" s="12">
        <v>100.25</v>
      </c>
      <c r="K30" s="12">
        <v>57.93</v>
      </c>
      <c r="L30" s="12">
        <v>320</v>
      </c>
    </row>
    <row r="31" spans="2:16" x14ac:dyDescent="0.25">
      <c r="B31" s="7" t="s">
        <v>185</v>
      </c>
      <c r="C31" s="7" t="s">
        <v>184</v>
      </c>
      <c r="D31" s="12">
        <v>3.0117999999999999E-2</v>
      </c>
      <c r="E31" s="12"/>
      <c r="F31" s="12"/>
      <c r="G31" s="12"/>
      <c r="H31" s="12"/>
      <c r="I31" s="12"/>
      <c r="J31" s="12">
        <v>0</v>
      </c>
      <c r="K31" s="12">
        <v>0</v>
      </c>
      <c r="L31" s="12">
        <v>0</v>
      </c>
    </row>
    <row r="32" spans="2:16" x14ac:dyDescent="0.25">
      <c r="B32" s="7" t="s">
        <v>144</v>
      </c>
      <c r="C32" s="7" t="s">
        <v>143</v>
      </c>
      <c r="D32" s="12">
        <v>8.9737999999999998E-2</v>
      </c>
      <c r="E32" s="12"/>
      <c r="F32" s="12"/>
      <c r="G32" s="12"/>
      <c r="H32" s="12"/>
      <c r="I32" s="12"/>
      <c r="J32" s="12">
        <v>0.11</v>
      </c>
      <c r="K32" s="12">
        <v>0.7</v>
      </c>
      <c r="L32" s="12">
        <v>2.88</v>
      </c>
    </row>
    <row r="33" spans="2:12" x14ac:dyDescent="0.25">
      <c r="B33" s="7" t="s">
        <v>51</v>
      </c>
      <c r="C33" s="7" t="s">
        <v>58</v>
      </c>
      <c r="D33" s="12">
        <v>0.95837499999999998</v>
      </c>
      <c r="E33" s="12"/>
      <c r="F33" s="12"/>
      <c r="G33" s="12"/>
      <c r="H33" s="12"/>
      <c r="I33" s="12"/>
      <c r="J33" s="12">
        <v>6.05</v>
      </c>
      <c r="K33" s="12">
        <v>13.72</v>
      </c>
      <c r="L33" s="12">
        <v>643.88</v>
      </c>
    </row>
    <row r="34" spans="2:12" x14ac:dyDescent="0.25">
      <c r="B34" s="7" t="s">
        <v>65</v>
      </c>
      <c r="C34" s="7" t="s">
        <v>64</v>
      </c>
      <c r="D34" s="12">
        <v>7.4997199999999999</v>
      </c>
      <c r="E34" s="12"/>
      <c r="F34" s="12"/>
      <c r="G34" s="12"/>
      <c r="H34" s="12"/>
      <c r="I34" s="12"/>
      <c r="J34" s="12">
        <v>1280.07</v>
      </c>
      <c r="K34" s="12">
        <v>739.75</v>
      </c>
      <c r="L34" s="12">
        <v>4086.11</v>
      </c>
    </row>
    <row r="35" spans="2:12" x14ac:dyDescent="0.25">
      <c r="B35" s="7" t="s">
        <v>51</v>
      </c>
      <c r="C35" s="7" t="s">
        <v>57</v>
      </c>
      <c r="D35" s="12">
        <v>1.1004750000000001</v>
      </c>
      <c r="E35" s="12"/>
      <c r="F35" s="12"/>
      <c r="G35" s="12"/>
      <c r="H35" s="12"/>
      <c r="I35" s="12"/>
      <c r="J35" s="12">
        <v>6.45</v>
      </c>
      <c r="K35" s="12">
        <v>14.63</v>
      </c>
      <c r="L35" s="12">
        <v>686.8</v>
      </c>
    </row>
    <row r="36" spans="2:12" x14ac:dyDescent="0.25">
      <c r="B36" s="7" t="s">
        <v>187</v>
      </c>
      <c r="C36" s="7" t="s">
        <v>186</v>
      </c>
      <c r="D36" s="12">
        <v>6.7380000000000001E-3</v>
      </c>
      <c r="E36" s="12"/>
      <c r="F36" s="12"/>
      <c r="G36" s="12"/>
      <c r="H36" s="12"/>
      <c r="I36" s="12"/>
      <c r="J36" s="12">
        <v>0</v>
      </c>
      <c r="K36" s="12">
        <v>0</v>
      </c>
      <c r="L36" s="12">
        <v>0</v>
      </c>
    </row>
    <row r="37" spans="2:12" x14ac:dyDescent="0.25">
      <c r="B37" s="7" t="s">
        <v>81</v>
      </c>
      <c r="C37" s="7" t="s">
        <v>188</v>
      </c>
      <c r="D37" s="12">
        <v>5.4100000000000003E-4</v>
      </c>
      <c r="E37" s="12"/>
      <c r="F37" s="12"/>
      <c r="G37" s="12"/>
      <c r="H37" s="12"/>
      <c r="I37" s="12"/>
      <c r="J37" s="12">
        <v>0</v>
      </c>
      <c r="K37" s="12">
        <v>0</v>
      </c>
      <c r="L37" s="12">
        <v>0</v>
      </c>
    </row>
    <row r="38" spans="2:12" x14ac:dyDescent="0.25">
      <c r="B38" s="7" t="s">
        <v>178</v>
      </c>
      <c r="C38" s="7" t="s">
        <v>189</v>
      </c>
      <c r="D38" s="12">
        <v>3.6440000000000001E-3</v>
      </c>
      <c r="E38" s="12"/>
      <c r="F38" s="12"/>
      <c r="G38" s="12"/>
      <c r="H38" s="12"/>
      <c r="I38" s="12"/>
      <c r="J38" s="12">
        <v>0</v>
      </c>
      <c r="K38" s="12">
        <v>0</v>
      </c>
      <c r="L38" s="12">
        <v>0</v>
      </c>
    </row>
    <row r="39" spans="2:12" x14ac:dyDescent="0.25">
      <c r="B39" s="7" t="s">
        <v>124</v>
      </c>
      <c r="C39" s="7" t="s">
        <v>123</v>
      </c>
      <c r="D39" s="12">
        <v>2.5456729999999999</v>
      </c>
      <c r="E39" s="12"/>
      <c r="F39" s="12"/>
      <c r="G39" s="12"/>
      <c r="H39" s="12"/>
      <c r="I39" s="12"/>
      <c r="J39" s="12">
        <v>21.08</v>
      </c>
      <c r="K39" s="12">
        <v>84.44</v>
      </c>
      <c r="L39" s="12">
        <v>4417.6499999999996</v>
      </c>
    </row>
    <row r="40" spans="2:12" x14ac:dyDescent="0.25">
      <c r="B40" s="7" t="s">
        <v>71</v>
      </c>
      <c r="C40" s="7" t="s">
        <v>130</v>
      </c>
      <c r="D40" s="12">
        <v>4.1346000000000001E-2</v>
      </c>
      <c r="E40" s="12"/>
      <c r="F40" s="12"/>
      <c r="G40" s="12"/>
      <c r="H40" s="12"/>
      <c r="I40" s="12"/>
      <c r="J40" s="12">
        <v>0.24</v>
      </c>
      <c r="K40" s="12">
        <v>0.47</v>
      </c>
      <c r="L40" s="12">
        <v>25.04</v>
      </c>
    </row>
    <row r="41" spans="2:12" x14ac:dyDescent="0.25">
      <c r="B41" s="7" t="s">
        <v>132</v>
      </c>
      <c r="C41" s="7" t="s">
        <v>147</v>
      </c>
      <c r="D41" s="12">
        <v>2.549131</v>
      </c>
      <c r="E41" s="12"/>
      <c r="F41" s="12"/>
      <c r="G41" s="12"/>
      <c r="H41" s="12"/>
      <c r="I41" s="12"/>
      <c r="J41" s="12">
        <v>3.02</v>
      </c>
      <c r="K41" s="12">
        <v>7.35</v>
      </c>
      <c r="L41" s="12">
        <v>355.69</v>
      </c>
    </row>
    <row r="42" spans="2:12" x14ac:dyDescent="0.25">
      <c r="B42" s="7" t="s">
        <v>191</v>
      </c>
      <c r="C42" s="7" t="s">
        <v>190</v>
      </c>
      <c r="D42" s="12">
        <v>0.615734</v>
      </c>
      <c r="E42" s="12"/>
      <c r="F42" s="12"/>
      <c r="G42" s="12"/>
      <c r="H42" s="12"/>
      <c r="I42" s="12"/>
      <c r="J42" s="12">
        <v>0</v>
      </c>
      <c r="K42" s="12">
        <v>0</v>
      </c>
      <c r="L42" s="12">
        <v>0</v>
      </c>
    </row>
    <row r="43" spans="2:12" x14ac:dyDescent="0.25">
      <c r="B43" s="7" t="s">
        <v>81</v>
      </c>
      <c r="C43" s="7" t="s">
        <v>80</v>
      </c>
      <c r="D43" s="12">
        <v>0.190585</v>
      </c>
      <c r="E43" s="12"/>
      <c r="F43" s="12"/>
      <c r="G43" s="12"/>
      <c r="H43" s="12"/>
      <c r="I43" s="12"/>
      <c r="J43" s="12">
        <v>3.24</v>
      </c>
      <c r="K43" s="12">
        <v>17.309999999999999</v>
      </c>
      <c r="L43" s="12">
        <v>76.42</v>
      </c>
    </row>
    <row r="44" spans="2:12" x14ac:dyDescent="0.25">
      <c r="B44" s="7" t="s">
        <v>193</v>
      </c>
      <c r="C44" s="7" t="s">
        <v>192</v>
      </c>
      <c r="D44" s="12">
        <v>1.3009E-2</v>
      </c>
      <c r="E44" s="12"/>
      <c r="F44" s="12"/>
      <c r="G44" s="12"/>
      <c r="H44" s="12"/>
      <c r="I44" s="12"/>
      <c r="J44" s="12">
        <v>0</v>
      </c>
      <c r="K44" s="12">
        <v>0</v>
      </c>
      <c r="L44" s="12">
        <v>0</v>
      </c>
    </row>
    <row r="45" spans="2:12" x14ac:dyDescent="0.25">
      <c r="B45" s="7" t="s">
        <v>87</v>
      </c>
      <c r="C45" s="7" t="s">
        <v>86</v>
      </c>
      <c r="D45" s="12">
        <v>0.109921</v>
      </c>
      <c r="E45" s="12"/>
      <c r="F45" s="12"/>
      <c r="G45" s="12"/>
      <c r="H45" s="12"/>
      <c r="I45" s="12"/>
      <c r="J45" s="12">
        <v>10.89</v>
      </c>
      <c r="K45" s="12">
        <v>10.06</v>
      </c>
      <c r="L45" s="12">
        <v>164.68</v>
      </c>
    </row>
    <row r="46" spans="2:12" x14ac:dyDescent="0.25">
      <c r="B46" s="7" t="s">
        <v>132</v>
      </c>
      <c r="C46" s="7" t="s">
        <v>151</v>
      </c>
      <c r="D46" s="12">
        <v>8.2590640000000004</v>
      </c>
      <c r="E46" s="12"/>
      <c r="F46" s="12"/>
      <c r="G46" s="12"/>
      <c r="H46" s="12"/>
      <c r="I46" s="12"/>
      <c r="J46" s="12">
        <v>67.02</v>
      </c>
      <c r="K46" s="12">
        <v>162.91999999999999</v>
      </c>
      <c r="L46" s="12">
        <v>7884.45</v>
      </c>
    </row>
    <row r="47" spans="2:12" x14ac:dyDescent="0.25">
      <c r="B47" s="7" t="s">
        <v>98</v>
      </c>
      <c r="C47" s="7" t="s">
        <v>97</v>
      </c>
      <c r="D47" s="12">
        <v>9.8779999999999996E-3</v>
      </c>
      <c r="E47" s="12"/>
      <c r="F47" s="12"/>
      <c r="G47" s="12"/>
      <c r="H47" s="12"/>
      <c r="I47" s="12"/>
      <c r="J47" s="12">
        <v>0.52</v>
      </c>
      <c r="K47" s="12">
        <v>0.31</v>
      </c>
      <c r="L47" s="12">
        <v>14.83</v>
      </c>
    </row>
    <row r="48" spans="2:12" x14ac:dyDescent="0.25">
      <c r="B48" s="7" t="s">
        <v>104</v>
      </c>
      <c r="C48" s="7" t="s">
        <v>154</v>
      </c>
      <c r="D48" s="12">
        <v>1.94411</v>
      </c>
      <c r="E48" s="12"/>
      <c r="F48" s="12"/>
      <c r="G48" s="12"/>
      <c r="H48" s="12"/>
      <c r="I48" s="12"/>
      <c r="J48" s="12">
        <v>285.48</v>
      </c>
      <c r="K48" s="12">
        <v>88.33</v>
      </c>
      <c r="L48" s="12">
        <v>2592.83</v>
      </c>
    </row>
    <row r="49" spans="2:12" x14ac:dyDescent="0.25">
      <c r="B49" s="7" t="s">
        <v>104</v>
      </c>
      <c r="C49" s="7" t="s">
        <v>194</v>
      </c>
      <c r="D49" s="12">
        <v>2.2169999999999999E-2</v>
      </c>
      <c r="E49" s="12"/>
      <c r="F49" s="12"/>
      <c r="G49" s="12"/>
      <c r="H49" s="12"/>
      <c r="I49" s="12"/>
      <c r="J49" s="12">
        <v>0</v>
      </c>
      <c r="K49" s="12">
        <v>0</v>
      </c>
      <c r="L49" s="12">
        <v>0</v>
      </c>
    </row>
    <row r="50" spans="2:12" x14ac:dyDescent="0.25">
      <c r="B50" s="7" t="s">
        <v>60</v>
      </c>
      <c r="C50" s="7" t="s">
        <v>59</v>
      </c>
      <c r="D50" s="12">
        <v>0.10628799999999999</v>
      </c>
      <c r="E50" s="12"/>
      <c r="F50" s="12"/>
      <c r="G50" s="12"/>
      <c r="H50" s="12"/>
      <c r="I50" s="12"/>
      <c r="J50" s="12">
        <v>53.59</v>
      </c>
      <c r="K50" s="12">
        <v>8.07</v>
      </c>
      <c r="L50" s="12">
        <v>61.47</v>
      </c>
    </row>
    <row r="51" spans="2:12" x14ac:dyDescent="0.25">
      <c r="B51" s="7" t="s">
        <v>85</v>
      </c>
      <c r="C51" s="7" t="s">
        <v>93</v>
      </c>
      <c r="D51" s="12">
        <v>19.865537</v>
      </c>
      <c r="E51" s="12"/>
      <c r="F51" s="12"/>
      <c r="G51" s="12"/>
      <c r="H51" s="12"/>
      <c r="I51" s="12"/>
      <c r="J51" s="12">
        <v>103.73</v>
      </c>
      <c r="K51" s="12">
        <v>1205.3599999999999</v>
      </c>
      <c r="L51" s="12">
        <v>12228.89</v>
      </c>
    </row>
    <row r="52" spans="2:12" x14ac:dyDescent="0.25">
      <c r="B52" s="7" t="s">
        <v>104</v>
      </c>
      <c r="C52" s="7" t="s">
        <v>103</v>
      </c>
      <c r="D52" s="12">
        <v>0.27637699999999998</v>
      </c>
      <c r="E52" s="12"/>
      <c r="F52" s="12"/>
      <c r="G52" s="12"/>
      <c r="H52" s="12"/>
      <c r="I52" s="12"/>
      <c r="J52" s="12">
        <v>33.590000000000003</v>
      </c>
      <c r="K52" s="12">
        <v>10.39</v>
      </c>
      <c r="L52" s="12">
        <v>305.04000000000002</v>
      </c>
    </row>
    <row r="53" spans="2:12" x14ac:dyDescent="0.25">
      <c r="B53" s="7" t="s">
        <v>121</v>
      </c>
      <c r="C53" s="7" t="s">
        <v>120</v>
      </c>
      <c r="D53" s="12">
        <v>4.2230949999999998</v>
      </c>
      <c r="E53" s="12"/>
      <c r="F53" s="12"/>
      <c r="G53" s="12"/>
      <c r="H53" s="12"/>
      <c r="I53" s="12"/>
      <c r="J53" s="12">
        <v>42.11</v>
      </c>
      <c r="K53" s="12">
        <v>33.97</v>
      </c>
      <c r="L53" s="12">
        <v>1229.3699999999999</v>
      </c>
    </row>
    <row r="54" spans="2:12" x14ac:dyDescent="0.25">
      <c r="B54" s="7" t="s">
        <v>46</v>
      </c>
      <c r="C54" s="7" t="s">
        <v>195</v>
      </c>
      <c r="D54" s="12">
        <v>2.4000000000000001E-5</v>
      </c>
      <c r="E54" s="12"/>
      <c r="F54" s="12"/>
      <c r="G54" s="12"/>
      <c r="H54" s="12"/>
      <c r="I54" s="12"/>
      <c r="J54" s="12">
        <v>0</v>
      </c>
      <c r="K54" s="12">
        <v>0</v>
      </c>
      <c r="L54" s="12">
        <v>0</v>
      </c>
    </row>
    <row r="55" spans="2:12" x14ac:dyDescent="0.25">
      <c r="B55" s="7" t="s">
        <v>88</v>
      </c>
      <c r="C55" s="7" t="s">
        <v>18</v>
      </c>
      <c r="D55" s="12">
        <v>9.5399999999999999E-3</v>
      </c>
      <c r="E55" s="12"/>
      <c r="F55" s="12"/>
      <c r="G55" s="12"/>
      <c r="H55" s="12"/>
      <c r="I55" s="12"/>
      <c r="J55" s="12">
        <v>11.43</v>
      </c>
      <c r="K55" s="12">
        <v>1.47</v>
      </c>
      <c r="L55" s="12">
        <v>6.44</v>
      </c>
    </row>
    <row r="56" spans="2:12" x14ac:dyDescent="0.25">
      <c r="B56" s="7" t="s">
        <v>75</v>
      </c>
      <c r="C56" s="7" t="s">
        <v>18</v>
      </c>
      <c r="D56" s="12">
        <v>2.591275</v>
      </c>
      <c r="E56" s="12"/>
      <c r="F56" s="12"/>
      <c r="G56" s="12"/>
      <c r="H56" s="12"/>
      <c r="I56" s="12"/>
      <c r="J56" s="12">
        <v>0</v>
      </c>
      <c r="K56" s="12">
        <v>19</v>
      </c>
      <c r="L56" s="12">
        <v>2114.17</v>
      </c>
    </row>
    <row r="57" spans="2:12" x14ac:dyDescent="0.25">
      <c r="B57" s="7" t="s">
        <v>127</v>
      </c>
      <c r="C57" s="7" t="s">
        <v>18</v>
      </c>
      <c r="D57" s="12">
        <v>33.081100999999997</v>
      </c>
      <c r="E57" s="12"/>
      <c r="F57" s="12"/>
      <c r="G57" s="12"/>
      <c r="H57" s="12"/>
      <c r="I57" s="12"/>
      <c r="J57" s="12">
        <v>14540.2</v>
      </c>
      <c r="K57" s="12">
        <v>1102.3699999999999</v>
      </c>
      <c r="L57" s="12">
        <v>33067.949999999997</v>
      </c>
    </row>
    <row r="58" spans="2:12" x14ac:dyDescent="0.25">
      <c r="B58" s="7" t="s">
        <v>49</v>
      </c>
      <c r="C58" s="7" t="s">
        <v>94</v>
      </c>
      <c r="D58" s="12">
        <v>7.5383000000000006E-2</v>
      </c>
      <c r="E58" s="12"/>
      <c r="F58" s="12"/>
      <c r="G58" s="12"/>
      <c r="H58" s="12"/>
      <c r="I58" s="12"/>
      <c r="J58" s="12">
        <v>0.15</v>
      </c>
      <c r="K58" s="12">
        <v>0.62</v>
      </c>
      <c r="L58" s="12">
        <v>0.37</v>
      </c>
    </row>
    <row r="59" spans="2:12" x14ac:dyDescent="0.25">
      <c r="B59" s="7" t="s">
        <v>49</v>
      </c>
      <c r="C59" s="7" t="s">
        <v>48</v>
      </c>
      <c r="D59" s="12">
        <v>6.649991</v>
      </c>
      <c r="E59" s="12"/>
      <c r="F59" s="12"/>
      <c r="G59" s="12"/>
      <c r="H59" s="12"/>
      <c r="I59" s="12"/>
      <c r="J59" s="12">
        <v>48.11</v>
      </c>
      <c r="K59" s="12">
        <v>197.83</v>
      </c>
      <c r="L59" s="12">
        <v>117.97</v>
      </c>
    </row>
    <row r="60" spans="2:12" x14ac:dyDescent="0.25">
      <c r="B60" s="7" t="s">
        <v>23</v>
      </c>
      <c r="C60" s="7" t="s">
        <v>195</v>
      </c>
      <c r="D60" s="12">
        <v>1.5790000000000001E-3</v>
      </c>
      <c r="E60" s="12"/>
      <c r="F60" s="12"/>
      <c r="G60" s="12"/>
      <c r="H60" s="12"/>
      <c r="I60" s="12"/>
      <c r="J60" s="12">
        <v>0</v>
      </c>
      <c r="K60" s="12">
        <v>0</v>
      </c>
      <c r="L60" s="12">
        <v>0</v>
      </c>
    </row>
    <row r="61" spans="2:12" x14ac:dyDescent="0.25">
      <c r="B61" s="7" t="s">
        <v>46</v>
      </c>
      <c r="C61" s="7" t="s">
        <v>18</v>
      </c>
      <c r="D61" s="12">
        <v>2.7430000000000002E-3</v>
      </c>
      <c r="E61" s="12"/>
      <c r="F61" s="12"/>
      <c r="G61" s="12"/>
      <c r="H61" s="12"/>
      <c r="I61" s="12"/>
      <c r="J61" s="12">
        <v>0</v>
      </c>
      <c r="K61" s="12">
        <v>0</v>
      </c>
      <c r="L61" s="12">
        <v>0</v>
      </c>
    </row>
    <row r="62" spans="2:12" x14ac:dyDescent="0.25">
      <c r="B62" s="7" t="s">
        <v>46</v>
      </c>
      <c r="C62" s="7" t="s">
        <v>92</v>
      </c>
      <c r="D62" s="12">
        <v>203.59185600000001</v>
      </c>
      <c r="E62" s="12"/>
      <c r="F62" s="12"/>
      <c r="G62" s="12"/>
      <c r="H62" s="12"/>
      <c r="I62" s="12"/>
      <c r="J62" s="12">
        <v>47909.25</v>
      </c>
      <c r="K62" s="12">
        <v>2390.73</v>
      </c>
      <c r="L62" s="12">
        <v>51701.68</v>
      </c>
    </row>
    <row r="63" spans="2:12" x14ac:dyDescent="0.25">
      <c r="B63" s="7" t="s">
        <v>75</v>
      </c>
      <c r="C63" s="7" t="s">
        <v>149</v>
      </c>
      <c r="D63" s="12">
        <v>3.0633000000000001E-2</v>
      </c>
      <c r="E63" s="12"/>
      <c r="F63" s="12"/>
      <c r="G63" s="12"/>
      <c r="H63" s="12"/>
      <c r="I63" s="12"/>
      <c r="J63" s="12">
        <v>0.16</v>
      </c>
      <c r="K63" s="12">
        <v>0.14000000000000001</v>
      </c>
      <c r="L63" s="12">
        <v>15.55</v>
      </c>
    </row>
    <row r="64" spans="2:12" x14ac:dyDescent="0.25">
      <c r="B64" s="7" t="s">
        <v>197</v>
      </c>
      <c r="C64" s="7" t="s">
        <v>196</v>
      </c>
      <c r="D64" s="12">
        <v>1.397E-2</v>
      </c>
      <c r="E64" s="12"/>
      <c r="F64" s="12"/>
      <c r="G64" s="12"/>
      <c r="H64" s="12"/>
      <c r="I64" s="12"/>
      <c r="J64" s="12">
        <v>0</v>
      </c>
      <c r="K64" s="12">
        <v>0</v>
      </c>
      <c r="L64" s="12">
        <v>0</v>
      </c>
    </row>
    <row r="65" spans="2:12" x14ac:dyDescent="0.25">
      <c r="B65" s="7" t="s">
        <v>169</v>
      </c>
      <c r="C65" s="7" t="s">
        <v>168</v>
      </c>
      <c r="D65" s="12">
        <v>0.60841800000000001</v>
      </c>
      <c r="E65" s="12"/>
      <c r="F65" s="12"/>
      <c r="G65" s="12"/>
      <c r="H65" s="12"/>
      <c r="I65" s="12"/>
      <c r="J65" s="12">
        <v>2.56</v>
      </c>
      <c r="K65" s="12">
        <v>0.98</v>
      </c>
      <c r="L65" s="12">
        <v>142.6</v>
      </c>
    </row>
    <row r="66" spans="2:12" x14ac:dyDescent="0.25">
      <c r="B66" s="7" t="s">
        <v>199</v>
      </c>
      <c r="C66" s="7" t="s">
        <v>198</v>
      </c>
      <c r="D66" s="12">
        <v>6.7742999999999998E-2</v>
      </c>
      <c r="E66" s="12"/>
      <c r="F66" s="12"/>
      <c r="G66" s="12"/>
      <c r="H66" s="12"/>
      <c r="I66" s="12"/>
      <c r="J66" s="12">
        <v>0</v>
      </c>
      <c r="K66" s="12">
        <v>0</v>
      </c>
      <c r="L66" s="12">
        <v>0</v>
      </c>
    </row>
    <row r="67" spans="2:12" x14ac:dyDescent="0.25">
      <c r="B67" s="7" t="s">
        <v>95</v>
      </c>
      <c r="C67" s="7" t="s">
        <v>74</v>
      </c>
      <c r="D67" s="12">
        <v>4.9053240000000002</v>
      </c>
      <c r="E67" s="12"/>
      <c r="F67" s="12"/>
      <c r="G67" s="12"/>
      <c r="H67" s="12"/>
      <c r="I67" s="12"/>
      <c r="J67" s="12">
        <v>172.02</v>
      </c>
      <c r="K67" s="12">
        <v>53.75</v>
      </c>
      <c r="L67" s="12">
        <v>4566.92</v>
      </c>
    </row>
    <row r="68" spans="2:12" x14ac:dyDescent="0.25">
      <c r="B68" s="7" t="s">
        <v>63</v>
      </c>
      <c r="C68" s="7" t="s">
        <v>157</v>
      </c>
      <c r="D68" s="12">
        <v>5.0051350000000001</v>
      </c>
      <c r="E68" s="12"/>
      <c r="F68" s="12"/>
      <c r="G68" s="12"/>
      <c r="H68" s="12"/>
      <c r="I68" s="12"/>
      <c r="J68" s="12">
        <v>135.30000000000001</v>
      </c>
      <c r="K68" s="12">
        <v>14.97</v>
      </c>
      <c r="L68" s="12">
        <v>2919.84</v>
      </c>
    </row>
    <row r="69" spans="2:12" x14ac:dyDescent="0.25">
      <c r="B69" s="7" t="s">
        <v>111</v>
      </c>
      <c r="C69" s="7" t="s">
        <v>78</v>
      </c>
      <c r="D69" s="12">
        <v>6.7658709999999997</v>
      </c>
      <c r="E69" s="12"/>
      <c r="F69" s="12"/>
      <c r="G69" s="12"/>
      <c r="H69" s="12"/>
      <c r="I69" s="12"/>
      <c r="J69" s="12">
        <v>106.01</v>
      </c>
      <c r="K69" s="12">
        <v>19.850000000000001</v>
      </c>
      <c r="L69" s="12">
        <v>1585.48</v>
      </c>
    </row>
    <row r="70" spans="2:12" x14ac:dyDescent="0.25">
      <c r="B70" s="7" t="s">
        <v>200</v>
      </c>
      <c r="C70" s="7" t="s">
        <v>168</v>
      </c>
      <c r="D70" s="12">
        <v>3.083E-2</v>
      </c>
      <c r="E70" s="12"/>
      <c r="F70" s="12"/>
      <c r="G70" s="12"/>
      <c r="H70" s="12"/>
      <c r="I70" s="12"/>
      <c r="J70" s="12">
        <v>0</v>
      </c>
      <c r="K70" s="12">
        <v>0</v>
      </c>
      <c r="L70" s="12">
        <v>0</v>
      </c>
    </row>
    <row r="71" spans="2:12" x14ac:dyDescent="0.25">
      <c r="B71" s="7" t="s">
        <v>79</v>
      </c>
      <c r="C71" s="7" t="s">
        <v>118</v>
      </c>
      <c r="D71" s="12">
        <v>1.815734</v>
      </c>
      <c r="E71" s="12"/>
      <c r="F71" s="12"/>
      <c r="G71" s="12"/>
      <c r="H71" s="12"/>
      <c r="I71" s="12"/>
      <c r="J71" s="12">
        <v>18.02</v>
      </c>
      <c r="K71" s="12">
        <v>70.91</v>
      </c>
      <c r="L71" s="12">
        <v>214.39</v>
      </c>
    </row>
    <row r="72" spans="2:12" x14ac:dyDescent="0.25">
      <c r="B72" s="7" t="s">
        <v>201</v>
      </c>
      <c r="C72" s="7" t="s">
        <v>150</v>
      </c>
      <c r="D72" s="12">
        <v>3.4608E-2</v>
      </c>
      <c r="E72" s="12"/>
      <c r="F72" s="12"/>
      <c r="G72" s="12"/>
      <c r="H72" s="12"/>
      <c r="I72" s="12"/>
      <c r="J72" s="12">
        <v>0</v>
      </c>
      <c r="K72" s="12">
        <v>0</v>
      </c>
      <c r="L72" s="12">
        <v>0</v>
      </c>
    </row>
    <row r="73" spans="2:12" x14ac:dyDescent="0.25">
      <c r="B73" s="7" t="s">
        <v>75</v>
      </c>
      <c r="C73" s="7" t="s">
        <v>74</v>
      </c>
      <c r="D73" s="12">
        <v>3.7693810000000001</v>
      </c>
      <c r="E73" s="12"/>
      <c r="F73" s="12"/>
      <c r="G73" s="12"/>
      <c r="H73" s="12"/>
      <c r="I73" s="12"/>
      <c r="J73" s="12">
        <v>21.23</v>
      </c>
      <c r="K73" s="12">
        <v>18.579999999999998</v>
      </c>
      <c r="L73" s="12">
        <v>2067.5300000000002</v>
      </c>
    </row>
    <row r="74" spans="2:12" x14ac:dyDescent="0.25">
      <c r="B74" s="7" t="s">
        <v>79</v>
      </c>
      <c r="C74" s="7" t="s">
        <v>78</v>
      </c>
      <c r="D74" s="12">
        <v>9.1298000000000004E-2</v>
      </c>
      <c r="E74" s="12"/>
      <c r="F74" s="12"/>
      <c r="G74" s="12"/>
      <c r="H74" s="12"/>
      <c r="I74" s="12"/>
      <c r="J74" s="12">
        <v>0.6</v>
      </c>
      <c r="K74" s="12">
        <v>2.36</v>
      </c>
      <c r="L74" s="12">
        <v>7.15</v>
      </c>
    </row>
    <row r="75" spans="2:12" x14ac:dyDescent="0.25">
      <c r="B75" s="7" t="s">
        <v>63</v>
      </c>
      <c r="C75" s="7" t="s">
        <v>150</v>
      </c>
      <c r="D75" s="12">
        <v>3.207767</v>
      </c>
      <c r="E75" s="12"/>
      <c r="F75" s="12"/>
      <c r="G75" s="12"/>
      <c r="H75" s="12"/>
      <c r="I75" s="12"/>
      <c r="J75" s="12">
        <v>5.97</v>
      </c>
      <c r="K75" s="12">
        <v>0.66</v>
      </c>
      <c r="L75" s="12">
        <v>128.82</v>
      </c>
    </row>
    <row r="76" spans="2:12" x14ac:dyDescent="0.25">
      <c r="B76" s="7" t="s">
        <v>197</v>
      </c>
      <c r="C76" s="7" t="s">
        <v>202</v>
      </c>
      <c r="D76" s="12">
        <v>4.352E-3</v>
      </c>
      <c r="E76" s="12"/>
      <c r="F76" s="12"/>
      <c r="G76" s="12"/>
      <c r="H76" s="12"/>
      <c r="I76" s="12"/>
      <c r="J76" s="12">
        <v>0</v>
      </c>
      <c r="K76" s="12">
        <v>0</v>
      </c>
      <c r="L76" s="12">
        <v>0</v>
      </c>
    </row>
    <row r="77" spans="2:12" x14ac:dyDescent="0.25">
      <c r="B77" s="7" t="s">
        <v>51</v>
      </c>
      <c r="C77" s="7" t="s">
        <v>203</v>
      </c>
      <c r="D77" s="12">
        <v>4.6999999999999999E-4</v>
      </c>
      <c r="E77" s="12"/>
      <c r="F77" s="12"/>
      <c r="G77" s="12"/>
      <c r="H77" s="12"/>
      <c r="I77" s="12"/>
      <c r="J77" s="12">
        <v>0</v>
      </c>
      <c r="K77" s="12">
        <v>0</v>
      </c>
      <c r="L77" s="12">
        <v>0</v>
      </c>
    </row>
    <row r="78" spans="2:12" x14ac:dyDescent="0.25">
      <c r="B78" s="7" t="s">
        <v>85</v>
      </c>
      <c r="C78" s="7" t="s">
        <v>84</v>
      </c>
      <c r="D78" s="12">
        <v>0.39788800000000002</v>
      </c>
      <c r="E78" s="12"/>
      <c r="F78" s="12"/>
      <c r="G78" s="12"/>
      <c r="H78" s="12"/>
      <c r="I78" s="12"/>
      <c r="J78" s="12">
        <v>2.19</v>
      </c>
      <c r="K78" s="12">
        <v>25.44</v>
      </c>
      <c r="L78" s="12">
        <v>258.13</v>
      </c>
    </row>
    <row r="79" spans="2:12" x14ac:dyDescent="0.25">
      <c r="B79" s="7" t="s">
        <v>51</v>
      </c>
      <c r="C79" s="7" t="s">
        <v>167</v>
      </c>
      <c r="D79" s="12">
        <v>0.193493</v>
      </c>
      <c r="E79" s="12"/>
      <c r="F79" s="12"/>
      <c r="G79" s="12"/>
      <c r="H79" s="12"/>
      <c r="I79" s="12"/>
      <c r="J79" s="12">
        <v>1.55</v>
      </c>
      <c r="K79" s="12">
        <v>3.51</v>
      </c>
      <c r="L79" s="12">
        <v>164.55</v>
      </c>
    </row>
    <row r="80" spans="2:12" x14ac:dyDescent="0.25">
      <c r="B80" s="7" t="s">
        <v>51</v>
      </c>
      <c r="C80" s="7" t="s">
        <v>76</v>
      </c>
      <c r="D80" s="12">
        <v>70.344476</v>
      </c>
      <c r="E80" s="12"/>
      <c r="F80" s="12"/>
      <c r="G80" s="12"/>
      <c r="H80" s="12"/>
      <c r="I80" s="12"/>
      <c r="J80" s="12">
        <v>604.02</v>
      </c>
      <c r="K80" s="12">
        <v>1370.3</v>
      </c>
      <c r="L80" s="12">
        <v>64308.81</v>
      </c>
    </row>
    <row r="81" spans="2:12" x14ac:dyDescent="0.25">
      <c r="B81" s="7" t="s">
        <v>106</v>
      </c>
      <c r="C81" s="7" t="s">
        <v>105</v>
      </c>
      <c r="D81" s="12">
        <v>6.9369999999999996E-3</v>
      </c>
      <c r="E81" s="12"/>
      <c r="F81" s="12"/>
      <c r="G81" s="12"/>
      <c r="H81" s="12"/>
      <c r="I81" s="12"/>
      <c r="J81" s="12">
        <v>0.01</v>
      </c>
      <c r="K81" s="12">
        <v>0.02</v>
      </c>
      <c r="L81" s="12">
        <v>0.28000000000000003</v>
      </c>
    </row>
    <row r="82" spans="2:12" x14ac:dyDescent="0.25">
      <c r="B82" s="7" t="s">
        <v>204</v>
      </c>
      <c r="C82" s="7" t="s">
        <v>70</v>
      </c>
      <c r="D82" s="12">
        <v>0.11486399999999999</v>
      </c>
      <c r="E82" s="12"/>
      <c r="F82" s="12"/>
      <c r="G82" s="12"/>
      <c r="H82" s="12"/>
      <c r="I82" s="12"/>
      <c r="J82" s="12">
        <v>0</v>
      </c>
      <c r="K82" s="12">
        <v>0</v>
      </c>
      <c r="L82" s="12">
        <v>0</v>
      </c>
    </row>
    <row r="83" spans="2:12" x14ac:dyDescent="0.25">
      <c r="B83" s="7" t="s">
        <v>37</v>
      </c>
      <c r="C83" s="7" t="s">
        <v>50</v>
      </c>
      <c r="D83" s="12">
        <v>25.745016</v>
      </c>
      <c r="E83" s="12"/>
      <c r="F83" s="12"/>
      <c r="G83" s="12"/>
      <c r="H83" s="12"/>
      <c r="I83" s="12"/>
      <c r="J83" s="12">
        <v>575.14</v>
      </c>
      <c r="K83" s="12">
        <v>1997.99</v>
      </c>
      <c r="L83" s="12">
        <v>75445.149999999994</v>
      </c>
    </row>
    <row r="84" spans="2:12" x14ac:dyDescent="0.25">
      <c r="B84" s="7" t="s">
        <v>104</v>
      </c>
      <c r="C84" s="7" t="s">
        <v>205</v>
      </c>
      <c r="D84" s="12">
        <v>5.0299999999999997E-4</v>
      </c>
      <c r="E84" s="12"/>
      <c r="F84" s="12"/>
      <c r="G84" s="12"/>
      <c r="H84" s="12"/>
      <c r="I84" s="12"/>
      <c r="J84" s="12">
        <v>0</v>
      </c>
      <c r="K84" s="12">
        <v>0</v>
      </c>
      <c r="L84" s="12">
        <v>0</v>
      </c>
    </row>
    <row r="85" spans="2:12" x14ac:dyDescent="0.25">
      <c r="B85" s="7" t="s">
        <v>36</v>
      </c>
      <c r="C85" s="7" t="s">
        <v>35</v>
      </c>
      <c r="D85" s="12">
        <v>0.20053199999999999</v>
      </c>
      <c r="E85" s="12"/>
      <c r="F85" s="12"/>
      <c r="G85" s="12"/>
      <c r="H85" s="12"/>
      <c r="I85" s="12"/>
      <c r="J85" s="12">
        <v>19.54</v>
      </c>
      <c r="K85" s="12">
        <v>8.43</v>
      </c>
      <c r="L85" s="12">
        <v>549.09</v>
      </c>
    </row>
    <row r="86" spans="2:12" x14ac:dyDescent="0.25">
      <c r="B86" s="7" t="s">
        <v>37</v>
      </c>
      <c r="C86" s="7" t="s">
        <v>35</v>
      </c>
      <c r="D86" s="12">
        <v>5.9312589999999998</v>
      </c>
      <c r="E86" s="12"/>
      <c r="F86" s="12"/>
      <c r="G86" s="12"/>
      <c r="H86" s="12"/>
      <c r="I86" s="12"/>
      <c r="J86" s="12">
        <v>112.8</v>
      </c>
      <c r="K86" s="12">
        <v>391.85</v>
      </c>
      <c r="L86" s="12">
        <v>14796.61</v>
      </c>
    </row>
    <row r="87" spans="2:12" x14ac:dyDescent="0.25">
      <c r="B87" s="7" t="s">
        <v>172</v>
      </c>
      <c r="C87" s="7" t="s">
        <v>35</v>
      </c>
      <c r="D87" s="12">
        <v>2.122754</v>
      </c>
      <c r="E87" s="12"/>
      <c r="F87" s="12"/>
      <c r="G87" s="12"/>
      <c r="H87" s="12"/>
      <c r="I87" s="12"/>
      <c r="J87" s="12">
        <v>119.55</v>
      </c>
      <c r="K87" s="12">
        <v>168.54</v>
      </c>
      <c r="L87" s="12">
        <v>6930.53</v>
      </c>
    </row>
    <row r="88" spans="2:12" x14ac:dyDescent="0.25">
      <c r="B88" s="7" t="s">
        <v>110</v>
      </c>
      <c r="C88" s="7" t="s">
        <v>206</v>
      </c>
      <c r="D88" s="12">
        <v>6.0000000000000002E-6</v>
      </c>
      <c r="E88" s="12"/>
      <c r="F88" s="12"/>
      <c r="G88" s="12"/>
      <c r="H88" s="12"/>
      <c r="I88" s="12"/>
      <c r="J88" s="12">
        <v>0</v>
      </c>
      <c r="K88" s="12">
        <v>0</v>
      </c>
      <c r="L88" s="12">
        <v>0</v>
      </c>
    </row>
    <row r="89" spans="2:12" x14ac:dyDescent="0.25">
      <c r="B89" s="7" t="s">
        <v>207</v>
      </c>
      <c r="C89" s="7" t="s">
        <v>70</v>
      </c>
      <c r="D89" s="12">
        <v>-4.7600000000000002E-4</v>
      </c>
      <c r="E89" s="12"/>
      <c r="F89" s="12"/>
      <c r="G89" s="12"/>
      <c r="H89" s="12"/>
      <c r="I89" s="12"/>
      <c r="J89" s="12">
        <v>0</v>
      </c>
      <c r="K89" s="12">
        <v>0</v>
      </c>
      <c r="L89" s="12">
        <v>0</v>
      </c>
    </row>
    <row r="90" spans="2:12" x14ac:dyDescent="0.25">
      <c r="B90" s="7" t="s">
        <v>153</v>
      </c>
      <c r="C90" s="7" t="s">
        <v>152</v>
      </c>
      <c r="D90" s="12">
        <v>0.76896500000000001</v>
      </c>
      <c r="E90" s="12"/>
      <c r="F90" s="12"/>
      <c r="G90" s="12"/>
      <c r="H90" s="12"/>
      <c r="I90" s="12"/>
      <c r="J90" s="12">
        <v>19.260000000000002</v>
      </c>
      <c r="K90" s="12">
        <v>4.5199999999999996</v>
      </c>
      <c r="L90" s="12">
        <v>3831.41</v>
      </c>
    </row>
    <row r="91" spans="2:12" x14ac:dyDescent="0.25">
      <c r="B91" s="7" t="s">
        <v>65</v>
      </c>
      <c r="C91" s="7" t="s">
        <v>129</v>
      </c>
      <c r="D91" s="12">
        <v>4.7904000000000002E-2</v>
      </c>
      <c r="E91" s="12"/>
      <c r="F91" s="12"/>
      <c r="G91" s="12"/>
      <c r="H91" s="12"/>
      <c r="I91" s="12"/>
      <c r="J91" s="12">
        <v>4.63</v>
      </c>
      <c r="K91" s="12">
        <v>2.67</v>
      </c>
      <c r="L91" s="12">
        <v>14.77</v>
      </c>
    </row>
    <row r="92" spans="2:12" x14ac:dyDescent="0.25">
      <c r="B92" s="7" t="s">
        <v>51</v>
      </c>
      <c r="C92" s="7" t="s">
        <v>50</v>
      </c>
      <c r="D92" s="12">
        <v>25.249849000000001</v>
      </c>
      <c r="E92" s="12"/>
      <c r="F92" s="12"/>
      <c r="G92" s="12"/>
      <c r="H92" s="12"/>
      <c r="I92" s="12"/>
      <c r="J92" s="12">
        <v>154.41</v>
      </c>
      <c r="K92" s="12">
        <v>350.31</v>
      </c>
      <c r="L92" s="12">
        <v>16440.28</v>
      </c>
    </row>
    <row r="93" spans="2:12" x14ac:dyDescent="0.25">
      <c r="B93" s="7" t="s">
        <v>181</v>
      </c>
      <c r="C93" s="7" t="s">
        <v>208</v>
      </c>
      <c r="D93" s="12">
        <v>5.5170000000000002E-3</v>
      </c>
      <c r="E93" s="12"/>
      <c r="F93" s="12"/>
      <c r="G93" s="12"/>
      <c r="H93" s="12"/>
      <c r="I93" s="12"/>
      <c r="J93" s="12">
        <v>0</v>
      </c>
      <c r="K93" s="12">
        <v>0</v>
      </c>
      <c r="L93" s="12">
        <v>0</v>
      </c>
    </row>
    <row r="94" spans="2:12" x14ac:dyDescent="0.25">
      <c r="B94" s="7" t="s">
        <v>209</v>
      </c>
      <c r="C94" s="7" t="s">
        <v>70</v>
      </c>
      <c r="D94" s="12">
        <v>0.166989</v>
      </c>
      <c r="E94" s="12"/>
      <c r="F94" s="12"/>
      <c r="G94" s="12"/>
      <c r="H94" s="12"/>
      <c r="I94" s="12"/>
      <c r="J94" s="12">
        <v>0</v>
      </c>
      <c r="K94" s="12">
        <v>0</v>
      </c>
      <c r="L94" s="12">
        <v>0</v>
      </c>
    </row>
    <row r="95" spans="2:12" x14ac:dyDescent="0.25">
      <c r="B95" s="7" t="s">
        <v>210</v>
      </c>
      <c r="C95" s="7" t="s">
        <v>167</v>
      </c>
      <c r="D95" s="12">
        <v>1.7E-5</v>
      </c>
      <c r="E95" s="12"/>
      <c r="F95" s="12"/>
      <c r="G95" s="12"/>
      <c r="H95" s="12"/>
      <c r="I95" s="12"/>
      <c r="J95" s="12">
        <v>0</v>
      </c>
      <c r="K95" s="12">
        <v>0</v>
      </c>
      <c r="L95" s="12">
        <v>0</v>
      </c>
    </row>
    <row r="96" spans="2:12" x14ac:dyDescent="0.25">
      <c r="B96" s="7" t="s">
        <v>145</v>
      </c>
      <c r="C96" s="7" t="s">
        <v>70</v>
      </c>
      <c r="D96" s="12">
        <v>0.92434300000000003</v>
      </c>
      <c r="E96" s="12"/>
      <c r="F96" s="12"/>
      <c r="G96" s="12"/>
      <c r="H96" s="12"/>
      <c r="I96" s="12"/>
      <c r="J96" s="12">
        <v>2.7</v>
      </c>
      <c r="K96" s="12">
        <v>2.15</v>
      </c>
      <c r="L96" s="12">
        <v>70.069999999999993</v>
      </c>
    </row>
    <row r="97" spans="1:12" x14ac:dyDescent="0.25">
      <c r="B97" s="7" t="s">
        <v>191</v>
      </c>
      <c r="C97" s="7" t="s">
        <v>211</v>
      </c>
      <c r="D97" s="12">
        <v>8.8275000000000006E-2</v>
      </c>
      <c r="E97" s="12"/>
      <c r="F97" s="12"/>
      <c r="G97" s="12"/>
      <c r="H97" s="12"/>
      <c r="I97" s="12"/>
      <c r="J97" s="12">
        <v>0</v>
      </c>
      <c r="K97" s="12">
        <v>0</v>
      </c>
      <c r="L97" s="12">
        <v>0</v>
      </c>
    </row>
    <row r="98" spans="1:12" x14ac:dyDescent="0.25">
      <c r="B98" s="7" t="s">
        <v>213</v>
      </c>
      <c r="C98" s="7" t="s">
        <v>212</v>
      </c>
      <c r="D98" s="12">
        <v>9.4269999999999996E-3</v>
      </c>
      <c r="E98" s="12"/>
      <c r="F98" s="12"/>
      <c r="G98" s="12"/>
      <c r="H98" s="12"/>
      <c r="I98" s="12"/>
      <c r="J98" s="12">
        <v>0</v>
      </c>
      <c r="K98" s="12">
        <v>0</v>
      </c>
      <c r="L98" s="12">
        <v>0</v>
      </c>
    </row>
    <row r="99" spans="1:12" x14ac:dyDescent="0.25">
      <c r="B99" s="7" t="s">
        <v>51</v>
      </c>
      <c r="C99" s="7" t="s">
        <v>115</v>
      </c>
      <c r="D99" s="12">
        <v>1.8430599999999999</v>
      </c>
      <c r="E99" s="12"/>
      <c r="F99" s="12"/>
      <c r="G99" s="12"/>
      <c r="H99" s="12"/>
      <c r="I99" s="12"/>
      <c r="J99" s="12">
        <v>11.96</v>
      </c>
      <c r="K99" s="12">
        <v>27.13</v>
      </c>
      <c r="L99" s="12">
        <v>1273.44</v>
      </c>
    </row>
    <row r="100" spans="1:12" x14ac:dyDescent="0.25">
      <c r="B100" s="7" t="s">
        <v>215</v>
      </c>
      <c r="C100" s="7" t="s">
        <v>214</v>
      </c>
      <c r="D100" s="12">
        <v>8.4199999999999998E-4</v>
      </c>
      <c r="E100" s="12"/>
      <c r="F100" s="12"/>
      <c r="G100" s="12"/>
      <c r="H100" s="12"/>
      <c r="I100" s="12"/>
      <c r="J100" s="12">
        <v>0</v>
      </c>
      <c r="K100" s="12">
        <v>0</v>
      </c>
      <c r="L100" s="12">
        <v>0</v>
      </c>
    </row>
    <row r="101" spans="1:12" x14ac:dyDescent="0.25">
      <c r="B101" s="7" t="s">
        <v>210</v>
      </c>
      <c r="C101" s="7" t="s">
        <v>99</v>
      </c>
      <c r="D101" s="12">
        <v>5.1999999999999998E-3</v>
      </c>
      <c r="E101" s="12"/>
      <c r="F101" s="12"/>
      <c r="G101" s="12"/>
      <c r="H101" s="12"/>
      <c r="I101" s="12"/>
      <c r="J101" s="12">
        <v>0</v>
      </c>
      <c r="K101" s="12">
        <v>0</v>
      </c>
      <c r="L101" s="12">
        <v>0</v>
      </c>
    </row>
    <row r="102" spans="1:12" x14ac:dyDescent="0.25">
      <c r="A102" s="11"/>
      <c r="B102" s="7" t="s">
        <v>51</v>
      </c>
      <c r="C102" s="7" t="s">
        <v>146</v>
      </c>
      <c r="D102" s="12">
        <v>0.20124</v>
      </c>
      <c r="E102" s="12"/>
      <c r="F102" s="12"/>
      <c r="G102" s="12"/>
      <c r="H102" s="12"/>
      <c r="I102" s="12"/>
      <c r="J102" s="12">
        <v>1.34</v>
      </c>
      <c r="K102" s="12">
        <v>3.05</v>
      </c>
      <c r="L102" s="12">
        <v>143.08000000000001</v>
      </c>
    </row>
    <row r="103" spans="1:12" x14ac:dyDescent="0.25">
      <c r="B103" s="7" t="s">
        <v>178</v>
      </c>
      <c r="C103" s="7" t="s">
        <v>212</v>
      </c>
      <c r="D103" s="12">
        <v>2.2750000000000001E-3</v>
      </c>
      <c r="E103" s="12"/>
      <c r="F103" s="12"/>
      <c r="G103" s="12"/>
      <c r="H103" s="12"/>
      <c r="I103" s="12"/>
      <c r="J103" s="12">
        <v>0</v>
      </c>
      <c r="K103" s="12">
        <v>0</v>
      </c>
      <c r="L103" s="12">
        <v>0</v>
      </c>
    </row>
    <row r="104" spans="1:12" x14ac:dyDescent="0.25">
      <c r="B104" s="7" t="s">
        <v>217</v>
      </c>
      <c r="C104" s="7" t="s">
        <v>216</v>
      </c>
      <c r="D104" s="12">
        <v>5.3700000000000004E-4</v>
      </c>
      <c r="E104" s="12"/>
      <c r="F104" s="12"/>
      <c r="G104" s="12"/>
      <c r="H104" s="12"/>
      <c r="I104" s="12"/>
      <c r="J104" s="12">
        <v>0</v>
      </c>
      <c r="K104" s="12">
        <v>0</v>
      </c>
      <c r="L104" s="12">
        <v>0</v>
      </c>
    </row>
    <row r="105" spans="1:12" x14ac:dyDescent="0.25">
      <c r="B105" s="7" t="s">
        <v>77</v>
      </c>
      <c r="C105" s="7" t="s">
        <v>76</v>
      </c>
      <c r="D105" s="12">
        <v>0.85644299999999995</v>
      </c>
      <c r="E105" s="12"/>
      <c r="F105" s="12"/>
      <c r="G105" s="12"/>
      <c r="H105" s="12"/>
      <c r="I105" s="12"/>
      <c r="J105" s="12">
        <v>4.29</v>
      </c>
      <c r="K105" s="12">
        <v>6.54</v>
      </c>
      <c r="L105" s="12">
        <v>125.76</v>
      </c>
    </row>
    <row r="106" spans="1:12" x14ac:dyDescent="0.25">
      <c r="B106" s="7" t="s">
        <v>132</v>
      </c>
      <c r="C106" s="7" t="s">
        <v>114</v>
      </c>
      <c r="D106" s="12">
        <v>13.021421</v>
      </c>
      <c r="E106" s="12"/>
      <c r="F106" s="12"/>
      <c r="G106" s="12"/>
      <c r="H106" s="12"/>
      <c r="I106" s="12"/>
      <c r="J106" s="12">
        <v>89.7</v>
      </c>
      <c r="K106" s="12">
        <v>218.05</v>
      </c>
      <c r="L106" s="12">
        <v>10552.12</v>
      </c>
    </row>
    <row r="107" spans="1:12" x14ac:dyDescent="0.25">
      <c r="B107" s="7" t="s">
        <v>219</v>
      </c>
      <c r="C107" s="7" t="s">
        <v>218</v>
      </c>
      <c r="D107" s="12">
        <v>1.0480000000000001E-3</v>
      </c>
      <c r="E107" s="12"/>
      <c r="F107" s="12"/>
      <c r="G107" s="12"/>
      <c r="H107" s="12"/>
      <c r="I107" s="12"/>
      <c r="J107" s="12">
        <v>0</v>
      </c>
      <c r="K107" s="12">
        <v>0</v>
      </c>
      <c r="L107" s="12">
        <v>0</v>
      </c>
    </row>
    <row r="108" spans="1:12" x14ac:dyDescent="0.25">
      <c r="B108" s="7" t="s">
        <v>88</v>
      </c>
      <c r="C108" s="7" t="s">
        <v>84</v>
      </c>
      <c r="D108" s="12">
        <v>1.549005</v>
      </c>
      <c r="E108" s="12"/>
      <c r="F108" s="12"/>
      <c r="G108" s="12"/>
      <c r="H108" s="12"/>
      <c r="I108" s="12"/>
      <c r="J108" s="12">
        <v>2326.69</v>
      </c>
      <c r="K108" s="12">
        <v>298.64999999999998</v>
      </c>
      <c r="L108" s="12">
        <v>1310.48</v>
      </c>
    </row>
    <row r="109" spans="1:12" x14ac:dyDescent="0.25">
      <c r="B109" s="7" t="s">
        <v>221</v>
      </c>
      <c r="C109" s="7" t="s">
        <v>220</v>
      </c>
      <c r="D109" s="12">
        <v>2.7469999999999999E-3</v>
      </c>
      <c r="E109" s="12"/>
      <c r="F109" s="12"/>
      <c r="G109" s="12"/>
      <c r="H109" s="12"/>
      <c r="I109" s="12"/>
      <c r="J109" s="12">
        <v>0</v>
      </c>
      <c r="K109" s="12">
        <v>0</v>
      </c>
      <c r="L109" s="12">
        <v>0</v>
      </c>
    </row>
    <row r="110" spans="1:12" x14ac:dyDescent="0.25">
      <c r="B110" s="7" t="s">
        <v>113</v>
      </c>
      <c r="C110" s="7" t="s">
        <v>70</v>
      </c>
      <c r="D110" s="12">
        <v>2.5170000000000001E-3</v>
      </c>
      <c r="E110" s="12"/>
      <c r="F110" s="12"/>
      <c r="G110" s="12"/>
      <c r="H110" s="12"/>
      <c r="I110" s="12"/>
      <c r="J110" s="12">
        <v>0</v>
      </c>
      <c r="K110" s="12">
        <v>0</v>
      </c>
      <c r="L110" s="12">
        <v>0</v>
      </c>
    </row>
    <row r="111" spans="1:12" x14ac:dyDescent="0.25">
      <c r="B111" s="7" t="s">
        <v>222</v>
      </c>
      <c r="C111" s="7" t="s">
        <v>114</v>
      </c>
      <c r="D111" s="12">
        <v>5.3000000000000001E-5</v>
      </c>
      <c r="E111" s="12"/>
      <c r="F111" s="12"/>
      <c r="G111" s="12"/>
      <c r="H111" s="12"/>
      <c r="I111" s="12"/>
      <c r="J111" s="12">
        <v>0</v>
      </c>
      <c r="K111" s="12">
        <v>0</v>
      </c>
      <c r="L111" s="12">
        <v>0</v>
      </c>
    </row>
    <row r="112" spans="1:12" x14ac:dyDescent="0.25">
      <c r="B112" s="7" t="s">
        <v>88</v>
      </c>
      <c r="C112" s="7" t="s">
        <v>155</v>
      </c>
      <c r="D112" s="12">
        <v>34.807813000000003</v>
      </c>
      <c r="E112" s="12"/>
      <c r="F112" s="12"/>
      <c r="G112" s="12"/>
      <c r="H112" s="12"/>
      <c r="I112" s="12"/>
      <c r="J112" s="12">
        <v>53182.2</v>
      </c>
      <c r="K112" s="12">
        <v>6826.48</v>
      </c>
      <c r="L112" s="12">
        <v>29954.23</v>
      </c>
    </row>
    <row r="113" spans="2:12" x14ac:dyDescent="0.25">
      <c r="B113" s="7" t="s">
        <v>71</v>
      </c>
      <c r="C113" s="7" t="s">
        <v>114</v>
      </c>
      <c r="D113" s="12">
        <v>1.064732</v>
      </c>
      <c r="E113" s="12"/>
      <c r="F113" s="12"/>
      <c r="G113" s="12"/>
      <c r="H113" s="12"/>
      <c r="I113" s="12"/>
      <c r="J113" s="12">
        <v>1.33</v>
      </c>
      <c r="K113" s="12">
        <v>2.61</v>
      </c>
      <c r="L113" s="12">
        <v>137.71</v>
      </c>
    </row>
    <row r="114" spans="2:12" x14ac:dyDescent="0.25">
      <c r="B114" s="7" t="s">
        <v>223</v>
      </c>
      <c r="C114" s="7" t="s">
        <v>216</v>
      </c>
      <c r="D114" s="12">
        <v>6.2500000000000001E-4</v>
      </c>
      <c r="E114" s="12"/>
      <c r="F114" s="12"/>
      <c r="G114" s="12"/>
      <c r="H114" s="12"/>
      <c r="I114" s="12"/>
      <c r="J114" s="12">
        <v>0</v>
      </c>
      <c r="K114" s="12">
        <v>0</v>
      </c>
      <c r="L114" s="12">
        <v>0</v>
      </c>
    </row>
    <row r="115" spans="2:12" x14ac:dyDescent="0.25">
      <c r="B115" s="7" t="s">
        <v>71</v>
      </c>
      <c r="C115" s="7" t="s">
        <v>70</v>
      </c>
      <c r="D115" s="12">
        <v>1.4617150000000001</v>
      </c>
      <c r="E115" s="12"/>
      <c r="F115" s="12"/>
      <c r="G115" s="12"/>
      <c r="H115" s="12"/>
      <c r="I115" s="12"/>
      <c r="J115" s="12">
        <v>5.7</v>
      </c>
      <c r="K115" s="12">
        <v>11.16</v>
      </c>
      <c r="L115" s="12">
        <v>588.41999999999996</v>
      </c>
    </row>
    <row r="116" spans="2:12" x14ac:dyDescent="0.25">
      <c r="B116" s="7" t="s">
        <v>91</v>
      </c>
      <c r="C116" s="7" t="s">
        <v>50</v>
      </c>
      <c r="D116" s="12">
        <v>4.5020350000000002</v>
      </c>
      <c r="E116" s="12"/>
      <c r="F116" s="12"/>
      <c r="G116" s="12"/>
      <c r="H116" s="12"/>
      <c r="I116" s="12"/>
      <c r="J116" s="12">
        <v>80.05</v>
      </c>
      <c r="K116" s="12">
        <v>167.29</v>
      </c>
      <c r="L116" s="12">
        <v>6785.49</v>
      </c>
    </row>
    <row r="117" spans="2:12" x14ac:dyDescent="0.25">
      <c r="B117" s="7" t="s">
        <v>37</v>
      </c>
      <c r="C117" s="7" t="s">
        <v>99</v>
      </c>
      <c r="D117" s="12">
        <v>1.3036179999999999</v>
      </c>
      <c r="E117" s="12"/>
      <c r="F117" s="12"/>
      <c r="G117" s="12"/>
      <c r="H117" s="12"/>
      <c r="I117" s="12"/>
      <c r="J117" s="12">
        <v>28.98</v>
      </c>
      <c r="K117" s="12">
        <v>100.67</v>
      </c>
      <c r="L117" s="12">
        <v>3801.5</v>
      </c>
    </row>
    <row r="118" spans="2:12" x14ac:dyDescent="0.25">
      <c r="B118" s="7" t="s">
        <v>83</v>
      </c>
      <c r="C118" s="7" t="s">
        <v>82</v>
      </c>
      <c r="D118" s="12">
        <v>199.060754</v>
      </c>
      <c r="E118" s="12"/>
      <c r="F118" s="12"/>
      <c r="G118" s="12"/>
      <c r="H118" s="12"/>
      <c r="I118" s="12"/>
      <c r="J118" s="12">
        <v>357.33</v>
      </c>
      <c r="K118" s="12">
        <v>389.19</v>
      </c>
      <c r="L118" s="12">
        <v>153369.24</v>
      </c>
    </row>
    <row r="119" spans="2:12" x14ac:dyDescent="0.25">
      <c r="B119" s="7" t="s">
        <v>225</v>
      </c>
      <c r="C119" s="7" t="s">
        <v>224</v>
      </c>
      <c r="D119" s="12">
        <v>5.0290000000000001E-2</v>
      </c>
      <c r="E119" s="12"/>
      <c r="F119" s="12"/>
      <c r="G119" s="12"/>
      <c r="H119" s="12"/>
      <c r="I119" s="12"/>
      <c r="J119" s="12">
        <v>0</v>
      </c>
      <c r="K119" s="12">
        <v>0</v>
      </c>
      <c r="L119" s="12">
        <v>0</v>
      </c>
    </row>
    <row r="120" spans="2:12" x14ac:dyDescent="0.25">
      <c r="B120" s="7" t="s">
        <v>49</v>
      </c>
      <c r="C120" s="7" t="s">
        <v>66</v>
      </c>
      <c r="D120" s="12">
        <v>0.230848</v>
      </c>
      <c r="E120" s="12"/>
      <c r="F120" s="12"/>
      <c r="G120" s="12"/>
      <c r="H120" s="12"/>
      <c r="I120" s="12"/>
      <c r="J120" s="12">
        <v>1.61</v>
      </c>
      <c r="K120" s="12">
        <v>6.62</v>
      </c>
      <c r="L120" s="12">
        <v>3.95</v>
      </c>
    </row>
    <row r="121" spans="2:12" x14ac:dyDescent="0.25">
      <c r="B121" s="7" t="s">
        <v>117</v>
      </c>
      <c r="C121" s="7" t="s">
        <v>116</v>
      </c>
      <c r="D121" s="12">
        <v>13.493287</v>
      </c>
      <c r="E121" s="12"/>
      <c r="F121" s="12"/>
      <c r="G121" s="12"/>
      <c r="H121" s="12"/>
      <c r="I121" s="12"/>
      <c r="J121" s="12">
        <v>351.13</v>
      </c>
      <c r="K121" s="12">
        <v>207.84</v>
      </c>
      <c r="L121" s="12">
        <v>1196.6300000000001</v>
      </c>
    </row>
    <row r="122" spans="2:12" x14ac:dyDescent="0.25">
      <c r="B122" s="7" t="s">
        <v>63</v>
      </c>
      <c r="C122" s="7" t="s">
        <v>62</v>
      </c>
      <c r="D122" s="12">
        <v>0.27271200000000001</v>
      </c>
      <c r="E122" s="12"/>
      <c r="F122" s="12"/>
      <c r="G122" s="12"/>
      <c r="H122" s="12"/>
      <c r="I122" s="12"/>
      <c r="J122" s="12">
        <v>3.98</v>
      </c>
      <c r="K122" s="12">
        <v>0.44</v>
      </c>
      <c r="L122" s="12">
        <v>85.88</v>
      </c>
    </row>
    <row r="123" spans="2:12" x14ac:dyDescent="0.25">
      <c r="B123" s="7" t="s">
        <v>227</v>
      </c>
      <c r="C123" s="7" t="s">
        <v>226</v>
      </c>
      <c r="D123" s="12">
        <v>2.0209999999999998E-3</v>
      </c>
      <c r="E123" s="12"/>
      <c r="F123" s="12"/>
      <c r="G123" s="12"/>
      <c r="H123" s="12"/>
      <c r="I123" s="12"/>
      <c r="J123" s="12">
        <v>0</v>
      </c>
      <c r="K123" s="12">
        <v>0</v>
      </c>
      <c r="L123" s="12">
        <v>0</v>
      </c>
    </row>
    <row r="124" spans="2:12" x14ac:dyDescent="0.25">
      <c r="B124" s="7" t="s">
        <v>49</v>
      </c>
      <c r="C124" s="7" t="s">
        <v>122</v>
      </c>
      <c r="D124" s="12">
        <v>8.1771999999999997E-2</v>
      </c>
      <c r="E124" s="12"/>
      <c r="F124" s="12"/>
      <c r="G124" s="12"/>
      <c r="H124" s="12"/>
      <c r="I124" s="12"/>
      <c r="J124" s="12">
        <v>0.55000000000000004</v>
      </c>
      <c r="K124" s="12">
        <v>2.25</v>
      </c>
      <c r="L124" s="12">
        <v>1.34</v>
      </c>
    </row>
    <row r="125" spans="2:12" x14ac:dyDescent="0.25">
      <c r="B125" s="7" t="s">
        <v>51</v>
      </c>
      <c r="C125" s="7" t="s">
        <v>66</v>
      </c>
      <c r="D125" s="12">
        <v>1.21E-4</v>
      </c>
      <c r="E125" s="12"/>
      <c r="F125" s="12"/>
      <c r="G125" s="12"/>
      <c r="H125" s="12"/>
      <c r="I125" s="12"/>
      <c r="J125" s="12">
        <v>0</v>
      </c>
      <c r="K125" s="12">
        <v>0</v>
      </c>
      <c r="L125" s="12">
        <v>0</v>
      </c>
    </row>
    <row r="126" spans="2:12" x14ac:dyDescent="0.25">
      <c r="B126" s="7" t="s">
        <v>60</v>
      </c>
      <c r="C126" s="7" t="s">
        <v>224</v>
      </c>
      <c r="D126" s="12">
        <v>4.0000000000000003E-5</v>
      </c>
      <c r="E126" s="12"/>
      <c r="F126" s="12"/>
      <c r="G126" s="12"/>
      <c r="H126" s="12"/>
      <c r="I126" s="12"/>
      <c r="J126" s="12">
        <v>0</v>
      </c>
      <c r="K126" s="12">
        <v>0</v>
      </c>
      <c r="L126" s="12">
        <v>0</v>
      </c>
    </row>
    <row r="127" spans="2:12" x14ac:dyDescent="0.25">
      <c r="B127" s="7" t="s">
        <v>51</v>
      </c>
      <c r="C127" s="7" t="s">
        <v>134</v>
      </c>
      <c r="D127" s="12">
        <v>1.8002000000000001E-2</v>
      </c>
      <c r="E127" s="12"/>
      <c r="F127" s="12"/>
      <c r="G127" s="12"/>
      <c r="H127" s="12"/>
      <c r="I127" s="12"/>
      <c r="J127" s="12">
        <v>0</v>
      </c>
      <c r="K127" s="12">
        <v>0</v>
      </c>
      <c r="L127" s="12">
        <v>0</v>
      </c>
    </row>
    <row r="128" spans="2:12" x14ac:dyDescent="0.25">
      <c r="B128" s="7" t="s">
        <v>135</v>
      </c>
      <c r="C128" s="7" t="s">
        <v>134</v>
      </c>
      <c r="D128" s="12">
        <v>0.41376000000000002</v>
      </c>
      <c r="E128" s="12"/>
      <c r="F128" s="12"/>
      <c r="G128" s="12"/>
      <c r="H128" s="12"/>
      <c r="I128" s="12"/>
      <c r="J128" s="12">
        <v>2.6</v>
      </c>
      <c r="K128" s="12">
        <v>1.22</v>
      </c>
      <c r="L128" s="12">
        <v>305.92</v>
      </c>
    </row>
    <row r="129" spans="2:12" x14ac:dyDescent="0.25">
      <c r="B129" s="7" t="s">
        <v>43</v>
      </c>
      <c r="C129" s="7" t="s">
        <v>228</v>
      </c>
      <c r="D129" s="12">
        <v>0</v>
      </c>
      <c r="E129" s="12"/>
      <c r="F129" s="12"/>
      <c r="G129" s="12"/>
      <c r="H129" s="12"/>
      <c r="I129" s="12"/>
      <c r="J129" s="12">
        <v>0</v>
      </c>
      <c r="K129" s="12">
        <v>0</v>
      </c>
      <c r="L129" s="12">
        <v>0</v>
      </c>
    </row>
    <row r="130" spans="2:12" x14ac:dyDescent="0.25">
      <c r="B130" s="7" t="s">
        <v>165</v>
      </c>
      <c r="C130" s="7" t="s">
        <v>164</v>
      </c>
      <c r="D130" s="12">
        <v>7.5559000000000001E-2</v>
      </c>
      <c r="E130" s="12"/>
      <c r="F130" s="12"/>
      <c r="G130" s="12"/>
      <c r="H130" s="12"/>
      <c r="I130" s="12"/>
      <c r="J130" s="12">
        <v>0.01</v>
      </c>
      <c r="K130" s="12">
        <v>0.14000000000000001</v>
      </c>
      <c r="L130" s="12">
        <v>1.1399999999999999</v>
      </c>
    </row>
    <row r="131" spans="2:12" x14ac:dyDescent="0.25">
      <c r="B131" s="7" t="s">
        <v>230</v>
      </c>
      <c r="C131" s="7" t="s">
        <v>229</v>
      </c>
      <c r="D131" s="12">
        <v>1.36E-4</v>
      </c>
      <c r="E131" s="12"/>
      <c r="F131" s="12"/>
      <c r="G131" s="12"/>
      <c r="H131" s="12"/>
      <c r="I131" s="12"/>
      <c r="J131" s="12">
        <v>0</v>
      </c>
      <c r="K131" s="12">
        <v>0</v>
      </c>
      <c r="L131" s="12">
        <v>0</v>
      </c>
    </row>
    <row r="132" spans="2:12" x14ac:dyDescent="0.25">
      <c r="B132" s="7" t="s">
        <v>172</v>
      </c>
      <c r="C132" s="7" t="s">
        <v>231</v>
      </c>
      <c r="D132" s="12">
        <v>3.9999999999999998E-6</v>
      </c>
      <c r="E132" s="12"/>
      <c r="F132" s="12"/>
      <c r="G132" s="12"/>
      <c r="H132" s="12"/>
      <c r="I132" s="12"/>
      <c r="J132" s="12">
        <v>0</v>
      </c>
      <c r="K132" s="12">
        <v>0</v>
      </c>
      <c r="L132" s="12">
        <v>0</v>
      </c>
    </row>
    <row r="133" spans="2:12" x14ac:dyDescent="0.25">
      <c r="B133" s="7" t="s">
        <v>199</v>
      </c>
      <c r="C133" s="7" t="s">
        <v>232</v>
      </c>
      <c r="D133" s="12">
        <v>8.1300000000000003E-4</v>
      </c>
      <c r="E133" s="12"/>
      <c r="F133" s="12"/>
      <c r="G133" s="12"/>
      <c r="H133" s="12"/>
      <c r="I133" s="12"/>
      <c r="J133" s="12">
        <v>0</v>
      </c>
      <c r="K133" s="12">
        <v>0</v>
      </c>
      <c r="L133" s="12">
        <v>0</v>
      </c>
    </row>
    <row r="134" spans="2:12" x14ac:dyDescent="0.25">
      <c r="B134" s="7" t="s">
        <v>43</v>
      </c>
      <c r="C134" s="7" t="s">
        <v>42</v>
      </c>
      <c r="D134" s="12">
        <v>2.1675499999999999</v>
      </c>
      <c r="E134" s="12"/>
      <c r="F134" s="12"/>
      <c r="G134" s="12"/>
      <c r="H134" s="12"/>
      <c r="I134" s="12"/>
      <c r="J134" s="12">
        <v>3.55</v>
      </c>
      <c r="K134" s="12">
        <v>35.18</v>
      </c>
      <c r="L134" s="12">
        <v>295.75</v>
      </c>
    </row>
    <row r="135" spans="2:12" x14ac:dyDescent="0.25">
      <c r="B135" s="7" t="s">
        <v>43</v>
      </c>
      <c r="C135" s="7" t="s">
        <v>72</v>
      </c>
      <c r="D135" s="12">
        <v>3.8647849999999999</v>
      </c>
      <c r="E135" s="12"/>
      <c r="F135" s="12"/>
      <c r="G135" s="12"/>
      <c r="H135" s="12"/>
      <c r="I135" s="12"/>
      <c r="J135" s="12">
        <v>6.32</v>
      </c>
      <c r="K135" s="12">
        <v>62.65</v>
      </c>
      <c r="L135" s="12">
        <v>526.67999999999995</v>
      </c>
    </row>
    <row r="136" spans="2:12" x14ac:dyDescent="0.25">
      <c r="B136" s="7" t="s">
        <v>43</v>
      </c>
      <c r="C136" s="7" t="s">
        <v>156</v>
      </c>
      <c r="D136" s="12">
        <v>1.2605E-2</v>
      </c>
      <c r="E136" s="12"/>
      <c r="F136" s="12"/>
      <c r="G136" s="12"/>
      <c r="H136" s="12"/>
      <c r="I136" s="12"/>
      <c r="J136" s="12">
        <v>0.02</v>
      </c>
      <c r="K136" s="12">
        <v>0.18</v>
      </c>
      <c r="L136" s="12">
        <v>1.47</v>
      </c>
    </row>
    <row r="137" spans="2:12" x14ac:dyDescent="0.25">
      <c r="B137" s="7" t="s">
        <v>185</v>
      </c>
      <c r="C137" s="7" t="s">
        <v>161</v>
      </c>
      <c r="D137" s="12">
        <v>1.9000000000000001E-4</v>
      </c>
      <c r="E137" s="12"/>
      <c r="F137" s="12"/>
      <c r="G137" s="12"/>
      <c r="H137" s="12"/>
      <c r="I137" s="12"/>
      <c r="J137" s="12">
        <v>0</v>
      </c>
      <c r="K137" s="12">
        <v>0</v>
      </c>
      <c r="L137" s="12">
        <v>0</v>
      </c>
    </row>
    <row r="138" spans="2:12" x14ac:dyDescent="0.25">
      <c r="B138" s="7" t="s">
        <v>43</v>
      </c>
      <c r="C138" s="7" t="s">
        <v>137</v>
      </c>
      <c r="D138" s="12">
        <v>7.3239999999999998E-3</v>
      </c>
      <c r="E138" s="12"/>
      <c r="F138" s="12"/>
      <c r="G138" s="12"/>
      <c r="H138" s="12"/>
      <c r="I138" s="12"/>
      <c r="J138" s="12">
        <v>0.01</v>
      </c>
      <c r="K138" s="12">
        <v>0.09</v>
      </c>
      <c r="L138" s="12">
        <v>0.74</v>
      </c>
    </row>
    <row r="139" spans="2:12" x14ac:dyDescent="0.25">
      <c r="B139" s="7" t="s">
        <v>43</v>
      </c>
      <c r="C139" s="7" t="s">
        <v>158</v>
      </c>
      <c r="D139" s="12">
        <v>1.7954000000000001E-2</v>
      </c>
      <c r="E139" s="12"/>
      <c r="F139" s="12"/>
      <c r="G139" s="12"/>
      <c r="H139" s="12"/>
      <c r="I139" s="12"/>
      <c r="J139" s="12">
        <v>0.01</v>
      </c>
      <c r="K139" s="12">
        <v>0.13</v>
      </c>
      <c r="L139" s="12">
        <v>1.1000000000000001</v>
      </c>
    </row>
    <row r="140" spans="2:12" x14ac:dyDescent="0.25">
      <c r="B140" s="7" t="s">
        <v>162</v>
      </c>
      <c r="C140" s="7" t="s">
        <v>161</v>
      </c>
      <c r="D140" s="12">
        <v>6.4560009999999997</v>
      </c>
      <c r="E140" s="12"/>
      <c r="F140" s="12"/>
      <c r="G140" s="12"/>
      <c r="H140" s="12"/>
      <c r="I140" s="12"/>
      <c r="J140" s="12">
        <v>5.63</v>
      </c>
      <c r="K140" s="12">
        <v>41.69</v>
      </c>
      <c r="L140" s="12">
        <v>171.88</v>
      </c>
    </row>
    <row r="141" spans="2:12" x14ac:dyDescent="0.25">
      <c r="B141" s="7" t="s">
        <v>233</v>
      </c>
      <c r="C141" s="7" t="s">
        <v>164</v>
      </c>
      <c r="D141" s="12">
        <v>1.1E-5</v>
      </c>
      <c r="E141" s="12"/>
      <c r="F141" s="12"/>
      <c r="G141" s="12"/>
      <c r="H141" s="12"/>
      <c r="I141" s="12"/>
      <c r="J141" s="12">
        <v>0</v>
      </c>
      <c r="K141" s="12">
        <v>0</v>
      </c>
      <c r="L141" s="12">
        <v>0</v>
      </c>
    </row>
    <row r="142" spans="2:12" x14ac:dyDescent="0.25">
      <c r="B142" s="7" t="s">
        <v>235</v>
      </c>
      <c r="C142" s="7" t="s">
        <v>234</v>
      </c>
      <c r="D142" s="12">
        <v>2.3202E-2</v>
      </c>
      <c r="E142" s="12"/>
      <c r="F142" s="12"/>
      <c r="G142" s="12"/>
      <c r="H142" s="12"/>
      <c r="I142" s="12"/>
      <c r="J142" s="12">
        <v>0</v>
      </c>
      <c r="K142" s="12">
        <v>0</v>
      </c>
      <c r="L142" s="12">
        <v>0</v>
      </c>
    </row>
    <row r="143" spans="2:12" x14ac:dyDescent="0.25">
      <c r="B143" s="7" t="s">
        <v>236</v>
      </c>
      <c r="C143" s="7" t="s">
        <v>164</v>
      </c>
      <c r="D143" s="12">
        <v>4.1300000000000001E-4</v>
      </c>
      <c r="E143" s="12"/>
      <c r="F143" s="12"/>
      <c r="G143" s="12"/>
      <c r="H143" s="12"/>
      <c r="I143" s="12"/>
      <c r="J143" s="12">
        <v>0</v>
      </c>
      <c r="K143" s="12">
        <v>0</v>
      </c>
      <c r="L143" s="12">
        <v>0</v>
      </c>
    </row>
    <row r="144" spans="2:12" x14ac:dyDescent="0.25">
      <c r="B144" s="7" t="s">
        <v>83</v>
      </c>
      <c r="C144" s="7" t="s">
        <v>237</v>
      </c>
      <c r="D144" s="12">
        <v>1.1E-5</v>
      </c>
      <c r="E144" s="12"/>
      <c r="F144" s="12"/>
      <c r="G144" s="12"/>
      <c r="H144" s="12"/>
      <c r="I144" s="12"/>
      <c r="J144" s="12">
        <v>0</v>
      </c>
      <c r="K144" s="12">
        <v>0</v>
      </c>
      <c r="L144" s="12">
        <v>0</v>
      </c>
    </row>
    <row r="145" spans="2:12" x14ac:dyDescent="0.25">
      <c r="B145" s="7" t="s">
        <v>240</v>
      </c>
      <c r="C145" s="7" t="s">
        <v>239</v>
      </c>
      <c r="D145" s="12">
        <v>4.1300000000000001E-4</v>
      </c>
      <c r="E145" s="12"/>
      <c r="F145" s="12"/>
      <c r="G145" s="12"/>
      <c r="H145" s="12"/>
      <c r="I145" s="12"/>
      <c r="J145" s="12">
        <v>0</v>
      </c>
      <c r="K145" s="12">
        <v>0</v>
      </c>
      <c r="L145" s="12">
        <v>0</v>
      </c>
    </row>
    <row r="146" spans="2:12" x14ac:dyDescent="0.25">
      <c r="B146" s="7" t="s">
        <v>242</v>
      </c>
      <c r="C146" s="7" t="s">
        <v>241</v>
      </c>
      <c r="D146" s="12">
        <v>5.3969999999999999E-3</v>
      </c>
      <c r="E146" s="12"/>
      <c r="F146" s="12"/>
      <c r="G146" s="12"/>
      <c r="H146" s="12"/>
      <c r="I146" s="12"/>
      <c r="J146" s="12">
        <v>0</v>
      </c>
      <c r="K146" s="12">
        <v>0</v>
      </c>
      <c r="L146" s="12">
        <v>0</v>
      </c>
    </row>
    <row r="147" spans="2:12" x14ac:dyDescent="0.25">
      <c r="B147" s="7" t="s">
        <v>83</v>
      </c>
      <c r="C147" s="7" t="s">
        <v>96</v>
      </c>
      <c r="D147" s="12">
        <v>8.737E-3</v>
      </c>
      <c r="E147" s="12"/>
      <c r="F147" s="12"/>
      <c r="G147" s="12"/>
      <c r="H147" s="12"/>
      <c r="I147" s="12"/>
      <c r="J147" s="12">
        <v>0.01</v>
      </c>
      <c r="K147" s="12">
        <v>0.01</v>
      </c>
      <c r="L147" s="12">
        <v>2.46</v>
      </c>
    </row>
    <row r="148" spans="2:12" x14ac:dyDescent="0.25">
      <c r="B148" s="7" t="s">
        <v>88</v>
      </c>
      <c r="C148" s="7" t="s">
        <v>96</v>
      </c>
      <c r="D148" s="12">
        <v>1.219E-3</v>
      </c>
      <c r="E148" s="12"/>
      <c r="F148" s="12"/>
      <c r="G148" s="12"/>
      <c r="H148" s="12"/>
      <c r="I148" s="12"/>
      <c r="J148" s="12">
        <v>0</v>
      </c>
      <c r="K148" s="12">
        <v>0</v>
      </c>
      <c r="L148" s="12">
        <v>0</v>
      </c>
    </row>
    <row r="149" spans="2:12" x14ac:dyDescent="0.25">
      <c r="B149" s="7" t="s">
        <v>110</v>
      </c>
      <c r="C149" s="7" t="s">
        <v>241</v>
      </c>
      <c r="D149" s="12">
        <v>5.5000000000000003E-4</v>
      </c>
      <c r="E149" s="12"/>
      <c r="F149" s="12"/>
      <c r="G149" s="12"/>
      <c r="H149" s="12"/>
      <c r="I149" s="12"/>
      <c r="J149" s="12">
        <v>0</v>
      </c>
      <c r="K149" s="12">
        <v>0</v>
      </c>
      <c r="L149" s="12">
        <v>0</v>
      </c>
    </row>
    <row r="150" spans="2:12" x14ac:dyDescent="0.25">
      <c r="B150" s="7" t="s">
        <v>83</v>
      </c>
      <c r="C150" s="7" t="s">
        <v>243</v>
      </c>
      <c r="D150" s="12">
        <v>3.3000000000000003E-5</v>
      </c>
      <c r="E150" s="12"/>
      <c r="F150" s="12"/>
      <c r="G150" s="12"/>
      <c r="H150" s="12"/>
      <c r="I150" s="12"/>
      <c r="J150" s="12">
        <v>0</v>
      </c>
      <c r="K150" s="12">
        <v>0</v>
      </c>
      <c r="L150" s="12">
        <v>0</v>
      </c>
    </row>
    <row r="151" spans="2:12" x14ac:dyDescent="0.25">
      <c r="B151" s="7" t="s">
        <v>140</v>
      </c>
      <c r="C151" s="7" t="s">
        <v>136</v>
      </c>
      <c r="D151" s="12">
        <v>603.340104</v>
      </c>
      <c r="E151" s="12"/>
      <c r="F151" s="12"/>
      <c r="G151" s="12"/>
      <c r="H151" s="12"/>
      <c r="I151" s="12"/>
      <c r="J151" s="12">
        <v>4072.21</v>
      </c>
      <c r="K151" s="12">
        <v>12890.42</v>
      </c>
      <c r="L151" s="12">
        <v>293350.59000000003</v>
      </c>
    </row>
    <row r="152" spans="2:12" x14ac:dyDescent="0.25">
      <c r="B152" s="7" t="s">
        <v>142</v>
      </c>
      <c r="C152" s="7" t="s">
        <v>141</v>
      </c>
      <c r="D152" s="12">
        <v>0.68481800000000004</v>
      </c>
      <c r="E152" s="12"/>
      <c r="F152" s="12"/>
      <c r="G152" s="12"/>
      <c r="H152" s="12"/>
      <c r="I152" s="12"/>
      <c r="J152" s="12">
        <v>5.83</v>
      </c>
      <c r="K152" s="12">
        <v>13.29</v>
      </c>
      <c r="L152" s="12">
        <v>2592.4</v>
      </c>
    </row>
    <row r="153" spans="2:12" x14ac:dyDescent="0.25">
      <c r="B153" s="7" t="s">
        <v>85</v>
      </c>
      <c r="C153" s="7" t="s">
        <v>136</v>
      </c>
      <c r="D153" s="12">
        <v>120.402602</v>
      </c>
      <c r="E153" s="12"/>
      <c r="F153" s="12"/>
      <c r="G153" s="12"/>
      <c r="H153" s="12"/>
      <c r="I153" s="12"/>
      <c r="J153" s="12">
        <v>664.26</v>
      </c>
      <c r="K153" s="12">
        <v>7719.23</v>
      </c>
      <c r="L153" s="12">
        <v>78314.75</v>
      </c>
    </row>
    <row r="154" spans="2:12" x14ac:dyDescent="0.25">
      <c r="B154" s="7" t="s">
        <v>244</v>
      </c>
      <c r="C154" s="7" t="s">
        <v>241</v>
      </c>
      <c r="D154" s="12">
        <v>3.7185999999999997E-2</v>
      </c>
      <c r="E154" s="12"/>
      <c r="F154" s="12"/>
      <c r="G154" s="12"/>
      <c r="H154" s="12"/>
      <c r="I154" s="12"/>
      <c r="J154" s="12">
        <v>0</v>
      </c>
      <c r="K154" s="12">
        <v>0</v>
      </c>
      <c r="L154" s="12">
        <v>0</v>
      </c>
    </row>
    <row r="155" spans="2:12" x14ac:dyDescent="0.25">
      <c r="B155" s="7" t="s">
        <v>37</v>
      </c>
      <c r="C155" s="7" t="s">
        <v>138</v>
      </c>
      <c r="D155" s="12">
        <v>25.001852</v>
      </c>
      <c r="E155" s="12"/>
      <c r="F155" s="12"/>
      <c r="G155" s="12"/>
      <c r="H155" s="12"/>
      <c r="I155" s="12"/>
      <c r="J155" s="12">
        <v>681.69</v>
      </c>
      <c r="K155" s="12">
        <v>2368.16</v>
      </c>
      <c r="L155" s="12">
        <v>89422.97</v>
      </c>
    </row>
    <row r="156" spans="2:12" x14ac:dyDescent="0.25">
      <c r="B156" s="7" t="s">
        <v>240</v>
      </c>
      <c r="C156" s="7" t="s">
        <v>96</v>
      </c>
      <c r="D156" s="12">
        <v>6.8999999999999997E-5</v>
      </c>
      <c r="E156" s="12"/>
      <c r="F156" s="12"/>
      <c r="G156" s="12"/>
      <c r="H156" s="12"/>
      <c r="I156" s="12"/>
      <c r="J156" s="12">
        <v>0</v>
      </c>
      <c r="K156" s="12">
        <v>0</v>
      </c>
      <c r="L156" s="12">
        <v>0</v>
      </c>
    </row>
    <row r="157" spans="2:12" x14ac:dyDescent="0.25">
      <c r="B157" s="7" t="s">
        <v>185</v>
      </c>
      <c r="C157" s="7" t="s">
        <v>243</v>
      </c>
      <c r="D157" s="12">
        <v>8.8999999999999995E-4</v>
      </c>
      <c r="E157" s="12"/>
      <c r="F157" s="12"/>
      <c r="G157" s="12"/>
      <c r="H157" s="12"/>
      <c r="I157" s="12"/>
      <c r="J157" s="12">
        <v>0</v>
      </c>
      <c r="K157" s="12">
        <v>0</v>
      </c>
      <c r="L157" s="12">
        <v>0</v>
      </c>
    </row>
    <row r="158" spans="2:12" x14ac:dyDescent="0.25">
      <c r="B158" s="7" t="s">
        <v>110</v>
      </c>
      <c r="C158" s="7" t="s">
        <v>109</v>
      </c>
      <c r="D158" s="12">
        <v>8.4184999999999996E-2</v>
      </c>
      <c r="E158" s="12"/>
      <c r="F158" s="12"/>
      <c r="G158" s="12"/>
      <c r="H158" s="12"/>
      <c r="I158" s="12"/>
      <c r="J158" s="12">
        <v>0.03</v>
      </c>
      <c r="K158" s="12">
        <v>0.05</v>
      </c>
      <c r="L158" s="12">
        <v>3.16</v>
      </c>
    </row>
    <row r="159" spans="2:12" x14ac:dyDescent="0.25">
      <c r="B159" s="7" t="s">
        <v>69</v>
      </c>
      <c r="C159" s="7" t="s">
        <v>68</v>
      </c>
      <c r="D159" s="12">
        <v>3.441E-3</v>
      </c>
      <c r="E159" s="12"/>
      <c r="F159" s="12"/>
      <c r="G159" s="12"/>
      <c r="H159" s="12"/>
      <c r="I159" s="12"/>
      <c r="J159" s="12">
        <v>0.14000000000000001</v>
      </c>
      <c r="K159" s="12">
        <v>0.13</v>
      </c>
      <c r="L159" s="12">
        <v>2.93</v>
      </c>
    </row>
    <row r="160" spans="2:12" x14ac:dyDescent="0.25">
      <c r="B160" s="7" t="s">
        <v>246</v>
      </c>
      <c r="C160" s="7" t="s">
        <v>245</v>
      </c>
      <c r="D160" s="12">
        <v>1.637E-3</v>
      </c>
      <c r="E160" s="12"/>
      <c r="F160" s="12"/>
      <c r="G160" s="12"/>
      <c r="H160" s="12"/>
      <c r="I160" s="12"/>
      <c r="J160" s="12">
        <v>0</v>
      </c>
      <c r="K160" s="12">
        <v>0</v>
      </c>
      <c r="L160" s="12">
        <v>0</v>
      </c>
    </row>
    <row r="161" spans="2:12" x14ac:dyDescent="0.25">
      <c r="B161" s="7" t="s">
        <v>104</v>
      </c>
      <c r="C161" s="7" t="s">
        <v>163</v>
      </c>
      <c r="D161" s="12">
        <v>0.18742200000000001</v>
      </c>
      <c r="E161" s="12"/>
      <c r="F161" s="12"/>
      <c r="G161" s="12"/>
      <c r="H161" s="12"/>
      <c r="I161" s="12"/>
      <c r="J161" s="12">
        <v>0</v>
      </c>
      <c r="K161" s="12">
        <v>0</v>
      </c>
      <c r="L161" s="12">
        <v>0</v>
      </c>
    </row>
    <row r="162" spans="2:12" x14ac:dyDescent="0.25">
      <c r="B162" s="7" t="s">
        <v>51</v>
      </c>
      <c r="C162" s="7" t="s">
        <v>247</v>
      </c>
      <c r="D162" s="12">
        <v>7.2350000000000001E-3</v>
      </c>
      <c r="E162" s="12"/>
      <c r="F162" s="12"/>
      <c r="G162" s="12"/>
      <c r="H162" s="12"/>
      <c r="I162" s="12"/>
      <c r="J162" s="12">
        <v>0</v>
      </c>
      <c r="K162" s="12">
        <v>0</v>
      </c>
      <c r="L162" s="12">
        <v>0</v>
      </c>
    </row>
    <row r="163" spans="2:12" x14ac:dyDescent="0.25">
      <c r="B163" s="7" t="s">
        <v>102</v>
      </c>
      <c r="C163" s="7" t="s">
        <v>101</v>
      </c>
      <c r="D163" s="12">
        <v>6.0233829999999999</v>
      </c>
      <c r="E163" s="12"/>
      <c r="F163" s="12"/>
      <c r="G163" s="12"/>
      <c r="H163" s="12"/>
      <c r="I163" s="12"/>
      <c r="J163" s="12">
        <v>965.78</v>
      </c>
      <c r="K163" s="12">
        <v>5.59</v>
      </c>
      <c r="L163" s="12">
        <v>1760.27</v>
      </c>
    </row>
    <row r="164" spans="2:12" x14ac:dyDescent="0.25">
      <c r="B164" s="7" t="s">
        <v>160</v>
      </c>
      <c r="C164" s="7" t="s">
        <v>159</v>
      </c>
      <c r="D164" s="12">
        <v>4.2415000000000001E-2</v>
      </c>
      <c r="E164" s="12"/>
      <c r="F164" s="12"/>
      <c r="G164" s="12"/>
      <c r="H164" s="12"/>
      <c r="I164" s="12"/>
      <c r="J164" s="12">
        <v>0.05</v>
      </c>
      <c r="K164" s="12">
        <v>0.37</v>
      </c>
      <c r="L164" s="12">
        <v>0.98</v>
      </c>
    </row>
    <row r="165" spans="2:12" x14ac:dyDescent="0.25">
      <c r="B165" s="7" t="s">
        <v>43</v>
      </c>
      <c r="C165" s="7" t="s">
        <v>163</v>
      </c>
      <c r="D165" s="12">
        <v>0.12142500000000001</v>
      </c>
      <c r="E165" s="12"/>
      <c r="F165" s="12"/>
      <c r="G165" s="12"/>
      <c r="H165" s="12"/>
      <c r="I165" s="12"/>
      <c r="J165" s="12">
        <v>0.19</v>
      </c>
      <c r="K165" s="12">
        <v>1.93</v>
      </c>
      <c r="L165" s="12">
        <v>16.21</v>
      </c>
    </row>
    <row r="166" spans="2:12" x14ac:dyDescent="0.25">
      <c r="B166" s="7" t="s">
        <v>248</v>
      </c>
      <c r="C166" s="7" t="s">
        <v>101</v>
      </c>
      <c r="D166" s="12">
        <v>8.5999999999999998E-4</v>
      </c>
      <c r="E166" s="12"/>
      <c r="F166" s="12"/>
      <c r="G166" s="12"/>
      <c r="H166" s="12"/>
      <c r="I166" s="12"/>
      <c r="J166" s="12">
        <v>0</v>
      </c>
      <c r="K166" s="12">
        <v>0</v>
      </c>
      <c r="L166" s="12">
        <v>0</v>
      </c>
    </row>
    <row r="167" spans="2:12" x14ac:dyDescent="0.25">
      <c r="B167" s="7" t="s">
        <v>56</v>
      </c>
      <c r="C167" s="7" t="s">
        <v>55</v>
      </c>
      <c r="D167" s="12">
        <v>0.54899100000000001</v>
      </c>
      <c r="E167" s="12"/>
      <c r="F167" s="12"/>
      <c r="G167" s="12"/>
      <c r="H167" s="12"/>
      <c r="I167" s="12"/>
      <c r="J167" s="12">
        <v>17.649999999999999</v>
      </c>
      <c r="K167" s="12">
        <v>1.21</v>
      </c>
      <c r="L167" s="12">
        <v>94.41</v>
      </c>
    </row>
    <row r="168" spans="2:12" x14ac:dyDescent="0.25">
      <c r="B168" s="7" t="s">
        <v>46</v>
      </c>
      <c r="C168" s="7" t="s">
        <v>45</v>
      </c>
      <c r="D168" s="12">
        <v>0.38524199999999997</v>
      </c>
      <c r="E168" s="12"/>
      <c r="F168" s="12"/>
      <c r="G168" s="12"/>
      <c r="H168" s="12"/>
      <c r="I168" s="12"/>
      <c r="J168" s="12">
        <v>84.65</v>
      </c>
      <c r="K168" s="12">
        <v>4.22</v>
      </c>
      <c r="L168" s="12">
        <v>91.35</v>
      </c>
    </row>
    <row r="169" spans="2:12" x14ac:dyDescent="0.25">
      <c r="B169" s="7" t="s">
        <v>113</v>
      </c>
      <c r="C169" s="7" t="s">
        <v>249</v>
      </c>
      <c r="D169" s="12">
        <v>1.3799999999999999E-3</v>
      </c>
      <c r="E169" s="12"/>
      <c r="F169" s="12"/>
      <c r="G169" s="12"/>
      <c r="H169" s="12"/>
      <c r="I169" s="12"/>
      <c r="J169" s="12">
        <v>0</v>
      </c>
      <c r="K169" s="12">
        <v>0</v>
      </c>
      <c r="L169" s="12">
        <v>0</v>
      </c>
    </row>
    <row r="171" spans="2:12" x14ac:dyDescent="0.25">
      <c r="B171" s="11" t="s">
        <v>25</v>
      </c>
    </row>
  </sheetData>
  <mergeCells count="2">
    <mergeCell ref="E7:I7"/>
    <mergeCell ref="B2:D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2"/>
  <sheetViews>
    <sheetView workbookViewId="0">
      <selection activeCell="J2" sqref="J2"/>
    </sheetView>
  </sheetViews>
  <sheetFormatPr defaultRowHeight="15" x14ac:dyDescent="0.25"/>
  <sheetData>
    <row r="1" spans="1:11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 spans="1:11" x14ac:dyDescent="0.25">
      <c r="A2" t="s">
        <v>125</v>
      </c>
      <c r="B2" t="s">
        <v>126</v>
      </c>
      <c r="C2" t="s">
        <v>85</v>
      </c>
      <c r="D2">
        <v>1214809.1200000001</v>
      </c>
      <c r="E2">
        <v>6.6992859999999999</v>
      </c>
      <c r="F2">
        <v>77.850486000000004</v>
      </c>
      <c r="G2">
        <v>789.82551699999999</v>
      </c>
      <c r="H2">
        <f>+ROUND(D2,0)/1000000</f>
        <v>1.214809</v>
      </c>
      <c r="I2">
        <f>+ROUND(E2,2)</f>
        <v>6.7</v>
      </c>
      <c r="J2">
        <f t="shared" ref="J2:J65" si="0">+ROUND(F2,2)</f>
        <v>77.849999999999994</v>
      </c>
      <c r="K2">
        <f t="shared" ref="K2:K65" si="1">+ROUND(G2,2)</f>
        <v>789.83</v>
      </c>
    </row>
    <row r="3" spans="1:11" x14ac:dyDescent="0.25">
      <c r="A3" t="s">
        <v>173</v>
      </c>
      <c r="B3" t="s">
        <v>174</v>
      </c>
      <c r="C3" t="s">
        <v>88</v>
      </c>
      <c r="D3">
        <v>2059.86</v>
      </c>
      <c r="E3">
        <v>0</v>
      </c>
      <c r="F3">
        <v>0</v>
      </c>
      <c r="G3">
        <v>0</v>
      </c>
      <c r="H3">
        <f t="shared" ref="H3:H66" si="2">+ROUND(D3,0)/1000000</f>
        <v>2.0600000000000002E-3</v>
      </c>
      <c r="I3">
        <f t="shared" ref="I3:I66" si="3">+ROUND(E3,2)</f>
        <v>0</v>
      </c>
      <c r="J3">
        <f t="shared" si="0"/>
        <v>0</v>
      </c>
      <c r="K3">
        <f t="shared" si="1"/>
        <v>0</v>
      </c>
    </row>
    <row r="4" spans="1:11" x14ac:dyDescent="0.25">
      <c r="A4" t="s">
        <v>38</v>
      </c>
      <c r="B4" t="s">
        <v>139</v>
      </c>
      <c r="C4" t="s">
        <v>166</v>
      </c>
      <c r="D4">
        <v>35332.199999999997</v>
      </c>
      <c r="E4">
        <v>2.5409790000000001</v>
      </c>
      <c r="F4">
        <v>0.74515600000000004</v>
      </c>
      <c r="G4">
        <v>3.6091829999999998</v>
      </c>
      <c r="H4">
        <f t="shared" si="2"/>
        <v>3.5332000000000002E-2</v>
      </c>
      <c r="I4">
        <f t="shared" si="3"/>
        <v>2.54</v>
      </c>
      <c r="J4">
        <f t="shared" si="0"/>
        <v>0.75</v>
      </c>
      <c r="K4">
        <f t="shared" si="1"/>
        <v>3.61</v>
      </c>
    </row>
    <row r="5" spans="1:11" x14ac:dyDescent="0.25">
      <c r="A5" t="s">
        <v>38</v>
      </c>
      <c r="B5" t="s">
        <v>100</v>
      </c>
      <c r="C5" t="s">
        <v>36</v>
      </c>
      <c r="D5">
        <v>205480.949998</v>
      </c>
      <c r="E5">
        <v>18.034452000000002</v>
      </c>
      <c r="F5">
        <v>7.7834640000000004</v>
      </c>
      <c r="G5">
        <v>506.84769599999998</v>
      </c>
      <c r="H5">
        <f t="shared" si="2"/>
        <v>0.205481</v>
      </c>
      <c r="I5">
        <f t="shared" si="3"/>
        <v>18.03</v>
      </c>
      <c r="J5">
        <f t="shared" si="0"/>
        <v>7.78</v>
      </c>
      <c r="K5">
        <f t="shared" si="1"/>
        <v>506.85</v>
      </c>
    </row>
    <row r="6" spans="1:11" x14ac:dyDescent="0.25">
      <c r="A6" t="s">
        <v>38</v>
      </c>
      <c r="B6" t="s">
        <v>175</v>
      </c>
      <c r="C6" t="s">
        <v>176</v>
      </c>
      <c r="D6">
        <v>2200.27</v>
      </c>
      <c r="E6">
        <v>0</v>
      </c>
      <c r="F6">
        <v>0</v>
      </c>
      <c r="G6">
        <v>0</v>
      </c>
      <c r="H6">
        <f t="shared" si="2"/>
        <v>2.2000000000000001E-3</v>
      </c>
      <c r="I6">
        <f t="shared" si="3"/>
        <v>0</v>
      </c>
      <c r="J6">
        <f t="shared" si="0"/>
        <v>0</v>
      </c>
      <c r="K6">
        <f t="shared" si="1"/>
        <v>0</v>
      </c>
    </row>
    <row r="7" spans="1:11" x14ac:dyDescent="0.25">
      <c r="A7" t="s">
        <v>38</v>
      </c>
      <c r="B7" t="s">
        <v>107</v>
      </c>
      <c r="C7" t="s">
        <v>108</v>
      </c>
      <c r="D7">
        <v>50379.05</v>
      </c>
      <c r="E7">
        <v>0.54864000000000002</v>
      </c>
      <c r="F7">
        <v>0.85065999999999997</v>
      </c>
      <c r="G7">
        <v>224.60027400000001</v>
      </c>
      <c r="H7">
        <f t="shared" si="2"/>
        <v>5.0379E-2</v>
      </c>
      <c r="I7">
        <f t="shared" si="3"/>
        <v>0.55000000000000004</v>
      </c>
      <c r="J7">
        <f t="shared" si="0"/>
        <v>0.85</v>
      </c>
      <c r="K7">
        <f t="shared" si="1"/>
        <v>224.6</v>
      </c>
    </row>
    <row r="8" spans="1:11" x14ac:dyDescent="0.25">
      <c r="A8" t="s">
        <v>38</v>
      </c>
      <c r="B8" t="s">
        <v>170</v>
      </c>
      <c r="C8" t="s">
        <v>171</v>
      </c>
      <c r="D8">
        <v>408462.9</v>
      </c>
      <c r="E8">
        <v>3.8467519999999999</v>
      </c>
      <c r="F8">
        <v>3.946761</v>
      </c>
      <c r="G8">
        <v>112.418672</v>
      </c>
      <c r="H8">
        <f t="shared" si="2"/>
        <v>0.40846300000000002</v>
      </c>
      <c r="I8">
        <f t="shared" si="3"/>
        <v>3.85</v>
      </c>
      <c r="J8">
        <f t="shared" si="0"/>
        <v>3.95</v>
      </c>
      <c r="K8">
        <f t="shared" si="1"/>
        <v>112.42</v>
      </c>
    </row>
    <row r="9" spans="1:11" x14ac:dyDescent="0.25">
      <c r="A9" t="s">
        <v>38</v>
      </c>
      <c r="B9" t="s">
        <v>112</v>
      </c>
      <c r="C9" t="s">
        <v>113</v>
      </c>
      <c r="D9">
        <v>221016.19</v>
      </c>
      <c r="E9">
        <v>1.12521</v>
      </c>
      <c r="F9">
        <v>1.7970379999999999</v>
      </c>
      <c r="G9">
        <v>10.104326</v>
      </c>
      <c r="H9">
        <f t="shared" si="2"/>
        <v>0.22101599999999999</v>
      </c>
      <c r="I9">
        <f t="shared" si="3"/>
        <v>1.1299999999999999</v>
      </c>
      <c r="J9">
        <f t="shared" si="0"/>
        <v>1.8</v>
      </c>
      <c r="K9">
        <f t="shared" si="1"/>
        <v>10.1</v>
      </c>
    </row>
    <row r="10" spans="1:11" x14ac:dyDescent="0.25">
      <c r="A10" t="s">
        <v>38</v>
      </c>
      <c r="B10" t="s">
        <v>119</v>
      </c>
      <c r="C10" t="s">
        <v>88</v>
      </c>
      <c r="D10">
        <v>15047766.880000001</v>
      </c>
      <c r="E10">
        <v>22809.521280000001</v>
      </c>
      <c r="F10">
        <v>2927.8340699999999</v>
      </c>
      <c r="G10">
        <v>12847.185412000001</v>
      </c>
      <c r="H10">
        <f t="shared" si="2"/>
        <v>15.047767</v>
      </c>
      <c r="I10">
        <f t="shared" si="3"/>
        <v>22809.52</v>
      </c>
      <c r="J10">
        <f t="shared" si="0"/>
        <v>2927.83</v>
      </c>
      <c r="K10">
        <f t="shared" si="1"/>
        <v>12847.19</v>
      </c>
    </row>
    <row r="11" spans="1:11" x14ac:dyDescent="0.25">
      <c r="A11" t="s">
        <v>38</v>
      </c>
      <c r="B11" t="s">
        <v>177</v>
      </c>
      <c r="C11" t="s">
        <v>178</v>
      </c>
      <c r="D11">
        <v>539.97</v>
      </c>
      <c r="E11">
        <v>0</v>
      </c>
      <c r="F11">
        <v>0</v>
      </c>
      <c r="G11">
        <v>0</v>
      </c>
      <c r="H11">
        <f t="shared" si="2"/>
        <v>5.4000000000000001E-4</v>
      </c>
      <c r="I11">
        <f t="shared" si="3"/>
        <v>0</v>
      </c>
      <c r="J11">
        <f t="shared" si="0"/>
        <v>0</v>
      </c>
      <c r="K11">
        <f t="shared" si="1"/>
        <v>0</v>
      </c>
    </row>
    <row r="12" spans="1:11" x14ac:dyDescent="0.25">
      <c r="A12" t="s">
        <v>38</v>
      </c>
      <c r="B12" t="s">
        <v>64</v>
      </c>
      <c r="C12" t="s">
        <v>88</v>
      </c>
      <c r="D12">
        <v>14518409.890000001</v>
      </c>
      <c r="E12">
        <v>22237.854080000001</v>
      </c>
      <c r="F12">
        <v>2854.4547699999998</v>
      </c>
      <c r="G12">
        <v>12525.20084</v>
      </c>
      <c r="H12">
        <f t="shared" si="2"/>
        <v>14.518409999999999</v>
      </c>
      <c r="I12">
        <f t="shared" si="3"/>
        <v>22237.85</v>
      </c>
      <c r="J12">
        <f t="shared" si="0"/>
        <v>2854.45</v>
      </c>
      <c r="K12">
        <f t="shared" si="1"/>
        <v>12525.2</v>
      </c>
    </row>
    <row r="13" spans="1:11" x14ac:dyDescent="0.25">
      <c r="A13" t="s">
        <v>38</v>
      </c>
      <c r="B13" t="s">
        <v>131</v>
      </c>
      <c r="C13" t="s">
        <v>132</v>
      </c>
      <c r="D13">
        <v>5170273.79</v>
      </c>
      <c r="E13">
        <v>47.367446000000001</v>
      </c>
      <c r="F13">
        <v>115.14971799999999</v>
      </c>
      <c r="G13">
        <v>5572.4669279999998</v>
      </c>
      <c r="H13">
        <f t="shared" si="2"/>
        <v>5.170274</v>
      </c>
      <c r="I13">
        <f t="shared" si="3"/>
        <v>47.37</v>
      </c>
      <c r="J13">
        <f t="shared" si="0"/>
        <v>115.15</v>
      </c>
      <c r="K13">
        <f t="shared" si="1"/>
        <v>5572.47</v>
      </c>
    </row>
    <row r="14" spans="1:11" x14ac:dyDescent="0.25">
      <c r="A14" t="s">
        <v>38</v>
      </c>
      <c r="B14" t="s">
        <v>154</v>
      </c>
      <c r="C14" t="s">
        <v>88</v>
      </c>
      <c r="D14">
        <v>5784.69</v>
      </c>
      <c r="E14">
        <v>0</v>
      </c>
      <c r="F14">
        <v>0</v>
      </c>
      <c r="G14">
        <v>0</v>
      </c>
      <c r="H14">
        <f t="shared" si="2"/>
        <v>5.7850000000000002E-3</v>
      </c>
      <c r="I14">
        <f t="shared" si="3"/>
        <v>0</v>
      </c>
      <c r="J14">
        <f t="shared" si="0"/>
        <v>0</v>
      </c>
      <c r="K14">
        <f t="shared" si="1"/>
        <v>0</v>
      </c>
    </row>
    <row r="15" spans="1:11" x14ac:dyDescent="0.25">
      <c r="A15" t="s">
        <v>38</v>
      </c>
      <c r="B15" t="s">
        <v>39</v>
      </c>
      <c r="C15" t="s">
        <v>40</v>
      </c>
      <c r="D15">
        <v>1775938.9</v>
      </c>
      <c r="E15">
        <v>0.87610900000000003</v>
      </c>
      <c r="F15">
        <v>5.1059580000000002</v>
      </c>
      <c r="G15">
        <v>118.805091</v>
      </c>
      <c r="H15">
        <f t="shared" si="2"/>
        <v>1.7759389999999999</v>
      </c>
      <c r="I15">
        <f t="shared" si="3"/>
        <v>0.88</v>
      </c>
      <c r="J15">
        <f t="shared" si="0"/>
        <v>5.1100000000000003</v>
      </c>
      <c r="K15">
        <f t="shared" si="1"/>
        <v>118.81</v>
      </c>
    </row>
    <row r="16" spans="1:11" x14ac:dyDescent="0.25">
      <c r="A16" t="s">
        <v>38</v>
      </c>
      <c r="B16" t="s">
        <v>59</v>
      </c>
      <c r="C16" t="s">
        <v>104</v>
      </c>
      <c r="D16">
        <v>1206.23</v>
      </c>
      <c r="E16">
        <v>0</v>
      </c>
      <c r="F16">
        <v>0</v>
      </c>
      <c r="G16">
        <v>0</v>
      </c>
      <c r="H16">
        <f t="shared" si="2"/>
        <v>1.206E-3</v>
      </c>
      <c r="I16">
        <f t="shared" si="3"/>
        <v>0</v>
      </c>
      <c r="J16">
        <f t="shared" si="0"/>
        <v>0</v>
      </c>
      <c r="K16">
        <f t="shared" si="1"/>
        <v>0</v>
      </c>
    </row>
    <row r="17" spans="1:11" x14ac:dyDescent="0.25">
      <c r="A17" t="s">
        <v>38</v>
      </c>
      <c r="B17" t="s">
        <v>179</v>
      </c>
      <c r="C17" t="s">
        <v>88</v>
      </c>
      <c r="D17">
        <v>580.04</v>
      </c>
      <c r="E17">
        <v>0</v>
      </c>
      <c r="F17">
        <v>0</v>
      </c>
      <c r="G17">
        <v>0</v>
      </c>
      <c r="H17">
        <f t="shared" si="2"/>
        <v>5.8E-4</v>
      </c>
      <c r="I17">
        <f t="shared" si="3"/>
        <v>0</v>
      </c>
      <c r="J17">
        <f t="shared" si="0"/>
        <v>0</v>
      </c>
      <c r="K17">
        <f t="shared" si="1"/>
        <v>0</v>
      </c>
    </row>
    <row r="18" spans="1:11" x14ac:dyDescent="0.25">
      <c r="A18" t="s">
        <v>38</v>
      </c>
      <c r="B18" t="s">
        <v>180</v>
      </c>
      <c r="C18" t="s">
        <v>181</v>
      </c>
      <c r="D18">
        <v>33735.81</v>
      </c>
      <c r="E18">
        <v>0</v>
      </c>
      <c r="F18">
        <v>0</v>
      </c>
      <c r="G18">
        <v>0</v>
      </c>
      <c r="H18">
        <f t="shared" si="2"/>
        <v>3.3736000000000002E-2</v>
      </c>
      <c r="I18">
        <f t="shared" si="3"/>
        <v>0</v>
      </c>
      <c r="J18">
        <f t="shared" si="0"/>
        <v>0</v>
      </c>
      <c r="K18">
        <f t="shared" si="1"/>
        <v>0</v>
      </c>
    </row>
    <row r="19" spans="1:11" x14ac:dyDescent="0.25">
      <c r="A19" t="s">
        <v>38</v>
      </c>
      <c r="B19" t="s">
        <v>89</v>
      </c>
      <c r="C19" t="s">
        <v>90</v>
      </c>
      <c r="D19">
        <v>103258236.73</v>
      </c>
      <c r="E19">
        <v>749.57238099999995</v>
      </c>
      <c r="F19">
        <v>322.26981499999999</v>
      </c>
      <c r="G19">
        <v>356641.72723100003</v>
      </c>
      <c r="H19">
        <f t="shared" si="2"/>
        <v>103.25823699999999</v>
      </c>
      <c r="I19">
        <f t="shared" si="3"/>
        <v>749.57</v>
      </c>
      <c r="J19">
        <f t="shared" si="0"/>
        <v>322.27</v>
      </c>
      <c r="K19">
        <f t="shared" si="1"/>
        <v>356641.73</v>
      </c>
    </row>
    <row r="20" spans="1:11" x14ac:dyDescent="0.25">
      <c r="A20" t="s">
        <v>38</v>
      </c>
      <c r="B20" t="s">
        <v>128</v>
      </c>
      <c r="C20" t="s">
        <v>88</v>
      </c>
      <c r="D20">
        <v>322828.63</v>
      </c>
      <c r="E20">
        <v>360.15033599999998</v>
      </c>
      <c r="F20">
        <v>46.228959000000003</v>
      </c>
      <c r="G20">
        <v>202.85027700000001</v>
      </c>
      <c r="H20">
        <f t="shared" si="2"/>
        <v>0.32282899999999998</v>
      </c>
      <c r="I20">
        <f t="shared" si="3"/>
        <v>360.15</v>
      </c>
      <c r="J20">
        <f t="shared" si="0"/>
        <v>46.23</v>
      </c>
      <c r="K20">
        <f t="shared" si="1"/>
        <v>202.85</v>
      </c>
    </row>
    <row r="21" spans="1:11" x14ac:dyDescent="0.25">
      <c r="A21" t="s">
        <v>38</v>
      </c>
      <c r="B21" t="s">
        <v>182</v>
      </c>
      <c r="C21" t="s">
        <v>183</v>
      </c>
      <c r="D21">
        <v>2833.17</v>
      </c>
      <c r="E21">
        <v>0</v>
      </c>
      <c r="F21">
        <v>0</v>
      </c>
      <c r="G21">
        <v>0</v>
      </c>
      <c r="H21">
        <f t="shared" si="2"/>
        <v>2.833E-3</v>
      </c>
      <c r="I21">
        <f t="shared" si="3"/>
        <v>0</v>
      </c>
      <c r="J21">
        <f t="shared" si="0"/>
        <v>0</v>
      </c>
      <c r="K21">
        <f t="shared" si="1"/>
        <v>0</v>
      </c>
    </row>
    <row r="22" spans="1:11" x14ac:dyDescent="0.25">
      <c r="A22" t="s">
        <v>38</v>
      </c>
      <c r="B22" t="s">
        <v>52</v>
      </c>
      <c r="C22" t="s">
        <v>53</v>
      </c>
      <c r="D22">
        <v>552014.46</v>
      </c>
      <c r="E22">
        <v>0.46828799999999998</v>
      </c>
      <c r="F22">
        <v>0.48105300000000001</v>
      </c>
      <c r="G22">
        <v>52.943759999999997</v>
      </c>
      <c r="H22">
        <f t="shared" si="2"/>
        <v>0.552014</v>
      </c>
      <c r="I22">
        <f t="shared" si="3"/>
        <v>0.47</v>
      </c>
      <c r="J22">
        <f t="shared" si="0"/>
        <v>0.48</v>
      </c>
      <c r="K22">
        <f t="shared" si="1"/>
        <v>52.94</v>
      </c>
    </row>
    <row r="23" spans="1:11" x14ac:dyDescent="0.25">
      <c r="A23" t="s">
        <v>38</v>
      </c>
      <c r="B23" t="s">
        <v>139</v>
      </c>
      <c r="C23" t="s">
        <v>65</v>
      </c>
      <c r="D23">
        <v>756173.06</v>
      </c>
      <c r="E23">
        <v>100.24625</v>
      </c>
      <c r="F23">
        <v>57.932355000000001</v>
      </c>
      <c r="G23">
        <v>319.996758</v>
      </c>
      <c r="H23">
        <f t="shared" si="2"/>
        <v>0.75617299999999998</v>
      </c>
      <c r="I23">
        <f t="shared" si="3"/>
        <v>100.25</v>
      </c>
      <c r="J23">
        <f t="shared" si="0"/>
        <v>57.93</v>
      </c>
      <c r="K23">
        <f t="shared" si="1"/>
        <v>320</v>
      </c>
    </row>
    <row r="24" spans="1:11" x14ac:dyDescent="0.25">
      <c r="A24" t="s">
        <v>38</v>
      </c>
      <c r="B24" t="s">
        <v>184</v>
      </c>
      <c r="C24" t="s">
        <v>185</v>
      </c>
      <c r="D24">
        <v>30117.64</v>
      </c>
      <c r="E24">
        <v>0</v>
      </c>
      <c r="F24">
        <v>0</v>
      </c>
      <c r="G24">
        <v>0</v>
      </c>
      <c r="H24">
        <f t="shared" si="2"/>
        <v>3.0117999999999999E-2</v>
      </c>
      <c r="I24">
        <f t="shared" si="3"/>
        <v>0</v>
      </c>
      <c r="J24">
        <f t="shared" si="0"/>
        <v>0</v>
      </c>
      <c r="K24">
        <f t="shared" si="1"/>
        <v>0</v>
      </c>
    </row>
    <row r="25" spans="1:11" x14ac:dyDescent="0.25">
      <c r="A25" t="s">
        <v>38</v>
      </c>
      <c r="B25" t="s">
        <v>143</v>
      </c>
      <c r="C25" t="s">
        <v>144</v>
      </c>
      <c r="D25">
        <v>89738.23</v>
      </c>
      <c r="E25">
        <v>0.10845299999999999</v>
      </c>
      <c r="F25">
        <v>0.70480399999999999</v>
      </c>
      <c r="G25">
        <v>2.879051</v>
      </c>
      <c r="H25">
        <f t="shared" si="2"/>
        <v>8.9737999999999998E-2</v>
      </c>
      <c r="I25">
        <f t="shared" si="3"/>
        <v>0.11</v>
      </c>
      <c r="J25">
        <f t="shared" si="0"/>
        <v>0.7</v>
      </c>
      <c r="K25">
        <f t="shared" si="1"/>
        <v>2.88</v>
      </c>
    </row>
    <row r="26" spans="1:11" x14ac:dyDescent="0.25">
      <c r="A26" t="s">
        <v>38</v>
      </c>
      <c r="B26" t="s">
        <v>58</v>
      </c>
      <c r="C26" t="s">
        <v>51</v>
      </c>
      <c r="D26">
        <v>958374.72</v>
      </c>
      <c r="E26">
        <v>6.0475500000000002</v>
      </c>
      <c r="F26">
        <v>13.71978</v>
      </c>
      <c r="G26">
        <v>643.87503000000004</v>
      </c>
      <c r="H26">
        <f t="shared" si="2"/>
        <v>0.95837499999999998</v>
      </c>
      <c r="I26">
        <f t="shared" si="3"/>
        <v>6.05</v>
      </c>
      <c r="J26">
        <f t="shared" si="0"/>
        <v>13.72</v>
      </c>
      <c r="K26">
        <f t="shared" si="1"/>
        <v>643.88</v>
      </c>
    </row>
    <row r="27" spans="1:11" x14ac:dyDescent="0.25">
      <c r="A27" t="s">
        <v>38</v>
      </c>
      <c r="B27" t="s">
        <v>64</v>
      </c>
      <c r="C27" t="s">
        <v>65</v>
      </c>
      <c r="D27">
        <v>7499720.2800000003</v>
      </c>
      <c r="E27">
        <v>1280.0675000000001</v>
      </c>
      <c r="F27">
        <v>739.75161000000003</v>
      </c>
      <c r="G27">
        <v>4086.1126140000001</v>
      </c>
      <c r="H27">
        <f t="shared" si="2"/>
        <v>7.4997199999999999</v>
      </c>
      <c r="I27">
        <f t="shared" si="3"/>
        <v>1280.07</v>
      </c>
      <c r="J27">
        <f t="shared" si="0"/>
        <v>739.75</v>
      </c>
      <c r="K27">
        <f t="shared" si="1"/>
        <v>4086.11</v>
      </c>
    </row>
    <row r="28" spans="1:11" x14ac:dyDescent="0.25">
      <c r="A28" t="s">
        <v>38</v>
      </c>
      <c r="B28" t="s">
        <v>57</v>
      </c>
      <c r="C28" t="s">
        <v>51</v>
      </c>
      <c r="D28">
        <v>1100475.32</v>
      </c>
      <c r="E28">
        <v>6.4507199999999996</v>
      </c>
      <c r="F28">
        <v>14.634432</v>
      </c>
      <c r="G28">
        <v>686.80003199999999</v>
      </c>
      <c r="H28">
        <f t="shared" si="2"/>
        <v>1.1004750000000001</v>
      </c>
      <c r="I28">
        <f t="shared" si="3"/>
        <v>6.45</v>
      </c>
      <c r="J28">
        <f t="shared" si="0"/>
        <v>14.63</v>
      </c>
      <c r="K28">
        <f t="shared" si="1"/>
        <v>686.8</v>
      </c>
    </row>
    <row r="29" spans="1:11" x14ac:dyDescent="0.25">
      <c r="A29" t="s">
        <v>38</v>
      </c>
      <c r="B29" t="s">
        <v>186</v>
      </c>
      <c r="C29" t="s">
        <v>187</v>
      </c>
      <c r="D29">
        <v>6737.5</v>
      </c>
      <c r="E29">
        <v>0</v>
      </c>
      <c r="F29">
        <v>0</v>
      </c>
      <c r="G29">
        <v>0</v>
      </c>
      <c r="H29">
        <f t="shared" si="2"/>
        <v>6.7380000000000001E-3</v>
      </c>
      <c r="I29">
        <f t="shared" si="3"/>
        <v>0</v>
      </c>
      <c r="J29">
        <f t="shared" si="0"/>
        <v>0</v>
      </c>
      <c r="K29">
        <f t="shared" si="1"/>
        <v>0</v>
      </c>
    </row>
    <row r="30" spans="1:11" x14ac:dyDescent="0.25">
      <c r="A30" t="s">
        <v>38</v>
      </c>
      <c r="B30" t="s">
        <v>188</v>
      </c>
      <c r="C30" t="s">
        <v>81</v>
      </c>
      <c r="D30">
        <v>540.99</v>
      </c>
      <c r="E30">
        <v>0</v>
      </c>
      <c r="F30">
        <v>0</v>
      </c>
      <c r="G30">
        <v>0</v>
      </c>
      <c r="H30">
        <f t="shared" si="2"/>
        <v>5.4100000000000003E-4</v>
      </c>
      <c r="I30">
        <f t="shared" si="3"/>
        <v>0</v>
      </c>
      <c r="J30">
        <f t="shared" si="0"/>
        <v>0</v>
      </c>
      <c r="K30">
        <f t="shared" si="1"/>
        <v>0</v>
      </c>
    </row>
    <row r="31" spans="1:11" x14ac:dyDescent="0.25">
      <c r="A31" t="s">
        <v>38</v>
      </c>
      <c r="B31" t="s">
        <v>189</v>
      </c>
      <c r="C31" t="s">
        <v>178</v>
      </c>
      <c r="D31">
        <v>3644.23</v>
      </c>
      <c r="E31">
        <v>0</v>
      </c>
      <c r="F31">
        <v>0</v>
      </c>
      <c r="G31">
        <v>0</v>
      </c>
      <c r="H31">
        <f t="shared" si="2"/>
        <v>3.6440000000000001E-3</v>
      </c>
      <c r="I31">
        <f t="shared" si="3"/>
        <v>0</v>
      </c>
      <c r="J31">
        <f t="shared" si="0"/>
        <v>0</v>
      </c>
      <c r="K31">
        <f t="shared" si="1"/>
        <v>0</v>
      </c>
    </row>
    <row r="32" spans="1:11" x14ac:dyDescent="0.25">
      <c r="A32" t="s">
        <v>38</v>
      </c>
      <c r="B32" t="s">
        <v>123</v>
      </c>
      <c r="C32" t="s">
        <v>124</v>
      </c>
      <c r="D32">
        <v>2545673.2400000002</v>
      </c>
      <c r="E32">
        <v>21.08</v>
      </c>
      <c r="F32">
        <v>84.438295999999994</v>
      </c>
      <c r="G32">
        <v>4417.6503709999997</v>
      </c>
      <c r="H32">
        <f t="shared" si="2"/>
        <v>2.5456729999999999</v>
      </c>
      <c r="I32">
        <f t="shared" si="3"/>
        <v>21.08</v>
      </c>
      <c r="J32">
        <f t="shared" si="0"/>
        <v>84.44</v>
      </c>
      <c r="K32">
        <f t="shared" si="1"/>
        <v>4417.6499999999996</v>
      </c>
    </row>
    <row r="33" spans="1:11" x14ac:dyDescent="0.25">
      <c r="A33" t="s">
        <v>38</v>
      </c>
      <c r="B33" t="s">
        <v>130</v>
      </c>
      <c r="C33" t="s">
        <v>71</v>
      </c>
      <c r="D33">
        <v>41346.370000000003</v>
      </c>
      <c r="E33">
        <v>0.24254999999999999</v>
      </c>
      <c r="F33">
        <v>0.47494199999999998</v>
      </c>
      <c r="G33">
        <v>25.038989999999998</v>
      </c>
      <c r="H33">
        <f t="shared" si="2"/>
        <v>4.1346000000000001E-2</v>
      </c>
      <c r="I33">
        <f t="shared" si="3"/>
        <v>0.24</v>
      </c>
      <c r="J33">
        <f t="shared" si="0"/>
        <v>0.47</v>
      </c>
      <c r="K33">
        <f t="shared" si="1"/>
        <v>25.04</v>
      </c>
    </row>
    <row r="34" spans="1:11" x14ac:dyDescent="0.25">
      <c r="A34" t="s">
        <v>38</v>
      </c>
      <c r="B34" t="s">
        <v>147</v>
      </c>
      <c r="C34" t="s">
        <v>132</v>
      </c>
      <c r="D34">
        <v>2549131.4799970002</v>
      </c>
      <c r="E34">
        <v>3.0234540000000001</v>
      </c>
      <c r="F34">
        <v>7.3499819999999998</v>
      </c>
      <c r="G34">
        <v>355.68937799999998</v>
      </c>
      <c r="H34">
        <f t="shared" si="2"/>
        <v>2.549131</v>
      </c>
      <c r="I34">
        <f t="shared" si="3"/>
        <v>3.02</v>
      </c>
      <c r="J34">
        <f t="shared" si="0"/>
        <v>7.35</v>
      </c>
      <c r="K34">
        <f t="shared" si="1"/>
        <v>355.69</v>
      </c>
    </row>
    <row r="35" spans="1:11" x14ac:dyDescent="0.25">
      <c r="A35" t="s">
        <v>38</v>
      </c>
      <c r="B35" t="s">
        <v>190</v>
      </c>
      <c r="C35" t="s">
        <v>191</v>
      </c>
      <c r="D35">
        <v>615733.75</v>
      </c>
      <c r="E35">
        <v>0</v>
      </c>
      <c r="F35">
        <v>0</v>
      </c>
      <c r="G35">
        <v>0</v>
      </c>
      <c r="H35">
        <f t="shared" si="2"/>
        <v>0.615734</v>
      </c>
      <c r="I35">
        <f t="shared" si="3"/>
        <v>0</v>
      </c>
      <c r="J35">
        <f t="shared" si="0"/>
        <v>0</v>
      </c>
      <c r="K35">
        <f t="shared" si="1"/>
        <v>0</v>
      </c>
    </row>
    <row r="36" spans="1:11" x14ac:dyDescent="0.25">
      <c r="A36" t="s">
        <v>38</v>
      </c>
      <c r="B36" t="s">
        <v>80</v>
      </c>
      <c r="C36" t="s">
        <v>81</v>
      </c>
      <c r="D36">
        <v>190585.28</v>
      </c>
      <c r="E36">
        <v>3.2368960000000002</v>
      </c>
      <c r="F36">
        <v>17.311264000000001</v>
      </c>
      <c r="G36">
        <v>76.418953000000002</v>
      </c>
      <c r="H36">
        <f t="shared" si="2"/>
        <v>0.190585</v>
      </c>
      <c r="I36">
        <f t="shared" si="3"/>
        <v>3.24</v>
      </c>
      <c r="J36">
        <f t="shared" si="0"/>
        <v>17.309999999999999</v>
      </c>
      <c r="K36">
        <f t="shared" si="1"/>
        <v>76.42</v>
      </c>
    </row>
    <row r="37" spans="1:11" x14ac:dyDescent="0.25">
      <c r="A37" t="s">
        <v>38</v>
      </c>
      <c r="B37" t="s">
        <v>192</v>
      </c>
      <c r="C37" t="s">
        <v>193</v>
      </c>
      <c r="D37">
        <v>13009.35</v>
      </c>
      <c r="E37">
        <v>0</v>
      </c>
      <c r="F37">
        <v>0</v>
      </c>
      <c r="G37">
        <v>0</v>
      </c>
      <c r="H37">
        <f t="shared" si="2"/>
        <v>1.3009E-2</v>
      </c>
      <c r="I37">
        <f t="shared" si="3"/>
        <v>0</v>
      </c>
      <c r="J37">
        <f t="shared" si="0"/>
        <v>0</v>
      </c>
      <c r="K37">
        <f t="shared" si="1"/>
        <v>0</v>
      </c>
    </row>
    <row r="38" spans="1:11" x14ac:dyDescent="0.25">
      <c r="A38" t="s">
        <v>38</v>
      </c>
      <c r="B38" t="s">
        <v>86</v>
      </c>
      <c r="C38" t="s">
        <v>87</v>
      </c>
      <c r="D38">
        <v>109921.2</v>
      </c>
      <c r="E38">
        <v>10.893689999999999</v>
      </c>
      <c r="F38">
        <v>10.06317</v>
      </c>
      <c r="G38">
        <v>164.67709500000001</v>
      </c>
      <c r="H38">
        <f t="shared" si="2"/>
        <v>0.109921</v>
      </c>
      <c r="I38">
        <f t="shared" si="3"/>
        <v>10.89</v>
      </c>
      <c r="J38">
        <f t="shared" si="0"/>
        <v>10.06</v>
      </c>
      <c r="K38">
        <f t="shared" si="1"/>
        <v>164.68</v>
      </c>
    </row>
    <row r="39" spans="1:11" x14ac:dyDescent="0.25">
      <c r="A39" t="s">
        <v>38</v>
      </c>
      <c r="B39" t="s">
        <v>151</v>
      </c>
      <c r="C39" t="s">
        <v>132</v>
      </c>
      <c r="D39">
        <v>8259064.4299999997</v>
      </c>
      <c r="E39">
        <v>67.019897</v>
      </c>
      <c r="F39">
        <v>162.924601</v>
      </c>
      <c r="G39">
        <v>7884.4478790000003</v>
      </c>
      <c r="H39">
        <f t="shared" si="2"/>
        <v>8.2590640000000004</v>
      </c>
      <c r="I39">
        <f t="shared" si="3"/>
        <v>67.02</v>
      </c>
      <c r="J39">
        <f t="shared" si="0"/>
        <v>162.91999999999999</v>
      </c>
      <c r="K39">
        <f t="shared" si="1"/>
        <v>7884.45</v>
      </c>
    </row>
    <row r="40" spans="1:11" x14ac:dyDescent="0.25">
      <c r="A40" t="s">
        <v>38</v>
      </c>
      <c r="B40" t="s">
        <v>97</v>
      </c>
      <c r="C40" t="s">
        <v>98</v>
      </c>
      <c r="D40">
        <v>9878.31</v>
      </c>
      <c r="E40">
        <v>0.51505500000000004</v>
      </c>
      <c r="F40">
        <v>0.30740099999999998</v>
      </c>
      <c r="G40">
        <v>14.827836</v>
      </c>
      <c r="H40">
        <f t="shared" si="2"/>
        <v>9.8779999999999996E-3</v>
      </c>
      <c r="I40">
        <f t="shared" si="3"/>
        <v>0.52</v>
      </c>
      <c r="J40">
        <f t="shared" si="0"/>
        <v>0.31</v>
      </c>
      <c r="K40">
        <f t="shared" si="1"/>
        <v>14.83</v>
      </c>
    </row>
    <row r="41" spans="1:11" x14ac:dyDescent="0.25">
      <c r="A41" t="s">
        <v>38</v>
      </c>
      <c r="B41" t="s">
        <v>154</v>
      </c>
      <c r="C41" t="s">
        <v>104</v>
      </c>
      <c r="D41">
        <v>1944109.97</v>
      </c>
      <c r="E41">
        <v>285.47508399999998</v>
      </c>
      <c r="F41">
        <v>88.329858000000002</v>
      </c>
      <c r="G41">
        <v>2592.8286440000002</v>
      </c>
      <c r="H41">
        <f t="shared" si="2"/>
        <v>1.94411</v>
      </c>
      <c r="I41">
        <f t="shared" si="3"/>
        <v>285.48</v>
      </c>
      <c r="J41">
        <f t="shared" si="0"/>
        <v>88.33</v>
      </c>
      <c r="K41">
        <f t="shared" si="1"/>
        <v>2592.83</v>
      </c>
    </row>
    <row r="42" spans="1:11" x14ac:dyDescent="0.25">
      <c r="A42" t="s">
        <v>38</v>
      </c>
      <c r="B42" t="s">
        <v>194</v>
      </c>
      <c r="C42" t="s">
        <v>104</v>
      </c>
      <c r="D42">
        <v>22169.52</v>
      </c>
      <c r="E42">
        <v>0</v>
      </c>
      <c r="F42">
        <v>0</v>
      </c>
      <c r="G42">
        <v>0</v>
      </c>
      <c r="H42">
        <f t="shared" si="2"/>
        <v>2.2169999999999999E-2</v>
      </c>
      <c r="I42">
        <f t="shared" si="3"/>
        <v>0</v>
      </c>
      <c r="J42">
        <f t="shared" si="0"/>
        <v>0</v>
      </c>
      <c r="K42">
        <f t="shared" si="1"/>
        <v>0</v>
      </c>
    </row>
    <row r="43" spans="1:11" x14ac:dyDescent="0.25">
      <c r="A43" t="s">
        <v>38</v>
      </c>
      <c r="B43" t="s">
        <v>59</v>
      </c>
      <c r="C43" t="s">
        <v>60</v>
      </c>
      <c r="D43">
        <v>106287.82</v>
      </c>
      <c r="E43">
        <v>53.586278</v>
      </c>
      <c r="F43">
        <v>8.0697840000000003</v>
      </c>
      <c r="G43">
        <v>61.465308999999998</v>
      </c>
      <c r="H43">
        <f t="shared" si="2"/>
        <v>0.10628799999999999</v>
      </c>
      <c r="I43">
        <f t="shared" si="3"/>
        <v>53.59</v>
      </c>
      <c r="J43">
        <f t="shared" si="0"/>
        <v>8.07</v>
      </c>
      <c r="K43">
        <f t="shared" si="1"/>
        <v>61.47</v>
      </c>
    </row>
    <row r="44" spans="1:11" x14ac:dyDescent="0.25">
      <c r="A44" t="s">
        <v>38</v>
      </c>
      <c r="B44" t="s">
        <v>93</v>
      </c>
      <c r="C44" t="s">
        <v>85</v>
      </c>
      <c r="D44">
        <v>19865536.521903999</v>
      </c>
      <c r="E44">
        <v>103.725193</v>
      </c>
      <c r="F44">
        <v>1205.3607930000001</v>
      </c>
      <c r="G44">
        <v>12228.885622</v>
      </c>
      <c r="H44">
        <f t="shared" si="2"/>
        <v>19.865537</v>
      </c>
      <c r="I44">
        <f t="shared" si="3"/>
        <v>103.73</v>
      </c>
      <c r="J44">
        <f t="shared" si="0"/>
        <v>1205.3599999999999</v>
      </c>
      <c r="K44">
        <f t="shared" si="1"/>
        <v>12228.89</v>
      </c>
    </row>
    <row r="45" spans="1:11" x14ac:dyDescent="0.25">
      <c r="A45" t="s">
        <v>38</v>
      </c>
      <c r="B45" t="s">
        <v>103</v>
      </c>
      <c r="C45" t="s">
        <v>104</v>
      </c>
      <c r="D45">
        <v>276377.15000000002</v>
      </c>
      <c r="E45">
        <v>33.585304000000001</v>
      </c>
      <c r="F45">
        <v>10.391748</v>
      </c>
      <c r="G45">
        <v>305.03866399999998</v>
      </c>
      <c r="H45">
        <f t="shared" si="2"/>
        <v>0.27637699999999998</v>
      </c>
      <c r="I45">
        <f t="shared" si="3"/>
        <v>33.590000000000003</v>
      </c>
      <c r="J45">
        <f t="shared" si="0"/>
        <v>10.39</v>
      </c>
      <c r="K45">
        <f t="shared" si="1"/>
        <v>305.04000000000002</v>
      </c>
    </row>
    <row r="46" spans="1:11" x14ac:dyDescent="0.25">
      <c r="A46" t="s">
        <v>38</v>
      </c>
      <c r="B46" t="s">
        <v>120</v>
      </c>
      <c r="C46" t="s">
        <v>121</v>
      </c>
      <c r="D46">
        <v>4223095.24</v>
      </c>
      <c r="E46">
        <v>42.106805000000001</v>
      </c>
      <c r="F46">
        <v>33.965425000000003</v>
      </c>
      <c r="G46">
        <v>1229.37399</v>
      </c>
      <c r="H46">
        <f t="shared" si="2"/>
        <v>4.2230949999999998</v>
      </c>
      <c r="I46">
        <f t="shared" si="3"/>
        <v>42.11</v>
      </c>
      <c r="J46">
        <f t="shared" si="0"/>
        <v>33.97</v>
      </c>
      <c r="K46">
        <f t="shared" si="1"/>
        <v>1229.3699999999999</v>
      </c>
    </row>
    <row r="47" spans="1:11" x14ac:dyDescent="0.25">
      <c r="A47" t="s">
        <v>47</v>
      </c>
      <c r="B47" t="s">
        <v>195</v>
      </c>
      <c r="C47" t="s">
        <v>46</v>
      </c>
      <c r="D47">
        <v>23.59</v>
      </c>
      <c r="E47">
        <v>0</v>
      </c>
      <c r="F47">
        <v>0</v>
      </c>
      <c r="G47">
        <v>0</v>
      </c>
      <c r="H47">
        <f t="shared" si="2"/>
        <v>2.4000000000000001E-5</v>
      </c>
      <c r="I47">
        <f t="shared" si="3"/>
        <v>0</v>
      </c>
      <c r="J47">
        <f t="shared" si="0"/>
        <v>0</v>
      </c>
      <c r="K47">
        <f t="shared" si="1"/>
        <v>0</v>
      </c>
    </row>
    <row r="48" spans="1:11" x14ac:dyDescent="0.25">
      <c r="A48" t="s">
        <v>47</v>
      </c>
      <c r="B48" t="s">
        <v>18</v>
      </c>
      <c r="C48" t="s">
        <v>88</v>
      </c>
      <c r="D48">
        <v>9539.8799999999992</v>
      </c>
      <c r="E48">
        <v>11.433344</v>
      </c>
      <c r="F48">
        <v>1.4675860000000001</v>
      </c>
      <c r="G48">
        <v>6.4396899999999997</v>
      </c>
      <c r="H48">
        <f t="shared" si="2"/>
        <v>9.5399999999999999E-3</v>
      </c>
      <c r="I48">
        <f t="shared" si="3"/>
        <v>11.43</v>
      </c>
      <c r="J48">
        <f t="shared" si="0"/>
        <v>1.47</v>
      </c>
      <c r="K48">
        <f t="shared" si="1"/>
        <v>6.44</v>
      </c>
    </row>
    <row r="49" spans="1:11" x14ac:dyDescent="0.25">
      <c r="A49" t="s">
        <v>47</v>
      </c>
      <c r="B49" t="s">
        <v>18</v>
      </c>
      <c r="C49" t="s">
        <v>75</v>
      </c>
      <c r="D49">
        <v>2591275.13</v>
      </c>
      <c r="E49">
        <v>0</v>
      </c>
      <c r="F49">
        <v>19.003688</v>
      </c>
      <c r="G49">
        <v>2114.1711270000001</v>
      </c>
      <c r="H49">
        <f t="shared" si="2"/>
        <v>2.591275</v>
      </c>
      <c r="I49">
        <f t="shared" si="3"/>
        <v>0</v>
      </c>
      <c r="J49">
        <f t="shared" si="0"/>
        <v>19</v>
      </c>
      <c r="K49">
        <f t="shared" si="1"/>
        <v>2114.17</v>
      </c>
    </row>
    <row r="50" spans="1:11" x14ac:dyDescent="0.25">
      <c r="A50" t="s">
        <v>47</v>
      </c>
      <c r="B50" t="s">
        <v>18</v>
      </c>
      <c r="C50" t="s">
        <v>127</v>
      </c>
      <c r="D50">
        <v>33081101.100000001</v>
      </c>
      <c r="E50">
        <v>14540.198532</v>
      </c>
      <c r="F50">
        <v>1102.3726919999999</v>
      </c>
      <c r="G50">
        <v>33067.945544000002</v>
      </c>
      <c r="H50">
        <f t="shared" si="2"/>
        <v>33.081100999999997</v>
      </c>
      <c r="I50">
        <f t="shared" si="3"/>
        <v>14540.2</v>
      </c>
      <c r="J50">
        <f t="shared" si="0"/>
        <v>1102.3699999999999</v>
      </c>
      <c r="K50">
        <f t="shared" si="1"/>
        <v>33067.949999999997</v>
      </c>
    </row>
    <row r="51" spans="1:11" x14ac:dyDescent="0.25">
      <c r="A51" t="s">
        <v>47</v>
      </c>
      <c r="B51" t="s">
        <v>94</v>
      </c>
      <c r="C51" t="s">
        <v>49</v>
      </c>
      <c r="D51">
        <v>75382.91</v>
      </c>
      <c r="E51">
        <v>0.151945</v>
      </c>
      <c r="F51">
        <v>0.62487000000000004</v>
      </c>
      <c r="G51">
        <v>0.37262000000000001</v>
      </c>
      <c r="H51">
        <f t="shared" si="2"/>
        <v>7.5383000000000006E-2</v>
      </c>
      <c r="I51">
        <f t="shared" si="3"/>
        <v>0.15</v>
      </c>
      <c r="J51">
        <f t="shared" si="0"/>
        <v>0.62</v>
      </c>
      <c r="K51">
        <f t="shared" si="1"/>
        <v>0.37</v>
      </c>
    </row>
    <row r="52" spans="1:11" x14ac:dyDescent="0.25">
      <c r="A52" t="s">
        <v>47</v>
      </c>
      <c r="B52" t="s">
        <v>48</v>
      </c>
      <c r="C52" t="s">
        <v>49</v>
      </c>
      <c r="D52">
        <v>6649991.1500000004</v>
      </c>
      <c r="E52">
        <v>48.105786999999999</v>
      </c>
      <c r="F52">
        <v>197.833842</v>
      </c>
      <c r="G52">
        <v>117.971492</v>
      </c>
      <c r="H52">
        <f t="shared" si="2"/>
        <v>6.649991</v>
      </c>
      <c r="I52">
        <f t="shared" si="3"/>
        <v>48.11</v>
      </c>
      <c r="J52">
        <f t="shared" si="0"/>
        <v>197.83</v>
      </c>
      <c r="K52">
        <f t="shared" si="1"/>
        <v>117.97</v>
      </c>
    </row>
    <row r="53" spans="1:11" x14ac:dyDescent="0.25">
      <c r="A53" t="s">
        <v>47</v>
      </c>
      <c r="B53" t="s">
        <v>195</v>
      </c>
      <c r="C53" t="s">
        <v>23</v>
      </c>
      <c r="D53">
        <v>1579.15</v>
      </c>
      <c r="E53">
        <v>0</v>
      </c>
      <c r="F53">
        <v>0</v>
      </c>
      <c r="G53">
        <v>0</v>
      </c>
      <c r="H53">
        <f t="shared" si="2"/>
        <v>1.5790000000000001E-3</v>
      </c>
      <c r="I53">
        <f t="shared" si="3"/>
        <v>0</v>
      </c>
      <c r="J53">
        <f t="shared" si="0"/>
        <v>0</v>
      </c>
      <c r="K53">
        <f t="shared" si="1"/>
        <v>0</v>
      </c>
    </row>
    <row r="54" spans="1:11" x14ac:dyDescent="0.25">
      <c r="A54" t="s">
        <v>47</v>
      </c>
      <c r="B54" t="s">
        <v>18</v>
      </c>
      <c r="C54" t="s">
        <v>46</v>
      </c>
      <c r="D54">
        <v>2742.9</v>
      </c>
      <c r="E54">
        <v>0</v>
      </c>
      <c r="F54">
        <v>0</v>
      </c>
      <c r="G54">
        <v>0</v>
      </c>
      <c r="H54">
        <f t="shared" si="2"/>
        <v>2.7430000000000002E-3</v>
      </c>
      <c r="I54">
        <f t="shared" si="3"/>
        <v>0</v>
      </c>
      <c r="J54">
        <f t="shared" si="0"/>
        <v>0</v>
      </c>
      <c r="K54">
        <f t="shared" si="1"/>
        <v>0</v>
      </c>
    </row>
    <row r="55" spans="1:11" x14ac:dyDescent="0.25">
      <c r="A55" t="s">
        <v>47</v>
      </c>
      <c r="B55" t="s">
        <v>92</v>
      </c>
      <c r="C55" t="s">
        <v>46</v>
      </c>
      <c r="D55">
        <v>203591856.16999999</v>
      </c>
      <c r="E55">
        <v>47909.248290000003</v>
      </c>
      <c r="F55">
        <v>2390.731362</v>
      </c>
      <c r="G55">
        <v>51701.676726999998</v>
      </c>
      <c r="H55">
        <f t="shared" si="2"/>
        <v>203.59185600000001</v>
      </c>
      <c r="I55">
        <f t="shared" si="3"/>
        <v>47909.25</v>
      </c>
      <c r="J55">
        <f t="shared" si="0"/>
        <v>2390.73</v>
      </c>
      <c r="K55">
        <f t="shared" si="1"/>
        <v>51701.68</v>
      </c>
    </row>
    <row r="56" spans="1:11" x14ac:dyDescent="0.25">
      <c r="A56" t="s">
        <v>148</v>
      </c>
      <c r="B56" t="s">
        <v>149</v>
      </c>
      <c r="C56" t="s">
        <v>75</v>
      </c>
      <c r="D56">
        <v>30633.49</v>
      </c>
      <c r="E56">
        <v>0.15965199999999999</v>
      </c>
      <c r="F56">
        <v>0.139733</v>
      </c>
      <c r="G56">
        <v>15.545375</v>
      </c>
      <c r="H56">
        <f t="shared" si="2"/>
        <v>3.0633000000000001E-2</v>
      </c>
      <c r="I56">
        <f t="shared" si="3"/>
        <v>0.16</v>
      </c>
      <c r="J56">
        <f t="shared" si="0"/>
        <v>0.14000000000000001</v>
      </c>
      <c r="K56">
        <f t="shared" si="1"/>
        <v>15.55</v>
      </c>
    </row>
    <row r="57" spans="1:11" x14ac:dyDescent="0.25">
      <c r="A57" t="s">
        <v>148</v>
      </c>
      <c r="B57" t="s">
        <v>196</v>
      </c>
      <c r="C57" t="s">
        <v>197</v>
      </c>
      <c r="D57">
        <v>13969.85</v>
      </c>
      <c r="E57">
        <v>0</v>
      </c>
      <c r="F57">
        <v>0</v>
      </c>
      <c r="G57">
        <v>0</v>
      </c>
      <c r="H57">
        <f t="shared" si="2"/>
        <v>1.397E-2</v>
      </c>
      <c r="I57">
        <f t="shared" si="3"/>
        <v>0</v>
      </c>
      <c r="J57">
        <f t="shared" si="0"/>
        <v>0</v>
      </c>
      <c r="K57">
        <f t="shared" si="1"/>
        <v>0</v>
      </c>
    </row>
    <row r="58" spans="1:11" x14ac:dyDescent="0.25">
      <c r="A58" t="s">
        <v>73</v>
      </c>
      <c r="B58" t="s">
        <v>168</v>
      </c>
      <c r="C58" t="s">
        <v>169</v>
      </c>
      <c r="D58">
        <v>608418.03</v>
      </c>
      <c r="E58">
        <v>2.5589339999999998</v>
      </c>
      <c r="F58">
        <v>0.98476200000000003</v>
      </c>
      <c r="G58">
        <v>142.59601799999999</v>
      </c>
      <c r="H58">
        <f t="shared" si="2"/>
        <v>0.60841800000000001</v>
      </c>
      <c r="I58">
        <f t="shared" si="3"/>
        <v>2.56</v>
      </c>
      <c r="J58">
        <f t="shared" si="0"/>
        <v>0.98</v>
      </c>
      <c r="K58">
        <f t="shared" si="1"/>
        <v>142.6</v>
      </c>
    </row>
    <row r="59" spans="1:11" x14ac:dyDescent="0.25">
      <c r="A59" t="s">
        <v>73</v>
      </c>
      <c r="B59" t="s">
        <v>198</v>
      </c>
      <c r="C59" t="s">
        <v>199</v>
      </c>
      <c r="D59">
        <v>67742.710000000006</v>
      </c>
      <c r="E59">
        <v>0</v>
      </c>
      <c r="F59">
        <v>0</v>
      </c>
      <c r="G59">
        <v>0</v>
      </c>
      <c r="H59">
        <f t="shared" si="2"/>
        <v>6.7742999999999998E-2</v>
      </c>
      <c r="I59">
        <f t="shared" si="3"/>
        <v>0</v>
      </c>
      <c r="J59">
        <f t="shared" si="0"/>
        <v>0</v>
      </c>
      <c r="K59">
        <f t="shared" si="1"/>
        <v>0</v>
      </c>
    </row>
    <row r="60" spans="1:11" x14ac:dyDescent="0.25">
      <c r="A60" t="s">
        <v>73</v>
      </c>
      <c r="B60" t="s">
        <v>74</v>
      </c>
      <c r="C60" t="s">
        <v>95</v>
      </c>
      <c r="D60">
        <v>4905324.309994</v>
      </c>
      <c r="E60">
        <v>172.02419</v>
      </c>
      <c r="F60">
        <v>53.748083999999999</v>
      </c>
      <c r="G60">
        <v>4566.9185900000002</v>
      </c>
      <c r="H60">
        <f t="shared" si="2"/>
        <v>4.9053240000000002</v>
      </c>
      <c r="I60">
        <f t="shared" si="3"/>
        <v>172.02</v>
      </c>
      <c r="J60">
        <f t="shared" si="0"/>
        <v>53.75</v>
      </c>
      <c r="K60">
        <f t="shared" si="1"/>
        <v>4566.92</v>
      </c>
    </row>
    <row r="61" spans="1:11" x14ac:dyDescent="0.25">
      <c r="A61" t="s">
        <v>73</v>
      </c>
      <c r="B61" t="s">
        <v>157</v>
      </c>
      <c r="C61" t="s">
        <v>63</v>
      </c>
      <c r="D61">
        <v>5005134.8600000003</v>
      </c>
      <c r="E61">
        <v>135.301368</v>
      </c>
      <c r="F61">
        <v>14.970744</v>
      </c>
      <c r="G61">
        <v>2919.8360200000002</v>
      </c>
      <c r="H61">
        <f t="shared" si="2"/>
        <v>5.0051350000000001</v>
      </c>
      <c r="I61">
        <f t="shared" si="3"/>
        <v>135.30000000000001</v>
      </c>
      <c r="J61">
        <f t="shared" si="0"/>
        <v>14.97</v>
      </c>
      <c r="K61">
        <f t="shared" si="1"/>
        <v>2919.84</v>
      </c>
    </row>
    <row r="62" spans="1:11" x14ac:dyDescent="0.25">
      <c r="A62" t="s">
        <v>73</v>
      </c>
      <c r="B62" t="s">
        <v>78</v>
      </c>
      <c r="C62" t="s">
        <v>111</v>
      </c>
      <c r="D62">
        <v>6765871.2599999998</v>
      </c>
      <c r="E62">
        <v>106.012798</v>
      </c>
      <c r="F62">
        <v>19.852257999999999</v>
      </c>
      <c r="G62">
        <v>1585.4787819999999</v>
      </c>
      <c r="H62">
        <f t="shared" si="2"/>
        <v>6.7658709999999997</v>
      </c>
      <c r="I62">
        <f t="shared" si="3"/>
        <v>106.01</v>
      </c>
      <c r="J62">
        <f t="shared" si="0"/>
        <v>19.850000000000001</v>
      </c>
      <c r="K62">
        <f t="shared" si="1"/>
        <v>1585.48</v>
      </c>
    </row>
    <row r="63" spans="1:11" x14ac:dyDescent="0.25">
      <c r="A63" t="s">
        <v>73</v>
      </c>
      <c r="B63" t="s">
        <v>168</v>
      </c>
      <c r="C63" t="s">
        <v>200</v>
      </c>
      <c r="D63">
        <v>30829.599999999999</v>
      </c>
      <c r="E63">
        <v>0</v>
      </c>
      <c r="F63">
        <v>0</v>
      </c>
      <c r="G63">
        <v>0</v>
      </c>
      <c r="H63">
        <f t="shared" si="2"/>
        <v>3.083E-2</v>
      </c>
      <c r="I63">
        <f t="shared" si="3"/>
        <v>0</v>
      </c>
      <c r="J63">
        <f t="shared" si="0"/>
        <v>0</v>
      </c>
      <c r="K63">
        <f t="shared" si="1"/>
        <v>0</v>
      </c>
    </row>
    <row r="64" spans="1:11" x14ac:dyDescent="0.25">
      <c r="A64" t="s">
        <v>73</v>
      </c>
      <c r="B64" t="s">
        <v>118</v>
      </c>
      <c r="C64" t="s">
        <v>79</v>
      </c>
      <c r="D64">
        <v>1815733.69</v>
      </c>
      <c r="E64">
        <v>18.015149999999998</v>
      </c>
      <c r="F64">
        <v>70.910700000000006</v>
      </c>
      <c r="G64">
        <v>214.38501400000001</v>
      </c>
      <c r="H64">
        <f t="shared" si="2"/>
        <v>1.815734</v>
      </c>
      <c r="I64">
        <f t="shared" si="3"/>
        <v>18.02</v>
      </c>
      <c r="J64">
        <f t="shared" si="0"/>
        <v>70.91</v>
      </c>
      <c r="K64">
        <f t="shared" si="1"/>
        <v>214.39</v>
      </c>
    </row>
    <row r="65" spans="1:11" x14ac:dyDescent="0.25">
      <c r="A65" t="s">
        <v>73</v>
      </c>
      <c r="B65" t="s">
        <v>150</v>
      </c>
      <c r="C65" t="s">
        <v>201</v>
      </c>
      <c r="D65">
        <v>34608.129999999997</v>
      </c>
      <c r="E65">
        <v>0</v>
      </c>
      <c r="F65">
        <v>0</v>
      </c>
      <c r="G65">
        <v>0</v>
      </c>
      <c r="H65">
        <f t="shared" si="2"/>
        <v>3.4608E-2</v>
      </c>
      <c r="I65">
        <f t="shared" si="3"/>
        <v>0</v>
      </c>
      <c r="J65">
        <f t="shared" si="0"/>
        <v>0</v>
      </c>
      <c r="K65">
        <f t="shared" si="1"/>
        <v>0</v>
      </c>
    </row>
    <row r="66" spans="1:11" x14ac:dyDescent="0.25">
      <c r="A66" t="s">
        <v>73</v>
      </c>
      <c r="B66" t="s">
        <v>74</v>
      </c>
      <c r="C66" t="s">
        <v>75</v>
      </c>
      <c r="D66">
        <v>3769380.81</v>
      </c>
      <c r="E66">
        <v>21.233716000000001</v>
      </c>
      <c r="F66">
        <v>18.584489000000001</v>
      </c>
      <c r="G66">
        <v>2067.5349609999998</v>
      </c>
      <c r="H66">
        <f t="shared" si="2"/>
        <v>3.7693810000000001</v>
      </c>
      <c r="I66">
        <f t="shared" si="3"/>
        <v>21.23</v>
      </c>
      <c r="J66">
        <f t="shared" ref="J66:J129" si="4">+ROUND(F66,2)</f>
        <v>18.579999999999998</v>
      </c>
      <c r="K66">
        <f t="shared" ref="K66:K129" si="5">+ROUND(G66,2)</f>
        <v>2067.5300000000002</v>
      </c>
    </row>
    <row r="67" spans="1:11" x14ac:dyDescent="0.25">
      <c r="A67" t="s">
        <v>73</v>
      </c>
      <c r="B67" t="s">
        <v>78</v>
      </c>
      <c r="C67" t="s">
        <v>79</v>
      </c>
      <c r="D67">
        <v>91297.7</v>
      </c>
      <c r="E67">
        <v>0.60050499999999996</v>
      </c>
      <c r="F67">
        <v>2.3636900000000001</v>
      </c>
      <c r="G67">
        <v>7.146166</v>
      </c>
      <c r="H67">
        <f t="shared" ref="H67:H130" si="6">+ROUND(D67,0)/1000000</f>
        <v>9.1298000000000004E-2</v>
      </c>
      <c r="I67">
        <f t="shared" ref="I67:I130" si="7">+ROUND(E67,2)</f>
        <v>0.6</v>
      </c>
      <c r="J67">
        <f t="shared" si="4"/>
        <v>2.36</v>
      </c>
      <c r="K67">
        <f t="shared" si="5"/>
        <v>7.15</v>
      </c>
    </row>
    <row r="68" spans="1:11" x14ac:dyDescent="0.25">
      <c r="A68" t="s">
        <v>73</v>
      </c>
      <c r="B68" t="s">
        <v>150</v>
      </c>
      <c r="C68" t="s">
        <v>63</v>
      </c>
      <c r="D68">
        <v>3207766.8</v>
      </c>
      <c r="E68">
        <v>5.9691780000000003</v>
      </c>
      <c r="F68">
        <v>0.66047400000000001</v>
      </c>
      <c r="G68">
        <v>128.816295</v>
      </c>
      <c r="H68">
        <f t="shared" si="6"/>
        <v>3.207767</v>
      </c>
      <c r="I68">
        <f t="shared" si="7"/>
        <v>5.97</v>
      </c>
      <c r="J68">
        <f t="shared" si="4"/>
        <v>0.66</v>
      </c>
      <c r="K68">
        <f t="shared" si="5"/>
        <v>128.82</v>
      </c>
    </row>
    <row r="69" spans="1:11" x14ac:dyDescent="0.25">
      <c r="A69" t="s">
        <v>73</v>
      </c>
      <c r="B69" t="s">
        <v>202</v>
      </c>
      <c r="C69" t="s">
        <v>197</v>
      </c>
      <c r="D69">
        <v>4352.3999999999996</v>
      </c>
      <c r="E69">
        <v>0</v>
      </c>
      <c r="F69">
        <v>0</v>
      </c>
      <c r="G69">
        <v>0</v>
      </c>
      <c r="H69">
        <f t="shared" si="6"/>
        <v>4.352E-3</v>
      </c>
      <c r="I69">
        <f t="shared" si="7"/>
        <v>0</v>
      </c>
      <c r="J69">
        <f t="shared" si="4"/>
        <v>0</v>
      </c>
      <c r="K69">
        <f t="shared" si="5"/>
        <v>0</v>
      </c>
    </row>
    <row r="70" spans="1:11" x14ac:dyDescent="0.25">
      <c r="A70" t="s">
        <v>34</v>
      </c>
      <c r="B70" t="s">
        <v>203</v>
      </c>
      <c r="C70" t="s">
        <v>51</v>
      </c>
      <c r="D70">
        <v>470.05</v>
      </c>
      <c r="E70">
        <v>0</v>
      </c>
      <c r="F70">
        <v>0</v>
      </c>
      <c r="G70">
        <v>0</v>
      </c>
      <c r="H70">
        <f t="shared" si="6"/>
        <v>4.6999999999999999E-4</v>
      </c>
      <c r="I70">
        <f t="shared" si="7"/>
        <v>0</v>
      </c>
      <c r="J70">
        <f t="shared" si="4"/>
        <v>0</v>
      </c>
      <c r="K70">
        <f t="shared" si="5"/>
        <v>0</v>
      </c>
    </row>
    <row r="71" spans="1:11" x14ac:dyDescent="0.25">
      <c r="A71" t="s">
        <v>34</v>
      </c>
      <c r="B71" t="s">
        <v>84</v>
      </c>
      <c r="C71" t="s">
        <v>85</v>
      </c>
      <c r="D71">
        <v>397887.71360199997</v>
      </c>
      <c r="E71">
        <v>2.189495</v>
      </c>
      <c r="F71">
        <v>25.443494999999999</v>
      </c>
      <c r="G71">
        <v>258.13482499999998</v>
      </c>
      <c r="H71">
        <f t="shared" si="6"/>
        <v>0.39788800000000002</v>
      </c>
      <c r="I71">
        <f t="shared" si="7"/>
        <v>2.19</v>
      </c>
      <c r="J71">
        <f t="shared" si="4"/>
        <v>25.44</v>
      </c>
      <c r="K71">
        <f t="shared" si="5"/>
        <v>258.13</v>
      </c>
    </row>
    <row r="72" spans="1:11" x14ac:dyDescent="0.25">
      <c r="A72" t="s">
        <v>34</v>
      </c>
      <c r="B72" t="s">
        <v>167</v>
      </c>
      <c r="C72" t="s">
        <v>51</v>
      </c>
      <c r="D72">
        <v>193493.18</v>
      </c>
      <c r="E72">
        <v>1.545485</v>
      </c>
      <c r="F72">
        <v>3.5061659999999999</v>
      </c>
      <c r="G72">
        <v>164.545841</v>
      </c>
      <c r="H72">
        <f t="shared" si="6"/>
        <v>0.193493</v>
      </c>
      <c r="I72">
        <f t="shared" si="7"/>
        <v>1.55</v>
      </c>
      <c r="J72">
        <f t="shared" si="4"/>
        <v>3.51</v>
      </c>
      <c r="K72">
        <f t="shared" si="5"/>
        <v>164.55</v>
      </c>
    </row>
    <row r="73" spans="1:11" x14ac:dyDescent="0.25">
      <c r="A73" t="s">
        <v>34</v>
      </c>
      <c r="B73" t="s">
        <v>76</v>
      </c>
      <c r="C73" t="s">
        <v>51</v>
      </c>
      <c r="D73">
        <v>70344476.379999995</v>
      </c>
      <c r="E73">
        <v>604.01585499999999</v>
      </c>
      <c r="F73">
        <v>1370.301138</v>
      </c>
      <c r="G73">
        <v>64308.807162999998</v>
      </c>
      <c r="H73">
        <f t="shared" si="6"/>
        <v>70.344476</v>
      </c>
      <c r="I73">
        <f t="shared" si="7"/>
        <v>604.02</v>
      </c>
      <c r="J73">
        <f t="shared" si="4"/>
        <v>1370.3</v>
      </c>
      <c r="K73">
        <f t="shared" si="5"/>
        <v>64308.81</v>
      </c>
    </row>
    <row r="74" spans="1:11" x14ac:dyDescent="0.25">
      <c r="A74" t="s">
        <v>34</v>
      </c>
      <c r="B74" t="s">
        <v>105</v>
      </c>
      <c r="C74" t="s">
        <v>106</v>
      </c>
      <c r="D74">
        <v>6937.21</v>
      </c>
      <c r="E74">
        <v>1.149E-2</v>
      </c>
      <c r="F74">
        <v>2.0681999999999999E-2</v>
      </c>
      <c r="G74">
        <v>0.27729300000000001</v>
      </c>
      <c r="H74">
        <f t="shared" si="6"/>
        <v>6.9369999999999996E-3</v>
      </c>
      <c r="I74">
        <f t="shared" si="7"/>
        <v>0.01</v>
      </c>
      <c r="J74">
        <f t="shared" si="4"/>
        <v>0.02</v>
      </c>
      <c r="K74">
        <f t="shared" si="5"/>
        <v>0.28000000000000003</v>
      </c>
    </row>
    <row r="75" spans="1:11" x14ac:dyDescent="0.25">
      <c r="A75" t="s">
        <v>34</v>
      </c>
      <c r="B75" t="s">
        <v>70</v>
      </c>
      <c r="C75" t="s">
        <v>204</v>
      </c>
      <c r="D75">
        <v>114864.28</v>
      </c>
      <c r="E75">
        <v>0</v>
      </c>
      <c r="F75">
        <v>0</v>
      </c>
      <c r="G75">
        <v>0</v>
      </c>
      <c r="H75">
        <f t="shared" si="6"/>
        <v>0.11486399999999999</v>
      </c>
      <c r="I75">
        <f t="shared" si="7"/>
        <v>0</v>
      </c>
      <c r="J75">
        <f t="shared" si="4"/>
        <v>0</v>
      </c>
      <c r="K75">
        <f t="shared" si="5"/>
        <v>0</v>
      </c>
    </row>
    <row r="76" spans="1:11" x14ac:dyDescent="0.25">
      <c r="A76" t="s">
        <v>34</v>
      </c>
      <c r="B76" t="s">
        <v>50</v>
      </c>
      <c r="C76" t="s">
        <v>37</v>
      </c>
      <c r="D76">
        <v>25745015.690000001</v>
      </c>
      <c r="E76">
        <v>575.13617999999997</v>
      </c>
      <c r="F76">
        <v>1997.9907000000001</v>
      </c>
      <c r="G76">
        <v>75445.149479999993</v>
      </c>
      <c r="H76">
        <f t="shared" si="6"/>
        <v>25.745016</v>
      </c>
      <c r="I76">
        <f t="shared" si="7"/>
        <v>575.14</v>
      </c>
      <c r="J76">
        <f t="shared" si="4"/>
        <v>1997.99</v>
      </c>
      <c r="K76">
        <f t="shared" si="5"/>
        <v>75445.149999999994</v>
      </c>
    </row>
    <row r="77" spans="1:11" x14ac:dyDescent="0.25">
      <c r="A77" t="s">
        <v>34</v>
      </c>
      <c r="B77" t="s">
        <v>205</v>
      </c>
      <c r="C77" t="s">
        <v>104</v>
      </c>
      <c r="D77">
        <v>503.45</v>
      </c>
      <c r="E77">
        <v>0</v>
      </c>
      <c r="F77">
        <v>0</v>
      </c>
      <c r="G77">
        <v>0</v>
      </c>
      <c r="H77">
        <f t="shared" si="6"/>
        <v>5.0299999999999997E-4</v>
      </c>
      <c r="I77">
        <f t="shared" si="7"/>
        <v>0</v>
      </c>
      <c r="J77">
        <f t="shared" si="4"/>
        <v>0</v>
      </c>
      <c r="K77">
        <f t="shared" si="5"/>
        <v>0</v>
      </c>
    </row>
    <row r="78" spans="1:11" x14ac:dyDescent="0.25">
      <c r="A78" t="s">
        <v>34</v>
      </c>
      <c r="B78" t="s">
        <v>35</v>
      </c>
      <c r="C78" t="s">
        <v>36</v>
      </c>
      <c r="D78">
        <v>200532.01</v>
      </c>
      <c r="E78">
        <v>19.537323000000001</v>
      </c>
      <c r="F78">
        <v>8.432086</v>
      </c>
      <c r="G78">
        <v>549.08500400000003</v>
      </c>
      <c r="H78">
        <f t="shared" si="6"/>
        <v>0.20053199999999999</v>
      </c>
      <c r="I78">
        <f t="shared" si="7"/>
        <v>19.54</v>
      </c>
      <c r="J78">
        <f t="shared" si="4"/>
        <v>8.43</v>
      </c>
      <c r="K78">
        <f t="shared" si="5"/>
        <v>549.09</v>
      </c>
    </row>
    <row r="79" spans="1:11" x14ac:dyDescent="0.25">
      <c r="A79" t="s">
        <v>34</v>
      </c>
      <c r="B79" t="s">
        <v>35</v>
      </c>
      <c r="C79" t="s">
        <v>37</v>
      </c>
      <c r="D79">
        <v>5931259.0300000003</v>
      </c>
      <c r="E79">
        <v>112.79802599999999</v>
      </c>
      <c r="F79">
        <v>391.85399000000001</v>
      </c>
      <c r="G79">
        <v>14796.606836000001</v>
      </c>
      <c r="H79">
        <f t="shared" si="6"/>
        <v>5.9312589999999998</v>
      </c>
      <c r="I79">
        <f t="shared" si="7"/>
        <v>112.8</v>
      </c>
      <c r="J79">
        <f t="shared" si="4"/>
        <v>391.85</v>
      </c>
      <c r="K79">
        <f t="shared" si="5"/>
        <v>14796.61</v>
      </c>
    </row>
    <row r="80" spans="1:11" x14ac:dyDescent="0.25">
      <c r="A80" t="s">
        <v>34</v>
      </c>
      <c r="B80" t="s">
        <v>35</v>
      </c>
      <c r="C80" t="s">
        <v>172</v>
      </c>
      <c r="D80">
        <v>2122753.65</v>
      </c>
      <c r="E80">
        <v>119.5521</v>
      </c>
      <c r="F80">
        <v>168.54424</v>
      </c>
      <c r="G80">
        <v>6930.5300719999996</v>
      </c>
      <c r="H80">
        <f t="shared" si="6"/>
        <v>2.122754</v>
      </c>
      <c r="I80">
        <f t="shared" si="7"/>
        <v>119.55</v>
      </c>
      <c r="J80">
        <f t="shared" si="4"/>
        <v>168.54</v>
      </c>
      <c r="K80">
        <f t="shared" si="5"/>
        <v>6930.53</v>
      </c>
    </row>
    <row r="81" spans="1:11" x14ac:dyDescent="0.25">
      <c r="A81" t="s">
        <v>34</v>
      </c>
      <c r="B81" t="s">
        <v>206</v>
      </c>
      <c r="C81" t="s">
        <v>110</v>
      </c>
      <c r="D81">
        <v>5.79</v>
      </c>
      <c r="E81">
        <v>0</v>
      </c>
      <c r="F81">
        <v>0</v>
      </c>
      <c r="G81">
        <v>0</v>
      </c>
      <c r="H81">
        <f t="shared" si="6"/>
        <v>6.0000000000000002E-6</v>
      </c>
      <c r="I81">
        <f t="shared" si="7"/>
        <v>0</v>
      </c>
      <c r="J81">
        <f t="shared" si="4"/>
        <v>0</v>
      </c>
      <c r="K81">
        <f t="shared" si="5"/>
        <v>0</v>
      </c>
    </row>
    <row r="82" spans="1:11" x14ac:dyDescent="0.25">
      <c r="A82" t="s">
        <v>34</v>
      </c>
      <c r="B82" t="s">
        <v>70</v>
      </c>
      <c r="C82" t="s">
        <v>207</v>
      </c>
      <c r="D82">
        <v>-475.6</v>
      </c>
      <c r="E82">
        <v>0</v>
      </c>
      <c r="F82">
        <v>0</v>
      </c>
      <c r="G82">
        <v>0</v>
      </c>
      <c r="H82">
        <f t="shared" si="6"/>
        <v>-4.7600000000000002E-4</v>
      </c>
      <c r="I82">
        <f t="shared" si="7"/>
        <v>0</v>
      </c>
      <c r="J82">
        <f t="shared" si="4"/>
        <v>0</v>
      </c>
      <c r="K82">
        <f t="shared" si="5"/>
        <v>0</v>
      </c>
    </row>
    <row r="83" spans="1:11" x14ac:dyDescent="0.25">
      <c r="A83" t="s">
        <v>34</v>
      </c>
      <c r="B83" t="s">
        <v>152</v>
      </c>
      <c r="C83" t="s">
        <v>153</v>
      </c>
      <c r="D83">
        <v>768965.35</v>
      </c>
      <c r="E83">
        <v>19.262971</v>
      </c>
      <c r="F83">
        <v>4.5230639999999998</v>
      </c>
      <c r="G83">
        <v>3831.4113000000002</v>
      </c>
      <c r="H83">
        <f t="shared" si="6"/>
        <v>0.76896500000000001</v>
      </c>
      <c r="I83">
        <f t="shared" si="7"/>
        <v>19.260000000000002</v>
      </c>
      <c r="J83">
        <f t="shared" si="4"/>
        <v>4.5199999999999996</v>
      </c>
      <c r="K83">
        <f t="shared" si="5"/>
        <v>3831.41</v>
      </c>
    </row>
    <row r="84" spans="1:11" x14ac:dyDescent="0.25">
      <c r="A84" t="s">
        <v>34</v>
      </c>
      <c r="B84" t="s">
        <v>129</v>
      </c>
      <c r="C84" t="s">
        <v>65</v>
      </c>
      <c r="D84">
        <v>47904.18</v>
      </c>
      <c r="E84">
        <v>4.6267500000000004</v>
      </c>
      <c r="F84">
        <v>2.6738010000000001</v>
      </c>
      <c r="G84">
        <v>14.769081</v>
      </c>
      <c r="H84">
        <f t="shared" si="6"/>
        <v>4.7904000000000002E-2</v>
      </c>
      <c r="I84">
        <f t="shared" si="7"/>
        <v>4.63</v>
      </c>
      <c r="J84">
        <f t="shared" si="4"/>
        <v>2.67</v>
      </c>
      <c r="K84">
        <f t="shared" si="5"/>
        <v>14.77</v>
      </c>
    </row>
    <row r="85" spans="1:11" x14ac:dyDescent="0.25">
      <c r="A85" t="s">
        <v>34</v>
      </c>
      <c r="B85" t="s">
        <v>50</v>
      </c>
      <c r="C85" t="s">
        <v>51</v>
      </c>
      <c r="D85">
        <v>25249848.93</v>
      </c>
      <c r="E85">
        <v>154.41410999999999</v>
      </c>
      <c r="F85">
        <v>350.31171599999999</v>
      </c>
      <c r="G85">
        <v>16440.275765999999</v>
      </c>
      <c r="H85">
        <f t="shared" si="6"/>
        <v>25.249849000000001</v>
      </c>
      <c r="I85">
        <f t="shared" si="7"/>
        <v>154.41</v>
      </c>
      <c r="J85">
        <f t="shared" si="4"/>
        <v>350.31</v>
      </c>
      <c r="K85">
        <f t="shared" si="5"/>
        <v>16440.28</v>
      </c>
    </row>
    <row r="86" spans="1:11" x14ac:dyDescent="0.25">
      <c r="A86" t="s">
        <v>34</v>
      </c>
      <c r="B86" t="s">
        <v>208</v>
      </c>
      <c r="C86" t="s">
        <v>181</v>
      </c>
      <c r="D86">
        <v>5516.7</v>
      </c>
      <c r="E86">
        <v>0</v>
      </c>
      <c r="F86">
        <v>0</v>
      </c>
      <c r="G86">
        <v>0</v>
      </c>
      <c r="H86">
        <f t="shared" si="6"/>
        <v>5.5170000000000002E-3</v>
      </c>
      <c r="I86">
        <f t="shared" si="7"/>
        <v>0</v>
      </c>
      <c r="J86">
        <f t="shared" si="4"/>
        <v>0</v>
      </c>
      <c r="K86">
        <f t="shared" si="5"/>
        <v>0</v>
      </c>
    </row>
    <row r="87" spans="1:11" x14ac:dyDescent="0.25">
      <c r="A87" t="s">
        <v>34</v>
      </c>
      <c r="B87" t="s">
        <v>70</v>
      </c>
      <c r="C87" t="s">
        <v>209</v>
      </c>
      <c r="D87">
        <v>166989.24</v>
      </c>
      <c r="E87">
        <v>0</v>
      </c>
      <c r="F87">
        <v>0</v>
      </c>
      <c r="G87">
        <v>0</v>
      </c>
      <c r="H87">
        <f t="shared" si="6"/>
        <v>0.166989</v>
      </c>
      <c r="I87">
        <f t="shared" si="7"/>
        <v>0</v>
      </c>
      <c r="J87">
        <f t="shared" si="4"/>
        <v>0</v>
      </c>
      <c r="K87">
        <f t="shared" si="5"/>
        <v>0</v>
      </c>
    </row>
    <row r="88" spans="1:11" x14ac:dyDescent="0.25">
      <c r="A88" t="s">
        <v>34</v>
      </c>
      <c r="B88" t="s">
        <v>167</v>
      </c>
      <c r="C88" t="s">
        <v>210</v>
      </c>
      <c r="D88">
        <v>17.32</v>
      </c>
      <c r="E88">
        <v>0</v>
      </c>
      <c r="F88">
        <v>0</v>
      </c>
      <c r="G88">
        <v>0</v>
      </c>
      <c r="H88">
        <f t="shared" si="6"/>
        <v>1.7E-5</v>
      </c>
      <c r="I88">
        <f t="shared" si="7"/>
        <v>0</v>
      </c>
      <c r="J88">
        <f t="shared" si="4"/>
        <v>0</v>
      </c>
      <c r="K88">
        <f t="shared" si="5"/>
        <v>0</v>
      </c>
    </row>
    <row r="89" spans="1:11" x14ac:dyDescent="0.25">
      <c r="A89" t="s">
        <v>34</v>
      </c>
      <c r="B89" t="s">
        <v>70</v>
      </c>
      <c r="C89" t="s">
        <v>145</v>
      </c>
      <c r="D89">
        <v>924342.82</v>
      </c>
      <c r="E89">
        <v>2.6962869999999999</v>
      </c>
      <c r="F89">
        <v>2.1463860000000001</v>
      </c>
      <c r="G89">
        <v>70.067327000000006</v>
      </c>
      <c r="H89">
        <f t="shared" si="6"/>
        <v>0.92434300000000003</v>
      </c>
      <c r="I89">
        <f t="shared" si="7"/>
        <v>2.7</v>
      </c>
      <c r="J89">
        <f t="shared" si="4"/>
        <v>2.15</v>
      </c>
      <c r="K89">
        <f t="shared" si="5"/>
        <v>70.069999999999993</v>
      </c>
    </row>
    <row r="90" spans="1:11" x14ac:dyDescent="0.25">
      <c r="A90" t="s">
        <v>34</v>
      </c>
      <c r="B90" t="s">
        <v>211</v>
      </c>
      <c r="C90" t="s">
        <v>191</v>
      </c>
      <c r="D90">
        <v>88275</v>
      </c>
      <c r="E90">
        <v>0</v>
      </c>
      <c r="F90">
        <v>0</v>
      </c>
      <c r="G90">
        <v>0</v>
      </c>
      <c r="H90">
        <f t="shared" si="6"/>
        <v>8.8275000000000006E-2</v>
      </c>
      <c r="I90">
        <f t="shared" si="7"/>
        <v>0</v>
      </c>
      <c r="J90">
        <f t="shared" si="4"/>
        <v>0</v>
      </c>
      <c r="K90">
        <f t="shared" si="5"/>
        <v>0</v>
      </c>
    </row>
    <row r="91" spans="1:11" x14ac:dyDescent="0.25">
      <c r="A91" t="s">
        <v>34</v>
      </c>
      <c r="B91" t="s">
        <v>212</v>
      </c>
      <c r="C91" t="s">
        <v>213</v>
      </c>
      <c r="D91">
        <v>9426.6200000000008</v>
      </c>
      <c r="E91">
        <v>0</v>
      </c>
      <c r="F91">
        <v>0</v>
      </c>
      <c r="G91">
        <v>0</v>
      </c>
      <c r="H91">
        <f t="shared" si="6"/>
        <v>9.4269999999999996E-3</v>
      </c>
      <c r="I91">
        <f t="shared" si="7"/>
        <v>0</v>
      </c>
      <c r="J91">
        <f t="shared" si="4"/>
        <v>0</v>
      </c>
      <c r="K91">
        <f t="shared" si="5"/>
        <v>0</v>
      </c>
    </row>
    <row r="92" spans="1:11" x14ac:dyDescent="0.25">
      <c r="A92" t="s">
        <v>34</v>
      </c>
      <c r="B92" t="s">
        <v>115</v>
      </c>
      <c r="C92" t="s">
        <v>51</v>
      </c>
      <c r="D92">
        <v>1843059.77</v>
      </c>
      <c r="E92">
        <v>11.960710000000001</v>
      </c>
      <c r="F92">
        <v>27.134675999999999</v>
      </c>
      <c r="G92">
        <v>1273.441726</v>
      </c>
      <c r="H92">
        <f t="shared" si="6"/>
        <v>1.8430599999999999</v>
      </c>
      <c r="I92">
        <f t="shared" si="7"/>
        <v>11.96</v>
      </c>
      <c r="J92">
        <f t="shared" si="4"/>
        <v>27.13</v>
      </c>
      <c r="K92">
        <f t="shared" si="5"/>
        <v>1273.44</v>
      </c>
    </row>
    <row r="93" spans="1:11" x14ac:dyDescent="0.25">
      <c r="A93" t="s">
        <v>34</v>
      </c>
      <c r="B93" t="s">
        <v>214</v>
      </c>
      <c r="C93" t="s">
        <v>215</v>
      </c>
      <c r="D93">
        <v>841.88</v>
      </c>
      <c r="E93">
        <v>0</v>
      </c>
      <c r="F93">
        <v>0</v>
      </c>
      <c r="G93">
        <v>0</v>
      </c>
      <c r="H93">
        <f t="shared" si="6"/>
        <v>8.4199999999999998E-4</v>
      </c>
      <c r="I93">
        <f t="shared" si="7"/>
        <v>0</v>
      </c>
      <c r="J93">
        <f t="shared" si="4"/>
        <v>0</v>
      </c>
      <c r="K93">
        <f t="shared" si="5"/>
        <v>0</v>
      </c>
    </row>
    <row r="94" spans="1:11" x14ac:dyDescent="0.25">
      <c r="A94" t="s">
        <v>34</v>
      </c>
      <c r="B94" t="s">
        <v>99</v>
      </c>
      <c r="C94" t="s">
        <v>210</v>
      </c>
      <c r="D94">
        <v>5200.46</v>
      </c>
      <c r="E94">
        <v>0</v>
      </c>
      <c r="F94">
        <v>0</v>
      </c>
      <c r="G94">
        <v>0</v>
      </c>
      <c r="H94">
        <f t="shared" si="6"/>
        <v>5.1999999999999998E-3</v>
      </c>
      <c r="I94">
        <f t="shared" si="7"/>
        <v>0</v>
      </c>
      <c r="J94">
        <f t="shared" si="4"/>
        <v>0</v>
      </c>
      <c r="K94">
        <f t="shared" si="5"/>
        <v>0</v>
      </c>
    </row>
    <row r="95" spans="1:11" x14ac:dyDescent="0.25">
      <c r="A95" t="s">
        <v>34</v>
      </c>
      <c r="B95" t="s">
        <v>146</v>
      </c>
      <c r="C95" t="s">
        <v>51</v>
      </c>
      <c r="D95">
        <v>201240.27</v>
      </c>
      <c r="E95">
        <v>1.3439000000000001</v>
      </c>
      <c r="F95">
        <v>3.0488400000000002</v>
      </c>
      <c r="G95">
        <v>143.08333999999999</v>
      </c>
      <c r="H95">
        <f t="shared" si="6"/>
        <v>0.20124</v>
      </c>
      <c r="I95">
        <f t="shared" si="7"/>
        <v>1.34</v>
      </c>
      <c r="J95">
        <f t="shared" si="4"/>
        <v>3.05</v>
      </c>
      <c r="K95">
        <f t="shared" si="5"/>
        <v>143.08000000000001</v>
      </c>
    </row>
    <row r="96" spans="1:11" x14ac:dyDescent="0.25">
      <c r="A96" t="s">
        <v>34</v>
      </c>
      <c r="B96" t="s">
        <v>212</v>
      </c>
      <c r="C96" t="s">
        <v>178</v>
      </c>
      <c r="D96">
        <v>2275.4499999999998</v>
      </c>
      <c r="E96">
        <v>0</v>
      </c>
      <c r="F96">
        <v>0</v>
      </c>
      <c r="G96">
        <v>0</v>
      </c>
      <c r="H96">
        <f t="shared" si="6"/>
        <v>2.2750000000000001E-3</v>
      </c>
      <c r="I96">
        <f t="shared" si="7"/>
        <v>0</v>
      </c>
      <c r="J96">
        <f t="shared" si="4"/>
        <v>0</v>
      </c>
      <c r="K96">
        <f t="shared" si="5"/>
        <v>0</v>
      </c>
    </row>
    <row r="97" spans="1:11" x14ac:dyDescent="0.25">
      <c r="A97" t="s">
        <v>34</v>
      </c>
      <c r="B97" t="s">
        <v>216</v>
      </c>
      <c r="C97" t="s">
        <v>217</v>
      </c>
      <c r="D97">
        <v>537.17999999999995</v>
      </c>
      <c r="E97">
        <v>0</v>
      </c>
      <c r="F97">
        <v>0</v>
      </c>
      <c r="G97">
        <v>0</v>
      </c>
      <c r="H97">
        <f t="shared" si="6"/>
        <v>5.3700000000000004E-4</v>
      </c>
      <c r="I97">
        <f t="shared" si="7"/>
        <v>0</v>
      </c>
      <c r="J97">
        <f t="shared" si="4"/>
        <v>0</v>
      </c>
      <c r="K97">
        <f t="shared" si="5"/>
        <v>0</v>
      </c>
    </row>
    <row r="98" spans="1:11" x14ac:dyDescent="0.25">
      <c r="A98" t="s">
        <v>34</v>
      </c>
      <c r="B98" t="s">
        <v>76</v>
      </c>
      <c r="C98" t="s">
        <v>77</v>
      </c>
      <c r="D98">
        <v>856443.12</v>
      </c>
      <c r="E98">
        <v>4.2881650000000002</v>
      </c>
      <c r="F98">
        <v>6.5378249999999998</v>
      </c>
      <c r="G98">
        <v>125.757564</v>
      </c>
      <c r="H98">
        <f t="shared" si="6"/>
        <v>0.85644299999999995</v>
      </c>
      <c r="I98">
        <f t="shared" si="7"/>
        <v>4.29</v>
      </c>
      <c r="J98">
        <f t="shared" si="4"/>
        <v>6.54</v>
      </c>
      <c r="K98">
        <f t="shared" si="5"/>
        <v>125.76</v>
      </c>
    </row>
    <row r="99" spans="1:11" x14ac:dyDescent="0.25">
      <c r="A99" t="s">
        <v>34</v>
      </c>
      <c r="B99" t="s">
        <v>114</v>
      </c>
      <c r="C99" t="s">
        <v>132</v>
      </c>
      <c r="D99">
        <v>13021421.220000001</v>
      </c>
      <c r="E99">
        <v>89.695802</v>
      </c>
      <c r="F99">
        <v>218.049466</v>
      </c>
      <c r="G99">
        <v>10552.118225</v>
      </c>
      <c r="H99">
        <f t="shared" si="6"/>
        <v>13.021421</v>
      </c>
      <c r="I99">
        <f t="shared" si="7"/>
        <v>89.7</v>
      </c>
      <c r="J99">
        <f t="shared" si="4"/>
        <v>218.05</v>
      </c>
      <c r="K99">
        <f t="shared" si="5"/>
        <v>10552.12</v>
      </c>
    </row>
    <row r="100" spans="1:11" x14ac:dyDescent="0.25">
      <c r="A100" t="s">
        <v>34</v>
      </c>
      <c r="B100" t="s">
        <v>218</v>
      </c>
      <c r="C100" t="s">
        <v>219</v>
      </c>
      <c r="D100">
        <v>1047.53</v>
      </c>
      <c r="E100">
        <v>0</v>
      </c>
      <c r="F100">
        <v>0</v>
      </c>
      <c r="G100">
        <v>0</v>
      </c>
      <c r="H100">
        <f t="shared" si="6"/>
        <v>1.0480000000000001E-3</v>
      </c>
      <c r="I100">
        <f t="shared" si="7"/>
        <v>0</v>
      </c>
      <c r="J100">
        <f t="shared" si="4"/>
        <v>0</v>
      </c>
      <c r="K100">
        <f t="shared" si="5"/>
        <v>0</v>
      </c>
    </row>
    <row r="101" spans="1:11" x14ac:dyDescent="0.25">
      <c r="A101" t="s">
        <v>34</v>
      </c>
      <c r="B101" t="s">
        <v>84</v>
      </c>
      <c r="C101" t="s">
        <v>88</v>
      </c>
      <c r="D101">
        <v>1549005.18</v>
      </c>
      <c r="E101">
        <v>2326.685504</v>
      </c>
      <c r="F101">
        <v>298.653751</v>
      </c>
      <c r="G101">
        <v>1310.477304</v>
      </c>
      <c r="H101">
        <f t="shared" si="6"/>
        <v>1.549005</v>
      </c>
      <c r="I101">
        <f t="shared" si="7"/>
        <v>2326.69</v>
      </c>
      <c r="J101">
        <f t="shared" si="4"/>
        <v>298.64999999999998</v>
      </c>
      <c r="K101">
        <f t="shared" si="5"/>
        <v>1310.48</v>
      </c>
    </row>
    <row r="102" spans="1:11" x14ac:dyDescent="0.25">
      <c r="A102" t="s">
        <v>34</v>
      </c>
      <c r="B102" t="s">
        <v>220</v>
      </c>
      <c r="C102" t="s">
        <v>221</v>
      </c>
      <c r="D102">
        <v>2747.26</v>
      </c>
      <c r="E102">
        <v>0</v>
      </c>
      <c r="F102">
        <v>0</v>
      </c>
      <c r="G102">
        <v>0</v>
      </c>
      <c r="H102">
        <f t="shared" si="6"/>
        <v>2.7469999999999999E-3</v>
      </c>
      <c r="I102">
        <f t="shared" si="7"/>
        <v>0</v>
      </c>
      <c r="J102">
        <f t="shared" si="4"/>
        <v>0</v>
      </c>
      <c r="K102">
        <f t="shared" si="5"/>
        <v>0</v>
      </c>
    </row>
    <row r="103" spans="1:11" x14ac:dyDescent="0.25">
      <c r="A103" t="s">
        <v>34</v>
      </c>
      <c r="B103" t="s">
        <v>70</v>
      </c>
      <c r="C103" t="s">
        <v>113</v>
      </c>
      <c r="D103">
        <v>2516.9</v>
      </c>
      <c r="E103">
        <v>0</v>
      </c>
      <c r="F103">
        <v>0</v>
      </c>
      <c r="G103">
        <v>0</v>
      </c>
      <c r="H103">
        <f t="shared" si="6"/>
        <v>2.5170000000000001E-3</v>
      </c>
      <c r="I103">
        <f t="shared" si="7"/>
        <v>0</v>
      </c>
      <c r="J103">
        <f t="shared" si="4"/>
        <v>0</v>
      </c>
      <c r="K103">
        <f t="shared" si="5"/>
        <v>0</v>
      </c>
    </row>
    <row r="104" spans="1:11" x14ac:dyDescent="0.25">
      <c r="A104" t="s">
        <v>34</v>
      </c>
      <c r="B104" t="s">
        <v>114</v>
      </c>
      <c r="C104" t="s">
        <v>222</v>
      </c>
      <c r="D104">
        <v>53.27</v>
      </c>
      <c r="E104">
        <v>0</v>
      </c>
      <c r="F104">
        <v>0</v>
      </c>
      <c r="G104">
        <v>0</v>
      </c>
      <c r="H104">
        <f t="shared" si="6"/>
        <v>5.3000000000000001E-5</v>
      </c>
      <c r="I104">
        <f t="shared" si="7"/>
        <v>0</v>
      </c>
      <c r="J104">
        <f t="shared" si="4"/>
        <v>0</v>
      </c>
      <c r="K104">
        <f t="shared" si="5"/>
        <v>0</v>
      </c>
    </row>
    <row r="105" spans="1:11" x14ac:dyDescent="0.25">
      <c r="A105" t="s">
        <v>34</v>
      </c>
      <c r="B105" t="s">
        <v>155</v>
      </c>
      <c r="C105" t="s">
        <v>88</v>
      </c>
      <c r="D105">
        <v>34807813.210000001</v>
      </c>
      <c r="E105">
        <v>53182.199615999998</v>
      </c>
      <c r="F105">
        <v>6826.4762790000004</v>
      </c>
      <c r="G105">
        <v>29954.227104000001</v>
      </c>
      <c r="H105">
        <f t="shared" si="6"/>
        <v>34.807813000000003</v>
      </c>
      <c r="I105">
        <f t="shared" si="7"/>
        <v>53182.2</v>
      </c>
      <c r="J105">
        <f t="shared" si="4"/>
        <v>6826.48</v>
      </c>
      <c r="K105">
        <f t="shared" si="5"/>
        <v>29954.23</v>
      </c>
    </row>
    <row r="106" spans="1:11" x14ac:dyDescent="0.25">
      <c r="A106" t="s">
        <v>34</v>
      </c>
      <c r="B106" t="s">
        <v>114</v>
      </c>
      <c r="C106" t="s">
        <v>71</v>
      </c>
      <c r="D106">
        <v>1064731.76</v>
      </c>
      <c r="E106">
        <v>1.334025</v>
      </c>
      <c r="F106">
        <v>2.6121810000000001</v>
      </c>
      <c r="G106">
        <v>137.71444500000001</v>
      </c>
      <c r="H106">
        <f t="shared" si="6"/>
        <v>1.064732</v>
      </c>
      <c r="I106">
        <f t="shared" si="7"/>
        <v>1.33</v>
      </c>
      <c r="J106">
        <f t="shared" si="4"/>
        <v>2.61</v>
      </c>
      <c r="K106">
        <f t="shared" si="5"/>
        <v>137.71</v>
      </c>
    </row>
    <row r="107" spans="1:11" x14ac:dyDescent="0.25">
      <c r="A107" t="s">
        <v>34</v>
      </c>
      <c r="B107" t="s">
        <v>216</v>
      </c>
      <c r="C107" t="s">
        <v>223</v>
      </c>
      <c r="D107">
        <v>624.94000000000005</v>
      </c>
      <c r="E107">
        <v>0</v>
      </c>
      <c r="F107">
        <v>0</v>
      </c>
      <c r="G107">
        <v>0</v>
      </c>
      <c r="H107">
        <f t="shared" si="6"/>
        <v>6.2500000000000001E-4</v>
      </c>
      <c r="I107">
        <f t="shared" si="7"/>
        <v>0</v>
      </c>
      <c r="J107">
        <f t="shared" si="4"/>
        <v>0</v>
      </c>
      <c r="K107">
        <f t="shared" si="5"/>
        <v>0</v>
      </c>
    </row>
    <row r="108" spans="1:11" x14ac:dyDescent="0.25">
      <c r="A108" t="s">
        <v>34</v>
      </c>
      <c r="B108" t="s">
        <v>70</v>
      </c>
      <c r="C108" t="s">
        <v>71</v>
      </c>
      <c r="D108">
        <v>1461714.79</v>
      </c>
      <c r="E108">
        <v>5.6999250000000004</v>
      </c>
      <c r="F108">
        <v>11.161137</v>
      </c>
      <c r="G108">
        <v>588.41627200000005</v>
      </c>
      <c r="H108">
        <f t="shared" si="6"/>
        <v>1.4617150000000001</v>
      </c>
      <c r="I108">
        <f t="shared" si="7"/>
        <v>5.7</v>
      </c>
      <c r="J108">
        <f t="shared" si="4"/>
        <v>11.16</v>
      </c>
      <c r="K108">
        <f t="shared" si="5"/>
        <v>588.41999999999996</v>
      </c>
    </row>
    <row r="109" spans="1:11" x14ac:dyDescent="0.25">
      <c r="A109" t="s">
        <v>34</v>
      </c>
      <c r="B109" t="s">
        <v>50</v>
      </c>
      <c r="C109" t="s">
        <v>91</v>
      </c>
      <c r="D109">
        <v>4502035.12</v>
      </c>
      <c r="E109">
        <v>80.053897000000006</v>
      </c>
      <c r="F109">
        <v>167.29279600000001</v>
      </c>
      <c r="G109">
        <v>6785.488754</v>
      </c>
      <c r="H109">
        <f t="shared" si="6"/>
        <v>4.5020350000000002</v>
      </c>
      <c r="I109">
        <f t="shared" si="7"/>
        <v>80.05</v>
      </c>
      <c r="J109">
        <f t="shared" si="4"/>
        <v>167.29</v>
      </c>
      <c r="K109">
        <f t="shared" si="5"/>
        <v>6785.49</v>
      </c>
    </row>
    <row r="110" spans="1:11" x14ac:dyDescent="0.25">
      <c r="A110" t="s">
        <v>34</v>
      </c>
      <c r="B110" t="s">
        <v>99</v>
      </c>
      <c r="C110" t="s">
        <v>37</v>
      </c>
      <c r="D110">
        <v>1303617.73</v>
      </c>
      <c r="E110">
        <v>28.97973</v>
      </c>
      <c r="F110">
        <v>100.67395</v>
      </c>
      <c r="G110">
        <v>3801.4997800000001</v>
      </c>
      <c r="H110">
        <f t="shared" si="6"/>
        <v>1.3036179999999999</v>
      </c>
      <c r="I110">
        <f t="shared" si="7"/>
        <v>28.98</v>
      </c>
      <c r="J110">
        <f t="shared" si="4"/>
        <v>100.67</v>
      </c>
      <c r="K110">
        <f t="shared" si="5"/>
        <v>3801.5</v>
      </c>
    </row>
    <row r="111" spans="1:11" x14ac:dyDescent="0.25">
      <c r="A111" t="s">
        <v>61</v>
      </c>
      <c r="B111" t="s">
        <v>82</v>
      </c>
      <c r="C111" t="s">
        <v>83</v>
      </c>
      <c r="D111">
        <v>199060754.43000001</v>
      </c>
      <c r="E111">
        <v>357.33287999999999</v>
      </c>
      <c r="F111">
        <v>389.18862000000001</v>
      </c>
      <c r="G111">
        <v>153369.24204000001</v>
      </c>
      <c r="H111">
        <f t="shared" si="6"/>
        <v>199.060754</v>
      </c>
      <c r="I111">
        <f t="shared" si="7"/>
        <v>357.33</v>
      </c>
      <c r="J111">
        <f t="shared" si="4"/>
        <v>389.19</v>
      </c>
      <c r="K111">
        <f t="shared" si="5"/>
        <v>153369.24</v>
      </c>
    </row>
    <row r="112" spans="1:11" x14ac:dyDescent="0.25">
      <c r="A112" t="s">
        <v>61</v>
      </c>
      <c r="B112" t="s">
        <v>224</v>
      </c>
      <c r="C112" t="s">
        <v>225</v>
      </c>
      <c r="D112">
        <v>50290.35</v>
      </c>
      <c r="E112">
        <v>0</v>
      </c>
      <c r="F112">
        <v>0</v>
      </c>
      <c r="G112">
        <v>0</v>
      </c>
      <c r="H112">
        <f t="shared" si="6"/>
        <v>5.0290000000000001E-2</v>
      </c>
      <c r="I112">
        <f t="shared" si="7"/>
        <v>0</v>
      </c>
      <c r="J112">
        <f t="shared" si="4"/>
        <v>0</v>
      </c>
      <c r="K112">
        <f t="shared" si="5"/>
        <v>0</v>
      </c>
    </row>
    <row r="113" spans="1:11" x14ac:dyDescent="0.25">
      <c r="A113" t="s">
        <v>61</v>
      </c>
      <c r="B113" t="s">
        <v>66</v>
      </c>
      <c r="C113" t="s">
        <v>49</v>
      </c>
      <c r="D113">
        <v>230847.57</v>
      </c>
      <c r="E113">
        <v>1.610617</v>
      </c>
      <c r="F113">
        <v>6.6236220000000001</v>
      </c>
      <c r="G113">
        <v>3.9497719999999998</v>
      </c>
      <c r="H113">
        <f t="shared" si="6"/>
        <v>0.230848</v>
      </c>
      <c r="I113">
        <f t="shared" si="7"/>
        <v>1.61</v>
      </c>
      <c r="J113">
        <f t="shared" si="4"/>
        <v>6.62</v>
      </c>
      <c r="K113">
        <f t="shared" si="5"/>
        <v>3.95</v>
      </c>
    </row>
    <row r="114" spans="1:11" x14ac:dyDescent="0.25">
      <c r="A114" t="s">
        <v>61</v>
      </c>
      <c r="B114" t="s">
        <v>116</v>
      </c>
      <c r="C114" t="s">
        <v>117</v>
      </c>
      <c r="D114">
        <v>13493287.050000001</v>
      </c>
      <c r="E114">
        <v>351.129864</v>
      </c>
      <c r="F114">
        <v>207.83868000000001</v>
      </c>
      <c r="G114">
        <v>1196.6286480000001</v>
      </c>
      <c r="H114">
        <f t="shared" si="6"/>
        <v>13.493287</v>
      </c>
      <c r="I114">
        <f t="shared" si="7"/>
        <v>351.13</v>
      </c>
      <c r="J114">
        <f t="shared" si="4"/>
        <v>207.84</v>
      </c>
      <c r="K114">
        <f t="shared" si="5"/>
        <v>1196.6300000000001</v>
      </c>
    </row>
    <row r="115" spans="1:11" x14ac:dyDescent="0.25">
      <c r="A115" t="s">
        <v>61</v>
      </c>
      <c r="B115" t="s">
        <v>62</v>
      </c>
      <c r="C115" t="s">
        <v>63</v>
      </c>
      <c r="D115">
        <v>272711.62</v>
      </c>
      <c r="E115">
        <v>3.9794520000000002</v>
      </c>
      <c r="F115">
        <v>0.44031599999999999</v>
      </c>
      <c r="G115">
        <v>85.877529999999993</v>
      </c>
      <c r="H115">
        <f t="shared" si="6"/>
        <v>0.27271200000000001</v>
      </c>
      <c r="I115">
        <f t="shared" si="7"/>
        <v>3.98</v>
      </c>
      <c r="J115">
        <f t="shared" si="4"/>
        <v>0.44</v>
      </c>
      <c r="K115">
        <f t="shared" si="5"/>
        <v>85.88</v>
      </c>
    </row>
    <row r="116" spans="1:11" x14ac:dyDescent="0.25">
      <c r="A116" t="s">
        <v>61</v>
      </c>
      <c r="B116" t="s">
        <v>226</v>
      </c>
      <c r="C116" t="s">
        <v>227</v>
      </c>
      <c r="D116">
        <v>2021.49</v>
      </c>
      <c r="E116">
        <v>0</v>
      </c>
      <c r="F116">
        <v>0</v>
      </c>
      <c r="G116">
        <v>0</v>
      </c>
      <c r="H116">
        <f t="shared" si="6"/>
        <v>2.0209999999999998E-3</v>
      </c>
      <c r="I116">
        <f t="shared" si="7"/>
        <v>0</v>
      </c>
      <c r="J116">
        <f t="shared" si="4"/>
        <v>0</v>
      </c>
      <c r="K116">
        <f t="shared" si="5"/>
        <v>0</v>
      </c>
    </row>
    <row r="117" spans="1:11" x14ac:dyDescent="0.25">
      <c r="A117" t="s">
        <v>61</v>
      </c>
      <c r="B117" t="s">
        <v>122</v>
      </c>
      <c r="C117" t="s">
        <v>49</v>
      </c>
      <c r="D117">
        <v>81771.839999999997</v>
      </c>
      <c r="E117">
        <v>0.54700199999999999</v>
      </c>
      <c r="F117">
        <v>2.2495319999999999</v>
      </c>
      <c r="G117">
        <v>1.341432</v>
      </c>
      <c r="H117">
        <f t="shared" si="6"/>
        <v>8.1771999999999997E-2</v>
      </c>
      <c r="I117">
        <f t="shared" si="7"/>
        <v>0.55000000000000004</v>
      </c>
      <c r="J117">
        <f t="shared" si="4"/>
        <v>2.25</v>
      </c>
      <c r="K117">
        <f t="shared" si="5"/>
        <v>1.34</v>
      </c>
    </row>
    <row r="118" spans="1:11" x14ac:dyDescent="0.25">
      <c r="A118" t="s">
        <v>61</v>
      </c>
      <c r="B118" t="s">
        <v>66</v>
      </c>
      <c r="C118" t="s">
        <v>51</v>
      </c>
      <c r="D118">
        <v>120.99</v>
      </c>
      <c r="E118">
        <v>0</v>
      </c>
      <c r="F118">
        <v>0</v>
      </c>
      <c r="G118">
        <v>0</v>
      </c>
      <c r="H118">
        <f t="shared" si="6"/>
        <v>1.21E-4</v>
      </c>
      <c r="I118">
        <f t="shared" si="7"/>
        <v>0</v>
      </c>
      <c r="J118">
        <f t="shared" si="4"/>
        <v>0</v>
      </c>
      <c r="K118">
        <f t="shared" si="5"/>
        <v>0</v>
      </c>
    </row>
    <row r="119" spans="1:11" x14ac:dyDescent="0.25">
      <c r="A119" t="s">
        <v>61</v>
      </c>
      <c r="B119" t="s">
        <v>224</v>
      </c>
      <c r="C119" t="s">
        <v>60</v>
      </c>
      <c r="D119">
        <v>40.29</v>
      </c>
      <c r="E119">
        <v>0</v>
      </c>
      <c r="F119">
        <v>0</v>
      </c>
      <c r="G119">
        <v>0</v>
      </c>
      <c r="H119">
        <f t="shared" si="6"/>
        <v>4.0000000000000003E-5</v>
      </c>
      <c r="I119">
        <f t="shared" si="7"/>
        <v>0</v>
      </c>
      <c r="J119">
        <f t="shared" si="4"/>
        <v>0</v>
      </c>
      <c r="K119">
        <f t="shared" si="5"/>
        <v>0</v>
      </c>
    </row>
    <row r="120" spans="1:11" x14ac:dyDescent="0.25">
      <c r="A120" t="s">
        <v>133</v>
      </c>
      <c r="B120" t="s">
        <v>134</v>
      </c>
      <c r="C120" t="s">
        <v>51</v>
      </c>
      <c r="D120">
        <v>18002.490000000002</v>
      </c>
      <c r="E120">
        <v>0</v>
      </c>
      <c r="F120">
        <v>0</v>
      </c>
      <c r="G120">
        <v>0</v>
      </c>
      <c r="H120">
        <f t="shared" si="6"/>
        <v>1.8002000000000001E-2</v>
      </c>
      <c r="I120">
        <f t="shared" si="7"/>
        <v>0</v>
      </c>
      <c r="J120">
        <f t="shared" si="4"/>
        <v>0</v>
      </c>
      <c r="K120">
        <f t="shared" si="5"/>
        <v>0</v>
      </c>
    </row>
    <row r="121" spans="1:11" x14ac:dyDescent="0.25">
      <c r="A121" t="s">
        <v>133</v>
      </c>
      <c r="B121" t="s">
        <v>134</v>
      </c>
      <c r="C121" t="s">
        <v>135</v>
      </c>
      <c r="D121">
        <v>413760.39</v>
      </c>
      <c r="E121">
        <v>2.6</v>
      </c>
      <c r="F121">
        <v>1.216982</v>
      </c>
      <c r="G121">
        <v>305.91743000000002</v>
      </c>
      <c r="H121">
        <f t="shared" si="6"/>
        <v>0.41376000000000002</v>
      </c>
      <c r="I121">
        <f t="shared" si="7"/>
        <v>2.6</v>
      </c>
      <c r="J121">
        <f t="shared" si="4"/>
        <v>1.22</v>
      </c>
      <c r="K121">
        <f t="shared" si="5"/>
        <v>305.92</v>
      </c>
    </row>
    <row r="122" spans="1:11" x14ac:dyDescent="0.25">
      <c r="A122" t="s">
        <v>41</v>
      </c>
      <c r="B122" t="s">
        <v>228</v>
      </c>
      <c r="C122" t="s">
        <v>43</v>
      </c>
      <c r="D122">
        <v>0.01</v>
      </c>
      <c r="E122">
        <v>0</v>
      </c>
      <c r="F122">
        <v>0</v>
      </c>
      <c r="G122">
        <v>0</v>
      </c>
      <c r="H122">
        <f t="shared" si="6"/>
        <v>0</v>
      </c>
      <c r="I122">
        <f t="shared" si="7"/>
        <v>0</v>
      </c>
      <c r="J122">
        <f t="shared" si="4"/>
        <v>0</v>
      </c>
      <c r="K122">
        <f t="shared" si="5"/>
        <v>0</v>
      </c>
    </row>
    <row r="123" spans="1:11" x14ac:dyDescent="0.25">
      <c r="A123" t="s">
        <v>41</v>
      </c>
      <c r="B123" t="s">
        <v>164</v>
      </c>
      <c r="C123" t="s">
        <v>165</v>
      </c>
      <c r="D123">
        <v>75558.789999999994</v>
      </c>
      <c r="E123">
        <v>6.4000000000000003E-3</v>
      </c>
      <c r="F123">
        <v>0.14102799999999999</v>
      </c>
      <c r="G123">
        <v>1.136312</v>
      </c>
      <c r="H123">
        <f t="shared" si="6"/>
        <v>7.5559000000000001E-2</v>
      </c>
      <c r="I123">
        <f t="shared" si="7"/>
        <v>0.01</v>
      </c>
      <c r="J123">
        <f t="shared" si="4"/>
        <v>0.14000000000000001</v>
      </c>
      <c r="K123">
        <f t="shared" si="5"/>
        <v>1.1399999999999999</v>
      </c>
    </row>
    <row r="124" spans="1:11" x14ac:dyDescent="0.25">
      <c r="A124" t="s">
        <v>41</v>
      </c>
      <c r="B124" t="s">
        <v>229</v>
      </c>
      <c r="C124" t="s">
        <v>230</v>
      </c>
      <c r="D124">
        <v>136</v>
      </c>
      <c r="E124">
        <v>0</v>
      </c>
      <c r="F124">
        <v>0</v>
      </c>
      <c r="G124">
        <v>0</v>
      </c>
      <c r="H124">
        <f t="shared" si="6"/>
        <v>1.36E-4</v>
      </c>
      <c r="I124">
        <f t="shared" si="7"/>
        <v>0</v>
      </c>
      <c r="J124">
        <f t="shared" si="4"/>
        <v>0</v>
      </c>
      <c r="K124">
        <f t="shared" si="5"/>
        <v>0</v>
      </c>
    </row>
    <row r="125" spans="1:11" x14ac:dyDescent="0.25">
      <c r="A125" t="s">
        <v>41</v>
      </c>
      <c r="B125" t="s">
        <v>231</v>
      </c>
      <c r="C125" t="s">
        <v>172</v>
      </c>
      <c r="D125">
        <v>4.37</v>
      </c>
      <c r="E125">
        <v>0</v>
      </c>
      <c r="F125">
        <v>0</v>
      </c>
      <c r="G125">
        <v>0</v>
      </c>
      <c r="H125">
        <f t="shared" si="6"/>
        <v>3.9999999999999998E-6</v>
      </c>
      <c r="I125">
        <f t="shared" si="7"/>
        <v>0</v>
      </c>
      <c r="J125">
        <f t="shared" si="4"/>
        <v>0</v>
      </c>
      <c r="K125">
        <f t="shared" si="5"/>
        <v>0</v>
      </c>
    </row>
    <row r="126" spans="1:11" x14ac:dyDescent="0.25">
      <c r="A126" t="s">
        <v>41</v>
      </c>
      <c r="B126" t="s">
        <v>232</v>
      </c>
      <c r="C126" t="s">
        <v>199</v>
      </c>
      <c r="D126">
        <v>812.76</v>
      </c>
      <c r="E126">
        <v>0</v>
      </c>
      <c r="F126">
        <v>0</v>
      </c>
      <c r="G126">
        <v>0</v>
      </c>
      <c r="H126">
        <f t="shared" si="6"/>
        <v>8.1300000000000003E-4</v>
      </c>
      <c r="I126">
        <f t="shared" si="7"/>
        <v>0</v>
      </c>
      <c r="J126">
        <f t="shared" si="4"/>
        <v>0</v>
      </c>
      <c r="K126">
        <f t="shared" si="5"/>
        <v>0</v>
      </c>
    </row>
    <row r="127" spans="1:11" x14ac:dyDescent="0.25">
      <c r="A127" t="s">
        <v>41</v>
      </c>
      <c r="B127" t="s">
        <v>42</v>
      </c>
      <c r="C127" t="s">
        <v>43</v>
      </c>
      <c r="D127">
        <v>2167549.6</v>
      </c>
      <c r="E127">
        <v>3.5500630000000002</v>
      </c>
      <c r="F127">
        <v>35.178626999999999</v>
      </c>
      <c r="G127">
        <v>295.75298500000002</v>
      </c>
      <c r="H127">
        <f t="shared" si="6"/>
        <v>2.1675499999999999</v>
      </c>
      <c r="I127">
        <f t="shared" si="7"/>
        <v>3.55</v>
      </c>
      <c r="J127">
        <f t="shared" si="4"/>
        <v>35.18</v>
      </c>
      <c r="K127">
        <f t="shared" si="5"/>
        <v>295.75</v>
      </c>
    </row>
    <row r="128" spans="1:11" x14ac:dyDescent="0.25">
      <c r="A128" t="s">
        <v>41</v>
      </c>
      <c r="B128" t="s">
        <v>72</v>
      </c>
      <c r="C128" t="s">
        <v>43</v>
      </c>
      <c r="D128">
        <v>3864784.8018999998</v>
      </c>
      <c r="E128">
        <v>6.3220299999999998</v>
      </c>
      <c r="F128">
        <v>62.64687</v>
      </c>
      <c r="G128">
        <v>526.68339900000001</v>
      </c>
      <c r="H128">
        <f t="shared" si="6"/>
        <v>3.8647849999999999</v>
      </c>
      <c r="I128">
        <f t="shared" si="7"/>
        <v>6.32</v>
      </c>
      <c r="J128">
        <f t="shared" si="4"/>
        <v>62.65</v>
      </c>
      <c r="K128">
        <f t="shared" si="5"/>
        <v>526.67999999999995</v>
      </c>
    </row>
    <row r="129" spans="1:11" x14ac:dyDescent="0.25">
      <c r="A129" t="s">
        <v>41</v>
      </c>
      <c r="B129" t="s">
        <v>156</v>
      </c>
      <c r="C129" t="s">
        <v>43</v>
      </c>
      <c r="D129">
        <v>12605.34</v>
      </c>
      <c r="E129">
        <v>1.7683999999999998E-2</v>
      </c>
      <c r="F129">
        <v>0.175236</v>
      </c>
      <c r="G129">
        <v>1.4732400000000001</v>
      </c>
      <c r="H129">
        <f t="shared" si="6"/>
        <v>1.2605E-2</v>
      </c>
      <c r="I129">
        <f t="shared" si="7"/>
        <v>0.02</v>
      </c>
      <c r="J129">
        <f t="shared" si="4"/>
        <v>0.18</v>
      </c>
      <c r="K129">
        <f t="shared" si="5"/>
        <v>1.47</v>
      </c>
    </row>
    <row r="130" spans="1:11" x14ac:dyDescent="0.25">
      <c r="A130" t="s">
        <v>41</v>
      </c>
      <c r="B130" t="s">
        <v>161</v>
      </c>
      <c r="C130" t="s">
        <v>185</v>
      </c>
      <c r="D130">
        <v>189.72</v>
      </c>
      <c r="E130">
        <v>0</v>
      </c>
      <c r="F130">
        <v>0</v>
      </c>
      <c r="G130">
        <v>0</v>
      </c>
      <c r="H130">
        <f t="shared" si="6"/>
        <v>1.9000000000000001E-4</v>
      </c>
      <c r="I130">
        <f t="shared" si="7"/>
        <v>0</v>
      </c>
      <c r="J130">
        <f t="shared" ref="J130:J162" si="8">+ROUND(F130,2)</f>
        <v>0</v>
      </c>
      <c r="K130">
        <f t="shared" ref="K130:K162" si="9">+ROUND(G130,2)</f>
        <v>0</v>
      </c>
    </row>
    <row r="131" spans="1:11" x14ac:dyDescent="0.25">
      <c r="A131" t="s">
        <v>41</v>
      </c>
      <c r="B131" t="s">
        <v>137</v>
      </c>
      <c r="C131" t="s">
        <v>43</v>
      </c>
      <c r="D131">
        <v>7324.44</v>
      </c>
      <c r="E131">
        <v>8.8419999999999992E-3</v>
      </c>
      <c r="F131">
        <v>8.7618000000000001E-2</v>
      </c>
      <c r="G131">
        <v>0.73662000000000005</v>
      </c>
      <c r="H131">
        <f t="shared" ref="H131:H162" si="10">+ROUND(D131,0)/1000000</f>
        <v>7.3239999999999998E-3</v>
      </c>
      <c r="I131">
        <f t="shared" ref="I131:I162" si="11">+ROUND(E131,2)</f>
        <v>0.01</v>
      </c>
      <c r="J131">
        <f t="shared" si="8"/>
        <v>0.09</v>
      </c>
      <c r="K131">
        <f t="shared" si="9"/>
        <v>0.74</v>
      </c>
    </row>
    <row r="132" spans="1:11" x14ac:dyDescent="0.25">
      <c r="A132" t="s">
        <v>41</v>
      </c>
      <c r="B132" t="s">
        <v>158</v>
      </c>
      <c r="C132" t="s">
        <v>43</v>
      </c>
      <c r="D132">
        <v>17953.689999999999</v>
      </c>
      <c r="E132">
        <v>1.3263E-2</v>
      </c>
      <c r="F132">
        <v>0.13142699999999999</v>
      </c>
      <c r="G132">
        <v>1.10493</v>
      </c>
      <c r="H132">
        <f t="shared" si="10"/>
        <v>1.7954000000000001E-2</v>
      </c>
      <c r="I132">
        <f t="shared" si="11"/>
        <v>0.01</v>
      </c>
      <c r="J132">
        <f t="shared" si="8"/>
        <v>0.13</v>
      </c>
      <c r="K132">
        <f t="shared" si="9"/>
        <v>1.1000000000000001</v>
      </c>
    </row>
    <row r="133" spans="1:11" x14ac:dyDescent="0.25">
      <c r="A133" t="s">
        <v>41</v>
      </c>
      <c r="B133" t="s">
        <v>161</v>
      </c>
      <c r="C133" t="s">
        <v>162</v>
      </c>
      <c r="D133">
        <v>6456000.5300000003</v>
      </c>
      <c r="E133">
        <v>5.6289199999999999</v>
      </c>
      <c r="F133">
        <v>41.691279999999999</v>
      </c>
      <c r="G133">
        <v>171.87706600000001</v>
      </c>
      <c r="H133">
        <f t="shared" si="10"/>
        <v>6.4560009999999997</v>
      </c>
      <c r="I133">
        <f t="shared" si="11"/>
        <v>5.63</v>
      </c>
      <c r="J133">
        <f t="shared" si="8"/>
        <v>41.69</v>
      </c>
      <c r="K133">
        <f t="shared" si="9"/>
        <v>171.88</v>
      </c>
    </row>
    <row r="134" spans="1:11" x14ac:dyDescent="0.25">
      <c r="A134" t="s">
        <v>41</v>
      </c>
      <c r="B134" t="s">
        <v>164</v>
      </c>
      <c r="C134" t="s">
        <v>233</v>
      </c>
      <c r="D134">
        <v>10.71</v>
      </c>
      <c r="E134">
        <v>0</v>
      </c>
      <c r="F134">
        <v>0</v>
      </c>
      <c r="G134">
        <v>0</v>
      </c>
      <c r="H134">
        <f t="shared" si="10"/>
        <v>1.1E-5</v>
      </c>
      <c r="I134">
        <f t="shared" si="11"/>
        <v>0</v>
      </c>
      <c r="J134">
        <f t="shared" si="8"/>
        <v>0</v>
      </c>
      <c r="K134">
        <f t="shared" si="9"/>
        <v>0</v>
      </c>
    </row>
    <row r="135" spans="1:11" x14ac:dyDescent="0.25">
      <c r="A135" t="s">
        <v>41</v>
      </c>
      <c r="B135" t="s">
        <v>234</v>
      </c>
      <c r="C135" t="s">
        <v>235</v>
      </c>
      <c r="D135">
        <v>23202.34</v>
      </c>
      <c r="E135">
        <v>0</v>
      </c>
      <c r="F135">
        <v>0</v>
      </c>
      <c r="G135">
        <v>0</v>
      </c>
      <c r="H135">
        <f t="shared" si="10"/>
        <v>2.3202E-2</v>
      </c>
      <c r="I135">
        <f t="shared" si="11"/>
        <v>0</v>
      </c>
      <c r="J135">
        <f t="shared" si="8"/>
        <v>0</v>
      </c>
      <c r="K135">
        <f t="shared" si="9"/>
        <v>0</v>
      </c>
    </row>
    <row r="136" spans="1:11" x14ac:dyDescent="0.25">
      <c r="A136" t="s">
        <v>41</v>
      </c>
      <c r="B136" t="s">
        <v>164</v>
      </c>
      <c r="C136" t="s">
        <v>236</v>
      </c>
      <c r="D136">
        <v>413.3</v>
      </c>
      <c r="E136">
        <v>0</v>
      </c>
      <c r="F136">
        <v>0</v>
      </c>
      <c r="G136">
        <v>0</v>
      </c>
      <c r="H136">
        <f t="shared" si="10"/>
        <v>4.1300000000000001E-4</v>
      </c>
      <c r="I136">
        <f t="shared" si="11"/>
        <v>0</v>
      </c>
      <c r="J136">
        <f t="shared" si="8"/>
        <v>0</v>
      </c>
      <c r="K136">
        <f t="shared" si="9"/>
        <v>0</v>
      </c>
    </row>
    <row r="137" spans="1:11" x14ac:dyDescent="0.25">
      <c r="A137" t="s">
        <v>41</v>
      </c>
      <c r="B137" t="s">
        <v>237</v>
      </c>
      <c r="C137" t="s">
        <v>83</v>
      </c>
      <c r="D137">
        <v>11.064593</v>
      </c>
      <c r="E137">
        <v>0</v>
      </c>
      <c r="F137">
        <v>0</v>
      </c>
      <c r="G137">
        <v>0</v>
      </c>
      <c r="H137">
        <f t="shared" si="10"/>
        <v>1.1E-5</v>
      </c>
      <c r="I137">
        <f t="shared" si="11"/>
        <v>0</v>
      </c>
      <c r="J137">
        <f t="shared" si="8"/>
        <v>0</v>
      </c>
      <c r="K137">
        <f t="shared" si="9"/>
        <v>0</v>
      </c>
    </row>
    <row r="138" spans="1:11" x14ac:dyDescent="0.25">
      <c r="A138" t="s">
        <v>238</v>
      </c>
      <c r="B138" t="s">
        <v>239</v>
      </c>
      <c r="C138" t="s">
        <v>240</v>
      </c>
      <c r="D138">
        <v>412.53</v>
      </c>
      <c r="E138">
        <v>0</v>
      </c>
      <c r="F138">
        <v>0</v>
      </c>
      <c r="G138">
        <v>0</v>
      </c>
      <c r="H138">
        <f t="shared" si="10"/>
        <v>4.1300000000000001E-4</v>
      </c>
      <c r="I138">
        <f t="shared" si="11"/>
        <v>0</v>
      </c>
      <c r="J138">
        <f t="shared" si="8"/>
        <v>0</v>
      </c>
      <c r="K138">
        <f t="shared" si="9"/>
        <v>0</v>
      </c>
    </row>
    <row r="139" spans="1:11" x14ac:dyDescent="0.25">
      <c r="A139" t="s">
        <v>67</v>
      </c>
      <c r="B139" t="s">
        <v>241</v>
      </c>
      <c r="C139" t="s">
        <v>242</v>
      </c>
      <c r="D139">
        <v>5397.37</v>
      </c>
      <c r="E139">
        <v>0</v>
      </c>
      <c r="F139">
        <v>0</v>
      </c>
      <c r="G139">
        <v>0</v>
      </c>
      <c r="H139">
        <f t="shared" si="10"/>
        <v>5.3969999999999999E-3</v>
      </c>
      <c r="I139">
        <f t="shared" si="11"/>
        <v>0</v>
      </c>
      <c r="J139">
        <f t="shared" si="8"/>
        <v>0</v>
      </c>
      <c r="K139">
        <f t="shared" si="9"/>
        <v>0</v>
      </c>
    </row>
    <row r="140" spans="1:11" x14ac:dyDescent="0.25">
      <c r="A140" t="s">
        <v>67</v>
      </c>
      <c r="B140" t="s">
        <v>96</v>
      </c>
      <c r="C140" t="s">
        <v>83</v>
      </c>
      <c r="D140">
        <v>8736.93</v>
      </c>
      <c r="E140">
        <v>5.7320000000000001E-3</v>
      </c>
      <c r="F140">
        <v>6.2430000000000003E-3</v>
      </c>
      <c r="G140">
        <v>2.4602059999999999</v>
      </c>
      <c r="H140">
        <f t="shared" si="10"/>
        <v>8.737E-3</v>
      </c>
      <c r="I140">
        <f t="shared" si="11"/>
        <v>0.01</v>
      </c>
      <c r="J140">
        <f t="shared" si="8"/>
        <v>0.01</v>
      </c>
      <c r="K140">
        <f t="shared" si="9"/>
        <v>2.46</v>
      </c>
    </row>
    <row r="141" spans="1:11" x14ac:dyDescent="0.25">
      <c r="A141" t="s">
        <v>67</v>
      </c>
      <c r="B141" t="s">
        <v>96</v>
      </c>
      <c r="C141" t="s">
        <v>88</v>
      </c>
      <c r="D141">
        <v>1218.93</v>
      </c>
      <c r="E141">
        <v>0</v>
      </c>
      <c r="F141">
        <v>0</v>
      </c>
      <c r="G141">
        <v>0</v>
      </c>
      <c r="H141">
        <f t="shared" si="10"/>
        <v>1.219E-3</v>
      </c>
      <c r="I141">
        <f t="shared" si="11"/>
        <v>0</v>
      </c>
      <c r="J141">
        <f t="shared" si="8"/>
        <v>0</v>
      </c>
      <c r="K141">
        <f t="shared" si="9"/>
        <v>0</v>
      </c>
    </row>
    <row r="142" spans="1:11" x14ac:dyDescent="0.25">
      <c r="A142" t="s">
        <v>67</v>
      </c>
      <c r="B142" t="s">
        <v>241</v>
      </c>
      <c r="C142" t="s">
        <v>110</v>
      </c>
      <c r="D142">
        <v>549.88</v>
      </c>
      <c r="E142">
        <v>0</v>
      </c>
      <c r="F142">
        <v>0</v>
      </c>
      <c r="G142">
        <v>0</v>
      </c>
      <c r="H142">
        <f t="shared" si="10"/>
        <v>5.5000000000000003E-4</v>
      </c>
      <c r="I142">
        <f t="shared" si="11"/>
        <v>0</v>
      </c>
      <c r="J142">
        <f t="shared" si="8"/>
        <v>0</v>
      </c>
      <c r="K142">
        <f t="shared" si="9"/>
        <v>0</v>
      </c>
    </row>
    <row r="143" spans="1:11" x14ac:dyDescent="0.25">
      <c r="A143" t="s">
        <v>67</v>
      </c>
      <c r="B143" t="s">
        <v>243</v>
      </c>
      <c r="C143" t="s">
        <v>83</v>
      </c>
      <c r="D143">
        <v>33.08</v>
      </c>
      <c r="E143">
        <v>0</v>
      </c>
      <c r="F143">
        <v>0</v>
      </c>
      <c r="G143">
        <v>0</v>
      </c>
      <c r="H143">
        <f t="shared" si="10"/>
        <v>3.3000000000000003E-5</v>
      </c>
      <c r="I143">
        <f t="shared" si="11"/>
        <v>0</v>
      </c>
      <c r="J143">
        <f t="shared" si="8"/>
        <v>0</v>
      </c>
      <c r="K143">
        <f t="shared" si="9"/>
        <v>0</v>
      </c>
    </row>
    <row r="144" spans="1:11" x14ac:dyDescent="0.25">
      <c r="A144" t="s">
        <v>67</v>
      </c>
      <c r="B144" t="s">
        <v>136</v>
      </c>
      <c r="C144" t="s">
        <v>140</v>
      </c>
      <c r="D144">
        <v>603340103.61000001</v>
      </c>
      <c r="E144">
        <v>4072.2079939999999</v>
      </c>
      <c r="F144">
        <v>12890.415864000001</v>
      </c>
      <c r="G144">
        <v>293350.59243199998</v>
      </c>
      <c r="H144">
        <f t="shared" si="10"/>
        <v>603.340104</v>
      </c>
      <c r="I144">
        <f t="shared" si="11"/>
        <v>4072.21</v>
      </c>
      <c r="J144">
        <f t="shared" si="8"/>
        <v>12890.42</v>
      </c>
      <c r="K144">
        <f t="shared" si="9"/>
        <v>293350.59000000003</v>
      </c>
    </row>
    <row r="145" spans="1:11" x14ac:dyDescent="0.25">
      <c r="A145" t="s">
        <v>67</v>
      </c>
      <c r="B145" t="s">
        <v>141</v>
      </c>
      <c r="C145" t="s">
        <v>142</v>
      </c>
      <c r="D145">
        <v>684817.56</v>
      </c>
      <c r="E145">
        <v>5.8327080000000002</v>
      </c>
      <c r="F145">
        <v>13.292484</v>
      </c>
      <c r="G145">
        <v>2592.4002150000001</v>
      </c>
      <c r="H145">
        <f t="shared" si="10"/>
        <v>0.68481800000000004</v>
      </c>
      <c r="I145">
        <f t="shared" si="11"/>
        <v>5.83</v>
      </c>
      <c r="J145">
        <f t="shared" si="8"/>
        <v>13.29</v>
      </c>
      <c r="K145">
        <f t="shared" si="9"/>
        <v>2592.4</v>
      </c>
    </row>
    <row r="146" spans="1:11" x14ac:dyDescent="0.25">
      <c r="A146" t="s">
        <v>67</v>
      </c>
      <c r="B146" t="s">
        <v>136</v>
      </c>
      <c r="C146" t="s">
        <v>85</v>
      </c>
      <c r="D146">
        <v>120402602.45999999</v>
      </c>
      <c r="E146">
        <v>664.26434800000004</v>
      </c>
      <c r="F146">
        <v>7719.2259480000002</v>
      </c>
      <c r="G146">
        <v>78314.753568999993</v>
      </c>
      <c r="H146">
        <f t="shared" si="10"/>
        <v>120.402602</v>
      </c>
      <c r="I146">
        <f t="shared" si="11"/>
        <v>664.26</v>
      </c>
      <c r="J146">
        <f t="shared" si="8"/>
        <v>7719.23</v>
      </c>
      <c r="K146">
        <f t="shared" si="9"/>
        <v>78314.75</v>
      </c>
    </row>
    <row r="147" spans="1:11" x14ac:dyDescent="0.25">
      <c r="A147" t="s">
        <v>67</v>
      </c>
      <c r="B147" t="s">
        <v>241</v>
      </c>
      <c r="C147" t="s">
        <v>244</v>
      </c>
      <c r="D147">
        <v>37185.85</v>
      </c>
      <c r="E147">
        <v>0</v>
      </c>
      <c r="F147">
        <v>0</v>
      </c>
      <c r="G147">
        <v>0</v>
      </c>
      <c r="H147">
        <f t="shared" si="10"/>
        <v>3.7185999999999997E-2</v>
      </c>
      <c r="I147">
        <f t="shared" si="11"/>
        <v>0</v>
      </c>
      <c r="J147">
        <f t="shared" si="8"/>
        <v>0</v>
      </c>
      <c r="K147">
        <f t="shared" si="9"/>
        <v>0</v>
      </c>
    </row>
    <row r="148" spans="1:11" x14ac:dyDescent="0.25">
      <c r="A148" t="s">
        <v>67</v>
      </c>
      <c r="B148" t="s">
        <v>138</v>
      </c>
      <c r="C148" t="s">
        <v>37</v>
      </c>
      <c r="D148">
        <v>25001852.039999999</v>
      </c>
      <c r="E148">
        <v>681.69241799999998</v>
      </c>
      <c r="F148">
        <v>2368.1610700000001</v>
      </c>
      <c r="G148">
        <v>89422.971747999996</v>
      </c>
      <c r="H148">
        <f t="shared" si="10"/>
        <v>25.001852</v>
      </c>
      <c r="I148">
        <f t="shared" si="11"/>
        <v>681.69</v>
      </c>
      <c r="J148">
        <f t="shared" si="8"/>
        <v>2368.16</v>
      </c>
      <c r="K148">
        <f t="shared" si="9"/>
        <v>89422.97</v>
      </c>
    </row>
    <row r="149" spans="1:11" x14ac:dyDescent="0.25">
      <c r="A149" t="s">
        <v>67</v>
      </c>
      <c r="B149" t="s">
        <v>96</v>
      </c>
      <c r="C149" t="s">
        <v>240</v>
      </c>
      <c r="D149">
        <v>69.099999999999994</v>
      </c>
      <c r="E149">
        <v>0</v>
      </c>
      <c r="F149">
        <v>0</v>
      </c>
      <c r="G149">
        <v>0</v>
      </c>
      <c r="H149">
        <f t="shared" si="10"/>
        <v>6.8999999999999997E-5</v>
      </c>
      <c r="I149">
        <f t="shared" si="11"/>
        <v>0</v>
      </c>
      <c r="J149">
        <f t="shared" si="8"/>
        <v>0</v>
      </c>
      <c r="K149">
        <f t="shared" si="9"/>
        <v>0</v>
      </c>
    </row>
    <row r="150" spans="1:11" x14ac:dyDescent="0.25">
      <c r="A150" t="s">
        <v>67</v>
      </c>
      <c r="B150" t="s">
        <v>243</v>
      </c>
      <c r="C150" t="s">
        <v>185</v>
      </c>
      <c r="D150">
        <v>890.23</v>
      </c>
      <c r="E150">
        <v>0</v>
      </c>
      <c r="F150">
        <v>0</v>
      </c>
      <c r="G150">
        <v>0</v>
      </c>
      <c r="H150">
        <f t="shared" si="10"/>
        <v>8.8999999999999995E-4</v>
      </c>
      <c r="I150">
        <f t="shared" si="11"/>
        <v>0</v>
      </c>
      <c r="J150">
        <f t="shared" si="8"/>
        <v>0</v>
      </c>
      <c r="K150">
        <f t="shared" si="9"/>
        <v>0</v>
      </c>
    </row>
    <row r="151" spans="1:11" x14ac:dyDescent="0.25">
      <c r="A151" t="s">
        <v>67</v>
      </c>
      <c r="B151" t="s">
        <v>109</v>
      </c>
      <c r="C151" t="s">
        <v>110</v>
      </c>
      <c r="D151">
        <v>84185.01</v>
      </c>
      <c r="E151">
        <v>2.6190000000000001E-2</v>
      </c>
      <c r="F151">
        <v>5.0770000000000003E-2</v>
      </c>
      <c r="G151">
        <v>3.162112</v>
      </c>
      <c r="H151">
        <f t="shared" si="10"/>
        <v>8.4184999999999996E-2</v>
      </c>
      <c r="I151">
        <f t="shared" si="11"/>
        <v>0.03</v>
      </c>
      <c r="J151">
        <f t="shared" si="8"/>
        <v>0.05</v>
      </c>
      <c r="K151">
        <f t="shared" si="9"/>
        <v>3.16</v>
      </c>
    </row>
    <row r="152" spans="1:11" x14ac:dyDescent="0.25">
      <c r="A152" t="s">
        <v>67</v>
      </c>
      <c r="B152" t="s">
        <v>68</v>
      </c>
      <c r="C152" t="s">
        <v>69</v>
      </c>
      <c r="D152">
        <v>3440.66</v>
      </c>
      <c r="E152">
        <v>0.14299799999999999</v>
      </c>
      <c r="F152">
        <v>0.12886800000000001</v>
      </c>
      <c r="G152">
        <v>2.9338700000000002</v>
      </c>
      <c r="H152">
        <f t="shared" si="10"/>
        <v>3.441E-3</v>
      </c>
      <c r="I152">
        <f t="shared" si="11"/>
        <v>0.14000000000000001</v>
      </c>
      <c r="J152">
        <f t="shared" si="8"/>
        <v>0.13</v>
      </c>
      <c r="K152">
        <f t="shared" si="9"/>
        <v>2.93</v>
      </c>
    </row>
    <row r="153" spans="1:11" x14ac:dyDescent="0.25">
      <c r="A153" t="s">
        <v>54</v>
      </c>
      <c r="B153" t="s">
        <v>245</v>
      </c>
      <c r="C153" t="s">
        <v>246</v>
      </c>
      <c r="D153">
        <v>1636.9</v>
      </c>
      <c r="E153">
        <v>0</v>
      </c>
      <c r="F153">
        <v>0</v>
      </c>
      <c r="G153">
        <v>0</v>
      </c>
      <c r="H153">
        <f t="shared" si="10"/>
        <v>1.637E-3</v>
      </c>
      <c r="I153">
        <f t="shared" si="11"/>
        <v>0</v>
      </c>
      <c r="J153">
        <f t="shared" si="8"/>
        <v>0</v>
      </c>
      <c r="K153">
        <f t="shared" si="9"/>
        <v>0</v>
      </c>
    </row>
    <row r="154" spans="1:11" x14ac:dyDescent="0.25">
      <c r="A154" t="s">
        <v>54</v>
      </c>
      <c r="B154" t="s">
        <v>163</v>
      </c>
      <c r="C154" t="s">
        <v>104</v>
      </c>
      <c r="D154">
        <v>187421.86</v>
      </c>
      <c r="E154">
        <v>0</v>
      </c>
      <c r="F154">
        <v>0</v>
      </c>
      <c r="G154">
        <v>0</v>
      </c>
      <c r="H154">
        <f t="shared" si="10"/>
        <v>0.18742200000000001</v>
      </c>
      <c r="I154">
        <f t="shared" si="11"/>
        <v>0</v>
      </c>
      <c r="J154">
        <f t="shared" si="8"/>
        <v>0</v>
      </c>
      <c r="K154">
        <f t="shared" si="9"/>
        <v>0</v>
      </c>
    </row>
    <row r="155" spans="1:11" x14ac:dyDescent="0.25">
      <c r="A155" t="s">
        <v>54</v>
      </c>
      <c r="B155" t="s">
        <v>247</v>
      </c>
      <c r="C155" t="s">
        <v>51</v>
      </c>
      <c r="D155">
        <v>7234.99</v>
      </c>
      <c r="E155">
        <v>0</v>
      </c>
      <c r="F155">
        <v>0</v>
      </c>
      <c r="G155">
        <v>0</v>
      </c>
      <c r="H155">
        <f t="shared" si="10"/>
        <v>7.2350000000000001E-3</v>
      </c>
      <c r="I155">
        <f t="shared" si="11"/>
        <v>0</v>
      </c>
      <c r="J155">
        <f t="shared" si="8"/>
        <v>0</v>
      </c>
      <c r="K155">
        <f t="shared" si="9"/>
        <v>0</v>
      </c>
    </row>
    <row r="156" spans="1:11" x14ac:dyDescent="0.25">
      <c r="A156" t="s">
        <v>54</v>
      </c>
      <c r="B156" t="s">
        <v>101</v>
      </c>
      <c r="C156" t="s">
        <v>102</v>
      </c>
      <c r="D156">
        <v>6023382.6100000003</v>
      </c>
      <c r="E156">
        <v>965.77711999999997</v>
      </c>
      <c r="F156">
        <v>5.590382</v>
      </c>
      <c r="G156">
        <v>1760.272737</v>
      </c>
      <c r="H156">
        <f t="shared" si="10"/>
        <v>6.0233829999999999</v>
      </c>
      <c r="I156">
        <f t="shared" si="11"/>
        <v>965.78</v>
      </c>
      <c r="J156">
        <f t="shared" si="8"/>
        <v>5.59</v>
      </c>
      <c r="K156">
        <f t="shared" si="9"/>
        <v>1760.27</v>
      </c>
    </row>
    <row r="157" spans="1:11" x14ac:dyDescent="0.25">
      <c r="A157" t="s">
        <v>54</v>
      </c>
      <c r="B157" t="s">
        <v>159</v>
      </c>
      <c r="C157" t="s">
        <v>160</v>
      </c>
      <c r="D157">
        <v>42414.52</v>
      </c>
      <c r="E157">
        <v>5.2535999999999999E-2</v>
      </c>
      <c r="F157">
        <v>0.373062</v>
      </c>
      <c r="G157">
        <v>0.98341800000000001</v>
      </c>
      <c r="H157">
        <f t="shared" si="10"/>
        <v>4.2415000000000001E-2</v>
      </c>
      <c r="I157">
        <f t="shared" si="11"/>
        <v>0.05</v>
      </c>
      <c r="J157">
        <f t="shared" si="8"/>
        <v>0.37</v>
      </c>
      <c r="K157">
        <f t="shared" si="9"/>
        <v>0.98</v>
      </c>
    </row>
    <row r="158" spans="1:11" x14ac:dyDescent="0.25">
      <c r="A158" t="s">
        <v>54</v>
      </c>
      <c r="B158" t="s">
        <v>163</v>
      </c>
      <c r="C158" t="s">
        <v>43</v>
      </c>
      <c r="D158">
        <v>121425.35</v>
      </c>
      <c r="E158">
        <v>0.194524</v>
      </c>
      <c r="F158">
        <v>1.9275960000000001</v>
      </c>
      <c r="G158">
        <v>16.205641</v>
      </c>
      <c r="H158">
        <f t="shared" si="10"/>
        <v>0.12142500000000001</v>
      </c>
      <c r="I158">
        <f t="shared" si="11"/>
        <v>0.19</v>
      </c>
      <c r="J158">
        <f t="shared" si="8"/>
        <v>1.93</v>
      </c>
      <c r="K158">
        <f t="shared" si="9"/>
        <v>16.21</v>
      </c>
    </row>
    <row r="159" spans="1:11" x14ac:dyDescent="0.25">
      <c r="A159" t="s">
        <v>54</v>
      </c>
      <c r="B159" t="s">
        <v>101</v>
      </c>
      <c r="C159" t="s">
        <v>248</v>
      </c>
      <c r="D159">
        <v>860.11</v>
      </c>
      <c r="E159">
        <v>0</v>
      </c>
      <c r="F159">
        <v>0</v>
      </c>
      <c r="G159">
        <v>0</v>
      </c>
      <c r="H159">
        <f t="shared" si="10"/>
        <v>8.5999999999999998E-4</v>
      </c>
      <c r="I159">
        <f t="shared" si="11"/>
        <v>0</v>
      </c>
      <c r="J159">
        <f t="shared" si="8"/>
        <v>0</v>
      </c>
      <c r="K159">
        <f t="shared" si="9"/>
        <v>0</v>
      </c>
    </row>
    <row r="160" spans="1:11" x14ac:dyDescent="0.25">
      <c r="A160" t="s">
        <v>54</v>
      </c>
      <c r="B160" t="s">
        <v>55</v>
      </c>
      <c r="C160" t="s">
        <v>56</v>
      </c>
      <c r="D160">
        <v>548990.66</v>
      </c>
      <c r="E160">
        <v>17.647811999999998</v>
      </c>
      <c r="F160">
        <v>1.206631</v>
      </c>
      <c r="G160">
        <v>94.410815999999997</v>
      </c>
      <c r="H160">
        <f t="shared" si="10"/>
        <v>0.54899100000000001</v>
      </c>
      <c r="I160">
        <f t="shared" si="11"/>
        <v>17.649999999999999</v>
      </c>
      <c r="J160">
        <f t="shared" si="8"/>
        <v>1.21</v>
      </c>
      <c r="K160">
        <f t="shared" si="9"/>
        <v>94.41</v>
      </c>
    </row>
    <row r="161" spans="1:11" x14ac:dyDescent="0.25">
      <c r="A161" t="s">
        <v>44</v>
      </c>
      <c r="B161" t="s">
        <v>45</v>
      </c>
      <c r="C161" t="s">
        <v>46</v>
      </c>
      <c r="D161">
        <v>385241.76</v>
      </c>
      <c r="E161">
        <v>84.645314999999997</v>
      </c>
      <c r="F161">
        <v>4.2239069999999996</v>
      </c>
      <c r="G161">
        <v>91.345718000000005</v>
      </c>
      <c r="H161">
        <f t="shared" si="10"/>
        <v>0.38524199999999997</v>
      </c>
      <c r="I161">
        <f t="shared" si="11"/>
        <v>84.65</v>
      </c>
      <c r="J161">
        <f t="shared" si="8"/>
        <v>4.22</v>
      </c>
      <c r="K161">
        <f t="shared" si="9"/>
        <v>91.35</v>
      </c>
    </row>
    <row r="162" spans="1:11" x14ac:dyDescent="0.25">
      <c r="A162" t="s">
        <v>44</v>
      </c>
      <c r="B162" t="s">
        <v>249</v>
      </c>
      <c r="C162" t="s">
        <v>113</v>
      </c>
      <c r="D162">
        <v>1380.39</v>
      </c>
      <c r="E162">
        <v>0</v>
      </c>
      <c r="F162">
        <v>0</v>
      </c>
      <c r="G162">
        <v>0</v>
      </c>
      <c r="H162">
        <f t="shared" si="10"/>
        <v>1.3799999999999999E-3</v>
      </c>
      <c r="I162">
        <f t="shared" si="11"/>
        <v>0</v>
      </c>
      <c r="J162">
        <f t="shared" si="8"/>
        <v>0</v>
      </c>
      <c r="K162">
        <f t="shared" si="9"/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9"/>
  <sheetViews>
    <sheetView zoomScale="75" workbookViewId="0">
      <selection activeCell="M9" sqref="M9"/>
    </sheetView>
  </sheetViews>
  <sheetFormatPr defaultColWidth="11.42578125" defaultRowHeight="15" x14ac:dyDescent="0.25"/>
  <cols>
    <col min="1" max="1" width="6.28515625" customWidth="1"/>
    <col min="2" max="2" width="20.7109375" customWidth="1"/>
    <col min="3" max="3" width="15.42578125" bestFit="1" customWidth="1"/>
    <col min="4" max="4" width="21.28515625" customWidth="1"/>
    <col min="5" max="7" width="26.85546875" customWidth="1"/>
    <col min="8" max="8" width="14.42578125" customWidth="1"/>
    <col min="9" max="10" width="16.140625" customWidth="1"/>
    <col min="11" max="13" width="24.28515625" customWidth="1"/>
  </cols>
  <sheetData>
    <row r="1" spans="2:13" ht="15.75" thickBot="1" x14ac:dyDescent="0.3"/>
    <row r="2" spans="2:13" ht="18.75" x14ac:dyDescent="0.25">
      <c r="B2" s="17" t="s">
        <v>17</v>
      </c>
      <c r="C2" s="18"/>
      <c r="D2" s="19"/>
      <c r="E2" s="6"/>
      <c r="F2" s="6"/>
      <c r="G2" s="6"/>
      <c r="H2" s="6"/>
      <c r="I2" s="6"/>
      <c r="J2" s="6"/>
      <c r="K2" s="6"/>
      <c r="L2" s="6"/>
      <c r="M2" s="6"/>
    </row>
    <row r="3" spans="2:13" ht="36" customHeight="1" thickBot="1" x14ac:dyDescent="0.3">
      <c r="B3" s="20"/>
      <c r="C3" s="21"/>
      <c r="D3" s="22"/>
      <c r="E3" s="6"/>
      <c r="F3" s="6"/>
      <c r="G3" s="6"/>
      <c r="H3" s="6"/>
      <c r="I3" s="6"/>
      <c r="J3" s="6"/>
      <c r="K3" s="6"/>
      <c r="L3" s="6"/>
      <c r="M3" s="6"/>
    </row>
    <row r="4" spans="2:13" ht="18.75" x14ac:dyDescent="0.25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2:13" ht="18.75" x14ac:dyDescent="0.25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2:13" ht="18.75" x14ac:dyDescent="0.25">
      <c r="B6" s="6"/>
      <c r="C6" s="6"/>
      <c r="D6" s="6"/>
      <c r="E6" s="6"/>
      <c r="F6" s="6"/>
      <c r="G6" s="6"/>
      <c r="H6" s="6"/>
      <c r="I6" s="6"/>
      <c r="J6" s="10"/>
      <c r="K6" s="6"/>
      <c r="L6" s="6"/>
      <c r="M6" s="6"/>
    </row>
    <row r="7" spans="2:13" ht="19.5" thickBot="1" x14ac:dyDescent="0.3">
      <c r="B7" s="6"/>
      <c r="C7" s="6"/>
      <c r="D7" s="13">
        <f>+SUM(D9:D537)</f>
        <v>5214.9008820000026</v>
      </c>
      <c r="E7" s="23" t="s">
        <v>24</v>
      </c>
      <c r="F7" s="23"/>
      <c r="G7" s="23"/>
      <c r="H7" s="13">
        <f t="shared" ref="H7:M7" si="0">+SUM(H9:H537)</f>
        <v>40683.674389000022</v>
      </c>
      <c r="I7" s="13">
        <f t="shared" si="0"/>
        <v>76635.465634999971</v>
      </c>
      <c r="J7" s="13">
        <f t="shared" si="0"/>
        <v>150673.62153200028</v>
      </c>
      <c r="K7" s="13">
        <f t="shared" si="0"/>
        <v>1044859.7099999997</v>
      </c>
      <c r="L7" s="13">
        <f t="shared" si="0"/>
        <v>237158.63999999993</v>
      </c>
      <c r="M7" s="13">
        <f t="shared" si="0"/>
        <v>2830223.6</v>
      </c>
    </row>
    <row r="8" spans="2:13" s="1" customFormat="1" ht="39.75" customHeight="1" thickBot="1" x14ac:dyDescent="0.3">
      <c r="B8" s="2" t="s">
        <v>14</v>
      </c>
      <c r="C8" s="3" t="s">
        <v>9</v>
      </c>
      <c r="D8" s="3" t="s">
        <v>22</v>
      </c>
      <c r="E8" s="4" t="s">
        <v>13</v>
      </c>
      <c r="F8" s="4" t="s">
        <v>12</v>
      </c>
      <c r="G8" s="4" t="s">
        <v>11</v>
      </c>
      <c r="H8" s="3" t="s">
        <v>19</v>
      </c>
      <c r="I8" s="3" t="s">
        <v>20</v>
      </c>
      <c r="J8" s="3" t="s">
        <v>21</v>
      </c>
      <c r="K8" s="3" t="s">
        <v>2</v>
      </c>
      <c r="L8" s="3" t="s">
        <v>1</v>
      </c>
      <c r="M8" s="5" t="s">
        <v>0</v>
      </c>
    </row>
    <row r="9" spans="2:13" ht="18.75" x14ac:dyDescent="0.25">
      <c r="B9" s="7" t="s">
        <v>15</v>
      </c>
      <c r="C9" s="7" t="s">
        <v>278</v>
      </c>
      <c r="D9" s="12">
        <v>1.5885769999999999</v>
      </c>
      <c r="E9" s="7"/>
      <c r="F9" s="7"/>
      <c r="G9" s="7"/>
      <c r="H9" s="12">
        <v>7.0134270000000001</v>
      </c>
      <c r="I9" s="12">
        <v>5.2316529999999997</v>
      </c>
      <c r="J9" s="12">
        <v>4.3645880000000004</v>
      </c>
      <c r="K9" s="12">
        <v>383.71</v>
      </c>
      <c r="L9" s="12">
        <v>29.39</v>
      </c>
      <c r="M9" s="12">
        <v>155.04</v>
      </c>
    </row>
    <row r="10" spans="2:13" ht="18.75" x14ac:dyDescent="0.25">
      <c r="B10" s="7" t="s">
        <v>15</v>
      </c>
      <c r="C10" s="7" t="s">
        <v>263</v>
      </c>
      <c r="D10" s="12">
        <v>9.3410000000000007E-2</v>
      </c>
      <c r="E10" s="7"/>
      <c r="F10" s="7"/>
      <c r="G10" s="7"/>
      <c r="H10" s="12">
        <v>0.157417</v>
      </c>
      <c r="I10" s="12">
        <v>1.6754800000000001</v>
      </c>
      <c r="J10" s="12">
        <v>1.3955090000000001</v>
      </c>
      <c r="K10" s="12">
        <v>94.75</v>
      </c>
      <c r="L10" s="12">
        <v>7.26</v>
      </c>
      <c r="M10" s="12">
        <v>38.28</v>
      </c>
    </row>
    <row r="11" spans="2:13" ht="18.75" x14ac:dyDescent="0.25">
      <c r="B11" s="7" t="s">
        <v>15</v>
      </c>
      <c r="C11" s="7" t="s">
        <v>265</v>
      </c>
      <c r="D11" s="12">
        <v>12.839489</v>
      </c>
      <c r="E11" s="7"/>
      <c r="F11" s="7"/>
      <c r="G11" s="7"/>
      <c r="H11" s="12">
        <v>50.712150999999999</v>
      </c>
      <c r="I11" s="12">
        <v>53.618594999999999</v>
      </c>
      <c r="J11" s="12">
        <v>46.803184999999999</v>
      </c>
      <c r="K11" s="12">
        <v>7240.76</v>
      </c>
      <c r="L11" s="12">
        <v>554.66999999999996</v>
      </c>
      <c r="M11" s="12">
        <v>2925.68</v>
      </c>
    </row>
    <row r="12" spans="2:13" ht="18.75" x14ac:dyDescent="0.25">
      <c r="B12" s="7" t="s">
        <v>15</v>
      </c>
      <c r="C12" s="7" t="s">
        <v>266</v>
      </c>
      <c r="D12" s="12">
        <v>5.9498389999999999</v>
      </c>
      <c r="E12" s="7"/>
      <c r="F12" s="7"/>
      <c r="G12" s="7"/>
      <c r="H12" s="12">
        <v>30.932793</v>
      </c>
      <c r="I12" s="12">
        <v>34.314785000000001</v>
      </c>
      <c r="J12" s="12">
        <v>55.134824999999999</v>
      </c>
      <c r="K12" s="12">
        <v>6466.24</v>
      </c>
      <c r="L12" s="12">
        <v>495.34</v>
      </c>
      <c r="M12" s="12">
        <v>2612.73</v>
      </c>
    </row>
    <row r="13" spans="2:13" ht="18.75" x14ac:dyDescent="0.25">
      <c r="B13" s="7" t="s">
        <v>15</v>
      </c>
      <c r="C13" s="7" t="s">
        <v>264</v>
      </c>
      <c r="D13" s="12">
        <v>4.3526670000000003</v>
      </c>
      <c r="E13" s="7"/>
      <c r="F13" s="7"/>
      <c r="G13" s="7"/>
      <c r="H13" s="12">
        <v>35.869298000000001</v>
      </c>
      <c r="I13" s="12">
        <v>96.347134999999994</v>
      </c>
      <c r="J13" s="12">
        <v>51.220779999999998</v>
      </c>
      <c r="K13" s="12">
        <v>5732.32</v>
      </c>
      <c r="L13" s="12">
        <v>439.12</v>
      </c>
      <c r="M13" s="12">
        <v>2316.1799999999998</v>
      </c>
    </row>
    <row r="14" spans="2:13" ht="18.75" x14ac:dyDescent="0.25">
      <c r="B14" s="7" t="s">
        <v>15</v>
      </c>
      <c r="C14" s="7" t="s">
        <v>259</v>
      </c>
      <c r="D14" s="12">
        <v>1.560616</v>
      </c>
      <c r="E14" s="7"/>
      <c r="F14" s="7"/>
      <c r="G14" s="7"/>
      <c r="H14" s="12">
        <v>10.985607</v>
      </c>
      <c r="I14" s="12">
        <v>17.934094999999999</v>
      </c>
      <c r="J14" s="12">
        <v>16.165977999999999</v>
      </c>
      <c r="K14" s="12">
        <v>1593.76</v>
      </c>
      <c r="L14" s="12">
        <v>122.09</v>
      </c>
      <c r="M14" s="12">
        <v>643.97</v>
      </c>
    </row>
    <row r="15" spans="2:13" ht="18.75" x14ac:dyDescent="0.25">
      <c r="B15" s="7" t="s">
        <v>15</v>
      </c>
      <c r="C15" s="7" t="s">
        <v>261</v>
      </c>
      <c r="D15" s="12">
        <v>0.41329100000000002</v>
      </c>
      <c r="E15" s="7"/>
      <c r="F15" s="7"/>
      <c r="G15" s="7"/>
      <c r="H15" s="12">
        <v>0.68747899999999995</v>
      </c>
      <c r="I15" s="12">
        <v>0.14416000000000001</v>
      </c>
      <c r="J15" s="12">
        <v>1.844875</v>
      </c>
      <c r="K15" s="12">
        <v>977.84</v>
      </c>
      <c r="L15" s="12">
        <v>74.91</v>
      </c>
      <c r="M15" s="12">
        <v>395.1</v>
      </c>
    </row>
    <row r="16" spans="2:13" ht="18.75" x14ac:dyDescent="0.25">
      <c r="B16" s="7" t="s">
        <v>15</v>
      </c>
      <c r="C16" s="7" t="s">
        <v>262</v>
      </c>
      <c r="D16" s="12">
        <v>8.9305040000000009</v>
      </c>
      <c r="E16" s="7"/>
      <c r="F16" s="7"/>
      <c r="G16" s="7"/>
      <c r="H16" s="12">
        <v>46.993979000000003</v>
      </c>
      <c r="I16" s="12">
        <v>48.182285999999998</v>
      </c>
      <c r="J16" s="12">
        <v>49.044162</v>
      </c>
      <c r="K16" s="12">
        <v>3487.77</v>
      </c>
      <c r="L16" s="12">
        <v>267.18</v>
      </c>
      <c r="M16" s="12">
        <v>1409.26</v>
      </c>
    </row>
    <row r="17" spans="1:13" ht="18.75" x14ac:dyDescent="0.25">
      <c r="B17" s="7" t="s">
        <v>15</v>
      </c>
      <c r="C17" s="7" t="s">
        <v>260</v>
      </c>
      <c r="D17" s="12">
        <v>0.486317</v>
      </c>
      <c r="E17" s="7"/>
      <c r="F17" s="7"/>
      <c r="G17" s="7"/>
      <c r="H17" s="12">
        <v>1.5153730000000001</v>
      </c>
      <c r="I17" s="12">
        <v>1.2649300000000001</v>
      </c>
      <c r="J17" s="12">
        <v>3.3096209999999999</v>
      </c>
      <c r="K17" s="12">
        <v>773.01</v>
      </c>
      <c r="L17" s="12">
        <v>59.22</v>
      </c>
      <c r="M17" s="12">
        <v>312.33999999999997</v>
      </c>
    </row>
    <row r="18" spans="1:13" ht="18.75" x14ac:dyDescent="0.25">
      <c r="B18" s="7" t="s">
        <v>15</v>
      </c>
      <c r="C18" s="7" t="s">
        <v>267</v>
      </c>
      <c r="D18" s="12">
        <v>12.590597000000001</v>
      </c>
      <c r="E18" s="7"/>
      <c r="F18" s="7"/>
      <c r="G18" s="7"/>
      <c r="H18" s="12">
        <v>94.236931999999996</v>
      </c>
      <c r="I18" s="12">
        <v>193.14490499999999</v>
      </c>
      <c r="J18" s="12">
        <v>136.93655699999999</v>
      </c>
      <c r="K18" s="12">
        <v>6390.74</v>
      </c>
      <c r="L18" s="12">
        <v>489.55</v>
      </c>
      <c r="M18" s="12">
        <v>2582.23</v>
      </c>
    </row>
    <row r="19" spans="1:13" ht="18.75" x14ac:dyDescent="0.25">
      <c r="B19" s="7" t="s">
        <v>15</v>
      </c>
      <c r="C19" s="7" t="s">
        <v>276</v>
      </c>
      <c r="D19" s="12">
        <v>14.468463</v>
      </c>
      <c r="E19" s="7"/>
      <c r="F19" s="7"/>
      <c r="G19" s="7"/>
      <c r="H19" s="12">
        <v>96.657869000000005</v>
      </c>
      <c r="I19" s="12">
        <v>134.38841099999999</v>
      </c>
      <c r="J19" s="12">
        <v>264.22331700000001</v>
      </c>
      <c r="K19" s="12">
        <v>23143.52</v>
      </c>
      <c r="L19" s="12">
        <v>1772.88</v>
      </c>
      <c r="M19" s="12">
        <v>9351.2999999999993</v>
      </c>
    </row>
    <row r="20" spans="1:13" ht="18.75" x14ac:dyDescent="0.25">
      <c r="B20" s="7" t="s">
        <v>15</v>
      </c>
      <c r="C20" s="7" t="s">
        <v>272</v>
      </c>
      <c r="D20" s="12">
        <v>0.45198199999999999</v>
      </c>
      <c r="E20" s="7"/>
      <c r="F20" s="7"/>
      <c r="G20" s="7"/>
      <c r="H20" s="12">
        <v>0.88498299999999996</v>
      </c>
      <c r="I20" s="12">
        <v>1.3374630000000001</v>
      </c>
      <c r="J20" s="12">
        <v>1.6405099999999999</v>
      </c>
      <c r="K20" s="12">
        <v>667.92</v>
      </c>
      <c r="L20" s="12">
        <v>51.17</v>
      </c>
      <c r="M20" s="12">
        <v>269.88</v>
      </c>
    </row>
    <row r="21" spans="1:13" ht="18.75" x14ac:dyDescent="0.25">
      <c r="B21" s="7" t="s">
        <v>15</v>
      </c>
      <c r="C21" s="7" t="s">
        <v>286</v>
      </c>
      <c r="D21" s="12">
        <v>0.28336099999999997</v>
      </c>
      <c r="E21" s="7"/>
      <c r="F21" s="7"/>
      <c r="G21" s="7"/>
      <c r="H21" s="12">
        <v>0.340557</v>
      </c>
      <c r="I21" s="12">
        <v>0.17877699999999999</v>
      </c>
      <c r="J21" s="12">
        <v>0.44734299999999999</v>
      </c>
      <c r="K21" s="12">
        <v>225.93</v>
      </c>
      <c r="L21" s="12">
        <v>17.309999999999999</v>
      </c>
      <c r="M21" s="12">
        <v>91.29</v>
      </c>
    </row>
    <row r="22" spans="1:13" ht="18.75" x14ac:dyDescent="0.25">
      <c r="B22" s="7" t="s">
        <v>15</v>
      </c>
      <c r="C22" s="7" t="s">
        <v>287</v>
      </c>
      <c r="D22" s="12">
        <v>3.3E-4</v>
      </c>
      <c r="E22" s="7"/>
      <c r="F22" s="7"/>
      <c r="G22" s="7"/>
      <c r="H22" s="12">
        <v>0.15815799999999999</v>
      </c>
      <c r="I22" s="12">
        <v>2.9892999999999999E-2</v>
      </c>
      <c r="J22" s="12">
        <v>1.520715</v>
      </c>
      <c r="K22" s="12">
        <v>2.84</v>
      </c>
      <c r="L22" s="12">
        <v>0.22</v>
      </c>
      <c r="M22" s="12">
        <v>1.1499999999999999</v>
      </c>
    </row>
    <row r="23" spans="1:13" ht="18.75" x14ac:dyDescent="0.25">
      <c r="B23" s="7" t="s">
        <v>15</v>
      </c>
      <c r="C23" s="7" t="s">
        <v>271</v>
      </c>
      <c r="D23" s="12">
        <v>3.022872</v>
      </c>
      <c r="E23" s="7"/>
      <c r="F23" s="7"/>
      <c r="G23" s="7"/>
      <c r="H23" s="12">
        <v>27.246801000000001</v>
      </c>
      <c r="I23" s="12">
        <v>35.305292999999999</v>
      </c>
      <c r="J23" s="12">
        <v>45.933456</v>
      </c>
      <c r="K23" s="12">
        <v>3601.13</v>
      </c>
      <c r="L23" s="12">
        <v>275.86</v>
      </c>
      <c r="M23" s="12">
        <v>1455.06</v>
      </c>
    </row>
    <row r="24" spans="1:13" ht="18.75" x14ac:dyDescent="0.25">
      <c r="B24" s="7" t="s">
        <v>15</v>
      </c>
      <c r="C24" s="7" t="s">
        <v>269</v>
      </c>
      <c r="D24" s="12">
        <v>1.9221699999999999</v>
      </c>
      <c r="E24" s="7"/>
      <c r="F24" s="7"/>
      <c r="G24" s="7"/>
      <c r="H24" s="12">
        <v>13.477686</v>
      </c>
      <c r="I24" s="12">
        <v>6.2915200000000002</v>
      </c>
      <c r="J24" s="12">
        <v>15.271466</v>
      </c>
      <c r="K24" s="12">
        <v>1713.09</v>
      </c>
      <c r="L24" s="12">
        <v>131.22999999999999</v>
      </c>
      <c r="M24" s="12">
        <v>692.19</v>
      </c>
    </row>
    <row r="25" spans="1:13" ht="18.75" x14ac:dyDescent="0.25">
      <c r="A25" s="11"/>
      <c r="B25" s="7" t="s">
        <v>15</v>
      </c>
      <c r="C25" s="7" t="s">
        <v>268</v>
      </c>
      <c r="D25" s="12">
        <v>19.939177999999998</v>
      </c>
      <c r="E25" s="7"/>
      <c r="F25" s="7"/>
      <c r="G25" s="7"/>
      <c r="H25" s="12">
        <v>37.219850000000001</v>
      </c>
      <c r="I25" s="12">
        <v>123.423103</v>
      </c>
      <c r="J25" s="12">
        <v>257.39818200000002</v>
      </c>
      <c r="K25" s="12">
        <v>36869.99</v>
      </c>
      <c r="L25" s="12">
        <v>2824.37</v>
      </c>
      <c r="M25" s="12">
        <v>14897.58</v>
      </c>
    </row>
    <row r="26" spans="1:13" ht="18.75" x14ac:dyDescent="0.25">
      <c r="B26" s="7" t="s">
        <v>15</v>
      </c>
      <c r="C26" s="7" t="s">
        <v>283</v>
      </c>
      <c r="D26" s="12">
        <v>7.4006129999999999</v>
      </c>
      <c r="E26" s="7"/>
      <c r="F26" s="7"/>
      <c r="G26" s="7"/>
      <c r="H26" s="12">
        <v>19.298686</v>
      </c>
      <c r="I26" s="12">
        <v>81.068188000000006</v>
      </c>
      <c r="J26" s="12">
        <v>57.016683999999998</v>
      </c>
      <c r="K26" s="12">
        <v>7805.03</v>
      </c>
      <c r="L26" s="12">
        <v>597.89</v>
      </c>
      <c r="M26" s="12">
        <v>3153.68</v>
      </c>
    </row>
    <row r="27" spans="1:13" ht="18.75" x14ac:dyDescent="0.25">
      <c r="B27" s="7" t="s">
        <v>15</v>
      </c>
      <c r="C27" s="7" t="s">
        <v>279</v>
      </c>
      <c r="D27" s="12">
        <v>0.64956100000000006</v>
      </c>
      <c r="E27" s="7"/>
      <c r="F27" s="7"/>
      <c r="G27" s="7"/>
      <c r="H27" s="12">
        <v>5.0337750000000003</v>
      </c>
      <c r="I27" s="12">
        <v>3.9265089999999998</v>
      </c>
      <c r="J27" s="12">
        <v>5.3542379999999996</v>
      </c>
      <c r="K27" s="12">
        <v>607.9</v>
      </c>
      <c r="L27" s="12">
        <v>46.57</v>
      </c>
      <c r="M27" s="12">
        <v>245.63</v>
      </c>
    </row>
    <row r="28" spans="1:13" ht="18.75" x14ac:dyDescent="0.25">
      <c r="B28" s="7" t="s">
        <v>15</v>
      </c>
      <c r="C28" s="7" t="s">
        <v>280</v>
      </c>
      <c r="D28" s="12">
        <v>0.45963599999999999</v>
      </c>
      <c r="E28" s="7"/>
      <c r="F28" s="7"/>
      <c r="G28" s="7"/>
      <c r="H28" s="12">
        <v>37.432713999999997</v>
      </c>
      <c r="I28" s="12">
        <v>69.631219999999999</v>
      </c>
      <c r="J28" s="12">
        <v>25.714922000000001</v>
      </c>
      <c r="K28" s="12">
        <v>368.92</v>
      </c>
      <c r="L28" s="12">
        <v>28.26</v>
      </c>
      <c r="M28" s="12">
        <v>149.06</v>
      </c>
    </row>
    <row r="29" spans="1:13" ht="18.75" x14ac:dyDescent="0.25">
      <c r="B29" s="7" t="s">
        <v>15</v>
      </c>
      <c r="C29" s="7" t="s">
        <v>285</v>
      </c>
      <c r="D29" s="12">
        <v>37.114755000000002</v>
      </c>
      <c r="E29" s="7"/>
      <c r="F29" s="7"/>
      <c r="G29" s="7"/>
      <c r="H29" s="12">
        <v>272.59689800000001</v>
      </c>
      <c r="I29" s="12">
        <v>1172.822118</v>
      </c>
      <c r="J29" s="12">
        <v>338.38979899999998</v>
      </c>
      <c r="K29" s="12">
        <v>14948.87</v>
      </c>
      <c r="L29" s="12">
        <v>1145.1400000000001</v>
      </c>
      <c r="M29" s="12">
        <v>6040.2</v>
      </c>
    </row>
    <row r="30" spans="1:13" ht="18.75" x14ac:dyDescent="0.25">
      <c r="B30" s="7" t="s">
        <v>15</v>
      </c>
      <c r="C30" s="7" t="s">
        <v>289</v>
      </c>
      <c r="D30" s="12">
        <v>5.7160539999999997</v>
      </c>
      <c r="E30" s="7"/>
      <c r="F30" s="7"/>
      <c r="G30" s="7"/>
      <c r="H30" s="12">
        <v>14.283182</v>
      </c>
      <c r="I30" s="12">
        <v>22.900966</v>
      </c>
      <c r="J30" s="12">
        <v>48.733317</v>
      </c>
      <c r="K30" s="12">
        <v>9927.86</v>
      </c>
      <c r="L30" s="12">
        <v>760.51</v>
      </c>
      <c r="M30" s="12">
        <v>4011.42</v>
      </c>
    </row>
    <row r="31" spans="1:13" ht="18.75" x14ac:dyDescent="0.25">
      <c r="B31" s="7" t="s">
        <v>15</v>
      </c>
      <c r="C31" s="7" t="s">
        <v>275</v>
      </c>
      <c r="D31" s="12">
        <v>0.96277699999999999</v>
      </c>
      <c r="E31" s="7"/>
      <c r="F31" s="7"/>
      <c r="G31" s="7"/>
      <c r="H31" s="12">
        <v>2.4136320000000002</v>
      </c>
      <c r="I31" s="12">
        <v>5.499072</v>
      </c>
      <c r="J31" s="12">
        <v>5.2257499999999997</v>
      </c>
      <c r="K31" s="12">
        <v>828.93</v>
      </c>
      <c r="L31" s="12">
        <v>63.5</v>
      </c>
      <c r="M31" s="12">
        <v>334.93</v>
      </c>
    </row>
    <row r="32" spans="1:13" ht="18.75" x14ac:dyDescent="0.25">
      <c r="B32" s="7" t="s">
        <v>15</v>
      </c>
      <c r="C32" s="7" t="s">
        <v>281</v>
      </c>
      <c r="D32" s="12">
        <v>1.6046000000000001E-2</v>
      </c>
      <c r="E32" s="7"/>
      <c r="F32" s="7"/>
      <c r="G32" s="7"/>
      <c r="H32" s="12">
        <v>8.9215000000000003E-2</v>
      </c>
      <c r="I32" s="12">
        <v>6.7957000000000004E-2</v>
      </c>
      <c r="J32" s="12">
        <v>0.51584300000000005</v>
      </c>
      <c r="K32" s="12">
        <v>57.96</v>
      </c>
      <c r="L32" s="12">
        <v>4.4400000000000004</v>
      </c>
      <c r="M32" s="12">
        <v>23.42</v>
      </c>
    </row>
    <row r="33" spans="2:13" ht="18.75" x14ac:dyDescent="0.25">
      <c r="B33" s="7" t="s">
        <v>15</v>
      </c>
      <c r="C33" s="7" t="s">
        <v>284</v>
      </c>
      <c r="D33" s="12">
        <v>12.957755000000001</v>
      </c>
      <c r="E33" s="7"/>
      <c r="F33" s="7"/>
      <c r="G33" s="7"/>
      <c r="H33" s="12">
        <v>20.495221999999998</v>
      </c>
      <c r="I33" s="12">
        <v>164.33489900000001</v>
      </c>
      <c r="J33" s="12">
        <v>101.599334</v>
      </c>
      <c r="K33" s="12">
        <v>9891.48</v>
      </c>
      <c r="L33" s="12">
        <v>757.72</v>
      </c>
      <c r="M33" s="12">
        <v>3996.72</v>
      </c>
    </row>
    <row r="34" spans="2:13" ht="18.75" x14ac:dyDescent="0.25">
      <c r="B34" s="7" t="s">
        <v>15</v>
      </c>
      <c r="C34" s="7" t="s">
        <v>282</v>
      </c>
      <c r="D34" s="12">
        <v>15.883623999999999</v>
      </c>
      <c r="E34" s="7"/>
      <c r="F34" s="7"/>
      <c r="G34" s="7"/>
      <c r="H34" s="12">
        <v>63.528739000000002</v>
      </c>
      <c r="I34" s="12">
        <v>138.884353</v>
      </c>
      <c r="J34" s="12">
        <v>198.49923200000001</v>
      </c>
      <c r="K34" s="12">
        <v>29718.84</v>
      </c>
      <c r="L34" s="12">
        <v>2276.5700000000002</v>
      </c>
      <c r="M34" s="12">
        <v>12008.11</v>
      </c>
    </row>
    <row r="35" spans="2:13" ht="18.75" x14ac:dyDescent="0.25">
      <c r="B35" s="7" t="s">
        <v>15</v>
      </c>
      <c r="C35" s="7" t="s">
        <v>270</v>
      </c>
      <c r="D35" s="12">
        <v>2.4955340000000001</v>
      </c>
      <c r="E35" s="7"/>
      <c r="F35" s="7"/>
      <c r="G35" s="7"/>
      <c r="H35" s="12">
        <v>50.999060999999998</v>
      </c>
      <c r="I35" s="12">
        <v>39.019750000000002</v>
      </c>
      <c r="J35" s="12">
        <v>67.435794000000001</v>
      </c>
      <c r="K35" s="12">
        <v>4103.0200000000004</v>
      </c>
      <c r="L35" s="12">
        <v>314.31</v>
      </c>
      <c r="M35" s="12">
        <v>1657.85</v>
      </c>
    </row>
    <row r="36" spans="2:13" ht="18.75" x14ac:dyDescent="0.25">
      <c r="B36" s="7" t="s">
        <v>15</v>
      </c>
      <c r="C36" s="7" t="s">
        <v>277</v>
      </c>
      <c r="D36" s="12">
        <v>0.602433</v>
      </c>
      <c r="E36" s="7"/>
      <c r="F36" s="7"/>
      <c r="G36" s="7"/>
      <c r="H36" s="12">
        <v>6.209384</v>
      </c>
      <c r="I36" s="12">
        <v>6.0135579999999997</v>
      </c>
      <c r="J36" s="12">
        <v>12.875895</v>
      </c>
      <c r="K36" s="12">
        <v>909.45</v>
      </c>
      <c r="L36" s="12">
        <v>69.67</v>
      </c>
      <c r="M36" s="12">
        <v>367.47</v>
      </c>
    </row>
    <row r="37" spans="2:13" ht="18.75" x14ac:dyDescent="0.25">
      <c r="B37" s="7" t="s">
        <v>15</v>
      </c>
      <c r="C37" s="7" t="s">
        <v>288</v>
      </c>
      <c r="D37" s="12">
        <v>1.069966</v>
      </c>
      <c r="E37" s="7"/>
      <c r="F37" s="7"/>
      <c r="G37" s="7"/>
      <c r="H37" s="12">
        <v>5.8703750000000001</v>
      </c>
      <c r="I37" s="12">
        <v>8.5094429999999992</v>
      </c>
      <c r="J37" s="12">
        <v>20.841097000000001</v>
      </c>
      <c r="K37" s="12">
        <v>2272.4299999999998</v>
      </c>
      <c r="L37" s="12">
        <v>174.08</v>
      </c>
      <c r="M37" s="12">
        <v>918.19</v>
      </c>
    </row>
    <row r="38" spans="2:13" ht="18.75" x14ac:dyDescent="0.25">
      <c r="B38" s="7" t="s">
        <v>15</v>
      </c>
      <c r="C38" s="7" t="s">
        <v>273</v>
      </c>
      <c r="D38" s="12">
        <v>7.95092</v>
      </c>
      <c r="E38" s="7"/>
      <c r="F38" s="7"/>
      <c r="G38" s="7"/>
      <c r="H38" s="12">
        <v>84.289052999999996</v>
      </c>
      <c r="I38" s="12">
        <v>140.05298400000001</v>
      </c>
      <c r="J38" s="12">
        <v>353.37104199999999</v>
      </c>
      <c r="K38" s="12">
        <v>14831.38</v>
      </c>
      <c r="L38" s="12">
        <v>1136.1400000000001</v>
      </c>
      <c r="M38" s="12">
        <v>5992.73</v>
      </c>
    </row>
    <row r="39" spans="2:13" ht="18.75" x14ac:dyDescent="0.25">
      <c r="B39" s="7" t="s">
        <v>15</v>
      </c>
      <c r="C39" s="7" t="s">
        <v>274</v>
      </c>
      <c r="D39" s="12">
        <v>0.10081900000000001</v>
      </c>
      <c r="E39" s="7"/>
      <c r="F39" s="7"/>
      <c r="G39" s="7"/>
      <c r="H39" s="12">
        <v>0.1</v>
      </c>
      <c r="I39" s="12">
        <v>3.2046190000000001</v>
      </c>
      <c r="J39" s="12">
        <v>0.28062799999999999</v>
      </c>
      <c r="K39" s="12">
        <v>9.42</v>
      </c>
      <c r="L39" s="12">
        <v>0.72</v>
      </c>
      <c r="M39" s="12">
        <v>3.81</v>
      </c>
    </row>
    <row r="40" spans="2:13" ht="18.75" x14ac:dyDescent="0.25">
      <c r="B40" s="7" t="s">
        <v>15</v>
      </c>
      <c r="C40" s="7" t="s">
        <v>126</v>
      </c>
      <c r="D40" s="12">
        <v>6.9788420000000002</v>
      </c>
      <c r="E40" s="7"/>
      <c r="F40" s="7"/>
      <c r="G40" s="7"/>
      <c r="H40" s="12">
        <v>83.156187000000003</v>
      </c>
      <c r="I40" s="12">
        <v>93.046856000000005</v>
      </c>
      <c r="J40" s="12">
        <v>77.669588000000005</v>
      </c>
      <c r="K40" s="12">
        <v>3280.53</v>
      </c>
      <c r="L40" s="12">
        <v>251.3</v>
      </c>
      <c r="M40" s="12">
        <v>1325.52</v>
      </c>
    </row>
    <row r="41" spans="2:13" ht="18.75" x14ac:dyDescent="0.25">
      <c r="B41" s="7" t="s">
        <v>15</v>
      </c>
      <c r="C41" s="7" t="s">
        <v>290</v>
      </c>
      <c r="D41" s="12">
        <v>0.10184600000000001</v>
      </c>
      <c r="E41" s="7"/>
      <c r="F41" s="7"/>
      <c r="G41" s="7"/>
      <c r="H41" s="12">
        <v>190</v>
      </c>
      <c r="I41" s="12">
        <v>1299.4071080000001</v>
      </c>
      <c r="J41" s="12">
        <v>807.56940199999997</v>
      </c>
      <c r="K41" s="12">
        <v>36.64</v>
      </c>
      <c r="L41" s="12">
        <v>4.4400000000000004</v>
      </c>
      <c r="M41" s="12">
        <v>23.58</v>
      </c>
    </row>
    <row r="42" spans="2:13" ht="18.75" x14ac:dyDescent="0.25">
      <c r="B42" s="7" t="s">
        <v>15</v>
      </c>
      <c r="C42" s="7" t="s">
        <v>174</v>
      </c>
      <c r="D42" s="12">
        <v>3.6037819999999998</v>
      </c>
      <c r="E42" s="7"/>
      <c r="F42" s="7"/>
      <c r="G42" s="7"/>
      <c r="H42" s="12">
        <v>32.487324999999998</v>
      </c>
      <c r="I42" s="12">
        <v>82.261915999999999</v>
      </c>
      <c r="J42" s="12">
        <v>115.239206</v>
      </c>
      <c r="K42" s="12">
        <v>2927.16</v>
      </c>
      <c r="L42" s="12">
        <v>354.47</v>
      </c>
      <c r="M42" s="12">
        <v>1883.88</v>
      </c>
    </row>
    <row r="43" spans="2:13" ht="18.75" x14ac:dyDescent="0.25">
      <c r="B43" s="7" t="s">
        <v>15</v>
      </c>
      <c r="C43" s="7" t="s">
        <v>293</v>
      </c>
      <c r="D43" s="12">
        <v>6.6315280000000003</v>
      </c>
      <c r="E43" s="7"/>
      <c r="F43" s="7"/>
      <c r="G43" s="7"/>
      <c r="H43" s="12">
        <v>78.121380000000002</v>
      </c>
      <c r="I43" s="12">
        <v>132.38802899999999</v>
      </c>
      <c r="J43" s="12">
        <v>159.918656</v>
      </c>
      <c r="K43" s="12">
        <v>4189.5200000000004</v>
      </c>
      <c r="L43" s="12">
        <v>507.34</v>
      </c>
      <c r="M43" s="12">
        <v>2696.32</v>
      </c>
    </row>
    <row r="44" spans="2:13" ht="18.75" x14ac:dyDescent="0.25">
      <c r="B44" s="7" t="s">
        <v>15</v>
      </c>
      <c r="C44" s="7" t="s">
        <v>291</v>
      </c>
      <c r="D44" s="12">
        <v>1.3991E-2</v>
      </c>
      <c r="E44" s="7"/>
      <c r="F44" s="7"/>
      <c r="G44" s="7"/>
      <c r="H44" s="12">
        <v>1.5264E-2</v>
      </c>
      <c r="I44" s="12">
        <v>0.89352100000000001</v>
      </c>
      <c r="J44" s="12">
        <v>0.35736499999999999</v>
      </c>
      <c r="K44" s="12">
        <v>2.56</v>
      </c>
      <c r="L44" s="12">
        <v>0.31</v>
      </c>
      <c r="M44" s="12">
        <v>1.65</v>
      </c>
    </row>
    <row r="45" spans="2:13" ht="18.75" x14ac:dyDescent="0.25">
      <c r="B45" s="7" t="s">
        <v>15</v>
      </c>
      <c r="C45" s="7" t="s">
        <v>294</v>
      </c>
      <c r="D45" s="12">
        <v>0.73877099999999996</v>
      </c>
      <c r="E45" s="7"/>
      <c r="F45" s="7"/>
      <c r="G45" s="7"/>
      <c r="H45" s="12">
        <v>1.663138</v>
      </c>
      <c r="I45" s="12">
        <v>2.4690829999999999</v>
      </c>
      <c r="J45" s="12">
        <v>8.2174289999999992</v>
      </c>
      <c r="K45" s="12">
        <v>1679.56</v>
      </c>
      <c r="L45" s="12">
        <v>203.39</v>
      </c>
      <c r="M45" s="12">
        <v>1080.94</v>
      </c>
    </row>
    <row r="46" spans="2:13" ht="18.75" x14ac:dyDescent="0.25">
      <c r="B46" s="7" t="s">
        <v>15</v>
      </c>
      <c r="C46" s="7" t="s">
        <v>292</v>
      </c>
      <c r="D46" s="12">
        <v>5.4348E-2</v>
      </c>
      <c r="E46" s="7"/>
      <c r="F46" s="7"/>
      <c r="G46" s="7"/>
      <c r="H46" s="12">
        <v>0.43682399999999999</v>
      </c>
      <c r="I46" s="12">
        <v>0.74734500000000004</v>
      </c>
      <c r="J46" s="12">
        <v>0.64240200000000003</v>
      </c>
      <c r="K46" s="12">
        <v>19.97</v>
      </c>
      <c r="L46" s="12">
        <v>2.42</v>
      </c>
      <c r="M46" s="12">
        <v>12.85</v>
      </c>
    </row>
    <row r="47" spans="2:13" ht="18.75" x14ac:dyDescent="0.25">
      <c r="B47" s="7" t="s">
        <v>682</v>
      </c>
      <c r="C47" s="7" t="s">
        <v>299</v>
      </c>
      <c r="D47" s="12">
        <v>3.0000000000000001E-6</v>
      </c>
      <c r="E47" s="7"/>
      <c r="F47" s="7"/>
      <c r="G47" s="7"/>
      <c r="H47" s="12">
        <v>7.3986130000000001</v>
      </c>
      <c r="I47" s="12">
        <v>15.505720999999999</v>
      </c>
      <c r="J47" s="12">
        <v>22.683672999999999</v>
      </c>
      <c r="K47" s="12">
        <v>0</v>
      </c>
      <c r="L47" s="12">
        <v>0</v>
      </c>
      <c r="M47" s="12">
        <v>0</v>
      </c>
    </row>
    <row r="48" spans="2:13" ht="18.75" x14ac:dyDescent="0.25">
      <c r="B48" s="7" t="s">
        <v>15</v>
      </c>
      <c r="C48" s="7" t="s">
        <v>303</v>
      </c>
      <c r="D48" s="12">
        <v>0.11446199999999999</v>
      </c>
      <c r="E48" s="7"/>
      <c r="F48" s="7"/>
      <c r="G48" s="7"/>
      <c r="H48" s="12">
        <v>1.4422999999999999</v>
      </c>
      <c r="I48" s="12">
        <v>2.202385</v>
      </c>
      <c r="J48" s="12">
        <v>2.7417370000000001</v>
      </c>
      <c r="K48" s="12">
        <v>11.46</v>
      </c>
      <c r="L48" s="12">
        <v>10.37</v>
      </c>
      <c r="M48" s="12">
        <v>53.57</v>
      </c>
    </row>
    <row r="49" spans="2:13" ht="18.75" x14ac:dyDescent="0.25">
      <c r="B49" s="7" t="s">
        <v>15</v>
      </c>
      <c r="C49" s="7" t="s">
        <v>58</v>
      </c>
      <c r="D49" s="12">
        <v>44.215226999999999</v>
      </c>
      <c r="E49" s="7"/>
      <c r="F49" s="7"/>
      <c r="G49" s="7"/>
      <c r="H49" s="12">
        <v>282.65854400000001</v>
      </c>
      <c r="I49" s="12">
        <v>511.94048500000002</v>
      </c>
      <c r="J49" s="12">
        <v>1449.532829</v>
      </c>
      <c r="K49" s="12">
        <v>2451.5100000000002</v>
      </c>
      <c r="L49" s="12">
        <v>4533.43</v>
      </c>
      <c r="M49" s="12">
        <v>31327.67</v>
      </c>
    </row>
    <row r="50" spans="2:13" ht="18.75" x14ac:dyDescent="0.25">
      <c r="B50" s="7" t="s">
        <v>15</v>
      </c>
      <c r="C50" s="7" t="s">
        <v>304</v>
      </c>
      <c r="D50" s="12">
        <v>5.884277</v>
      </c>
      <c r="E50" s="7"/>
      <c r="F50" s="7"/>
      <c r="G50" s="7"/>
      <c r="H50" s="12">
        <v>13.546211</v>
      </c>
      <c r="I50" s="12">
        <v>15.10951</v>
      </c>
      <c r="J50" s="12">
        <v>40.858564000000001</v>
      </c>
      <c r="K50" s="12">
        <v>596.76</v>
      </c>
      <c r="L50" s="12">
        <v>540.09</v>
      </c>
      <c r="M50" s="12">
        <v>2790.41</v>
      </c>
    </row>
    <row r="51" spans="2:13" ht="18.75" x14ac:dyDescent="0.25">
      <c r="B51" s="7" t="s">
        <v>15</v>
      </c>
      <c r="C51" s="7" t="s">
        <v>305</v>
      </c>
      <c r="D51" s="12">
        <v>0.35589900000000002</v>
      </c>
      <c r="E51" s="7"/>
      <c r="F51" s="7"/>
      <c r="G51" s="7"/>
      <c r="H51" s="12">
        <v>8.3406380000000002</v>
      </c>
      <c r="I51" s="12">
        <v>9.5570699999999995</v>
      </c>
      <c r="J51" s="12">
        <v>101.846464</v>
      </c>
      <c r="K51" s="12">
        <v>14.72</v>
      </c>
      <c r="L51" s="12">
        <v>10.01</v>
      </c>
      <c r="M51" s="12">
        <v>179.42</v>
      </c>
    </row>
    <row r="52" spans="2:13" ht="18.75" x14ac:dyDescent="0.25">
      <c r="B52" s="7" t="s">
        <v>15</v>
      </c>
      <c r="C52" s="7" t="s">
        <v>295</v>
      </c>
      <c r="D52" s="12">
        <v>0.71747899999999998</v>
      </c>
      <c r="E52" s="7"/>
      <c r="F52" s="7"/>
      <c r="G52" s="7"/>
      <c r="H52" s="12">
        <v>4.2331640000000004</v>
      </c>
      <c r="I52" s="12">
        <v>6.4772169999999996</v>
      </c>
      <c r="J52" s="12">
        <v>7.4910350000000001</v>
      </c>
      <c r="K52" s="12">
        <v>21.1</v>
      </c>
      <c r="L52" s="12">
        <v>11.47</v>
      </c>
      <c r="M52" s="12">
        <v>187.87</v>
      </c>
    </row>
    <row r="53" spans="2:13" ht="18.75" x14ac:dyDescent="0.25">
      <c r="B53" s="7" t="s">
        <v>15</v>
      </c>
      <c r="C53" s="7" t="s">
        <v>297</v>
      </c>
      <c r="D53" s="12">
        <v>10.711361</v>
      </c>
      <c r="E53" s="7"/>
      <c r="F53" s="7"/>
      <c r="G53" s="7"/>
      <c r="H53" s="12">
        <v>36.619807999999999</v>
      </c>
      <c r="I53" s="12">
        <v>50.120503999999997</v>
      </c>
      <c r="J53" s="12">
        <v>77.023893999999999</v>
      </c>
      <c r="K53" s="12">
        <v>1083.3399999999999</v>
      </c>
      <c r="L53" s="12">
        <v>394.19</v>
      </c>
      <c r="M53" s="12">
        <v>3786.49</v>
      </c>
    </row>
    <row r="54" spans="2:13" ht="18.75" x14ac:dyDescent="0.25">
      <c r="B54" s="7" t="s">
        <v>15</v>
      </c>
      <c r="C54" s="7" t="s">
        <v>296</v>
      </c>
      <c r="D54" s="12">
        <v>5.2776620000000003</v>
      </c>
      <c r="E54" s="7"/>
      <c r="F54" s="7"/>
      <c r="G54" s="7"/>
      <c r="H54" s="12">
        <v>39.874541999999998</v>
      </c>
      <c r="I54" s="12">
        <v>111.53267200000001</v>
      </c>
      <c r="J54" s="12">
        <v>249.24315899999999</v>
      </c>
      <c r="K54" s="12">
        <v>180.67</v>
      </c>
      <c r="L54" s="12">
        <v>334.1</v>
      </c>
      <c r="M54" s="12">
        <v>2308.77</v>
      </c>
    </row>
    <row r="55" spans="2:13" ht="18.75" x14ac:dyDescent="0.25">
      <c r="B55" s="7" t="s">
        <v>15</v>
      </c>
      <c r="C55" s="7" t="s">
        <v>130</v>
      </c>
      <c r="D55" s="12">
        <v>2.7073670000000001</v>
      </c>
      <c r="E55" s="7"/>
      <c r="F55" s="7"/>
      <c r="G55" s="7"/>
      <c r="H55" s="12">
        <v>24.380906</v>
      </c>
      <c r="I55" s="12">
        <v>46.025903999999997</v>
      </c>
      <c r="J55" s="12">
        <v>102.254372</v>
      </c>
      <c r="K55" s="12">
        <v>1082.25</v>
      </c>
      <c r="L55" s="12">
        <v>219.02</v>
      </c>
      <c r="M55" s="12">
        <v>1735.61</v>
      </c>
    </row>
    <row r="56" spans="2:13" ht="18.75" x14ac:dyDescent="0.25">
      <c r="B56" s="7" t="s">
        <v>15</v>
      </c>
      <c r="C56" s="7" t="s">
        <v>385</v>
      </c>
      <c r="D56" s="12">
        <v>0.110427</v>
      </c>
      <c r="E56" s="7"/>
      <c r="F56" s="7"/>
      <c r="G56" s="7"/>
      <c r="H56" s="12">
        <v>0.26836100000000002</v>
      </c>
      <c r="I56" s="12">
        <v>0.23555400000000001</v>
      </c>
      <c r="J56" s="12">
        <v>1.516707</v>
      </c>
      <c r="K56" s="12">
        <v>11</v>
      </c>
      <c r="L56" s="12">
        <v>5.0599999999999996</v>
      </c>
      <c r="M56" s="12">
        <v>148.51</v>
      </c>
    </row>
    <row r="57" spans="2:13" ht="18.75" x14ac:dyDescent="0.25">
      <c r="B57" s="7" t="s">
        <v>15</v>
      </c>
      <c r="C57" s="7" t="s">
        <v>387</v>
      </c>
      <c r="D57" s="12">
        <v>6.9844499999999998</v>
      </c>
      <c r="E57" s="7"/>
      <c r="F57" s="7"/>
      <c r="G57" s="7"/>
      <c r="H57" s="12">
        <v>44.816761</v>
      </c>
      <c r="I57" s="12">
        <v>112.11311000000001</v>
      </c>
      <c r="J57" s="12">
        <v>217.12781100000001</v>
      </c>
      <c r="K57" s="12">
        <v>321.48</v>
      </c>
      <c r="L57" s="12">
        <v>594.5</v>
      </c>
      <c r="M57" s="12">
        <v>4108.22</v>
      </c>
    </row>
    <row r="58" spans="2:13" ht="18.75" x14ac:dyDescent="0.25">
      <c r="B58" s="7" t="s">
        <v>15</v>
      </c>
      <c r="C58" s="7" t="s">
        <v>386</v>
      </c>
      <c r="D58" s="12">
        <v>1.9999999999999999E-6</v>
      </c>
      <c r="E58" s="7"/>
      <c r="F58" s="7"/>
      <c r="G58" s="7"/>
      <c r="H58" s="12">
        <v>0.20042499999999999</v>
      </c>
      <c r="I58" s="12">
        <v>0.66908400000000001</v>
      </c>
      <c r="J58" s="12">
        <v>1.52298</v>
      </c>
      <c r="K58" s="12">
        <v>0</v>
      </c>
      <c r="L58" s="12">
        <v>0</v>
      </c>
      <c r="M58" s="12">
        <v>0</v>
      </c>
    </row>
    <row r="59" spans="2:13" ht="18.75" x14ac:dyDescent="0.25">
      <c r="B59" s="7" t="s">
        <v>15</v>
      </c>
      <c r="C59" s="7" t="s">
        <v>298</v>
      </c>
      <c r="D59" s="12">
        <v>2.7556769999999999</v>
      </c>
      <c r="E59" s="7"/>
      <c r="F59" s="7"/>
      <c r="G59" s="7"/>
      <c r="H59" s="12">
        <v>18.190000999999999</v>
      </c>
      <c r="I59" s="12">
        <v>46.747767000000003</v>
      </c>
      <c r="J59" s="12">
        <v>80.974506000000005</v>
      </c>
      <c r="K59" s="12">
        <v>135.80000000000001</v>
      </c>
      <c r="L59" s="12">
        <v>73.819999999999993</v>
      </c>
      <c r="M59" s="12">
        <v>1209.1199999999999</v>
      </c>
    </row>
    <row r="60" spans="2:13" ht="18.75" x14ac:dyDescent="0.25">
      <c r="B60" s="7" t="s">
        <v>15</v>
      </c>
      <c r="C60" s="7" t="s">
        <v>299</v>
      </c>
      <c r="D60" s="12">
        <v>2.6087129999999998</v>
      </c>
      <c r="E60" s="7"/>
      <c r="F60" s="7"/>
      <c r="G60" s="7"/>
      <c r="H60" s="12">
        <v>20.922547999999999</v>
      </c>
      <c r="I60" s="12">
        <v>46.702888999999999</v>
      </c>
      <c r="J60" s="12">
        <v>77.463612999999995</v>
      </c>
      <c r="K60" s="12">
        <v>929.96</v>
      </c>
      <c r="L60" s="12">
        <v>188.2</v>
      </c>
      <c r="M60" s="12">
        <v>1491.38</v>
      </c>
    </row>
    <row r="61" spans="2:13" ht="18.75" x14ac:dyDescent="0.25">
      <c r="B61" s="7" t="s">
        <v>15</v>
      </c>
      <c r="C61" s="7" t="s">
        <v>300</v>
      </c>
      <c r="D61" s="12">
        <v>14.492680999999999</v>
      </c>
      <c r="E61" s="7"/>
      <c r="F61" s="7"/>
      <c r="G61" s="7"/>
      <c r="H61" s="12">
        <v>23.684956</v>
      </c>
      <c r="I61" s="12">
        <v>38.138900999999997</v>
      </c>
      <c r="J61" s="12">
        <v>44.991557</v>
      </c>
      <c r="K61" s="12">
        <v>2950.6</v>
      </c>
      <c r="L61" s="12">
        <v>597.12</v>
      </c>
      <c r="M61" s="12">
        <v>4731.91</v>
      </c>
    </row>
    <row r="62" spans="2:13" ht="18.75" x14ac:dyDescent="0.25">
      <c r="B62" s="7" t="s">
        <v>15</v>
      </c>
      <c r="C62" s="7" t="s">
        <v>301</v>
      </c>
      <c r="D62" s="12">
        <v>0.14760599999999999</v>
      </c>
      <c r="E62" s="7"/>
      <c r="F62" s="7"/>
      <c r="G62" s="7"/>
      <c r="H62" s="12">
        <v>1.607564</v>
      </c>
      <c r="I62" s="12">
        <v>0.30019499999999999</v>
      </c>
      <c r="J62" s="12">
        <v>2.0505740000000001</v>
      </c>
      <c r="K62" s="12">
        <v>4.9800000000000004</v>
      </c>
      <c r="L62" s="12">
        <v>2.71</v>
      </c>
      <c r="M62" s="12">
        <v>44.31</v>
      </c>
    </row>
    <row r="63" spans="2:13" ht="18.75" x14ac:dyDescent="0.25">
      <c r="B63" s="7" t="s">
        <v>15</v>
      </c>
      <c r="C63" s="7" t="s">
        <v>302</v>
      </c>
      <c r="D63" s="12">
        <v>3.2737050000000001</v>
      </c>
      <c r="E63" s="7"/>
      <c r="F63" s="7"/>
      <c r="G63" s="7"/>
      <c r="H63" s="12">
        <v>8.9442109999999992</v>
      </c>
      <c r="I63" s="12">
        <v>29.038359</v>
      </c>
      <c r="J63" s="12">
        <v>44.453938000000001</v>
      </c>
      <c r="K63" s="12">
        <v>186.43</v>
      </c>
      <c r="L63" s="12">
        <v>126.75</v>
      </c>
      <c r="M63" s="12">
        <v>2271.96</v>
      </c>
    </row>
    <row r="64" spans="2:13" ht="18.75" x14ac:dyDescent="0.25">
      <c r="B64" s="7" t="s">
        <v>15</v>
      </c>
      <c r="C64" s="7" t="s">
        <v>318</v>
      </c>
      <c r="D64" s="12">
        <v>13.670947</v>
      </c>
      <c r="E64" s="7"/>
      <c r="F64" s="7"/>
      <c r="G64" s="7"/>
      <c r="H64" s="12">
        <v>85.770691999999997</v>
      </c>
      <c r="I64" s="12">
        <v>252.57604000000001</v>
      </c>
      <c r="J64" s="12">
        <v>554.01608999999996</v>
      </c>
      <c r="K64" s="12">
        <v>5958.13</v>
      </c>
      <c r="L64" s="12">
        <v>1205.76</v>
      </c>
      <c r="M64" s="12">
        <v>9555.1200000000008</v>
      </c>
    </row>
    <row r="65" spans="2:13" ht="18.75" x14ac:dyDescent="0.25">
      <c r="B65" s="7" t="s">
        <v>15</v>
      </c>
      <c r="C65" s="7" t="s">
        <v>320</v>
      </c>
      <c r="D65" s="12">
        <v>18.64678</v>
      </c>
      <c r="E65" s="7"/>
      <c r="F65" s="7"/>
      <c r="G65" s="7"/>
      <c r="H65" s="12">
        <v>208.02481599999999</v>
      </c>
      <c r="I65" s="12">
        <v>388.66977000000003</v>
      </c>
      <c r="J65" s="12">
        <v>1047.1223520000001</v>
      </c>
      <c r="K65" s="12">
        <v>1700.94</v>
      </c>
      <c r="L65" s="12">
        <v>1156.48</v>
      </c>
      <c r="M65" s="12">
        <v>20728.87</v>
      </c>
    </row>
    <row r="66" spans="2:13" ht="18.75" x14ac:dyDescent="0.25">
      <c r="B66" s="7" t="s">
        <v>15</v>
      </c>
      <c r="C66" s="7" t="s">
        <v>319</v>
      </c>
      <c r="D66" s="12">
        <v>3.717873</v>
      </c>
      <c r="E66" s="7"/>
      <c r="F66" s="7"/>
      <c r="G66" s="7"/>
      <c r="H66" s="12">
        <v>46.179636000000002</v>
      </c>
      <c r="I66" s="12">
        <v>73.801079000000001</v>
      </c>
      <c r="J66" s="12">
        <v>114.81702900000001</v>
      </c>
      <c r="K66" s="12">
        <v>572</v>
      </c>
      <c r="L66" s="12">
        <v>135.35</v>
      </c>
      <c r="M66" s="12">
        <v>1861.12</v>
      </c>
    </row>
    <row r="67" spans="2:13" ht="18.75" x14ac:dyDescent="0.25">
      <c r="B67" s="7" t="s">
        <v>15</v>
      </c>
      <c r="C67" s="7" t="s">
        <v>397</v>
      </c>
      <c r="D67" s="12">
        <v>1.243967</v>
      </c>
      <c r="E67" s="7"/>
      <c r="F67" s="7"/>
      <c r="G67" s="7"/>
      <c r="H67" s="12">
        <v>4.1815740000000003</v>
      </c>
      <c r="I67" s="12">
        <v>3.1752020000000001</v>
      </c>
      <c r="J67" s="12">
        <v>11.134689</v>
      </c>
      <c r="K67" s="12">
        <v>43.33</v>
      </c>
      <c r="L67" s="12">
        <v>80.12</v>
      </c>
      <c r="M67" s="12">
        <v>553.65</v>
      </c>
    </row>
    <row r="68" spans="2:13" ht="18.75" x14ac:dyDescent="0.25">
      <c r="B68" s="7" t="s">
        <v>15</v>
      </c>
      <c r="C68" s="7" t="s">
        <v>100</v>
      </c>
      <c r="D68" s="12">
        <v>5.6263199999999998</v>
      </c>
      <c r="E68" s="7"/>
      <c r="F68" s="7"/>
      <c r="G68" s="7"/>
      <c r="H68" s="12">
        <v>52.184893000000002</v>
      </c>
      <c r="I68" s="12">
        <v>110.875197</v>
      </c>
      <c r="J68" s="12">
        <v>365.05561599999999</v>
      </c>
      <c r="K68" s="12">
        <v>1175.55</v>
      </c>
      <c r="L68" s="12">
        <v>799.26</v>
      </c>
      <c r="M68" s="12">
        <v>14326.07</v>
      </c>
    </row>
    <row r="69" spans="2:13" ht="18.75" x14ac:dyDescent="0.25">
      <c r="B69" s="7" t="s">
        <v>15</v>
      </c>
      <c r="C69" s="7" t="s">
        <v>398</v>
      </c>
      <c r="D69" s="12">
        <v>0.68164100000000005</v>
      </c>
      <c r="E69" s="7"/>
      <c r="F69" s="7"/>
      <c r="G69" s="7"/>
      <c r="H69" s="12">
        <v>9.2381960000000003</v>
      </c>
      <c r="I69" s="12">
        <v>7.0415890000000001</v>
      </c>
      <c r="J69" s="12">
        <v>13.266264</v>
      </c>
      <c r="K69" s="12">
        <v>20.04</v>
      </c>
      <c r="L69" s="12">
        <v>10.89</v>
      </c>
      <c r="M69" s="12">
        <v>178.44</v>
      </c>
    </row>
    <row r="70" spans="2:13" ht="18.75" x14ac:dyDescent="0.25">
      <c r="B70" s="7" t="s">
        <v>15</v>
      </c>
      <c r="C70" s="7" t="s">
        <v>399</v>
      </c>
      <c r="D70" s="12">
        <v>1.5757030000000001</v>
      </c>
      <c r="E70" s="7"/>
      <c r="F70" s="7"/>
      <c r="G70" s="7"/>
      <c r="H70" s="12">
        <v>7.7179479999999998</v>
      </c>
      <c r="I70" s="12">
        <v>21.165652999999999</v>
      </c>
      <c r="J70" s="12">
        <v>37.093687000000003</v>
      </c>
      <c r="K70" s="12">
        <v>89.79</v>
      </c>
      <c r="L70" s="12">
        <v>48.81</v>
      </c>
      <c r="M70" s="12">
        <v>799.51</v>
      </c>
    </row>
    <row r="71" spans="2:13" ht="18.75" x14ac:dyDescent="0.25">
      <c r="B71" s="7" t="s">
        <v>15</v>
      </c>
      <c r="C71" s="7" t="s">
        <v>86</v>
      </c>
      <c r="D71" s="12">
        <v>3.7741760000000002</v>
      </c>
      <c r="E71" s="7"/>
      <c r="F71" s="7"/>
      <c r="G71" s="7"/>
      <c r="H71" s="12">
        <v>34.95232</v>
      </c>
      <c r="I71" s="12">
        <v>84.892252999999997</v>
      </c>
      <c r="J71" s="12">
        <v>118.473426</v>
      </c>
      <c r="K71" s="12">
        <v>1541.74</v>
      </c>
      <c r="L71" s="12">
        <v>312</v>
      </c>
      <c r="M71" s="12">
        <v>2472.5</v>
      </c>
    </row>
    <row r="72" spans="2:13" ht="18.75" x14ac:dyDescent="0.25">
      <c r="B72" s="7" t="s">
        <v>15</v>
      </c>
      <c r="C72" s="7" t="s">
        <v>170</v>
      </c>
      <c r="D72" s="12">
        <v>42.483015000000002</v>
      </c>
      <c r="E72" s="7"/>
      <c r="F72" s="7"/>
      <c r="G72" s="7"/>
      <c r="H72" s="12">
        <v>220.55696800000001</v>
      </c>
      <c r="I72" s="12">
        <v>378.70734900000002</v>
      </c>
      <c r="J72" s="12">
        <v>410.49503600000003</v>
      </c>
      <c r="K72" s="12">
        <v>1079.55</v>
      </c>
      <c r="L72" s="12">
        <v>734</v>
      </c>
      <c r="M72" s="12">
        <v>13156.19</v>
      </c>
    </row>
    <row r="73" spans="2:13" ht="18.75" x14ac:dyDescent="0.25">
      <c r="B73" s="7" t="s">
        <v>15</v>
      </c>
      <c r="C73" s="7" t="s">
        <v>322</v>
      </c>
      <c r="D73" s="12">
        <v>0.22131700000000001</v>
      </c>
      <c r="E73" s="7"/>
      <c r="F73" s="7"/>
      <c r="G73" s="7"/>
      <c r="H73" s="12">
        <v>0.867367</v>
      </c>
      <c r="I73" s="12">
        <v>4.7721020000000003</v>
      </c>
      <c r="J73" s="12">
        <v>5.5917399999999997</v>
      </c>
      <c r="K73" s="12">
        <v>50.83</v>
      </c>
      <c r="L73" s="12">
        <v>10.29</v>
      </c>
      <c r="M73" s="12">
        <v>81.52</v>
      </c>
    </row>
    <row r="74" spans="2:13" ht="18.75" x14ac:dyDescent="0.25">
      <c r="B74" s="7" t="s">
        <v>15</v>
      </c>
      <c r="C74" s="7" t="s">
        <v>409</v>
      </c>
      <c r="D74" s="12">
        <v>0.219139</v>
      </c>
      <c r="E74" s="7"/>
      <c r="F74" s="7"/>
      <c r="G74" s="7"/>
      <c r="H74" s="12">
        <v>1.4694130000000001</v>
      </c>
      <c r="I74" s="12">
        <v>5.3808100000000003</v>
      </c>
      <c r="J74" s="12">
        <v>10.210016</v>
      </c>
      <c r="K74" s="12">
        <v>10.45</v>
      </c>
      <c r="L74" s="12">
        <v>5.68</v>
      </c>
      <c r="M74" s="12">
        <v>93.01</v>
      </c>
    </row>
    <row r="75" spans="2:13" ht="18.75" x14ac:dyDescent="0.25">
      <c r="B75" s="7" t="s">
        <v>15</v>
      </c>
      <c r="C75" s="7" t="s">
        <v>323</v>
      </c>
      <c r="D75" s="12">
        <v>3.799315</v>
      </c>
      <c r="E75" s="7"/>
      <c r="F75" s="7"/>
      <c r="G75" s="7"/>
      <c r="H75" s="12">
        <v>29.439886999999999</v>
      </c>
      <c r="I75" s="12">
        <v>60.868940000000002</v>
      </c>
      <c r="J75" s="12">
        <v>114.724981</v>
      </c>
      <c r="K75" s="12">
        <v>279.20999999999998</v>
      </c>
      <c r="L75" s="12">
        <v>101.6</v>
      </c>
      <c r="M75" s="12">
        <v>975.91</v>
      </c>
    </row>
    <row r="76" spans="2:13" ht="18.75" x14ac:dyDescent="0.25">
      <c r="B76" s="7" t="s">
        <v>15</v>
      </c>
      <c r="C76" s="7" t="s">
        <v>324</v>
      </c>
      <c r="D76" s="12">
        <v>1.1672359999999999</v>
      </c>
      <c r="E76" s="7"/>
      <c r="F76" s="7"/>
      <c r="G76" s="7"/>
      <c r="H76" s="12">
        <v>29.985782</v>
      </c>
      <c r="I76" s="12">
        <v>227.59948299999999</v>
      </c>
      <c r="J76" s="12">
        <v>229.57921999999999</v>
      </c>
      <c r="K76" s="12">
        <v>90.96</v>
      </c>
      <c r="L76" s="12">
        <v>41.82</v>
      </c>
      <c r="M76" s="12">
        <v>1228.32</v>
      </c>
    </row>
    <row r="77" spans="2:13" ht="18.75" x14ac:dyDescent="0.25">
      <c r="B77" s="7" t="s">
        <v>15</v>
      </c>
      <c r="C77" s="7" t="s">
        <v>368</v>
      </c>
      <c r="D77" s="12">
        <v>2.2803629999999999</v>
      </c>
      <c r="E77" s="7"/>
      <c r="F77" s="7"/>
      <c r="G77" s="7"/>
      <c r="H77" s="12">
        <v>8.0503630000000008</v>
      </c>
      <c r="I77" s="12">
        <v>17.713197000000001</v>
      </c>
      <c r="J77" s="12">
        <v>46.069299999999998</v>
      </c>
      <c r="K77" s="12">
        <v>169.22</v>
      </c>
      <c r="L77" s="12">
        <v>91.99</v>
      </c>
      <c r="M77" s="12">
        <v>1506.72</v>
      </c>
    </row>
    <row r="78" spans="2:13" ht="18.75" x14ac:dyDescent="0.25">
      <c r="B78" s="7" t="s">
        <v>15</v>
      </c>
      <c r="C78" s="7" t="s">
        <v>326</v>
      </c>
      <c r="D78" s="12">
        <v>1.3907480000000001</v>
      </c>
      <c r="E78" s="7"/>
      <c r="F78" s="7"/>
      <c r="G78" s="7"/>
      <c r="H78" s="12">
        <v>13.633115999999999</v>
      </c>
      <c r="I78" s="12">
        <v>142.46309400000001</v>
      </c>
      <c r="J78" s="12">
        <v>129.35759300000001</v>
      </c>
      <c r="K78" s="12">
        <v>62.79</v>
      </c>
      <c r="L78" s="12">
        <v>34.130000000000003</v>
      </c>
      <c r="M78" s="12">
        <v>559.08000000000004</v>
      </c>
    </row>
    <row r="79" spans="2:13" ht="18.75" x14ac:dyDescent="0.25">
      <c r="B79" s="7" t="s">
        <v>15</v>
      </c>
      <c r="C79" s="7" t="s">
        <v>371</v>
      </c>
      <c r="D79" s="12">
        <v>18.464372000000001</v>
      </c>
      <c r="E79" s="7"/>
      <c r="F79" s="7"/>
      <c r="G79" s="7"/>
      <c r="H79" s="12">
        <v>113.724403</v>
      </c>
      <c r="I79" s="12">
        <v>151.84339700000001</v>
      </c>
      <c r="J79" s="12">
        <v>221.14931999999999</v>
      </c>
      <c r="K79" s="12">
        <v>3692.83</v>
      </c>
      <c r="L79" s="12">
        <v>873.8</v>
      </c>
      <c r="M79" s="12">
        <v>12015.44</v>
      </c>
    </row>
    <row r="80" spans="2:13" ht="18.75" x14ac:dyDescent="0.25">
      <c r="B80" s="7" t="s">
        <v>15</v>
      </c>
      <c r="C80" s="7" t="s">
        <v>306</v>
      </c>
      <c r="D80" s="12">
        <v>1.4233769999999999</v>
      </c>
      <c r="E80" s="7"/>
      <c r="F80" s="7"/>
      <c r="G80" s="7"/>
      <c r="H80" s="12">
        <v>12.388987</v>
      </c>
      <c r="I80" s="12">
        <v>25.270910000000001</v>
      </c>
      <c r="J80" s="12">
        <v>48.734670999999999</v>
      </c>
      <c r="K80" s="12">
        <v>256.75</v>
      </c>
      <c r="L80" s="12">
        <v>60.75</v>
      </c>
      <c r="M80" s="12">
        <v>835.39</v>
      </c>
    </row>
    <row r="81" spans="2:13" ht="18.75" x14ac:dyDescent="0.25">
      <c r="B81" s="7" t="s">
        <v>15</v>
      </c>
      <c r="C81" s="7" t="s">
        <v>307</v>
      </c>
      <c r="D81" s="12">
        <v>0.19075600000000001</v>
      </c>
      <c r="E81" s="7"/>
      <c r="F81" s="7"/>
      <c r="G81" s="7"/>
      <c r="H81" s="12">
        <v>1.2370030000000001</v>
      </c>
      <c r="I81" s="12">
        <v>1.1783330000000001</v>
      </c>
      <c r="J81" s="12">
        <v>9.3364220000000007</v>
      </c>
      <c r="K81" s="12">
        <v>44.7</v>
      </c>
      <c r="L81" s="12">
        <v>16.260000000000002</v>
      </c>
      <c r="M81" s="12">
        <v>156.22999999999999</v>
      </c>
    </row>
    <row r="82" spans="2:13" ht="18.75" x14ac:dyDescent="0.25">
      <c r="B82" s="7" t="s">
        <v>15</v>
      </c>
      <c r="C82" s="7" t="s">
        <v>308</v>
      </c>
      <c r="D82" s="12">
        <v>4.1055270000000004</v>
      </c>
      <c r="E82" s="7"/>
      <c r="F82" s="7"/>
      <c r="G82" s="7"/>
      <c r="H82" s="12">
        <v>19.377262999999999</v>
      </c>
      <c r="I82" s="12">
        <v>43.646721999999997</v>
      </c>
      <c r="J82" s="12">
        <v>67.253950000000003</v>
      </c>
      <c r="K82" s="12">
        <v>118.43</v>
      </c>
      <c r="L82" s="12">
        <v>64.38</v>
      </c>
      <c r="M82" s="12">
        <v>1054.51</v>
      </c>
    </row>
    <row r="83" spans="2:13" ht="18.75" x14ac:dyDescent="0.25">
      <c r="B83" s="7" t="s">
        <v>15</v>
      </c>
      <c r="C83" s="7" t="s">
        <v>179</v>
      </c>
      <c r="D83" s="12">
        <v>5.0603920000000002</v>
      </c>
      <c r="E83" s="7"/>
      <c r="F83" s="7"/>
      <c r="G83" s="7"/>
      <c r="H83" s="12">
        <v>27.565511000000001</v>
      </c>
      <c r="I83" s="12">
        <v>82.537445000000005</v>
      </c>
      <c r="J83" s="12">
        <v>292.861874</v>
      </c>
      <c r="K83" s="12">
        <v>3248.02</v>
      </c>
      <c r="L83" s="12">
        <v>657.31</v>
      </c>
      <c r="M83" s="12">
        <v>5208.88</v>
      </c>
    </row>
    <row r="84" spans="2:13" ht="18.75" x14ac:dyDescent="0.25">
      <c r="B84" s="7" t="s">
        <v>15</v>
      </c>
      <c r="C84" s="7" t="s">
        <v>309</v>
      </c>
      <c r="D84" s="12">
        <v>0.128718</v>
      </c>
      <c r="E84" s="7"/>
      <c r="F84" s="7"/>
      <c r="G84" s="7"/>
      <c r="H84" s="12">
        <v>1.607124</v>
      </c>
      <c r="I84" s="12">
        <v>2.9274450000000001</v>
      </c>
      <c r="J84" s="12">
        <v>2.4486840000000001</v>
      </c>
      <c r="K84" s="12">
        <v>2.1800000000000002</v>
      </c>
      <c r="L84" s="12">
        <v>1.18</v>
      </c>
      <c r="M84" s="12">
        <v>19.41</v>
      </c>
    </row>
    <row r="85" spans="2:13" ht="18.75" x14ac:dyDescent="0.25">
      <c r="B85" s="7" t="s">
        <v>15</v>
      </c>
      <c r="C85" s="7" t="s">
        <v>325</v>
      </c>
      <c r="D85" s="12">
        <v>0.133465</v>
      </c>
      <c r="E85" s="7"/>
      <c r="F85" s="7"/>
      <c r="G85" s="7"/>
      <c r="H85" s="12">
        <v>5.364967</v>
      </c>
      <c r="I85" s="12">
        <v>19.914498999999999</v>
      </c>
      <c r="J85" s="12">
        <v>18.224024</v>
      </c>
      <c r="K85" s="12">
        <v>25.02</v>
      </c>
      <c r="L85" s="12">
        <v>5.0599999999999996</v>
      </c>
      <c r="M85" s="12">
        <v>40.119999999999997</v>
      </c>
    </row>
    <row r="86" spans="2:13" ht="18.75" x14ac:dyDescent="0.25">
      <c r="B86" s="7" t="s">
        <v>15</v>
      </c>
      <c r="C86" s="7" t="s">
        <v>376</v>
      </c>
      <c r="D86" s="12">
        <v>0.99597800000000003</v>
      </c>
      <c r="E86" s="7"/>
      <c r="F86" s="7"/>
      <c r="G86" s="7"/>
      <c r="H86" s="12">
        <v>8.1208849999999995</v>
      </c>
      <c r="I86" s="12">
        <v>17.639651000000001</v>
      </c>
      <c r="J86" s="12">
        <v>24.700638000000001</v>
      </c>
      <c r="K86" s="12">
        <v>282.06</v>
      </c>
      <c r="L86" s="12">
        <v>57.08</v>
      </c>
      <c r="M86" s="12">
        <v>452.34</v>
      </c>
    </row>
    <row r="87" spans="2:13" ht="18.75" x14ac:dyDescent="0.25">
      <c r="B87" s="7" t="s">
        <v>15</v>
      </c>
      <c r="C87" s="7" t="s">
        <v>180</v>
      </c>
      <c r="D87" s="12">
        <v>0.19361700000000001</v>
      </c>
      <c r="E87" s="7"/>
      <c r="F87" s="7"/>
      <c r="G87" s="7"/>
      <c r="H87" s="12">
        <v>0.57204100000000002</v>
      </c>
      <c r="I87" s="12">
        <v>1.2390540000000001</v>
      </c>
      <c r="J87" s="12">
        <v>2.1590669999999998</v>
      </c>
      <c r="K87" s="12">
        <v>10.93</v>
      </c>
      <c r="L87" s="12">
        <v>5.94</v>
      </c>
      <c r="M87" s="12">
        <v>97.33</v>
      </c>
    </row>
    <row r="88" spans="2:13" ht="18.75" x14ac:dyDescent="0.25">
      <c r="B88" s="7" t="s">
        <v>15</v>
      </c>
      <c r="C88" s="7" t="s">
        <v>377</v>
      </c>
      <c r="D88" s="12">
        <v>1.0315589999999999</v>
      </c>
      <c r="E88" s="7"/>
      <c r="F88" s="7"/>
      <c r="G88" s="7"/>
      <c r="H88" s="12">
        <v>12.569597999999999</v>
      </c>
      <c r="I88" s="12">
        <v>8.4099590000000006</v>
      </c>
      <c r="J88" s="12">
        <v>11.510028999999999</v>
      </c>
      <c r="K88" s="12">
        <v>13.85</v>
      </c>
      <c r="L88" s="12">
        <v>6.37</v>
      </c>
      <c r="M88" s="12">
        <v>187.06</v>
      </c>
    </row>
    <row r="89" spans="2:13" ht="18.75" x14ac:dyDescent="0.25">
      <c r="B89" s="7" t="s">
        <v>15</v>
      </c>
      <c r="C89" s="7" t="s">
        <v>310</v>
      </c>
      <c r="D89" s="12">
        <v>15.551565999999999</v>
      </c>
      <c r="E89" s="7"/>
      <c r="F89" s="7"/>
      <c r="G89" s="7"/>
      <c r="H89" s="12">
        <v>91.256595000000004</v>
      </c>
      <c r="I89" s="12">
        <v>378.54417899999999</v>
      </c>
      <c r="J89" s="12">
        <v>425.82677999999999</v>
      </c>
      <c r="K89" s="12">
        <v>2154.06</v>
      </c>
      <c r="L89" s="12">
        <v>509.7</v>
      </c>
      <c r="M89" s="12">
        <v>7008.72</v>
      </c>
    </row>
    <row r="90" spans="2:13" ht="18.75" x14ac:dyDescent="0.25">
      <c r="B90" s="7" t="s">
        <v>15</v>
      </c>
      <c r="C90" s="7" t="s">
        <v>311</v>
      </c>
      <c r="D90" s="12">
        <v>0.54740800000000001</v>
      </c>
      <c r="E90" s="7"/>
      <c r="F90" s="7"/>
      <c r="G90" s="7"/>
      <c r="H90" s="12">
        <v>3.1720290000000002</v>
      </c>
      <c r="I90" s="12">
        <v>4.0040490000000002</v>
      </c>
      <c r="J90" s="12">
        <v>11.153185000000001</v>
      </c>
      <c r="K90" s="12">
        <v>190.75</v>
      </c>
      <c r="L90" s="12">
        <v>38.6</v>
      </c>
      <c r="M90" s="12">
        <v>305.91000000000003</v>
      </c>
    </row>
    <row r="91" spans="2:13" ht="18.75" x14ac:dyDescent="0.25">
      <c r="B91" s="7" t="s">
        <v>15</v>
      </c>
      <c r="C91" s="7" t="s">
        <v>327</v>
      </c>
      <c r="D91" s="12">
        <v>2.9356680000000002</v>
      </c>
      <c r="E91" s="7"/>
      <c r="F91" s="7"/>
      <c r="G91" s="7"/>
      <c r="H91" s="12">
        <v>13.984005</v>
      </c>
      <c r="I91" s="12">
        <v>24.849564000000001</v>
      </c>
      <c r="J91" s="12">
        <v>44.434584999999998</v>
      </c>
      <c r="K91" s="12">
        <v>122.41</v>
      </c>
      <c r="L91" s="12">
        <v>66.540000000000006</v>
      </c>
      <c r="M91" s="12">
        <v>1089.96</v>
      </c>
    </row>
    <row r="92" spans="2:13" ht="18.75" x14ac:dyDescent="0.25">
      <c r="B92" s="7" t="s">
        <v>15</v>
      </c>
      <c r="C92" s="7" t="s">
        <v>190</v>
      </c>
      <c r="D92" s="12">
        <v>2.7565179999999998</v>
      </c>
      <c r="E92" s="7"/>
      <c r="F92" s="7"/>
      <c r="G92" s="7"/>
      <c r="H92" s="12">
        <v>14.630482000000001</v>
      </c>
      <c r="I92" s="12">
        <v>26.649968000000001</v>
      </c>
      <c r="J92" s="12">
        <v>186.55492799999999</v>
      </c>
      <c r="K92" s="12">
        <v>617.32000000000005</v>
      </c>
      <c r="L92" s="12">
        <v>419.72</v>
      </c>
      <c r="M92" s="12">
        <v>7523.11</v>
      </c>
    </row>
    <row r="93" spans="2:13" ht="18.75" x14ac:dyDescent="0.25">
      <c r="B93" s="7" t="s">
        <v>15</v>
      </c>
      <c r="C93" s="7" t="s">
        <v>382</v>
      </c>
      <c r="D93" s="12">
        <v>0.85922699999999996</v>
      </c>
      <c r="E93" s="7"/>
      <c r="F93" s="7"/>
      <c r="G93" s="7"/>
      <c r="H93" s="12">
        <v>8.3980060000000005</v>
      </c>
      <c r="I93" s="12">
        <v>36.482081999999998</v>
      </c>
      <c r="J93" s="12">
        <v>113.607315</v>
      </c>
      <c r="K93" s="12">
        <v>135.32</v>
      </c>
      <c r="L93" s="12">
        <v>92.01</v>
      </c>
      <c r="M93" s="12">
        <v>1649.11</v>
      </c>
    </row>
    <row r="94" spans="2:13" ht="18.75" x14ac:dyDescent="0.25">
      <c r="B94" s="7" t="s">
        <v>15</v>
      </c>
      <c r="C94" s="7" t="s">
        <v>312</v>
      </c>
      <c r="D94" s="12">
        <v>1.695147</v>
      </c>
      <c r="E94" s="7"/>
      <c r="F94" s="7"/>
      <c r="G94" s="7"/>
      <c r="H94" s="12">
        <v>12.529063000000001</v>
      </c>
      <c r="I94" s="12">
        <v>27.647248999999999</v>
      </c>
      <c r="J94" s="12">
        <v>35.611998</v>
      </c>
      <c r="K94" s="12">
        <v>43.11</v>
      </c>
      <c r="L94" s="12">
        <v>79.73</v>
      </c>
      <c r="M94" s="12">
        <v>550.96</v>
      </c>
    </row>
    <row r="95" spans="2:13" ht="18.75" x14ac:dyDescent="0.25">
      <c r="B95" s="7" t="s">
        <v>15</v>
      </c>
      <c r="C95" s="7" t="s">
        <v>52</v>
      </c>
      <c r="D95" s="12">
        <v>25.871852000000001</v>
      </c>
      <c r="E95" s="7"/>
      <c r="F95" s="7"/>
      <c r="G95" s="7"/>
      <c r="H95" s="12">
        <v>193.916965</v>
      </c>
      <c r="I95" s="12">
        <v>212.10451399999999</v>
      </c>
      <c r="J95" s="12">
        <v>342.64968399999998</v>
      </c>
      <c r="K95" s="12">
        <v>5464.3</v>
      </c>
      <c r="L95" s="12">
        <v>1105.82</v>
      </c>
      <c r="M95" s="12">
        <v>8763.17</v>
      </c>
    </row>
    <row r="96" spans="2:13" ht="18.75" x14ac:dyDescent="0.25">
      <c r="B96" s="7" t="s">
        <v>15</v>
      </c>
      <c r="C96" s="7" t="s">
        <v>107</v>
      </c>
      <c r="D96" s="12">
        <v>14.723608</v>
      </c>
      <c r="E96" s="7"/>
      <c r="F96" s="7"/>
      <c r="G96" s="7"/>
      <c r="H96" s="12">
        <v>21.487732000000001</v>
      </c>
      <c r="I96" s="12">
        <v>33.888888000000001</v>
      </c>
      <c r="J96" s="12">
        <v>74.284593999999998</v>
      </c>
      <c r="K96" s="12">
        <v>576.74</v>
      </c>
      <c r="L96" s="12">
        <v>313.52</v>
      </c>
      <c r="M96" s="12">
        <v>5135.3100000000004</v>
      </c>
    </row>
    <row r="97" spans="2:13" ht="18.75" x14ac:dyDescent="0.25">
      <c r="B97" s="7" t="s">
        <v>15</v>
      </c>
      <c r="C97" s="7" t="s">
        <v>313</v>
      </c>
      <c r="D97" s="12">
        <v>0.13570099999999999</v>
      </c>
      <c r="E97" s="7"/>
      <c r="F97" s="7"/>
      <c r="G97" s="7"/>
      <c r="H97" s="12">
        <v>0.223248</v>
      </c>
      <c r="I97" s="12">
        <v>4.5831999999999998E-2</v>
      </c>
      <c r="J97" s="12">
        <v>0.65388100000000005</v>
      </c>
      <c r="K97" s="12">
        <v>47.44</v>
      </c>
      <c r="L97" s="12">
        <v>11.22</v>
      </c>
      <c r="M97" s="12">
        <v>154.35</v>
      </c>
    </row>
    <row r="98" spans="2:13" ht="18.75" x14ac:dyDescent="0.25">
      <c r="B98" s="7" t="s">
        <v>15</v>
      </c>
      <c r="C98" s="7" t="s">
        <v>427</v>
      </c>
      <c r="D98" s="12">
        <v>0.75975899999999996</v>
      </c>
      <c r="E98" s="7"/>
      <c r="F98" s="7"/>
      <c r="G98" s="7"/>
      <c r="H98" s="12">
        <v>5.7820799999999997</v>
      </c>
      <c r="I98" s="12">
        <v>8.4086029999999994</v>
      </c>
      <c r="J98" s="12">
        <v>8.0987819999999999</v>
      </c>
      <c r="K98" s="12">
        <v>21.49</v>
      </c>
      <c r="L98" s="12">
        <v>14.61</v>
      </c>
      <c r="M98" s="12">
        <v>261.86</v>
      </c>
    </row>
    <row r="99" spans="2:13" ht="18.75" x14ac:dyDescent="0.25">
      <c r="B99" s="7" t="s">
        <v>15</v>
      </c>
      <c r="C99" s="7" t="s">
        <v>426</v>
      </c>
      <c r="D99" s="12">
        <v>0.62899799999999995</v>
      </c>
      <c r="E99" s="7"/>
      <c r="F99" s="7"/>
      <c r="G99" s="7"/>
      <c r="H99" s="12">
        <v>4.3263980000000002</v>
      </c>
      <c r="I99" s="12">
        <v>20.378508</v>
      </c>
      <c r="J99" s="12">
        <v>35.429012</v>
      </c>
      <c r="K99" s="12">
        <v>88.85</v>
      </c>
      <c r="L99" s="12">
        <v>164.31</v>
      </c>
      <c r="M99" s="12">
        <v>1135.44</v>
      </c>
    </row>
    <row r="100" spans="2:13" ht="18.75" x14ac:dyDescent="0.25">
      <c r="B100" s="7" t="s">
        <v>15</v>
      </c>
      <c r="C100" s="7" t="s">
        <v>428</v>
      </c>
      <c r="D100" s="12">
        <v>0.99463999999999997</v>
      </c>
      <c r="E100" s="7"/>
      <c r="F100" s="7"/>
      <c r="G100" s="7"/>
      <c r="H100" s="12">
        <v>0.55765500000000001</v>
      </c>
      <c r="I100" s="12">
        <v>6.5470569999999997</v>
      </c>
      <c r="J100" s="12">
        <v>15.518791</v>
      </c>
      <c r="K100" s="12">
        <v>607.82000000000005</v>
      </c>
      <c r="L100" s="12">
        <v>123.01</v>
      </c>
      <c r="M100" s="12">
        <v>974.76</v>
      </c>
    </row>
    <row r="101" spans="2:13" ht="18.75" x14ac:dyDescent="0.25">
      <c r="B101" s="7" t="s">
        <v>15</v>
      </c>
      <c r="C101" s="7" t="s">
        <v>429</v>
      </c>
      <c r="D101" s="12">
        <v>2.6838470000000001</v>
      </c>
      <c r="E101" s="7"/>
      <c r="F101" s="7"/>
      <c r="G101" s="7"/>
      <c r="H101" s="12">
        <v>22.849298000000001</v>
      </c>
      <c r="I101" s="12">
        <v>23.715727000000001</v>
      </c>
      <c r="J101" s="12">
        <v>60.531064000000001</v>
      </c>
      <c r="K101" s="12">
        <v>566.6</v>
      </c>
      <c r="L101" s="12">
        <v>134.07</v>
      </c>
      <c r="M101" s="12">
        <v>1843.57</v>
      </c>
    </row>
    <row r="102" spans="2:13" ht="18.75" x14ac:dyDescent="0.25">
      <c r="B102" s="7" t="s">
        <v>15</v>
      </c>
      <c r="C102" s="7" t="s">
        <v>430</v>
      </c>
      <c r="D102" s="12">
        <v>1.556783</v>
      </c>
      <c r="E102" s="7"/>
      <c r="F102" s="7"/>
      <c r="G102" s="7"/>
      <c r="H102" s="12">
        <v>7.1699539999999997</v>
      </c>
      <c r="I102" s="12">
        <v>52.165939000000002</v>
      </c>
      <c r="J102" s="12">
        <v>175.988146</v>
      </c>
      <c r="K102" s="12">
        <v>126.04</v>
      </c>
      <c r="L102" s="12">
        <v>68.510000000000005</v>
      </c>
      <c r="M102" s="12">
        <v>1122.23</v>
      </c>
    </row>
    <row r="103" spans="2:13" ht="18.75" x14ac:dyDescent="0.25">
      <c r="B103" s="7" t="s">
        <v>15</v>
      </c>
      <c r="C103" s="7" t="s">
        <v>314</v>
      </c>
      <c r="D103" s="12">
        <v>1.048265</v>
      </c>
      <c r="E103" s="7"/>
      <c r="F103" s="7"/>
      <c r="G103" s="7"/>
      <c r="H103" s="12">
        <v>15.310788000000001</v>
      </c>
      <c r="I103" s="12">
        <v>17.897874000000002</v>
      </c>
      <c r="J103" s="12">
        <v>44.445298000000001</v>
      </c>
      <c r="K103" s="12">
        <v>114.85</v>
      </c>
      <c r="L103" s="12">
        <v>103.94</v>
      </c>
      <c r="M103" s="12">
        <v>537.03</v>
      </c>
    </row>
    <row r="104" spans="2:13" ht="18.75" x14ac:dyDescent="0.25">
      <c r="B104" s="7" t="s">
        <v>15</v>
      </c>
      <c r="C104" s="7" t="s">
        <v>175</v>
      </c>
      <c r="D104" s="12">
        <v>2.133038</v>
      </c>
      <c r="E104" s="7"/>
      <c r="F104" s="7"/>
      <c r="G104" s="7"/>
      <c r="H104" s="12">
        <v>16.507550999999999</v>
      </c>
      <c r="I104" s="12">
        <v>221.10557499999999</v>
      </c>
      <c r="J104" s="12">
        <v>753.99667099999999</v>
      </c>
      <c r="K104" s="12">
        <v>355.77</v>
      </c>
      <c r="L104" s="12">
        <v>241.89</v>
      </c>
      <c r="M104" s="12">
        <v>4335.6899999999996</v>
      </c>
    </row>
    <row r="105" spans="2:13" ht="18.75" x14ac:dyDescent="0.25">
      <c r="B105" s="7" t="s">
        <v>15</v>
      </c>
      <c r="C105" s="7" t="s">
        <v>459</v>
      </c>
      <c r="D105" s="12">
        <v>3.6492999999999998E-2</v>
      </c>
      <c r="E105" s="7"/>
      <c r="F105" s="7"/>
      <c r="G105" s="7"/>
      <c r="H105" s="12">
        <v>5.2562999999999999E-2</v>
      </c>
      <c r="I105" s="12">
        <v>9.6775310000000001</v>
      </c>
      <c r="J105" s="12">
        <v>20.719484000000001</v>
      </c>
      <c r="K105" s="12">
        <v>2.34</v>
      </c>
      <c r="L105" s="12">
        <v>4.33</v>
      </c>
      <c r="M105" s="12">
        <v>29.9</v>
      </c>
    </row>
    <row r="106" spans="2:13" ht="18.75" x14ac:dyDescent="0.25">
      <c r="B106" s="7" t="s">
        <v>15</v>
      </c>
      <c r="C106" s="7" t="s">
        <v>369</v>
      </c>
      <c r="D106" s="12">
        <v>2.5307409999999999</v>
      </c>
      <c r="E106" s="7"/>
      <c r="F106" s="7"/>
      <c r="G106" s="7"/>
      <c r="H106" s="12">
        <v>36.731513</v>
      </c>
      <c r="I106" s="12">
        <v>125.934742</v>
      </c>
      <c r="J106" s="12">
        <v>174.34602699999999</v>
      </c>
      <c r="K106" s="12">
        <v>842.39</v>
      </c>
      <c r="L106" s="12">
        <v>170.48</v>
      </c>
      <c r="M106" s="12">
        <v>1350.96</v>
      </c>
    </row>
    <row r="107" spans="2:13" ht="18.75" x14ac:dyDescent="0.25">
      <c r="B107" s="7" t="s">
        <v>15</v>
      </c>
      <c r="C107" s="7" t="s">
        <v>370</v>
      </c>
      <c r="D107" s="12">
        <v>3.1238450000000002</v>
      </c>
      <c r="E107" s="7"/>
      <c r="F107" s="7"/>
      <c r="G107" s="7"/>
      <c r="H107" s="12">
        <v>19.435312</v>
      </c>
      <c r="I107" s="12">
        <v>41.428010999999998</v>
      </c>
      <c r="J107" s="12">
        <v>78.433715000000007</v>
      </c>
      <c r="K107" s="12">
        <v>158.65</v>
      </c>
      <c r="L107" s="12">
        <v>86.24</v>
      </c>
      <c r="M107" s="12">
        <v>1412.61</v>
      </c>
    </row>
    <row r="108" spans="2:13" ht="18.75" x14ac:dyDescent="0.25">
      <c r="B108" s="7" t="s">
        <v>15</v>
      </c>
      <c r="C108" s="7" t="s">
        <v>317</v>
      </c>
      <c r="D108" s="12">
        <v>1.3362860000000001</v>
      </c>
      <c r="E108" s="7"/>
      <c r="F108" s="7"/>
      <c r="G108" s="7"/>
      <c r="H108" s="12">
        <v>42.887143000000002</v>
      </c>
      <c r="I108" s="12">
        <v>66.322903999999994</v>
      </c>
      <c r="J108" s="12">
        <v>69.227605999999994</v>
      </c>
      <c r="K108" s="12">
        <v>61.8</v>
      </c>
      <c r="L108" s="12">
        <v>33.590000000000003</v>
      </c>
      <c r="M108" s="12">
        <v>550.24</v>
      </c>
    </row>
    <row r="109" spans="2:13" ht="18.75" x14ac:dyDescent="0.25">
      <c r="B109" s="7" t="s">
        <v>15</v>
      </c>
      <c r="C109" s="7" t="s">
        <v>315</v>
      </c>
      <c r="D109" s="12">
        <v>33.747796999999998</v>
      </c>
      <c r="E109" s="7"/>
      <c r="F109" s="7"/>
      <c r="G109" s="7"/>
      <c r="H109" s="12">
        <v>230.53999099999999</v>
      </c>
      <c r="I109" s="12">
        <v>383.17422099999999</v>
      </c>
      <c r="J109" s="12">
        <v>765.35271699999998</v>
      </c>
      <c r="K109" s="12">
        <v>3187.69</v>
      </c>
      <c r="L109" s="12">
        <v>1159.8699999999999</v>
      </c>
      <c r="M109" s="12">
        <v>11141.56</v>
      </c>
    </row>
    <row r="110" spans="2:13" ht="18.75" x14ac:dyDescent="0.25">
      <c r="B110" s="7" t="s">
        <v>15</v>
      </c>
      <c r="C110" s="7" t="s">
        <v>316</v>
      </c>
      <c r="D110" s="12">
        <v>9.3406000000000003E-2</v>
      </c>
      <c r="E110" s="7"/>
      <c r="F110" s="7"/>
      <c r="G110" s="7"/>
      <c r="H110" s="12">
        <v>0.51930100000000001</v>
      </c>
      <c r="I110" s="12">
        <v>59.000103000000003</v>
      </c>
      <c r="J110" s="12">
        <v>29.00928</v>
      </c>
      <c r="K110" s="12">
        <v>12.59</v>
      </c>
      <c r="L110" s="12">
        <v>2.5499999999999998</v>
      </c>
      <c r="M110" s="12">
        <v>20.190000000000001</v>
      </c>
    </row>
    <row r="111" spans="2:13" ht="18.75" x14ac:dyDescent="0.25">
      <c r="B111" s="7" t="s">
        <v>15</v>
      </c>
      <c r="C111" s="7" t="s">
        <v>333</v>
      </c>
      <c r="D111" s="12">
        <v>14.810677999999999</v>
      </c>
      <c r="E111" s="7"/>
      <c r="F111" s="7"/>
      <c r="G111" s="7"/>
      <c r="H111" s="12">
        <v>116.17905</v>
      </c>
      <c r="I111" s="12">
        <v>212.79489000000001</v>
      </c>
      <c r="J111" s="12">
        <v>323.29861</v>
      </c>
      <c r="K111" s="12">
        <v>1574.49</v>
      </c>
      <c r="L111" s="12">
        <v>1424.97</v>
      </c>
      <c r="M111" s="12">
        <v>7362.13</v>
      </c>
    </row>
    <row r="112" spans="2:13" ht="18.75" x14ac:dyDescent="0.25">
      <c r="B112" s="7" t="s">
        <v>15</v>
      </c>
      <c r="C112" s="7" t="s">
        <v>335</v>
      </c>
      <c r="D112" s="12">
        <v>2.5812360000000001</v>
      </c>
      <c r="E112" s="7"/>
      <c r="F112" s="7"/>
      <c r="G112" s="7"/>
      <c r="H112" s="12">
        <v>25.026264999999999</v>
      </c>
      <c r="I112" s="12">
        <v>32.256055000000003</v>
      </c>
      <c r="J112" s="12">
        <v>42.539634</v>
      </c>
      <c r="K112" s="12">
        <v>181.96</v>
      </c>
      <c r="L112" s="12">
        <v>123.72</v>
      </c>
      <c r="M112" s="12">
        <v>2217.48</v>
      </c>
    </row>
    <row r="113" spans="2:13" ht="18.75" x14ac:dyDescent="0.25">
      <c r="B113" s="7" t="s">
        <v>15</v>
      </c>
      <c r="C113" s="7" t="s">
        <v>334</v>
      </c>
      <c r="D113" s="12">
        <v>7.8884100000000004</v>
      </c>
      <c r="E113" s="7"/>
      <c r="F113" s="7"/>
      <c r="G113" s="7"/>
      <c r="H113" s="12">
        <v>42.332712999999998</v>
      </c>
      <c r="I113" s="12">
        <v>84.267521000000002</v>
      </c>
      <c r="J113" s="12">
        <v>124.609292</v>
      </c>
      <c r="K113" s="12">
        <v>2527.61</v>
      </c>
      <c r="L113" s="12">
        <v>511.52</v>
      </c>
      <c r="M113" s="12">
        <v>4053.56</v>
      </c>
    </row>
    <row r="114" spans="2:13" ht="18.75" x14ac:dyDescent="0.25">
      <c r="B114" s="7" t="s">
        <v>15</v>
      </c>
      <c r="C114" s="7" t="s">
        <v>97</v>
      </c>
      <c r="D114" s="12">
        <v>23.946933999999999</v>
      </c>
      <c r="E114" s="7"/>
      <c r="F114" s="7"/>
      <c r="G114" s="7"/>
      <c r="H114" s="12">
        <v>152.62610100000001</v>
      </c>
      <c r="I114" s="12">
        <v>188.43348599999999</v>
      </c>
      <c r="J114" s="12">
        <v>686.29730199999995</v>
      </c>
      <c r="K114" s="12">
        <v>2139.09</v>
      </c>
      <c r="L114" s="12">
        <v>1454.39</v>
      </c>
      <c r="M114" s="12">
        <v>26068.53</v>
      </c>
    </row>
    <row r="115" spans="2:13" ht="18.75" x14ac:dyDescent="0.25">
      <c r="B115" s="7" t="s">
        <v>15</v>
      </c>
      <c r="C115" s="7" t="s">
        <v>372</v>
      </c>
      <c r="D115" s="12">
        <v>8.3603000000000005</v>
      </c>
      <c r="E115" s="7"/>
      <c r="F115" s="7"/>
      <c r="G115" s="7"/>
      <c r="H115" s="12">
        <v>50.844548000000003</v>
      </c>
      <c r="I115" s="12">
        <v>104.67871100000001</v>
      </c>
      <c r="J115" s="12">
        <v>221.74886599999999</v>
      </c>
      <c r="K115" s="12">
        <v>289.88</v>
      </c>
      <c r="L115" s="12">
        <v>536.05999999999995</v>
      </c>
      <c r="M115" s="12">
        <v>3704.34</v>
      </c>
    </row>
    <row r="116" spans="2:13" ht="18.75" x14ac:dyDescent="0.25">
      <c r="B116" s="7" t="s">
        <v>15</v>
      </c>
      <c r="C116" s="7" t="s">
        <v>460</v>
      </c>
      <c r="D116" s="12">
        <v>3.428547</v>
      </c>
      <c r="E116" s="7"/>
      <c r="F116" s="7"/>
      <c r="G116" s="7"/>
      <c r="H116" s="12">
        <v>12.759444999999999</v>
      </c>
      <c r="I116" s="12">
        <v>29.499296999999999</v>
      </c>
      <c r="J116" s="12">
        <v>49.503509999999999</v>
      </c>
      <c r="K116" s="12">
        <v>617.69000000000005</v>
      </c>
      <c r="L116" s="12">
        <v>146.16</v>
      </c>
      <c r="M116" s="12">
        <v>2009.8</v>
      </c>
    </row>
    <row r="117" spans="2:13" ht="18.75" x14ac:dyDescent="0.25">
      <c r="B117" s="7" t="s">
        <v>15</v>
      </c>
      <c r="C117" s="7" t="s">
        <v>192</v>
      </c>
      <c r="D117" s="12">
        <v>0.45202999999999999</v>
      </c>
      <c r="E117" s="7"/>
      <c r="F117" s="7"/>
      <c r="G117" s="7"/>
      <c r="H117" s="12">
        <v>2.4874179999999999</v>
      </c>
      <c r="I117" s="12">
        <v>1.821283</v>
      </c>
      <c r="J117" s="12">
        <v>4.1174350000000004</v>
      </c>
      <c r="K117" s="12">
        <v>13.53</v>
      </c>
      <c r="L117" s="12">
        <v>7.36</v>
      </c>
      <c r="M117" s="12">
        <v>120.48</v>
      </c>
    </row>
    <row r="118" spans="2:13" ht="18.75" x14ac:dyDescent="0.25">
      <c r="B118" s="7" t="s">
        <v>15</v>
      </c>
      <c r="C118" s="7" t="s">
        <v>351</v>
      </c>
      <c r="D118" s="12">
        <v>1.5631390000000001</v>
      </c>
      <c r="E118" s="7"/>
      <c r="F118" s="7"/>
      <c r="G118" s="7"/>
      <c r="H118" s="12">
        <v>5.349545</v>
      </c>
      <c r="I118" s="12">
        <v>6.0042650000000002</v>
      </c>
      <c r="J118" s="12">
        <v>9.0256959999999999</v>
      </c>
      <c r="K118" s="12">
        <v>76.790000000000006</v>
      </c>
      <c r="L118" s="12">
        <v>27.94</v>
      </c>
      <c r="M118" s="12">
        <v>268.39999999999998</v>
      </c>
    </row>
    <row r="119" spans="2:13" ht="18.75" x14ac:dyDescent="0.25">
      <c r="B119" s="7" t="s">
        <v>15</v>
      </c>
      <c r="C119" s="7" t="s">
        <v>337</v>
      </c>
      <c r="D119" s="12">
        <v>2.901958</v>
      </c>
      <c r="E119" s="7"/>
      <c r="F119" s="7"/>
      <c r="G119" s="7"/>
      <c r="H119" s="12">
        <v>26.226573999999999</v>
      </c>
      <c r="I119" s="12">
        <v>54.039045000000002</v>
      </c>
      <c r="J119" s="12">
        <v>72.508919000000006</v>
      </c>
      <c r="K119" s="12">
        <v>389.2</v>
      </c>
      <c r="L119" s="12">
        <v>92.09</v>
      </c>
      <c r="M119" s="12">
        <v>1266.3599999999999</v>
      </c>
    </row>
    <row r="120" spans="2:13" ht="18.75" x14ac:dyDescent="0.25">
      <c r="B120" s="7" t="s">
        <v>15</v>
      </c>
      <c r="C120" s="7" t="s">
        <v>338</v>
      </c>
      <c r="D120" s="12">
        <v>0.507637</v>
      </c>
      <c r="E120" s="7"/>
      <c r="F120" s="7"/>
      <c r="G120" s="7"/>
      <c r="H120" s="12">
        <v>1.615259</v>
      </c>
      <c r="I120" s="12">
        <v>8.0691860000000002</v>
      </c>
      <c r="J120" s="12">
        <v>10.616535000000001</v>
      </c>
      <c r="K120" s="12">
        <v>123.77</v>
      </c>
      <c r="L120" s="12">
        <v>25.05</v>
      </c>
      <c r="M120" s="12">
        <v>198.49</v>
      </c>
    </row>
    <row r="121" spans="2:13" ht="18.75" x14ac:dyDescent="0.25">
      <c r="B121" s="7" t="s">
        <v>15</v>
      </c>
      <c r="C121" s="7" t="s">
        <v>339</v>
      </c>
      <c r="D121" s="12">
        <v>4.1612999999999997E-2</v>
      </c>
      <c r="E121" s="7"/>
      <c r="F121" s="7"/>
      <c r="G121" s="7"/>
      <c r="H121" s="12">
        <v>0.18695800000000001</v>
      </c>
      <c r="I121" s="12">
        <v>1.8197909999999999</v>
      </c>
      <c r="J121" s="12">
        <v>3.937249</v>
      </c>
      <c r="K121" s="12">
        <v>1.83</v>
      </c>
      <c r="L121" s="12">
        <v>1</v>
      </c>
      <c r="M121" s="12">
        <v>16.3</v>
      </c>
    </row>
    <row r="122" spans="2:13" ht="18.75" x14ac:dyDescent="0.25">
      <c r="B122" s="7" t="s">
        <v>15</v>
      </c>
      <c r="C122" s="7" t="s">
        <v>341</v>
      </c>
      <c r="D122" s="12">
        <v>2.704895</v>
      </c>
      <c r="E122" s="7"/>
      <c r="F122" s="7"/>
      <c r="G122" s="7"/>
      <c r="H122" s="12">
        <v>23.384027</v>
      </c>
      <c r="I122" s="12">
        <v>36.284568999999998</v>
      </c>
      <c r="J122" s="12">
        <v>67.029135999999994</v>
      </c>
      <c r="K122" s="12">
        <v>95.92</v>
      </c>
      <c r="L122" s="12">
        <v>52.14</v>
      </c>
      <c r="M122" s="12">
        <v>854.09</v>
      </c>
    </row>
    <row r="123" spans="2:13" ht="18.75" x14ac:dyDescent="0.25">
      <c r="B123" s="7" t="s">
        <v>15</v>
      </c>
      <c r="C123" s="7" t="s">
        <v>182</v>
      </c>
      <c r="D123" s="12">
        <v>20.573518</v>
      </c>
      <c r="E123" s="7"/>
      <c r="F123" s="7"/>
      <c r="G123" s="7"/>
      <c r="H123" s="12">
        <v>94.626717999999997</v>
      </c>
      <c r="I123" s="12">
        <v>231.470708</v>
      </c>
      <c r="J123" s="12">
        <v>567.75775399999998</v>
      </c>
      <c r="K123" s="12">
        <v>3676.29</v>
      </c>
      <c r="L123" s="12">
        <v>2499.5300000000002</v>
      </c>
      <c r="M123" s="12">
        <v>44801.84</v>
      </c>
    </row>
    <row r="124" spans="2:13" ht="18.75" x14ac:dyDescent="0.25">
      <c r="B124" s="7" t="s">
        <v>15</v>
      </c>
      <c r="C124" s="7" t="s">
        <v>356</v>
      </c>
      <c r="D124" s="12">
        <v>1.500113</v>
      </c>
      <c r="E124" s="7"/>
      <c r="F124" s="7"/>
      <c r="G124" s="7"/>
      <c r="H124" s="12">
        <v>1.773995</v>
      </c>
      <c r="I124" s="12">
        <v>8.5014190000000003</v>
      </c>
      <c r="J124" s="12">
        <v>26.805167000000001</v>
      </c>
      <c r="K124" s="12">
        <v>193.93</v>
      </c>
      <c r="L124" s="12">
        <v>131.85</v>
      </c>
      <c r="M124" s="12">
        <v>2363.3200000000002</v>
      </c>
    </row>
    <row r="125" spans="2:13" ht="18.75" x14ac:dyDescent="0.25">
      <c r="B125" s="7" t="s">
        <v>15</v>
      </c>
      <c r="C125" s="7" t="s">
        <v>414</v>
      </c>
      <c r="D125" s="12">
        <v>11.147033</v>
      </c>
      <c r="E125" s="7"/>
      <c r="F125" s="7"/>
      <c r="G125" s="7"/>
      <c r="H125" s="12">
        <v>67.123082999999994</v>
      </c>
      <c r="I125" s="12">
        <v>88.019762999999998</v>
      </c>
      <c r="J125" s="12">
        <v>189.370227</v>
      </c>
      <c r="K125" s="12">
        <v>1097.45</v>
      </c>
      <c r="L125" s="12">
        <v>993.24</v>
      </c>
      <c r="M125" s="12">
        <v>5131.58</v>
      </c>
    </row>
    <row r="126" spans="2:13" ht="18.75" x14ac:dyDescent="0.25">
      <c r="B126" s="7" t="s">
        <v>15</v>
      </c>
      <c r="C126" s="7" t="s">
        <v>415</v>
      </c>
      <c r="D126" s="12">
        <v>4.7746519999999997</v>
      </c>
      <c r="E126" s="7"/>
      <c r="F126" s="7"/>
      <c r="G126" s="7"/>
      <c r="H126" s="12">
        <v>47.618003999999999</v>
      </c>
      <c r="I126" s="12">
        <v>88.671128999999993</v>
      </c>
      <c r="J126" s="12">
        <v>130.236751</v>
      </c>
      <c r="K126" s="12">
        <v>258.86</v>
      </c>
      <c r="L126" s="12">
        <v>94.19</v>
      </c>
      <c r="M126" s="12">
        <v>904.75</v>
      </c>
    </row>
    <row r="127" spans="2:13" ht="18.75" x14ac:dyDescent="0.25">
      <c r="B127" s="7" t="s">
        <v>15</v>
      </c>
      <c r="C127" s="7" t="s">
        <v>416</v>
      </c>
      <c r="D127" s="12">
        <v>0.125135</v>
      </c>
      <c r="E127" s="7"/>
      <c r="F127" s="7"/>
      <c r="G127" s="7"/>
      <c r="H127" s="12">
        <v>0.27314699999999997</v>
      </c>
      <c r="I127" s="12">
        <v>4.3058199999999998</v>
      </c>
      <c r="J127" s="12">
        <v>7.014138</v>
      </c>
      <c r="K127" s="12">
        <v>112.13</v>
      </c>
      <c r="L127" s="12">
        <v>26.53</v>
      </c>
      <c r="M127" s="12">
        <v>364.83</v>
      </c>
    </row>
    <row r="128" spans="2:13" ht="18.75" x14ac:dyDescent="0.25">
      <c r="B128" s="7" t="s">
        <v>15</v>
      </c>
      <c r="C128" s="7" t="s">
        <v>342</v>
      </c>
      <c r="D128" s="12">
        <v>13.309352000000001</v>
      </c>
      <c r="E128" s="7"/>
      <c r="F128" s="7"/>
      <c r="G128" s="7"/>
      <c r="H128" s="12">
        <v>42.175297999999998</v>
      </c>
      <c r="I128" s="12">
        <v>101.974976</v>
      </c>
      <c r="J128" s="12">
        <v>1065.2403959999999</v>
      </c>
      <c r="K128" s="12">
        <v>1927.67</v>
      </c>
      <c r="L128" s="12">
        <v>886.27</v>
      </c>
      <c r="M128" s="12">
        <v>26031.93</v>
      </c>
    </row>
    <row r="129" spans="2:13" ht="18.75" x14ac:dyDescent="0.25">
      <c r="B129" s="7" t="s">
        <v>15</v>
      </c>
      <c r="C129" s="7" t="s">
        <v>359</v>
      </c>
      <c r="D129" s="12">
        <v>2.8908E-2</v>
      </c>
      <c r="E129" s="7"/>
      <c r="F129" s="7"/>
      <c r="G129" s="7"/>
      <c r="H129" s="12">
        <v>9.3853000000000006E-2</v>
      </c>
      <c r="I129" s="12">
        <v>3.5021999999999998E-2</v>
      </c>
      <c r="J129" s="12">
        <v>0.231324</v>
      </c>
      <c r="K129" s="12">
        <v>1.89</v>
      </c>
      <c r="L129" s="12">
        <v>1.03</v>
      </c>
      <c r="M129" s="12">
        <v>16.86</v>
      </c>
    </row>
    <row r="130" spans="2:13" ht="18.75" x14ac:dyDescent="0.25">
      <c r="B130" s="7" t="s">
        <v>15</v>
      </c>
      <c r="C130" s="7" t="s">
        <v>420</v>
      </c>
      <c r="D130" s="12">
        <v>1.3036270000000001</v>
      </c>
      <c r="E130" s="7"/>
      <c r="F130" s="7"/>
      <c r="G130" s="7"/>
      <c r="H130" s="12">
        <v>13.081367</v>
      </c>
      <c r="I130" s="12">
        <v>239.39110299999999</v>
      </c>
      <c r="J130" s="12">
        <v>381.81400000000002</v>
      </c>
      <c r="K130" s="12">
        <v>212.56</v>
      </c>
      <c r="L130" s="12">
        <v>50.3</v>
      </c>
      <c r="M130" s="12">
        <v>691.62</v>
      </c>
    </row>
    <row r="131" spans="2:13" ht="18.75" x14ac:dyDescent="0.25">
      <c r="B131" s="7" t="s">
        <v>15</v>
      </c>
      <c r="C131" s="7" t="s">
        <v>421</v>
      </c>
      <c r="D131" s="12">
        <v>4.3315210000000004</v>
      </c>
      <c r="E131" s="7"/>
      <c r="F131" s="7"/>
      <c r="G131" s="7"/>
      <c r="H131" s="12">
        <v>4.6938930000000001</v>
      </c>
      <c r="I131" s="12">
        <v>28.206506000000001</v>
      </c>
      <c r="J131" s="12">
        <v>74.911925999999994</v>
      </c>
      <c r="K131" s="12">
        <v>2620.4899999999998</v>
      </c>
      <c r="L131" s="12">
        <v>620.05999999999995</v>
      </c>
      <c r="M131" s="12">
        <v>8526.36</v>
      </c>
    </row>
    <row r="132" spans="2:13" ht="18.75" x14ac:dyDescent="0.25">
      <c r="B132" s="7" t="s">
        <v>15</v>
      </c>
      <c r="C132" s="7" t="s">
        <v>419</v>
      </c>
      <c r="D132" s="12">
        <v>3.0750820000000001</v>
      </c>
      <c r="E132" s="7"/>
      <c r="F132" s="7"/>
      <c r="G132" s="7"/>
      <c r="H132" s="12">
        <v>57.751981000000001</v>
      </c>
      <c r="I132" s="12">
        <v>56.206833000000003</v>
      </c>
      <c r="J132" s="12">
        <v>83.765501</v>
      </c>
      <c r="K132" s="12">
        <v>659.59</v>
      </c>
      <c r="L132" s="12">
        <v>133.47999999999999</v>
      </c>
      <c r="M132" s="12">
        <v>1057.8</v>
      </c>
    </row>
    <row r="133" spans="2:13" ht="18.75" x14ac:dyDescent="0.25">
      <c r="B133" s="7" t="s">
        <v>15</v>
      </c>
      <c r="C133" s="7" t="s">
        <v>328</v>
      </c>
      <c r="D133" s="12">
        <v>1.5292E-2</v>
      </c>
      <c r="E133" s="7"/>
      <c r="F133" s="7"/>
      <c r="G133" s="7"/>
      <c r="H133" s="12">
        <v>0.41184500000000002</v>
      </c>
      <c r="I133" s="12">
        <v>0.17085600000000001</v>
      </c>
      <c r="J133" s="12">
        <v>0.179842</v>
      </c>
      <c r="K133" s="12">
        <v>7.0000000000000007E-2</v>
      </c>
      <c r="L133" s="12">
        <v>0.04</v>
      </c>
      <c r="M133" s="12">
        <v>0.65</v>
      </c>
    </row>
    <row r="134" spans="2:13" ht="18.75" x14ac:dyDescent="0.25">
      <c r="B134" s="7" t="s">
        <v>15</v>
      </c>
      <c r="C134" s="7" t="s">
        <v>329</v>
      </c>
      <c r="D134" s="12">
        <v>3.0182449999999998</v>
      </c>
      <c r="E134" s="7"/>
      <c r="F134" s="7"/>
      <c r="G134" s="7"/>
      <c r="H134" s="12">
        <v>12.436142</v>
      </c>
      <c r="I134" s="12">
        <v>20.922747000000001</v>
      </c>
      <c r="J134" s="12">
        <v>57.194063999999997</v>
      </c>
      <c r="K134" s="12">
        <v>915.88</v>
      </c>
      <c r="L134" s="12">
        <v>216.72</v>
      </c>
      <c r="M134" s="12">
        <v>2980.01</v>
      </c>
    </row>
    <row r="135" spans="2:13" ht="18.75" x14ac:dyDescent="0.25">
      <c r="B135" s="7" t="s">
        <v>15</v>
      </c>
      <c r="C135" s="7" t="s">
        <v>440</v>
      </c>
      <c r="D135" s="12">
        <v>2.9021880000000002</v>
      </c>
      <c r="E135" s="7"/>
      <c r="F135" s="7"/>
      <c r="G135" s="7"/>
      <c r="H135" s="12">
        <v>29.935585</v>
      </c>
      <c r="I135" s="12">
        <v>60.471719</v>
      </c>
      <c r="J135" s="12">
        <v>183.67897400000001</v>
      </c>
      <c r="K135" s="12">
        <v>848.22</v>
      </c>
      <c r="L135" s="12">
        <v>200.71</v>
      </c>
      <c r="M135" s="12">
        <v>2759.86</v>
      </c>
    </row>
    <row r="136" spans="2:13" ht="18.75" x14ac:dyDescent="0.25">
      <c r="B136" s="7" t="s">
        <v>15</v>
      </c>
      <c r="C136" s="7" t="s">
        <v>365</v>
      </c>
      <c r="D136" s="12">
        <v>1.797804</v>
      </c>
      <c r="E136" s="7"/>
      <c r="F136" s="7"/>
      <c r="G136" s="7"/>
      <c r="H136" s="12">
        <v>16.188224000000002</v>
      </c>
      <c r="I136" s="12">
        <v>29.821887</v>
      </c>
      <c r="J136" s="12">
        <v>36.104641000000001</v>
      </c>
      <c r="K136" s="12">
        <v>260.81</v>
      </c>
      <c r="L136" s="12">
        <v>61.71</v>
      </c>
      <c r="M136" s="12">
        <v>848.6</v>
      </c>
    </row>
    <row r="137" spans="2:13" ht="18.75" x14ac:dyDescent="0.25">
      <c r="B137" s="7" t="s">
        <v>15</v>
      </c>
      <c r="C137" s="7" t="s">
        <v>184</v>
      </c>
      <c r="D137" s="12">
        <v>6.6522769999999998</v>
      </c>
      <c r="E137" s="7"/>
      <c r="F137" s="7"/>
      <c r="G137" s="7"/>
      <c r="H137" s="12">
        <v>25.988375000000001</v>
      </c>
      <c r="I137" s="12">
        <v>59.706527000000001</v>
      </c>
      <c r="J137" s="12">
        <v>149.70007200000001</v>
      </c>
      <c r="K137" s="12">
        <v>428.15</v>
      </c>
      <c r="L137" s="12">
        <v>232.75</v>
      </c>
      <c r="M137" s="12">
        <v>3812.28</v>
      </c>
    </row>
    <row r="138" spans="2:13" ht="18.75" x14ac:dyDescent="0.25">
      <c r="B138" s="7" t="s">
        <v>15</v>
      </c>
      <c r="C138" s="7" t="s">
        <v>381</v>
      </c>
      <c r="D138" s="12">
        <v>4.7779000000000002E-2</v>
      </c>
      <c r="E138" s="7"/>
      <c r="F138" s="7"/>
      <c r="G138" s="7"/>
      <c r="H138" s="12">
        <v>0.20761399999999999</v>
      </c>
      <c r="I138" s="12">
        <v>0.83565299999999998</v>
      </c>
      <c r="J138" s="12">
        <v>0.66815800000000003</v>
      </c>
      <c r="K138" s="12">
        <v>4.45</v>
      </c>
      <c r="L138" s="12">
        <v>1.05</v>
      </c>
      <c r="M138" s="12">
        <v>14.48</v>
      </c>
    </row>
    <row r="139" spans="2:13" ht="18.75" x14ac:dyDescent="0.25">
      <c r="B139" s="7" t="s">
        <v>15</v>
      </c>
      <c r="C139" s="7" t="s">
        <v>352</v>
      </c>
      <c r="D139" s="12">
        <v>11.740660999999999</v>
      </c>
      <c r="E139" s="7"/>
      <c r="F139" s="7"/>
      <c r="G139" s="7"/>
      <c r="H139" s="12">
        <v>55.575941999999998</v>
      </c>
      <c r="I139" s="12">
        <v>198.97246899999999</v>
      </c>
      <c r="J139" s="12">
        <v>1258.0225210000001</v>
      </c>
      <c r="K139" s="12">
        <v>1393.27</v>
      </c>
      <c r="L139" s="12">
        <v>757.39</v>
      </c>
      <c r="M139" s="12">
        <v>12405.71</v>
      </c>
    </row>
    <row r="140" spans="2:13" ht="18.75" x14ac:dyDescent="0.25">
      <c r="B140" s="7" t="s">
        <v>15</v>
      </c>
      <c r="C140" s="7" t="s">
        <v>353</v>
      </c>
      <c r="D140" s="12">
        <v>0.14735100000000001</v>
      </c>
      <c r="E140" s="7"/>
      <c r="F140" s="7"/>
      <c r="G140" s="7"/>
      <c r="H140" s="12">
        <v>0.152614</v>
      </c>
      <c r="I140" s="12">
        <v>5.4607000000000003E-2</v>
      </c>
      <c r="J140" s="12">
        <v>0.335758</v>
      </c>
      <c r="K140" s="12">
        <v>11.83</v>
      </c>
      <c r="L140" s="12">
        <v>8.0399999999999991</v>
      </c>
      <c r="M140" s="12">
        <v>144.19</v>
      </c>
    </row>
    <row r="141" spans="2:13" ht="18.75" x14ac:dyDescent="0.25">
      <c r="B141" s="7" t="s">
        <v>15</v>
      </c>
      <c r="C141" s="7" t="s">
        <v>355</v>
      </c>
      <c r="D141" s="12">
        <v>1.603945</v>
      </c>
      <c r="E141" s="7"/>
      <c r="F141" s="7"/>
      <c r="G141" s="7"/>
      <c r="H141" s="12">
        <v>9.9859109999999998</v>
      </c>
      <c r="I141" s="12">
        <v>19.520903000000001</v>
      </c>
      <c r="J141" s="12">
        <v>23.329079</v>
      </c>
      <c r="K141" s="12">
        <v>90.89</v>
      </c>
      <c r="L141" s="12">
        <v>82.26</v>
      </c>
      <c r="M141" s="12">
        <v>424.99</v>
      </c>
    </row>
    <row r="142" spans="2:13" ht="18.75" x14ac:dyDescent="0.25">
      <c r="B142" s="7" t="s">
        <v>15</v>
      </c>
      <c r="C142" s="7" t="s">
        <v>354</v>
      </c>
      <c r="D142" s="12">
        <v>0.61420399999999997</v>
      </c>
      <c r="E142" s="7"/>
      <c r="F142" s="7"/>
      <c r="G142" s="7"/>
      <c r="H142" s="12">
        <v>2.5009990000000002</v>
      </c>
      <c r="I142" s="12">
        <v>8.6926120000000004</v>
      </c>
      <c r="J142" s="12">
        <v>17.472729000000001</v>
      </c>
      <c r="K142" s="12">
        <v>35.24</v>
      </c>
      <c r="L142" s="12">
        <v>19.149999999999999</v>
      </c>
      <c r="M142" s="12">
        <v>313.73</v>
      </c>
    </row>
    <row r="143" spans="2:13" ht="18.75" x14ac:dyDescent="0.25">
      <c r="B143" s="7" t="s">
        <v>15</v>
      </c>
      <c r="C143" s="7" t="s">
        <v>59</v>
      </c>
      <c r="D143" s="12">
        <v>107.370226</v>
      </c>
      <c r="E143" s="7"/>
      <c r="F143" s="7"/>
      <c r="G143" s="7"/>
      <c r="H143" s="12">
        <v>424.164941</v>
      </c>
      <c r="I143" s="12">
        <v>469.17193099999997</v>
      </c>
      <c r="J143" s="12">
        <v>629.81058199999995</v>
      </c>
      <c r="K143" s="12">
        <v>15801.63</v>
      </c>
      <c r="L143" s="12">
        <v>3197.81</v>
      </c>
      <c r="M143" s="12">
        <v>25341.27</v>
      </c>
    </row>
    <row r="144" spans="2:13" ht="18.75" x14ac:dyDescent="0.25">
      <c r="B144" s="7" t="s">
        <v>15</v>
      </c>
      <c r="C144" s="7" t="s">
        <v>336</v>
      </c>
      <c r="D144" s="12">
        <v>43.200277</v>
      </c>
      <c r="E144" s="7"/>
      <c r="F144" s="7"/>
      <c r="G144" s="7"/>
      <c r="H144" s="12">
        <v>340.95860399999998</v>
      </c>
      <c r="I144" s="12">
        <v>436.65428300000002</v>
      </c>
      <c r="J144" s="12">
        <v>663.70780600000001</v>
      </c>
      <c r="K144" s="12">
        <v>6474.81</v>
      </c>
      <c r="L144" s="12">
        <v>1532.08</v>
      </c>
      <c r="M144" s="12">
        <v>21067.25</v>
      </c>
    </row>
    <row r="145" spans="2:13" ht="18.75" x14ac:dyDescent="0.25">
      <c r="B145" s="7" t="s">
        <v>15</v>
      </c>
      <c r="C145" s="7" t="s">
        <v>330</v>
      </c>
      <c r="D145" s="12">
        <v>1.0032859999999999</v>
      </c>
      <c r="E145" s="7"/>
      <c r="F145" s="7"/>
      <c r="G145" s="7"/>
      <c r="H145" s="12">
        <v>16.802752000000002</v>
      </c>
      <c r="I145" s="12">
        <v>62.301217000000001</v>
      </c>
      <c r="J145" s="12">
        <v>151.55109400000001</v>
      </c>
      <c r="K145" s="12">
        <v>537.75</v>
      </c>
      <c r="L145" s="12">
        <v>108.83</v>
      </c>
      <c r="M145" s="12">
        <v>862.4</v>
      </c>
    </row>
    <row r="146" spans="2:13" ht="18.75" x14ac:dyDescent="0.25">
      <c r="B146" s="7" t="s">
        <v>15</v>
      </c>
      <c r="C146" s="7" t="s">
        <v>443</v>
      </c>
      <c r="D146" s="12">
        <v>4.275099</v>
      </c>
      <c r="E146" s="7"/>
      <c r="F146" s="7"/>
      <c r="G146" s="7"/>
      <c r="H146" s="12">
        <v>146.16409200000001</v>
      </c>
      <c r="I146" s="12">
        <v>174.487112</v>
      </c>
      <c r="J146" s="12">
        <v>280.15270600000002</v>
      </c>
      <c r="K146" s="12">
        <v>75.98</v>
      </c>
      <c r="L146" s="12">
        <v>140.5</v>
      </c>
      <c r="M146" s="12">
        <v>970.9</v>
      </c>
    </row>
    <row r="147" spans="2:13" ht="18.75" x14ac:dyDescent="0.25">
      <c r="B147" s="7" t="s">
        <v>15</v>
      </c>
      <c r="C147" s="7" t="s">
        <v>423</v>
      </c>
      <c r="D147" s="12">
        <v>32.935003999999999</v>
      </c>
      <c r="E147" s="7"/>
      <c r="F147" s="7"/>
      <c r="G147" s="7"/>
      <c r="H147" s="12">
        <v>213.03595000000001</v>
      </c>
      <c r="I147" s="12">
        <v>333.85220399999997</v>
      </c>
      <c r="J147" s="12">
        <v>928.72874300000001</v>
      </c>
      <c r="K147" s="12">
        <v>1610.23</v>
      </c>
      <c r="L147" s="12">
        <v>2977.7</v>
      </c>
      <c r="M147" s="12">
        <v>20577.03</v>
      </c>
    </row>
    <row r="148" spans="2:13" ht="18.75" x14ac:dyDescent="0.25">
      <c r="B148" s="7" t="s">
        <v>15</v>
      </c>
      <c r="C148" s="7" t="s">
        <v>123</v>
      </c>
      <c r="D148" s="12">
        <v>43.531364000000004</v>
      </c>
      <c r="E148" s="7"/>
      <c r="F148" s="7"/>
      <c r="G148" s="7"/>
      <c r="H148" s="12">
        <v>165.03065000000001</v>
      </c>
      <c r="I148" s="12">
        <v>275.502454</v>
      </c>
      <c r="J148" s="12">
        <v>866.56997799999999</v>
      </c>
      <c r="K148" s="12">
        <v>1695.55</v>
      </c>
      <c r="L148" s="12">
        <v>779.55</v>
      </c>
      <c r="M148" s="12">
        <v>22897.31</v>
      </c>
    </row>
    <row r="149" spans="2:13" ht="18.75" x14ac:dyDescent="0.25">
      <c r="B149" s="7" t="s">
        <v>15</v>
      </c>
      <c r="C149" s="7" t="s">
        <v>128</v>
      </c>
      <c r="D149" s="12">
        <v>3.3833199999999999</v>
      </c>
      <c r="E149" s="7"/>
      <c r="F149" s="7"/>
      <c r="G149" s="7"/>
      <c r="H149" s="12">
        <v>0.17177999999999999</v>
      </c>
      <c r="I149" s="12">
        <v>337.14595400000002</v>
      </c>
      <c r="J149" s="12">
        <v>345.546988</v>
      </c>
      <c r="K149" s="12">
        <v>966.25</v>
      </c>
      <c r="L149" s="12">
        <v>195.54</v>
      </c>
      <c r="M149" s="12">
        <v>1549.59</v>
      </c>
    </row>
    <row r="150" spans="2:13" ht="18.75" x14ac:dyDescent="0.25">
      <c r="B150" s="7" t="s">
        <v>15</v>
      </c>
      <c r="C150" s="7" t="s">
        <v>357</v>
      </c>
      <c r="D150" s="12">
        <v>4.9399999999999997E-4</v>
      </c>
      <c r="E150" s="7"/>
      <c r="F150" s="7"/>
      <c r="G150" s="7"/>
      <c r="H150" s="12">
        <v>0.75220900000000002</v>
      </c>
      <c r="I150" s="12">
        <v>1.8927020000000001</v>
      </c>
      <c r="J150" s="12">
        <v>3.7683300000000002</v>
      </c>
      <c r="K150" s="12">
        <v>0.02</v>
      </c>
      <c r="L150" s="12">
        <v>0.01</v>
      </c>
      <c r="M150" s="12">
        <v>0.2</v>
      </c>
    </row>
    <row r="151" spans="2:13" ht="18.75" x14ac:dyDescent="0.25">
      <c r="B151" s="7" t="s">
        <v>15</v>
      </c>
      <c r="C151" s="7" t="s">
        <v>358</v>
      </c>
      <c r="D151" s="12">
        <v>2.3281E-2</v>
      </c>
      <c r="E151" s="7"/>
      <c r="F151" s="7"/>
      <c r="G151" s="7"/>
      <c r="H151" s="12">
        <v>1.447845</v>
      </c>
      <c r="I151" s="12">
        <v>17.755296999999999</v>
      </c>
      <c r="J151" s="12">
        <v>21.836663999999999</v>
      </c>
      <c r="K151" s="12">
        <v>1.07</v>
      </c>
      <c r="L151" s="12">
        <v>0.57999999999999996</v>
      </c>
      <c r="M151" s="12">
        <v>9.49</v>
      </c>
    </row>
    <row r="152" spans="2:13" ht="18.75" x14ac:dyDescent="0.25">
      <c r="B152" s="7" t="s">
        <v>15</v>
      </c>
      <c r="C152" s="7" t="s">
        <v>331</v>
      </c>
      <c r="D152" s="12">
        <v>6.1196E-2</v>
      </c>
      <c r="E152" s="7"/>
      <c r="F152" s="7"/>
      <c r="G152" s="7"/>
      <c r="H152" s="12">
        <v>3.617356</v>
      </c>
      <c r="I152" s="12">
        <v>9.2781389999999995</v>
      </c>
      <c r="J152" s="12">
        <v>15.554326</v>
      </c>
      <c r="K152" s="12">
        <v>21.55</v>
      </c>
      <c r="L152" s="12">
        <v>4.3600000000000003</v>
      </c>
      <c r="M152" s="12">
        <v>34.57</v>
      </c>
    </row>
    <row r="153" spans="2:13" ht="18.75" x14ac:dyDescent="0.25">
      <c r="B153" s="7" t="s">
        <v>15</v>
      </c>
      <c r="C153" s="7" t="s">
        <v>332</v>
      </c>
      <c r="D153" s="12">
        <v>2.7770609999999998</v>
      </c>
      <c r="E153" s="7"/>
      <c r="F153" s="7"/>
      <c r="G153" s="7"/>
      <c r="H153" s="12">
        <v>22.191983</v>
      </c>
      <c r="I153" s="12">
        <v>25.211817</v>
      </c>
      <c r="J153" s="12">
        <v>57.898961999999997</v>
      </c>
      <c r="K153" s="12">
        <v>108.44</v>
      </c>
      <c r="L153" s="12">
        <v>58.95</v>
      </c>
      <c r="M153" s="12">
        <v>965.58</v>
      </c>
    </row>
    <row r="154" spans="2:13" ht="18.75" x14ac:dyDescent="0.25">
      <c r="B154" s="7" t="s">
        <v>15</v>
      </c>
      <c r="C154" s="7" t="s">
        <v>445</v>
      </c>
      <c r="D154" s="12">
        <v>7.4309E-2</v>
      </c>
      <c r="E154" s="7"/>
      <c r="F154" s="7"/>
      <c r="G154" s="7"/>
      <c r="H154" s="12">
        <v>3.877634</v>
      </c>
      <c r="I154" s="12">
        <v>7.6825539999999997</v>
      </c>
      <c r="J154" s="12">
        <v>28.302213999999999</v>
      </c>
      <c r="K154" s="12">
        <v>8.6999999999999993</v>
      </c>
      <c r="L154" s="12">
        <v>7.87</v>
      </c>
      <c r="M154" s="12">
        <v>40.659999999999997</v>
      </c>
    </row>
    <row r="155" spans="2:13" ht="18.75" x14ac:dyDescent="0.25">
      <c r="B155" s="7" t="s">
        <v>15</v>
      </c>
      <c r="C155" s="7" t="s">
        <v>143</v>
      </c>
      <c r="D155" s="12">
        <v>4.7082990000000002</v>
      </c>
      <c r="E155" s="7"/>
      <c r="F155" s="7"/>
      <c r="G155" s="7"/>
      <c r="H155" s="12">
        <v>18.77965</v>
      </c>
      <c r="I155" s="12">
        <v>35.711544000000004</v>
      </c>
      <c r="J155" s="12">
        <v>73.752043</v>
      </c>
      <c r="K155" s="12">
        <v>218.55</v>
      </c>
      <c r="L155" s="12">
        <v>118.81</v>
      </c>
      <c r="M155" s="12">
        <v>1945.98</v>
      </c>
    </row>
    <row r="156" spans="2:13" ht="18.75" x14ac:dyDescent="0.25">
      <c r="B156" s="7" t="s">
        <v>15</v>
      </c>
      <c r="C156" s="7" t="s">
        <v>194</v>
      </c>
      <c r="D156" s="12">
        <v>59.961666999999998</v>
      </c>
      <c r="E156" s="7"/>
      <c r="F156" s="7"/>
      <c r="G156" s="7"/>
      <c r="H156" s="12">
        <v>387.29855600000002</v>
      </c>
      <c r="I156" s="12">
        <v>507.30678899999998</v>
      </c>
      <c r="J156" s="12">
        <v>1250.373495</v>
      </c>
      <c r="K156" s="12">
        <v>14412.73</v>
      </c>
      <c r="L156" s="12">
        <v>3410.36</v>
      </c>
      <c r="M156" s="12">
        <v>46895.07</v>
      </c>
    </row>
    <row r="157" spans="2:13" ht="18.75" x14ac:dyDescent="0.25">
      <c r="B157" s="7" t="s">
        <v>15</v>
      </c>
      <c r="C157" s="7" t="s">
        <v>360</v>
      </c>
      <c r="D157" s="12">
        <v>10.617801999999999</v>
      </c>
      <c r="E157" s="7"/>
      <c r="F157" s="7"/>
      <c r="G157" s="7"/>
      <c r="H157" s="12">
        <v>63.234445999999998</v>
      </c>
      <c r="I157" s="12">
        <v>94.031887999999995</v>
      </c>
      <c r="J157" s="12">
        <v>190.09955400000001</v>
      </c>
      <c r="K157" s="12">
        <v>814.74</v>
      </c>
      <c r="L157" s="12">
        <v>296.45</v>
      </c>
      <c r="M157" s="12">
        <v>2847.67</v>
      </c>
    </row>
    <row r="158" spans="2:13" ht="18.75" x14ac:dyDescent="0.25">
      <c r="B158" s="7" t="s">
        <v>15</v>
      </c>
      <c r="C158" s="7" t="s">
        <v>80</v>
      </c>
      <c r="D158" s="12">
        <v>37.724370999999998</v>
      </c>
      <c r="E158" s="7"/>
      <c r="F158" s="7"/>
      <c r="G158" s="7"/>
      <c r="H158" s="12">
        <v>331.01892600000002</v>
      </c>
      <c r="I158" s="12">
        <v>535.28915800000004</v>
      </c>
      <c r="J158" s="12">
        <v>1055.655792</v>
      </c>
      <c r="K158" s="12">
        <v>13379.57</v>
      </c>
      <c r="L158" s="12">
        <v>2707.65</v>
      </c>
      <c r="M158" s="12">
        <v>21456.98</v>
      </c>
    </row>
    <row r="159" spans="2:13" ht="18.75" x14ac:dyDescent="0.25">
      <c r="B159" s="7" t="s">
        <v>15</v>
      </c>
      <c r="C159" s="7" t="s">
        <v>362</v>
      </c>
      <c r="D159" s="12">
        <v>5.7820000000000003E-2</v>
      </c>
      <c r="E159" s="7"/>
      <c r="F159" s="7"/>
      <c r="G159" s="7"/>
      <c r="H159" s="12">
        <v>0.60707599999999995</v>
      </c>
      <c r="I159" s="12">
        <v>2.3314680000000001</v>
      </c>
      <c r="J159" s="12">
        <v>4.1384860000000003</v>
      </c>
      <c r="K159" s="12">
        <v>5.31</v>
      </c>
      <c r="L159" s="12">
        <v>4.8</v>
      </c>
      <c r="M159" s="12">
        <v>24.82</v>
      </c>
    </row>
    <row r="160" spans="2:13" ht="18.75" x14ac:dyDescent="0.25">
      <c r="B160" s="7" t="s">
        <v>15</v>
      </c>
      <c r="C160" s="7" t="s">
        <v>361</v>
      </c>
      <c r="D160" s="12">
        <v>2.052813</v>
      </c>
      <c r="E160" s="7"/>
      <c r="F160" s="7"/>
      <c r="G160" s="7"/>
      <c r="H160" s="12">
        <v>25.409587999999999</v>
      </c>
      <c r="I160" s="12">
        <v>86.657551999999995</v>
      </c>
      <c r="J160" s="12">
        <v>119.668153</v>
      </c>
      <c r="K160" s="12">
        <v>95.99</v>
      </c>
      <c r="L160" s="12">
        <v>52.18</v>
      </c>
      <c r="M160" s="12">
        <v>854.71</v>
      </c>
    </row>
    <row r="161" spans="2:13" ht="18.75" x14ac:dyDescent="0.25">
      <c r="B161" s="7" t="s">
        <v>15</v>
      </c>
      <c r="C161" s="7" t="s">
        <v>447</v>
      </c>
      <c r="D161" s="12">
        <v>0.42398000000000002</v>
      </c>
      <c r="E161" s="7"/>
      <c r="F161" s="7"/>
      <c r="G161" s="7"/>
      <c r="H161" s="12">
        <v>7.666404</v>
      </c>
      <c r="I161" s="12">
        <v>11.569445999999999</v>
      </c>
      <c r="J161" s="12">
        <v>14.073592</v>
      </c>
      <c r="K161" s="12">
        <v>22.09</v>
      </c>
      <c r="L161" s="12">
        <v>12.01</v>
      </c>
      <c r="M161" s="12">
        <v>196.7</v>
      </c>
    </row>
    <row r="162" spans="2:13" ht="18.75" x14ac:dyDescent="0.25">
      <c r="B162" s="7" t="s">
        <v>15</v>
      </c>
      <c r="C162" s="7" t="s">
        <v>448</v>
      </c>
      <c r="D162" s="12">
        <v>16.960377999999999</v>
      </c>
      <c r="E162" s="7"/>
      <c r="F162" s="7"/>
      <c r="G162" s="7"/>
      <c r="H162" s="12">
        <v>116.257639</v>
      </c>
      <c r="I162" s="12">
        <v>180.75476699999999</v>
      </c>
      <c r="J162" s="12">
        <v>677.82633399999997</v>
      </c>
      <c r="K162" s="12">
        <v>2038.7</v>
      </c>
      <c r="L162" s="12">
        <v>1386.13</v>
      </c>
      <c r="M162" s="12">
        <v>24845.05</v>
      </c>
    </row>
    <row r="163" spans="2:13" ht="18.75" x14ac:dyDescent="0.25">
      <c r="B163" s="7" t="s">
        <v>15</v>
      </c>
      <c r="C163" s="7" t="s">
        <v>449</v>
      </c>
      <c r="D163" s="12">
        <v>3.0707999999999999E-2</v>
      </c>
      <c r="E163" s="7"/>
      <c r="F163" s="7"/>
      <c r="G163" s="7"/>
      <c r="H163" s="12">
        <v>0.72935000000000005</v>
      </c>
      <c r="I163" s="12">
        <v>1.361383</v>
      </c>
      <c r="J163" s="12">
        <v>3.4084279999999998</v>
      </c>
      <c r="K163" s="12">
        <v>1.55</v>
      </c>
      <c r="L163" s="12">
        <v>0.84</v>
      </c>
      <c r="M163" s="12">
        <v>13.83</v>
      </c>
    </row>
    <row r="164" spans="2:13" ht="18.75" x14ac:dyDescent="0.25">
      <c r="B164" s="7" t="s">
        <v>15</v>
      </c>
      <c r="C164" s="7" t="s">
        <v>363</v>
      </c>
      <c r="D164" s="12">
        <v>4.4727129999999997</v>
      </c>
      <c r="E164" s="7"/>
      <c r="F164" s="7"/>
      <c r="G164" s="7"/>
      <c r="H164" s="12">
        <v>13.194167999999999</v>
      </c>
      <c r="I164" s="12">
        <v>59.792313</v>
      </c>
      <c r="J164" s="12">
        <v>195.86080799999999</v>
      </c>
      <c r="K164" s="12">
        <v>654.16</v>
      </c>
      <c r="L164" s="12">
        <v>444.77</v>
      </c>
      <c r="M164" s="12">
        <v>7972.1</v>
      </c>
    </row>
    <row r="165" spans="2:13" ht="18.75" x14ac:dyDescent="0.25">
      <c r="B165" s="7" t="s">
        <v>15</v>
      </c>
      <c r="C165" s="7" t="s">
        <v>364</v>
      </c>
      <c r="D165" s="12">
        <v>7.7535999999999994E-2</v>
      </c>
      <c r="E165" s="7"/>
      <c r="F165" s="7"/>
      <c r="G165" s="7"/>
      <c r="H165" s="12">
        <v>4.2896650000000003</v>
      </c>
      <c r="I165" s="12">
        <v>4.2259770000000003</v>
      </c>
      <c r="J165" s="12">
        <v>10.633506000000001</v>
      </c>
      <c r="K165" s="12">
        <v>3.91</v>
      </c>
      <c r="L165" s="12">
        <v>2.12</v>
      </c>
      <c r="M165" s="12">
        <v>34.770000000000003</v>
      </c>
    </row>
    <row r="166" spans="2:13" ht="18.75" x14ac:dyDescent="0.25">
      <c r="B166" s="7" t="s">
        <v>15</v>
      </c>
      <c r="C166" s="7" t="s">
        <v>120</v>
      </c>
      <c r="D166" s="12">
        <v>6.9748140000000003</v>
      </c>
      <c r="E166" s="7"/>
      <c r="F166" s="7"/>
      <c r="G166" s="7"/>
      <c r="H166" s="12">
        <v>34.720726999999997</v>
      </c>
      <c r="I166" s="12">
        <v>46.249217000000002</v>
      </c>
      <c r="J166" s="12">
        <v>96.303584000000001</v>
      </c>
      <c r="K166" s="12">
        <v>681.62</v>
      </c>
      <c r="L166" s="12">
        <v>463.44</v>
      </c>
      <c r="M166" s="12">
        <v>8306.7099999999991</v>
      </c>
    </row>
    <row r="167" spans="2:13" ht="18.75" x14ac:dyDescent="0.25">
      <c r="B167" s="7" t="s">
        <v>15</v>
      </c>
      <c r="C167" s="7" t="s">
        <v>347</v>
      </c>
      <c r="D167" s="12">
        <v>3.1986159999999999</v>
      </c>
      <c r="E167" s="7"/>
      <c r="F167" s="7"/>
      <c r="G167" s="7"/>
      <c r="H167" s="12">
        <v>16.063198</v>
      </c>
      <c r="I167" s="12">
        <v>77.369193999999993</v>
      </c>
      <c r="J167" s="12">
        <v>74.917208000000002</v>
      </c>
      <c r="K167" s="12">
        <v>294.18</v>
      </c>
      <c r="L167" s="12">
        <v>200.02</v>
      </c>
      <c r="M167" s="12">
        <v>3585.11</v>
      </c>
    </row>
    <row r="168" spans="2:13" ht="18.75" x14ac:dyDescent="0.25">
      <c r="B168" s="7" t="s">
        <v>15</v>
      </c>
      <c r="C168" s="7" t="s">
        <v>89</v>
      </c>
      <c r="D168" s="12">
        <v>1.8581E-2</v>
      </c>
      <c r="E168" s="7"/>
      <c r="F168" s="7"/>
      <c r="G168" s="7"/>
      <c r="H168" s="12">
        <v>8.2374000000000003E-2</v>
      </c>
      <c r="I168" s="12">
        <v>0.62926400000000005</v>
      </c>
      <c r="J168" s="12">
        <v>1.971271</v>
      </c>
      <c r="K168" s="12">
        <v>1.65</v>
      </c>
      <c r="L168" s="12">
        <v>0.76</v>
      </c>
      <c r="M168" s="12">
        <v>22.27</v>
      </c>
    </row>
    <row r="169" spans="2:13" ht="18.75" x14ac:dyDescent="0.25">
      <c r="B169" s="7" t="s">
        <v>15</v>
      </c>
      <c r="C169" s="7" t="s">
        <v>348</v>
      </c>
      <c r="D169" s="12">
        <v>0.10753500000000001</v>
      </c>
      <c r="E169" s="7"/>
      <c r="F169" s="7"/>
      <c r="G169" s="7"/>
      <c r="H169" s="12">
        <v>0.61319000000000001</v>
      </c>
      <c r="I169" s="12">
        <v>0.58454399999999995</v>
      </c>
      <c r="J169" s="12">
        <v>1.878676</v>
      </c>
      <c r="K169" s="12">
        <v>3.93</v>
      </c>
      <c r="L169" s="12">
        <v>7.27</v>
      </c>
      <c r="M169" s="12">
        <v>50.23</v>
      </c>
    </row>
    <row r="170" spans="2:13" ht="18.75" x14ac:dyDescent="0.25">
      <c r="B170" s="7" t="s">
        <v>15</v>
      </c>
      <c r="C170" s="7" t="s">
        <v>403</v>
      </c>
      <c r="D170" s="12">
        <v>4.4165549999999998</v>
      </c>
      <c r="E170" s="7"/>
      <c r="F170" s="7"/>
      <c r="G170" s="7"/>
      <c r="H170" s="12">
        <v>33.001154</v>
      </c>
      <c r="I170" s="12">
        <v>35.276130000000002</v>
      </c>
      <c r="J170" s="12">
        <v>99.659481</v>
      </c>
      <c r="K170" s="12">
        <v>196.17</v>
      </c>
      <c r="L170" s="12">
        <v>362.76</v>
      </c>
      <c r="M170" s="12">
        <v>2506.79</v>
      </c>
    </row>
    <row r="171" spans="2:13" ht="18.75" x14ac:dyDescent="0.25">
      <c r="B171" s="7" t="s">
        <v>15</v>
      </c>
      <c r="C171" s="7" t="s">
        <v>404</v>
      </c>
      <c r="D171" s="12">
        <v>12.308738999999999</v>
      </c>
      <c r="E171" s="7"/>
      <c r="F171" s="7"/>
      <c r="G171" s="7"/>
      <c r="H171" s="12">
        <v>71.043948999999998</v>
      </c>
      <c r="I171" s="12">
        <v>231.58286000000001</v>
      </c>
      <c r="J171" s="12">
        <v>275.89942200000002</v>
      </c>
      <c r="K171" s="12">
        <v>3356.69</v>
      </c>
      <c r="L171" s="12">
        <v>679.3</v>
      </c>
      <c r="M171" s="12">
        <v>5383.17</v>
      </c>
    </row>
    <row r="172" spans="2:13" ht="18.75" x14ac:dyDescent="0.25">
      <c r="B172" s="7" t="s">
        <v>15</v>
      </c>
      <c r="C172" s="7" t="s">
        <v>405</v>
      </c>
      <c r="D172" s="12">
        <v>4.0220219999999998</v>
      </c>
      <c r="E172" s="7"/>
      <c r="F172" s="7"/>
      <c r="G172" s="7"/>
      <c r="H172" s="12">
        <v>13.793207000000001</v>
      </c>
      <c r="I172" s="12">
        <v>33.021698000000001</v>
      </c>
      <c r="J172" s="12">
        <v>95.690859000000003</v>
      </c>
      <c r="K172" s="12">
        <v>1181.79</v>
      </c>
      <c r="L172" s="12">
        <v>279.64</v>
      </c>
      <c r="M172" s="12">
        <v>3845.22</v>
      </c>
    </row>
    <row r="173" spans="2:13" ht="18.75" x14ac:dyDescent="0.25">
      <c r="B173" s="7" t="s">
        <v>15</v>
      </c>
      <c r="C173" s="7" t="s">
        <v>406</v>
      </c>
      <c r="D173" s="12">
        <v>3.7178999999999997E-2</v>
      </c>
      <c r="E173" s="7"/>
      <c r="F173" s="7"/>
      <c r="G173" s="7"/>
      <c r="H173" s="12">
        <v>1.79925</v>
      </c>
      <c r="I173" s="12">
        <v>1.6202430000000001</v>
      </c>
      <c r="J173" s="12">
        <v>3.7756859999999999</v>
      </c>
      <c r="K173" s="12">
        <v>11.48</v>
      </c>
      <c r="L173" s="12">
        <v>2.3199999999999998</v>
      </c>
      <c r="M173" s="12">
        <v>18.41</v>
      </c>
    </row>
    <row r="174" spans="2:13" ht="18.75" x14ac:dyDescent="0.25">
      <c r="B174" s="7" t="s">
        <v>15</v>
      </c>
      <c r="C174" s="7" t="s">
        <v>340</v>
      </c>
      <c r="D174" s="12">
        <v>1.7429730000000001</v>
      </c>
      <c r="E174" s="7"/>
      <c r="F174" s="7"/>
      <c r="G174" s="7"/>
      <c r="H174" s="12">
        <v>24.659839999999999</v>
      </c>
      <c r="I174" s="12">
        <v>40.012607000000003</v>
      </c>
      <c r="J174" s="12">
        <v>110.094172</v>
      </c>
      <c r="K174" s="12">
        <v>172.41</v>
      </c>
      <c r="L174" s="12">
        <v>117.22</v>
      </c>
      <c r="M174" s="12">
        <v>2101.15</v>
      </c>
    </row>
    <row r="175" spans="2:13" ht="18.75" x14ac:dyDescent="0.25">
      <c r="B175" s="7" t="s">
        <v>15</v>
      </c>
      <c r="C175" s="7" t="s">
        <v>367</v>
      </c>
      <c r="D175" s="12">
        <v>12.571052</v>
      </c>
      <c r="E175" s="7"/>
      <c r="F175" s="7"/>
      <c r="G175" s="7"/>
      <c r="H175" s="12">
        <v>49.466607000000003</v>
      </c>
      <c r="I175" s="12">
        <v>80.749986000000007</v>
      </c>
      <c r="J175" s="12">
        <v>71.738249999999994</v>
      </c>
      <c r="K175" s="12">
        <v>109.92</v>
      </c>
      <c r="L175" s="12">
        <v>203.27</v>
      </c>
      <c r="M175" s="12">
        <v>1404.64</v>
      </c>
    </row>
    <row r="176" spans="2:13" ht="18.75" x14ac:dyDescent="0.25">
      <c r="B176" s="7" t="s">
        <v>15</v>
      </c>
      <c r="C176" s="7" t="s">
        <v>366</v>
      </c>
      <c r="D176" s="12">
        <v>0.91939800000000005</v>
      </c>
      <c r="E176" s="7"/>
      <c r="F176" s="7"/>
      <c r="G176" s="7"/>
      <c r="H176" s="12">
        <v>12.703144</v>
      </c>
      <c r="I176" s="12">
        <v>9.3001129999999996</v>
      </c>
      <c r="J176" s="12">
        <v>31.399349999999998</v>
      </c>
      <c r="K176" s="12">
        <v>83.28</v>
      </c>
      <c r="L176" s="12">
        <v>30.3</v>
      </c>
      <c r="M176" s="12">
        <v>291.06</v>
      </c>
    </row>
    <row r="177" spans="2:13" ht="18.75" x14ac:dyDescent="0.25">
      <c r="B177" s="7" t="s">
        <v>15</v>
      </c>
      <c r="C177" s="7" t="s">
        <v>112</v>
      </c>
      <c r="D177" s="12">
        <v>15.103134000000001</v>
      </c>
      <c r="E177" s="7"/>
      <c r="F177" s="7"/>
      <c r="G177" s="7"/>
      <c r="H177" s="12">
        <v>334.71700199999998</v>
      </c>
      <c r="I177" s="12">
        <v>1001.795044</v>
      </c>
      <c r="J177" s="12">
        <v>1165.5528179999999</v>
      </c>
      <c r="K177" s="12">
        <v>5706</v>
      </c>
      <c r="L177" s="12">
        <v>1154.73</v>
      </c>
      <c r="M177" s="12">
        <v>9150.7800000000007</v>
      </c>
    </row>
    <row r="178" spans="2:13" ht="18.75" x14ac:dyDescent="0.25">
      <c r="B178" s="7" t="s">
        <v>15</v>
      </c>
      <c r="C178" s="7" t="s">
        <v>407</v>
      </c>
      <c r="D178" s="12">
        <v>1.439073</v>
      </c>
      <c r="E178" s="7"/>
      <c r="F178" s="7"/>
      <c r="G178" s="7"/>
      <c r="H178" s="12">
        <v>6.4699669999999996</v>
      </c>
      <c r="I178" s="12">
        <v>5.8086779999999996</v>
      </c>
      <c r="J178" s="12">
        <v>27.852096</v>
      </c>
      <c r="K178" s="12">
        <v>103.04</v>
      </c>
      <c r="L178" s="12">
        <v>47.37</v>
      </c>
      <c r="M178" s="12">
        <v>1391.44</v>
      </c>
    </row>
    <row r="179" spans="2:13" ht="18.75" x14ac:dyDescent="0.25">
      <c r="B179" s="7" t="s">
        <v>15</v>
      </c>
      <c r="C179" s="7" t="s">
        <v>408</v>
      </c>
      <c r="D179" s="12">
        <v>6.5536110000000001</v>
      </c>
      <c r="E179" s="7"/>
      <c r="F179" s="7"/>
      <c r="G179" s="7"/>
      <c r="H179" s="12">
        <v>130.62063900000001</v>
      </c>
      <c r="I179" s="12">
        <v>447.52438999999998</v>
      </c>
      <c r="J179" s="12">
        <v>1172.86258</v>
      </c>
      <c r="K179" s="12">
        <v>667.42</v>
      </c>
      <c r="L179" s="12">
        <v>362.81</v>
      </c>
      <c r="M179" s="12">
        <v>5942.71</v>
      </c>
    </row>
    <row r="180" spans="2:13" ht="18.75" x14ac:dyDescent="0.25">
      <c r="B180" s="7" t="s">
        <v>15</v>
      </c>
      <c r="C180" s="7" t="s">
        <v>438</v>
      </c>
      <c r="D180" s="12">
        <v>7.6583290000000002</v>
      </c>
      <c r="E180" s="7"/>
      <c r="F180" s="7"/>
      <c r="G180" s="7"/>
      <c r="H180" s="12">
        <v>75.205235999999999</v>
      </c>
      <c r="I180" s="12">
        <v>286.851315</v>
      </c>
      <c r="J180" s="12">
        <v>402.44126999999997</v>
      </c>
      <c r="K180" s="12">
        <v>1661.98</v>
      </c>
      <c r="L180" s="12">
        <v>336.34</v>
      </c>
      <c r="M180" s="12">
        <v>2665.33</v>
      </c>
    </row>
    <row r="181" spans="2:13" ht="18.75" x14ac:dyDescent="0.25">
      <c r="B181" s="7" t="s">
        <v>15</v>
      </c>
      <c r="C181" s="7" t="s">
        <v>439</v>
      </c>
      <c r="D181" s="12">
        <v>20.953173</v>
      </c>
      <c r="E181" s="7"/>
      <c r="F181" s="7"/>
      <c r="G181" s="7"/>
      <c r="H181" s="12">
        <v>199.01141699999999</v>
      </c>
      <c r="I181" s="12">
        <v>183.209732</v>
      </c>
      <c r="J181" s="12">
        <v>335.754032</v>
      </c>
      <c r="K181" s="12">
        <v>470.31</v>
      </c>
      <c r="L181" s="12">
        <v>869.71</v>
      </c>
      <c r="M181" s="12">
        <v>6010.02</v>
      </c>
    </row>
    <row r="182" spans="2:13" ht="18.75" x14ac:dyDescent="0.25">
      <c r="B182" s="7" t="s">
        <v>15</v>
      </c>
      <c r="C182" s="7" t="s">
        <v>390</v>
      </c>
      <c r="D182" s="12">
        <v>1.6219760000000001</v>
      </c>
      <c r="E182" s="7"/>
      <c r="F182" s="7"/>
      <c r="G182" s="7"/>
      <c r="H182" s="12">
        <v>28.981521000000001</v>
      </c>
      <c r="I182" s="12">
        <v>61.328457</v>
      </c>
      <c r="J182" s="12">
        <v>60.164107999999999</v>
      </c>
      <c r="K182" s="12">
        <v>43.06</v>
      </c>
      <c r="L182" s="12">
        <v>23.41</v>
      </c>
      <c r="M182" s="12">
        <v>383.43</v>
      </c>
    </row>
    <row r="183" spans="2:13" ht="18.75" x14ac:dyDescent="0.25">
      <c r="B183" s="7" t="s">
        <v>15</v>
      </c>
      <c r="C183" s="7" t="s">
        <v>391</v>
      </c>
      <c r="D183" s="12">
        <v>12.760120000000001</v>
      </c>
      <c r="E183" s="7"/>
      <c r="F183" s="7"/>
      <c r="G183" s="7"/>
      <c r="H183" s="12">
        <v>74.775777000000005</v>
      </c>
      <c r="I183" s="12">
        <v>154.75626199999999</v>
      </c>
      <c r="J183" s="12">
        <v>232.88224299999999</v>
      </c>
      <c r="K183" s="12">
        <v>4821.13</v>
      </c>
      <c r="L183" s="12">
        <v>975.66</v>
      </c>
      <c r="M183" s="12">
        <v>7731.71</v>
      </c>
    </row>
    <row r="184" spans="2:13" ht="18.75" x14ac:dyDescent="0.25">
      <c r="B184" s="7" t="s">
        <v>15</v>
      </c>
      <c r="C184" s="7" t="s">
        <v>392</v>
      </c>
      <c r="D184" s="12">
        <v>0.71692100000000003</v>
      </c>
      <c r="E184" s="7"/>
      <c r="F184" s="7"/>
      <c r="G184" s="7"/>
      <c r="H184" s="12">
        <v>0.59945700000000002</v>
      </c>
      <c r="I184" s="12">
        <v>1.878145</v>
      </c>
      <c r="J184" s="12">
        <v>3.0567899999999999</v>
      </c>
      <c r="K184" s="12">
        <v>127.24</v>
      </c>
      <c r="L184" s="12">
        <v>30.11</v>
      </c>
      <c r="M184" s="12">
        <v>414.01</v>
      </c>
    </row>
    <row r="185" spans="2:13" ht="18.75" x14ac:dyDescent="0.25">
      <c r="B185" s="7" t="s">
        <v>15</v>
      </c>
      <c r="C185" s="7" t="s">
        <v>188</v>
      </c>
      <c r="D185" s="12">
        <v>27.944405</v>
      </c>
      <c r="E185" s="7"/>
      <c r="F185" s="7"/>
      <c r="G185" s="7"/>
      <c r="H185" s="12">
        <v>154.50375600000001</v>
      </c>
      <c r="I185" s="12">
        <v>284.77410099999997</v>
      </c>
      <c r="J185" s="12">
        <v>450.60603200000003</v>
      </c>
      <c r="K185" s="12">
        <v>5104.51</v>
      </c>
      <c r="L185" s="12">
        <v>1207.83</v>
      </c>
      <c r="M185" s="12">
        <v>16608.669999999998</v>
      </c>
    </row>
    <row r="186" spans="2:13" ht="18.75" x14ac:dyDescent="0.25">
      <c r="B186" s="7" t="s">
        <v>15</v>
      </c>
      <c r="C186" s="7" t="s">
        <v>154</v>
      </c>
      <c r="D186" s="12">
        <v>0.26201999999999998</v>
      </c>
      <c r="E186" s="7"/>
      <c r="F186" s="7"/>
      <c r="G186" s="7"/>
      <c r="H186" s="12">
        <v>9.9111229999999999</v>
      </c>
      <c r="I186" s="12">
        <v>23.822845999999998</v>
      </c>
      <c r="J186" s="12">
        <v>58.037717000000001</v>
      </c>
      <c r="K186" s="12">
        <v>206.19</v>
      </c>
      <c r="L186" s="12">
        <v>41.73</v>
      </c>
      <c r="M186" s="12">
        <v>330.67</v>
      </c>
    </row>
    <row r="187" spans="2:13" ht="18.75" x14ac:dyDescent="0.25">
      <c r="B187" s="7" t="s">
        <v>15</v>
      </c>
      <c r="C187" s="7" t="s">
        <v>93</v>
      </c>
      <c r="D187" s="12">
        <v>48.220573999999999</v>
      </c>
      <c r="E187" s="7"/>
      <c r="F187" s="7"/>
      <c r="G187" s="7"/>
      <c r="H187" s="12">
        <v>301.31053000000003</v>
      </c>
      <c r="I187" s="12">
        <v>343.48578900000001</v>
      </c>
      <c r="J187" s="12">
        <v>734.53820700000006</v>
      </c>
      <c r="K187" s="12">
        <v>3885.76</v>
      </c>
      <c r="L187" s="12">
        <v>3516.76</v>
      </c>
      <c r="M187" s="12">
        <v>18169.41</v>
      </c>
    </row>
    <row r="188" spans="2:13" ht="18.75" x14ac:dyDescent="0.25">
      <c r="B188" s="7" t="s">
        <v>15</v>
      </c>
      <c r="C188" s="7" t="s">
        <v>422</v>
      </c>
      <c r="D188" s="12">
        <v>12.827944</v>
      </c>
      <c r="E188" s="7"/>
      <c r="F188" s="7"/>
      <c r="G188" s="7"/>
      <c r="H188" s="12">
        <v>53.961376000000001</v>
      </c>
      <c r="I188" s="12">
        <v>175.74094199999999</v>
      </c>
      <c r="J188" s="12">
        <v>208.306117</v>
      </c>
      <c r="K188" s="12">
        <v>551.02</v>
      </c>
      <c r="L188" s="12">
        <v>299.54000000000002</v>
      </c>
      <c r="M188" s="12">
        <v>4906.28</v>
      </c>
    </row>
    <row r="189" spans="2:13" ht="18.75" x14ac:dyDescent="0.25">
      <c r="B189" s="7" t="s">
        <v>15</v>
      </c>
      <c r="C189" s="7" t="s">
        <v>131</v>
      </c>
      <c r="D189" s="12">
        <v>5.8574760000000001</v>
      </c>
      <c r="E189" s="7"/>
      <c r="F189" s="7"/>
      <c r="G189" s="7"/>
      <c r="H189" s="12">
        <v>41.003675999999999</v>
      </c>
      <c r="I189" s="12">
        <v>34.337440999999998</v>
      </c>
      <c r="J189" s="12">
        <v>69.778066999999993</v>
      </c>
      <c r="K189" s="12">
        <v>351.57</v>
      </c>
      <c r="L189" s="12">
        <v>239.04</v>
      </c>
      <c r="M189" s="12">
        <v>4284.51</v>
      </c>
    </row>
    <row r="190" spans="2:13" ht="18.75" x14ac:dyDescent="0.25">
      <c r="B190" s="7" t="s">
        <v>15</v>
      </c>
      <c r="C190" s="7" t="s">
        <v>453</v>
      </c>
      <c r="D190" s="12">
        <v>1.1521030000000001</v>
      </c>
      <c r="E190" s="7"/>
      <c r="F190" s="7"/>
      <c r="G190" s="7"/>
      <c r="H190" s="12">
        <v>20.519642000000001</v>
      </c>
      <c r="I190" s="12">
        <v>44.892392999999998</v>
      </c>
      <c r="J190" s="12">
        <v>61.896998000000004</v>
      </c>
      <c r="K190" s="12">
        <v>31.73</v>
      </c>
      <c r="L190" s="12">
        <v>17.25</v>
      </c>
      <c r="M190" s="12">
        <v>282.54000000000002</v>
      </c>
    </row>
    <row r="191" spans="2:13" ht="18.75" x14ac:dyDescent="0.25">
      <c r="B191" s="7" t="s">
        <v>15</v>
      </c>
      <c r="C191" s="7" t="s">
        <v>454</v>
      </c>
      <c r="D191" s="12">
        <v>7.6305730000000001</v>
      </c>
      <c r="E191" s="7"/>
      <c r="F191" s="7"/>
      <c r="G191" s="7"/>
      <c r="H191" s="12">
        <v>78.061944999999994</v>
      </c>
      <c r="I191" s="12">
        <v>148.20687699999999</v>
      </c>
      <c r="J191" s="12">
        <v>249.056511</v>
      </c>
      <c r="K191" s="12">
        <v>2704.39</v>
      </c>
      <c r="L191" s="12">
        <v>547.29</v>
      </c>
      <c r="M191" s="12">
        <v>4337.07</v>
      </c>
    </row>
    <row r="192" spans="2:13" ht="18.75" x14ac:dyDescent="0.25">
      <c r="B192" s="7" t="s">
        <v>15</v>
      </c>
      <c r="C192" s="7" t="s">
        <v>395</v>
      </c>
      <c r="D192" s="12">
        <v>1.344487</v>
      </c>
      <c r="E192" s="7"/>
      <c r="F192" s="7"/>
      <c r="G192" s="7"/>
      <c r="H192" s="12">
        <v>11.235253</v>
      </c>
      <c r="I192" s="12">
        <v>65.509371000000002</v>
      </c>
      <c r="J192" s="12">
        <v>53.381534000000002</v>
      </c>
      <c r="K192" s="12">
        <v>215.16</v>
      </c>
      <c r="L192" s="12">
        <v>43.54</v>
      </c>
      <c r="M192" s="12">
        <v>345.05</v>
      </c>
    </row>
    <row r="193" spans="2:13" ht="18.75" x14ac:dyDescent="0.25">
      <c r="B193" s="7" t="s">
        <v>15</v>
      </c>
      <c r="C193" s="7" t="s">
        <v>424</v>
      </c>
      <c r="D193" s="12">
        <v>2.1768540000000001</v>
      </c>
      <c r="E193" s="7"/>
      <c r="F193" s="7"/>
      <c r="G193" s="7"/>
      <c r="H193" s="12">
        <v>23.889059</v>
      </c>
      <c r="I193" s="12">
        <v>34.376418000000001</v>
      </c>
      <c r="J193" s="12">
        <v>124.968498</v>
      </c>
      <c r="K193" s="12">
        <v>141.59</v>
      </c>
      <c r="L193" s="12">
        <v>65.099999999999994</v>
      </c>
      <c r="M193" s="12">
        <v>1912.11</v>
      </c>
    </row>
    <row r="194" spans="2:13" ht="18.75" x14ac:dyDescent="0.25">
      <c r="B194" s="7" t="s">
        <v>15</v>
      </c>
      <c r="C194" s="7" t="s">
        <v>425</v>
      </c>
      <c r="D194" s="12">
        <v>1.6224350000000001</v>
      </c>
      <c r="E194" s="7"/>
      <c r="F194" s="7"/>
      <c r="G194" s="7"/>
      <c r="H194" s="12">
        <v>6.7407139999999997</v>
      </c>
      <c r="I194" s="12">
        <v>10.227054000000001</v>
      </c>
      <c r="J194" s="12">
        <v>24.087066</v>
      </c>
      <c r="K194" s="12">
        <v>441.09</v>
      </c>
      <c r="L194" s="12">
        <v>239.78</v>
      </c>
      <c r="M194" s="12">
        <v>3927.45</v>
      </c>
    </row>
    <row r="195" spans="2:13" ht="18.75" x14ac:dyDescent="0.25">
      <c r="B195" s="7" t="s">
        <v>15</v>
      </c>
      <c r="C195" s="7" t="s">
        <v>384</v>
      </c>
      <c r="D195" s="12">
        <v>1.3237220000000001</v>
      </c>
      <c r="E195" s="7"/>
      <c r="F195" s="7"/>
      <c r="G195" s="7"/>
      <c r="H195" s="12">
        <v>30.33409</v>
      </c>
      <c r="I195" s="12">
        <v>84.637925999999993</v>
      </c>
      <c r="J195" s="12">
        <v>180.77351999999999</v>
      </c>
      <c r="K195" s="12">
        <v>269.77999999999997</v>
      </c>
      <c r="L195" s="12">
        <v>63.84</v>
      </c>
      <c r="M195" s="12">
        <v>877.8</v>
      </c>
    </row>
    <row r="196" spans="2:13" ht="18.75" x14ac:dyDescent="0.25">
      <c r="B196" s="7" t="s">
        <v>15</v>
      </c>
      <c r="C196" s="7" t="s">
        <v>432</v>
      </c>
      <c r="D196" s="12">
        <v>20.431733000000001</v>
      </c>
      <c r="E196" s="7"/>
      <c r="F196" s="7"/>
      <c r="G196" s="7"/>
      <c r="H196" s="12">
        <v>306.31464099999999</v>
      </c>
      <c r="I196" s="12">
        <v>289.90141799999998</v>
      </c>
      <c r="J196" s="12">
        <v>893.11087499999996</v>
      </c>
      <c r="K196" s="12">
        <v>2359.9699999999998</v>
      </c>
      <c r="L196" s="12">
        <v>1604.56</v>
      </c>
      <c r="M196" s="12">
        <v>28760.3</v>
      </c>
    </row>
    <row r="197" spans="2:13" ht="18.75" x14ac:dyDescent="0.25">
      <c r="B197" s="7" t="s">
        <v>15</v>
      </c>
      <c r="C197" s="7" t="s">
        <v>431</v>
      </c>
      <c r="D197" s="12">
        <v>2.663198</v>
      </c>
      <c r="E197" s="7"/>
      <c r="F197" s="7"/>
      <c r="G197" s="7"/>
      <c r="H197" s="12">
        <v>11.404052</v>
      </c>
      <c r="I197" s="12">
        <v>15.228820000000001</v>
      </c>
      <c r="J197" s="12">
        <v>54.343541000000002</v>
      </c>
      <c r="K197" s="12">
        <v>319.87</v>
      </c>
      <c r="L197" s="12">
        <v>591.52</v>
      </c>
      <c r="M197" s="12">
        <v>4087.63</v>
      </c>
    </row>
    <row r="198" spans="2:13" ht="18.75" x14ac:dyDescent="0.25">
      <c r="B198" s="7" t="s">
        <v>15</v>
      </c>
      <c r="C198" s="7" t="s">
        <v>433</v>
      </c>
      <c r="D198" s="12">
        <v>2.0954E-2</v>
      </c>
      <c r="E198" s="7"/>
      <c r="F198" s="7"/>
      <c r="G198" s="7"/>
      <c r="H198" s="12">
        <v>11.340218</v>
      </c>
      <c r="I198" s="12">
        <v>149.278234</v>
      </c>
      <c r="J198" s="12">
        <v>153.16459800000001</v>
      </c>
      <c r="K198" s="12">
        <v>0.95</v>
      </c>
      <c r="L198" s="12">
        <v>0.52</v>
      </c>
      <c r="M198" s="12">
        <v>8.4600000000000009</v>
      </c>
    </row>
    <row r="199" spans="2:13" ht="18.75" x14ac:dyDescent="0.25">
      <c r="B199" s="7" t="s">
        <v>15</v>
      </c>
      <c r="C199" s="7" t="s">
        <v>455</v>
      </c>
      <c r="D199" s="12">
        <v>1.4369999999999999E-3</v>
      </c>
      <c r="E199" s="7"/>
      <c r="F199" s="7"/>
      <c r="G199" s="7"/>
      <c r="H199" s="12">
        <v>22.402764000000001</v>
      </c>
      <c r="I199" s="12">
        <v>27.742217</v>
      </c>
      <c r="J199" s="12">
        <v>102.092946</v>
      </c>
      <c r="K199" s="12">
        <v>0.31</v>
      </c>
      <c r="L199" s="12">
        <v>7.0000000000000007E-2</v>
      </c>
      <c r="M199" s="12">
        <v>1.01</v>
      </c>
    </row>
    <row r="200" spans="2:13" ht="18.75" x14ac:dyDescent="0.25">
      <c r="B200" s="7" t="s">
        <v>15</v>
      </c>
      <c r="C200" s="7" t="s">
        <v>343</v>
      </c>
      <c r="D200" s="12">
        <v>0.28108300000000003</v>
      </c>
      <c r="E200" s="7"/>
      <c r="F200" s="7"/>
      <c r="G200" s="7"/>
      <c r="H200" s="12">
        <v>1.2754460000000001</v>
      </c>
      <c r="I200" s="12">
        <v>1.9759679999999999</v>
      </c>
      <c r="J200" s="12">
        <v>3.1482619999999999</v>
      </c>
      <c r="K200" s="12">
        <v>82.94</v>
      </c>
      <c r="L200" s="12">
        <v>16.78</v>
      </c>
      <c r="M200" s="12">
        <v>133.01</v>
      </c>
    </row>
    <row r="201" spans="2:13" ht="18.75" x14ac:dyDescent="0.25">
      <c r="B201" s="7" t="s">
        <v>15</v>
      </c>
      <c r="C201" s="7" t="s">
        <v>434</v>
      </c>
      <c r="D201" s="12">
        <v>1.3964000000000001</v>
      </c>
      <c r="E201" s="7"/>
      <c r="F201" s="7"/>
      <c r="G201" s="7"/>
      <c r="H201" s="12">
        <v>4.2980090000000004</v>
      </c>
      <c r="I201" s="12">
        <v>4.1549209999999999</v>
      </c>
      <c r="J201" s="12">
        <v>9.3981600000000007</v>
      </c>
      <c r="K201" s="12">
        <v>108.44</v>
      </c>
      <c r="L201" s="12">
        <v>98.14</v>
      </c>
      <c r="M201" s="12">
        <v>507.07</v>
      </c>
    </row>
    <row r="202" spans="2:13" ht="18.75" x14ac:dyDescent="0.25">
      <c r="B202" s="7" t="s">
        <v>15</v>
      </c>
      <c r="C202" s="7" t="s">
        <v>177</v>
      </c>
      <c r="D202" s="12">
        <v>1.305339</v>
      </c>
      <c r="E202" s="7"/>
      <c r="F202" s="7"/>
      <c r="G202" s="7"/>
      <c r="H202" s="12">
        <v>19.186001000000001</v>
      </c>
      <c r="I202" s="12">
        <v>28.580406</v>
      </c>
      <c r="J202" s="12">
        <v>32.543132</v>
      </c>
      <c r="K202" s="12">
        <v>16.190000000000001</v>
      </c>
      <c r="L202" s="12">
        <v>8.8000000000000007</v>
      </c>
      <c r="M202" s="12">
        <v>144.13</v>
      </c>
    </row>
    <row r="203" spans="2:13" ht="18.75" x14ac:dyDescent="0.25">
      <c r="B203" s="7" t="s">
        <v>15</v>
      </c>
      <c r="C203" s="7" t="s">
        <v>389</v>
      </c>
      <c r="D203" s="12">
        <v>15.500959999999999</v>
      </c>
      <c r="E203" s="7"/>
      <c r="F203" s="7"/>
      <c r="G203" s="7"/>
      <c r="H203" s="12">
        <v>113.51745200000001</v>
      </c>
      <c r="I203" s="12">
        <v>136.41871900000001</v>
      </c>
      <c r="J203" s="12">
        <v>275.80606499999999</v>
      </c>
      <c r="K203" s="12">
        <v>1464.54</v>
      </c>
      <c r="L203" s="12">
        <v>1325.46</v>
      </c>
      <c r="M203" s="12">
        <v>6848.03</v>
      </c>
    </row>
    <row r="204" spans="2:13" ht="18.75" x14ac:dyDescent="0.25">
      <c r="B204" s="7" t="s">
        <v>15</v>
      </c>
      <c r="C204" s="7" t="s">
        <v>400</v>
      </c>
      <c r="D204" s="12">
        <v>0.92661000000000004</v>
      </c>
      <c r="E204" s="7"/>
      <c r="F204" s="7"/>
      <c r="G204" s="7"/>
      <c r="H204" s="12">
        <v>2.3485119999999999</v>
      </c>
      <c r="I204" s="12">
        <v>5.3480410000000003</v>
      </c>
      <c r="J204" s="12">
        <v>12.360538999999999</v>
      </c>
      <c r="K204" s="12">
        <v>43.8</v>
      </c>
      <c r="L204" s="12">
        <v>23.81</v>
      </c>
      <c r="M204" s="12">
        <v>389.97</v>
      </c>
    </row>
    <row r="205" spans="2:13" ht="18.75" x14ac:dyDescent="0.25">
      <c r="B205" s="7" t="s">
        <v>15</v>
      </c>
      <c r="C205" s="7" t="s">
        <v>401</v>
      </c>
      <c r="D205" s="12">
        <v>11.447438999999999</v>
      </c>
      <c r="E205" s="7"/>
      <c r="F205" s="7"/>
      <c r="G205" s="7"/>
      <c r="H205" s="12">
        <v>76.341796000000002</v>
      </c>
      <c r="I205" s="12">
        <v>144.829455</v>
      </c>
      <c r="J205" s="12">
        <v>569.91199700000004</v>
      </c>
      <c r="K205" s="12">
        <v>1790.59</v>
      </c>
      <c r="L205" s="12">
        <v>1217.43</v>
      </c>
      <c r="M205" s="12">
        <v>21821.38</v>
      </c>
    </row>
    <row r="206" spans="2:13" ht="18.75" x14ac:dyDescent="0.25">
      <c r="B206" s="7" t="s">
        <v>15</v>
      </c>
      <c r="C206" s="7" t="s">
        <v>402</v>
      </c>
      <c r="D206" s="12">
        <v>1.3357699999999999</v>
      </c>
      <c r="E206" s="7"/>
      <c r="F206" s="7"/>
      <c r="G206" s="7"/>
      <c r="H206" s="12">
        <v>12.393497999999999</v>
      </c>
      <c r="I206" s="12">
        <v>19.060943999999999</v>
      </c>
      <c r="J206" s="12">
        <v>15.432861000000001</v>
      </c>
      <c r="K206" s="12">
        <v>32.450000000000003</v>
      </c>
      <c r="L206" s="12">
        <v>22.06</v>
      </c>
      <c r="M206" s="12">
        <v>395.48</v>
      </c>
    </row>
    <row r="207" spans="2:13" ht="18.75" x14ac:dyDescent="0.25">
      <c r="B207" s="7" t="s">
        <v>15</v>
      </c>
      <c r="C207" s="7" t="s">
        <v>393</v>
      </c>
      <c r="D207" s="12">
        <v>11.438152000000001</v>
      </c>
      <c r="E207" s="7"/>
      <c r="F207" s="7"/>
      <c r="G207" s="7"/>
      <c r="H207" s="12">
        <v>176.15792200000001</v>
      </c>
      <c r="I207" s="12">
        <v>237.60392999999999</v>
      </c>
      <c r="J207" s="12">
        <v>342.25353899999999</v>
      </c>
      <c r="K207" s="12">
        <v>255.28</v>
      </c>
      <c r="L207" s="12">
        <v>472.08</v>
      </c>
      <c r="M207" s="12">
        <v>3262.22</v>
      </c>
    </row>
    <row r="208" spans="2:13" ht="18.75" x14ac:dyDescent="0.25">
      <c r="B208" s="7" t="s">
        <v>15</v>
      </c>
      <c r="C208" s="7" t="s">
        <v>394</v>
      </c>
      <c r="D208" s="12">
        <v>2.9026689999999999</v>
      </c>
      <c r="E208" s="7"/>
      <c r="F208" s="7"/>
      <c r="G208" s="7"/>
      <c r="H208" s="12">
        <v>25.214653999999999</v>
      </c>
      <c r="I208" s="12">
        <v>34.312907000000003</v>
      </c>
      <c r="J208" s="12">
        <v>91.534582999999998</v>
      </c>
      <c r="K208" s="12">
        <v>1166.1199999999999</v>
      </c>
      <c r="L208" s="12">
        <v>235.99</v>
      </c>
      <c r="M208" s="12">
        <v>1870.12</v>
      </c>
    </row>
    <row r="209" spans="2:13" ht="18.75" x14ac:dyDescent="0.25">
      <c r="B209" s="7" t="s">
        <v>15</v>
      </c>
      <c r="C209" s="7" t="s">
        <v>373</v>
      </c>
      <c r="D209" s="12">
        <v>0.46091199999999999</v>
      </c>
      <c r="E209" s="7"/>
      <c r="F209" s="7"/>
      <c r="G209" s="7"/>
      <c r="H209" s="12">
        <v>5.5159710000000004</v>
      </c>
      <c r="I209" s="12">
        <v>3.446094</v>
      </c>
      <c r="J209" s="12">
        <v>8.6879369999999998</v>
      </c>
      <c r="K209" s="12">
        <v>14.34</v>
      </c>
      <c r="L209" s="12">
        <v>7.8</v>
      </c>
      <c r="M209" s="12">
        <v>127.69</v>
      </c>
    </row>
    <row r="210" spans="2:13" ht="18.75" x14ac:dyDescent="0.25">
      <c r="B210" s="7" t="s">
        <v>15</v>
      </c>
      <c r="C210" s="7" t="s">
        <v>186</v>
      </c>
      <c r="D210" s="12">
        <v>78.937876000000003</v>
      </c>
      <c r="E210" s="7"/>
      <c r="F210" s="7"/>
      <c r="G210" s="7"/>
      <c r="H210" s="12">
        <v>322.709363</v>
      </c>
      <c r="I210" s="12">
        <v>506.94818400000003</v>
      </c>
      <c r="J210" s="12">
        <v>1282.8353979999999</v>
      </c>
      <c r="K210" s="12">
        <v>33432.699999999997</v>
      </c>
      <c r="L210" s="12">
        <v>6765.84</v>
      </c>
      <c r="M210" s="12">
        <v>53616.44</v>
      </c>
    </row>
    <row r="211" spans="2:13" ht="18.75" x14ac:dyDescent="0.25">
      <c r="B211" s="7" t="s">
        <v>15</v>
      </c>
      <c r="C211" s="7" t="s">
        <v>374</v>
      </c>
      <c r="D211" s="12">
        <v>9.4179739999999992</v>
      </c>
      <c r="E211" s="7"/>
      <c r="F211" s="7"/>
      <c r="G211" s="7"/>
      <c r="H211" s="12">
        <v>79.965857999999997</v>
      </c>
      <c r="I211" s="12">
        <v>102.424649</v>
      </c>
      <c r="J211" s="12">
        <v>365.32006000000001</v>
      </c>
      <c r="K211" s="12">
        <v>875.18</v>
      </c>
      <c r="L211" s="12">
        <v>475.76</v>
      </c>
      <c r="M211" s="12">
        <v>7792.63</v>
      </c>
    </row>
    <row r="212" spans="2:13" ht="18.75" x14ac:dyDescent="0.25">
      <c r="B212" s="7" t="s">
        <v>15</v>
      </c>
      <c r="C212" s="7" t="s">
        <v>375</v>
      </c>
      <c r="D212" s="12">
        <v>1.2456430000000001</v>
      </c>
      <c r="E212" s="7"/>
      <c r="F212" s="7"/>
      <c r="G212" s="7"/>
      <c r="H212" s="12">
        <v>10.091634000000001</v>
      </c>
      <c r="I212" s="12">
        <v>28.694721999999999</v>
      </c>
      <c r="J212" s="12">
        <v>65.345714999999998</v>
      </c>
      <c r="K212" s="12">
        <v>107.95</v>
      </c>
      <c r="L212" s="12">
        <v>73.39</v>
      </c>
      <c r="M212" s="12">
        <v>1315.51</v>
      </c>
    </row>
    <row r="213" spans="2:13" ht="18.75" x14ac:dyDescent="0.25">
      <c r="B213" s="7" t="s">
        <v>15</v>
      </c>
      <c r="C213" s="7" t="s">
        <v>458</v>
      </c>
      <c r="D213" s="12">
        <v>1.7193700000000001</v>
      </c>
      <c r="E213" s="7"/>
      <c r="F213" s="7"/>
      <c r="G213" s="7"/>
      <c r="H213" s="12">
        <v>13.607112000000001</v>
      </c>
      <c r="I213" s="12">
        <v>71.755570000000006</v>
      </c>
      <c r="J213" s="12">
        <v>115.19627699999999</v>
      </c>
      <c r="K213" s="12">
        <v>502.8</v>
      </c>
      <c r="L213" s="12">
        <v>101.75</v>
      </c>
      <c r="M213" s="12">
        <v>806.35</v>
      </c>
    </row>
    <row r="214" spans="2:13" ht="18.75" x14ac:dyDescent="0.25">
      <c r="B214" s="7" t="s">
        <v>15</v>
      </c>
      <c r="C214" s="7" t="s">
        <v>457</v>
      </c>
      <c r="D214" s="12">
        <v>3.37906</v>
      </c>
      <c r="E214" s="7"/>
      <c r="F214" s="7"/>
      <c r="G214" s="7"/>
      <c r="H214" s="12">
        <v>22.829034</v>
      </c>
      <c r="I214" s="12">
        <v>33.933262999999997</v>
      </c>
      <c r="J214" s="12">
        <v>165.64986300000001</v>
      </c>
      <c r="K214" s="12">
        <v>1934.06</v>
      </c>
      <c r="L214" s="12">
        <v>457.64</v>
      </c>
      <c r="M214" s="12">
        <v>6292.91</v>
      </c>
    </row>
    <row r="215" spans="2:13" ht="18.75" x14ac:dyDescent="0.25">
      <c r="B215" s="7" t="s">
        <v>15</v>
      </c>
      <c r="C215" s="7" t="s">
        <v>456</v>
      </c>
      <c r="D215" s="12">
        <v>1.9755320000000001</v>
      </c>
      <c r="E215" s="7"/>
      <c r="F215" s="7"/>
      <c r="G215" s="7"/>
      <c r="H215" s="12">
        <v>12.545885999999999</v>
      </c>
      <c r="I215" s="12">
        <v>81.910155000000003</v>
      </c>
      <c r="J215" s="12">
        <v>124.710689</v>
      </c>
      <c r="K215" s="12">
        <v>715.53</v>
      </c>
      <c r="L215" s="12">
        <v>144.80000000000001</v>
      </c>
      <c r="M215" s="12">
        <v>1147.51</v>
      </c>
    </row>
    <row r="216" spans="2:13" ht="18.75" x14ac:dyDescent="0.25">
      <c r="B216" s="7" t="s">
        <v>15</v>
      </c>
      <c r="C216" s="7" t="s">
        <v>151</v>
      </c>
      <c r="D216" s="12">
        <v>34.193002</v>
      </c>
      <c r="E216" s="7"/>
      <c r="F216" s="7"/>
      <c r="G216" s="7"/>
      <c r="H216" s="12">
        <v>296.72494499999999</v>
      </c>
      <c r="I216" s="12">
        <v>489.97126800000001</v>
      </c>
      <c r="J216" s="12">
        <v>1284.9824739999999</v>
      </c>
      <c r="K216" s="12">
        <v>3399.03</v>
      </c>
      <c r="L216" s="12">
        <v>2311.0300000000002</v>
      </c>
      <c r="M216" s="12">
        <v>41423.040000000001</v>
      </c>
    </row>
    <row r="217" spans="2:13" ht="18.75" x14ac:dyDescent="0.25">
      <c r="B217" s="7" t="s">
        <v>15</v>
      </c>
      <c r="C217" s="7" t="s">
        <v>344</v>
      </c>
      <c r="D217" s="12">
        <v>37.921106000000002</v>
      </c>
      <c r="E217" s="7"/>
      <c r="F217" s="7"/>
      <c r="G217" s="7"/>
      <c r="H217" s="12">
        <v>266.906565</v>
      </c>
      <c r="I217" s="12">
        <v>352.82559300000003</v>
      </c>
      <c r="J217" s="12">
        <v>1095.679136</v>
      </c>
      <c r="K217" s="12">
        <v>3394.19</v>
      </c>
      <c r="L217" s="12">
        <v>2307.7399999999998</v>
      </c>
      <c r="M217" s="12">
        <v>41364</v>
      </c>
    </row>
    <row r="218" spans="2:13" ht="18.75" x14ac:dyDescent="0.25">
      <c r="B218" s="7" t="s">
        <v>15</v>
      </c>
      <c r="C218" s="7" t="s">
        <v>346</v>
      </c>
      <c r="D218" s="12">
        <v>3.9999999999999998E-6</v>
      </c>
      <c r="E218" s="7"/>
      <c r="F218" s="7"/>
      <c r="G218" s="7"/>
      <c r="H218" s="12">
        <v>0.13961999999999999</v>
      </c>
      <c r="I218" s="12">
        <v>2.080368</v>
      </c>
      <c r="J218" s="12">
        <v>0.91173499999999996</v>
      </c>
      <c r="K218" s="12">
        <v>0</v>
      </c>
      <c r="L218" s="12">
        <v>0</v>
      </c>
      <c r="M218" s="12">
        <v>0</v>
      </c>
    </row>
    <row r="219" spans="2:13" ht="18.75" x14ac:dyDescent="0.25">
      <c r="B219" s="7" t="s">
        <v>15</v>
      </c>
      <c r="C219" s="7" t="s">
        <v>345</v>
      </c>
      <c r="D219" s="12">
        <v>7.9571259999999997</v>
      </c>
      <c r="E219" s="7"/>
      <c r="F219" s="7"/>
      <c r="G219" s="7"/>
      <c r="H219" s="12">
        <v>90.617729999999995</v>
      </c>
      <c r="I219" s="12">
        <v>90.324753000000001</v>
      </c>
      <c r="J219" s="12">
        <v>178.609454</v>
      </c>
      <c r="K219" s="12">
        <v>195.17</v>
      </c>
      <c r="L219" s="12">
        <v>360.92</v>
      </c>
      <c r="M219" s="12">
        <v>2494.12</v>
      </c>
    </row>
    <row r="220" spans="2:13" ht="18.75" x14ac:dyDescent="0.25">
      <c r="B220" s="7" t="s">
        <v>15</v>
      </c>
      <c r="C220" s="7" t="s">
        <v>139</v>
      </c>
      <c r="D220" s="12">
        <v>14.998537000000001</v>
      </c>
      <c r="E220" s="7"/>
      <c r="F220" s="7"/>
      <c r="G220" s="7"/>
      <c r="H220" s="12">
        <v>110.240452</v>
      </c>
      <c r="I220" s="12">
        <v>153.76146600000001</v>
      </c>
      <c r="J220" s="12">
        <v>340.58490399999999</v>
      </c>
      <c r="K220" s="12">
        <v>1387.94</v>
      </c>
      <c r="L220" s="12">
        <v>1256.1400000000001</v>
      </c>
      <c r="M220" s="12">
        <v>6489.88</v>
      </c>
    </row>
    <row r="221" spans="2:13" ht="18.75" x14ac:dyDescent="0.25">
      <c r="B221" s="7" t="s">
        <v>15</v>
      </c>
      <c r="C221" s="7" t="s">
        <v>410</v>
      </c>
      <c r="D221" s="12">
        <v>0.53196100000000002</v>
      </c>
      <c r="E221" s="7"/>
      <c r="F221" s="7"/>
      <c r="G221" s="7"/>
      <c r="H221" s="12">
        <v>4.883</v>
      </c>
      <c r="I221" s="12">
        <v>8.4340080000000004</v>
      </c>
      <c r="J221" s="12">
        <v>8.9508790000000005</v>
      </c>
      <c r="K221" s="12">
        <v>8.83</v>
      </c>
      <c r="L221" s="12">
        <v>4.0599999999999996</v>
      </c>
      <c r="M221" s="12">
        <v>119.29</v>
      </c>
    </row>
    <row r="222" spans="2:13" ht="18.75" x14ac:dyDescent="0.25">
      <c r="B222" s="7" t="s">
        <v>15</v>
      </c>
      <c r="C222" s="7" t="s">
        <v>189</v>
      </c>
      <c r="D222" s="12">
        <v>1.788961</v>
      </c>
      <c r="E222" s="7"/>
      <c r="F222" s="7"/>
      <c r="G222" s="7"/>
      <c r="H222" s="12">
        <v>23.485886000000001</v>
      </c>
      <c r="I222" s="12">
        <v>40.064628999999996</v>
      </c>
      <c r="J222" s="12">
        <v>106.518866</v>
      </c>
      <c r="K222" s="12">
        <v>100.18</v>
      </c>
      <c r="L222" s="12">
        <v>54.46</v>
      </c>
      <c r="M222" s="12">
        <v>892.02</v>
      </c>
    </row>
    <row r="223" spans="2:13" ht="18.75" x14ac:dyDescent="0.25">
      <c r="B223" s="7" t="s">
        <v>15</v>
      </c>
      <c r="C223" s="7" t="s">
        <v>412</v>
      </c>
      <c r="D223" s="12">
        <v>0.36645299999999997</v>
      </c>
      <c r="E223" s="7"/>
      <c r="F223" s="7"/>
      <c r="G223" s="7"/>
      <c r="H223" s="12">
        <v>1.647502</v>
      </c>
      <c r="I223" s="12">
        <v>8.0668140000000008</v>
      </c>
      <c r="J223" s="12">
        <v>10.833128</v>
      </c>
      <c r="K223" s="12">
        <v>11.1</v>
      </c>
      <c r="L223" s="12">
        <v>6.03</v>
      </c>
      <c r="M223" s="12">
        <v>98.84</v>
      </c>
    </row>
    <row r="224" spans="2:13" ht="18.75" x14ac:dyDescent="0.25">
      <c r="B224" s="7" t="s">
        <v>15</v>
      </c>
      <c r="C224" s="7" t="s">
        <v>411</v>
      </c>
      <c r="D224" s="12">
        <v>4.7994950000000003</v>
      </c>
      <c r="E224" s="7"/>
      <c r="F224" s="7"/>
      <c r="G224" s="7"/>
      <c r="H224" s="12">
        <v>31.315352000000001</v>
      </c>
      <c r="I224" s="12">
        <v>48.038913999999998</v>
      </c>
      <c r="J224" s="12">
        <v>72.274974999999998</v>
      </c>
      <c r="K224" s="12">
        <v>377.84</v>
      </c>
      <c r="L224" s="12">
        <v>341.96</v>
      </c>
      <c r="M224" s="12">
        <v>1766.74</v>
      </c>
    </row>
    <row r="225" spans="2:13" ht="18.75" x14ac:dyDescent="0.25">
      <c r="B225" s="7" t="s">
        <v>15</v>
      </c>
      <c r="C225" s="7" t="s">
        <v>396</v>
      </c>
      <c r="D225" s="12">
        <v>1.4864059999999999</v>
      </c>
      <c r="E225" s="7"/>
      <c r="F225" s="7"/>
      <c r="G225" s="7"/>
      <c r="H225" s="12">
        <v>28.416212999999999</v>
      </c>
      <c r="I225" s="12">
        <v>37.967258000000001</v>
      </c>
      <c r="J225" s="12">
        <v>39.573860000000003</v>
      </c>
      <c r="K225" s="12">
        <v>413.54</v>
      </c>
      <c r="L225" s="12">
        <v>83.69</v>
      </c>
      <c r="M225" s="12">
        <v>663.2</v>
      </c>
    </row>
    <row r="226" spans="2:13" ht="18.75" x14ac:dyDescent="0.25">
      <c r="B226" s="7" t="s">
        <v>15</v>
      </c>
      <c r="C226" s="7" t="s">
        <v>349</v>
      </c>
      <c r="D226" s="12">
        <v>0.57120199999999999</v>
      </c>
      <c r="E226" s="7"/>
      <c r="F226" s="7"/>
      <c r="G226" s="7"/>
      <c r="H226" s="12">
        <v>1.3048010000000001</v>
      </c>
      <c r="I226" s="12">
        <v>2.4168050000000001</v>
      </c>
      <c r="J226" s="12">
        <v>4.6120400000000004</v>
      </c>
      <c r="K226" s="12">
        <v>22.18</v>
      </c>
      <c r="L226" s="12">
        <v>12.06</v>
      </c>
      <c r="M226" s="12">
        <v>197.53</v>
      </c>
    </row>
    <row r="227" spans="2:13" ht="18.75" x14ac:dyDescent="0.25">
      <c r="B227" s="7" t="s">
        <v>15</v>
      </c>
      <c r="C227" s="7" t="s">
        <v>350</v>
      </c>
      <c r="D227" s="12">
        <v>0.81008999999999998</v>
      </c>
      <c r="E227" s="7"/>
      <c r="F227" s="7"/>
      <c r="G227" s="7"/>
      <c r="H227" s="12">
        <v>5.108568</v>
      </c>
      <c r="I227" s="12">
        <v>13.664793</v>
      </c>
      <c r="J227" s="12">
        <v>36.510711000000001</v>
      </c>
      <c r="K227" s="12">
        <v>49.13</v>
      </c>
      <c r="L227" s="12">
        <v>33.409999999999997</v>
      </c>
      <c r="M227" s="12">
        <v>598.79</v>
      </c>
    </row>
    <row r="228" spans="2:13" ht="18.75" x14ac:dyDescent="0.25">
      <c r="B228" s="7" t="s">
        <v>15</v>
      </c>
      <c r="C228" s="7" t="s">
        <v>413</v>
      </c>
      <c r="D228" s="12">
        <v>4.8253529999999998</v>
      </c>
      <c r="E228" s="7"/>
      <c r="F228" s="7"/>
      <c r="G228" s="7"/>
      <c r="H228" s="12">
        <v>24.963654999999999</v>
      </c>
      <c r="I228" s="12">
        <v>75.179670000000002</v>
      </c>
      <c r="J228" s="12">
        <v>154.76409100000001</v>
      </c>
      <c r="K228" s="12">
        <v>218.84</v>
      </c>
      <c r="L228" s="12">
        <v>404.68</v>
      </c>
      <c r="M228" s="12">
        <v>2796.52</v>
      </c>
    </row>
    <row r="229" spans="2:13" ht="18.75" x14ac:dyDescent="0.25">
      <c r="B229" s="7" t="s">
        <v>15</v>
      </c>
      <c r="C229" s="7" t="s">
        <v>450</v>
      </c>
      <c r="D229" s="12">
        <v>7.9440340000000003</v>
      </c>
      <c r="E229" s="7"/>
      <c r="F229" s="7"/>
      <c r="G229" s="7"/>
      <c r="H229" s="12">
        <v>48.822633000000003</v>
      </c>
      <c r="I229" s="12">
        <v>123.24708200000001</v>
      </c>
      <c r="J229" s="12">
        <v>172.881991</v>
      </c>
      <c r="K229" s="12">
        <v>171.54</v>
      </c>
      <c r="L229" s="12">
        <v>317.22000000000003</v>
      </c>
      <c r="M229" s="12">
        <v>2192.12</v>
      </c>
    </row>
    <row r="230" spans="2:13" ht="18.75" x14ac:dyDescent="0.25">
      <c r="B230" s="7" t="s">
        <v>15</v>
      </c>
      <c r="C230" s="7" t="s">
        <v>378</v>
      </c>
      <c r="D230" s="12">
        <v>16.100201999999999</v>
      </c>
      <c r="E230" s="7"/>
      <c r="F230" s="7"/>
      <c r="G230" s="7"/>
      <c r="H230" s="12">
        <v>76.001821000000007</v>
      </c>
      <c r="I230" s="12">
        <v>230.15520900000001</v>
      </c>
      <c r="J230" s="12">
        <v>259.16814499999998</v>
      </c>
      <c r="K230" s="12">
        <v>486.81</v>
      </c>
      <c r="L230" s="12">
        <v>900.24</v>
      </c>
      <c r="M230" s="12">
        <v>6220.97</v>
      </c>
    </row>
    <row r="231" spans="2:13" ht="18.75" x14ac:dyDescent="0.25">
      <c r="B231" s="7" t="s">
        <v>15</v>
      </c>
      <c r="C231" s="7" t="s">
        <v>379</v>
      </c>
      <c r="D231" s="12">
        <v>2.026818</v>
      </c>
      <c r="E231" s="7"/>
      <c r="F231" s="7"/>
      <c r="G231" s="7"/>
      <c r="H231" s="12">
        <v>17.162109000000001</v>
      </c>
      <c r="I231" s="12">
        <v>136.419377</v>
      </c>
      <c r="J231" s="12">
        <v>52.211686999999998</v>
      </c>
      <c r="K231" s="12">
        <v>559.65</v>
      </c>
      <c r="L231" s="12">
        <v>113.26</v>
      </c>
      <c r="M231" s="12">
        <v>897.52</v>
      </c>
    </row>
    <row r="232" spans="2:13" ht="18.75" x14ac:dyDescent="0.25">
      <c r="B232" s="7" t="s">
        <v>15</v>
      </c>
      <c r="C232" s="7" t="s">
        <v>380</v>
      </c>
      <c r="D232" s="12">
        <v>98.992780999999994</v>
      </c>
      <c r="E232" s="7"/>
      <c r="F232" s="7"/>
      <c r="G232" s="7"/>
      <c r="H232" s="12">
        <v>648.25192700000002</v>
      </c>
      <c r="I232" s="12">
        <v>1494.12391</v>
      </c>
      <c r="J232" s="12">
        <v>1158.231974</v>
      </c>
      <c r="K232" s="12">
        <v>3142.69</v>
      </c>
      <c r="L232" s="12">
        <v>2136.7399999999998</v>
      </c>
      <c r="M232" s="12">
        <v>38299.1</v>
      </c>
    </row>
    <row r="233" spans="2:13" ht="18.75" x14ac:dyDescent="0.25">
      <c r="B233" s="7" t="s">
        <v>15</v>
      </c>
      <c r="C233" s="7" t="s">
        <v>417</v>
      </c>
      <c r="D233" s="12">
        <v>4.1794999999999999E-2</v>
      </c>
      <c r="E233" s="7"/>
      <c r="F233" s="7"/>
      <c r="G233" s="7"/>
      <c r="H233" s="12">
        <v>4.1011930000000003</v>
      </c>
      <c r="I233" s="12">
        <v>28.46424</v>
      </c>
      <c r="J233" s="12">
        <v>64.486346999999995</v>
      </c>
      <c r="K233" s="12">
        <v>23.06</v>
      </c>
      <c r="L233" s="12">
        <v>4.67</v>
      </c>
      <c r="M233" s="12">
        <v>36.979999999999997</v>
      </c>
    </row>
    <row r="234" spans="2:13" ht="18.75" x14ac:dyDescent="0.25">
      <c r="B234" s="7" t="s">
        <v>15</v>
      </c>
      <c r="C234" s="7" t="s">
        <v>418</v>
      </c>
      <c r="D234" s="12">
        <v>1.7209159999999999</v>
      </c>
      <c r="E234" s="7"/>
      <c r="F234" s="7"/>
      <c r="G234" s="7"/>
      <c r="H234" s="12">
        <v>11.912474</v>
      </c>
      <c r="I234" s="12">
        <v>24.410727999999999</v>
      </c>
      <c r="J234" s="12">
        <v>85.636950999999996</v>
      </c>
      <c r="K234" s="12">
        <v>214.52</v>
      </c>
      <c r="L234" s="12">
        <v>145.85</v>
      </c>
      <c r="M234" s="12">
        <v>2614.2800000000002</v>
      </c>
    </row>
    <row r="235" spans="2:13" ht="18.75" x14ac:dyDescent="0.25">
      <c r="B235" s="7" t="s">
        <v>15</v>
      </c>
      <c r="C235" s="7" t="s">
        <v>451</v>
      </c>
      <c r="D235" s="12">
        <v>3.2070370000000001</v>
      </c>
      <c r="E235" s="7"/>
      <c r="F235" s="7"/>
      <c r="G235" s="7"/>
      <c r="H235" s="12">
        <v>9.8404550000000004</v>
      </c>
      <c r="I235" s="12">
        <v>24.682655</v>
      </c>
      <c r="J235" s="12">
        <v>70.498541000000003</v>
      </c>
      <c r="K235" s="12">
        <v>309.08999999999997</v>
      </c>
      <c r="L235" s="12">
        <v>210.15</v>
      </c>
      <c r="M235" s="12">
        <v>3766.82</v>
      </c>
    </row>
    <row r="236" spans="2:13" ht="18.75" x14ac:dyDescent="0.25">
      <c r="B236" s="7" t="s">
        <v>15</v>
      </c>
      <c r="C236" s="7" t="s">
        <v>383</v>
      </c>
      <c r="D236" s="12">
        <v>2.6280000000000001E-3</v>
      </c>
      <c r="E236" s="7"/>
      <c r="F236" s="7"/>
      <c r="G236" s="7"/>
      <c r="H236" s="12">
        <v>0.56613899999999995</v>
      </c>
      <c r="I236" s="12">
        <v>0.99285599999999996</v>
      </c>
      <c r="J236" s="12">
        <v>1.7553639999999999</v>
      </c>
      <c r="K236" s="12">
        <v>0.19</v>
      </c>
      <c r="L236" s="12">
        <v>7.0000000000000007E-2</v>
      </c>
      <c r="M236" s="12">
        <v>0.65</v>
      </c>
    </row>
    <row r="237" spans="2:13" ht="18.75" x14ac:dyDescent="0.25">
      <c r="B237" s="7" t="s">
        <v>15</v>
      </c>
      <c r="C237" s="7" t="s">
        <v>452</v>
      </c>
      <c r="D237" s="12">
        <v>20.70532</v>
      </c>
      <c r="E237" s="7"/>
      <c r="F237" s="7"/>
      <c r="G237" s="7"/>
      <c r="H237" s="12">
        <v>147.71061</v>
      </c>
      <c r="I237" s="12">
        <v>341.37152600000002</v>
      </c>
      <c r="J237" s="12">
        <v>571.20945600000005</v>
      </c>
      <c r="K237" s="12">
        <v>4809.99</v>
      </c>
      <c r="L237" s="12">
        <v>1138.1500000000001</v>
      </c>
      <c r="M237" s="12">
        <v>15650.4</v>
      </c>
    </row>
    <row r="238" spans="2:13" ht="18.75" x14ac:dyDescent="0.25">
      <c r="B238" s="7" t="s">
        <v>15</v>
      </c>
      <c r="C238" s="7" t="s">
        <v>119</v>
      </c>
      <c r="D238" s="12">
        <v>55.785288000000001</v>
      </c>
      <c r="E238" s="7"/>
      <c r="F238" s="7"/>
      <c r="G238" s="7"/>
      <c r="H238" s="12">
        <v>466.88752399999998</v>
      </c>
      <c r="I238" s="12">
        <v>459.185361</v>
      </c>
      <c r="J238" s="12">
        <v>689.54971599999999</v>
      </c>
      <c r="K238" s="12">
        <v>2572.34</v>
      </c>
      <c r="L238" s="12">
        <v>2328.06</v>
      </c>
      <c r="M238" s="12">
        <v>12028</v>
      </c>
    </row>
    <row r="239" spans="2:13" ht="18.75" x14ac:dyDescent="0.25">
      <c r="B239" s="7" t="s">
        <v>15</v>
      </c>
      <c r="C239" s="7" t="s">
        <v>388</v>
      </c>
      <c r="D239" s="12">
        <v>0.45163300000000001</v>
      </c>
      <c r="E239" s="7"/>
      <c r="F239" s="7"/>
      <c r="G239" s="7"/>
      <c r="H239" s="12">
        <v>672.32558500000005</v>
      </c>
      <c r="I239" s="12">
        <v>3051.4958919999999</v>
      </c>
      <c r="J239" s="12">
        <v>12035.905694999999</v>
      </c>
      <c r="K239" s="12">
        <v>249.3</v>
      </c>
      <c r="L239" s="12">
        <v>50.45</v>
      </c>
      <c r="M239" s="12">
        <v>399.8</v>
      </c>
    </row>
    <row r="240" spans="2:13" ht="18.75" x14ac:dyDescent="0.25">
      <c r="B240" s="7" t="s">
        <v>15</v>
      </c>
      <c r="C240" s="7" t="s">
        <v>441</v>
      </c>
      <c r="D240" s="12">
        <v>1.1832480000000001</v>
      </c>
      <c r="E240" s="7"/>
      <c r="F240" s="7"/>
      <c r="G240" s="7"/>
      <c r="H240" s="12">
        <v>3.4110330000000002</v>
      </c>
      <c r="I240" s="12">
        <v>6.4363900000000003</v>
      </c>
      <c r="J240" s="12">
        <v>21.598393999999999</v>
      </c>
      <c r="K240" s="12">
        <v>25.32</v>
      </c>
      <c r="L240" s="12">
        <v>11.64</v>
      </c>
      <c r="M240" s="12">
        <v>341.95</v>
      </c>
    </row>
    <row r="241" spans="2:13" ht="18.75" x14ac:dyDescent="0.25">
      <c r="B241" s="7" t="s">
        <v>15</v>
      </c>
      <c r="C241" s="7" t="s">
        <v>442</v>
      </c>
      <c r="D241" s="12">
        <v>28.276519</v>
      </c>
      <c r="E241" s="7"/>
      <c r="F241" s="7"/>
      <c r="G241" s="7"/>
      <c r="H241" s="12">
        <v>181.44809100000001</v>
      </c>
      <c r="I241" s="12">
        <v>261.59281800000002</v>
      </c>
      <c r="J241" s="12">
        <v>654.19629599999996</v>
      </c>
      <c r="K241" s="12">
        <v>7942.76</v>
      </c>
      <c r="L241" s="12">
        <v>1879.43</v>
      </c>
      <c r="M241" s="12">
        <v>25843.56</v>
      </c>
    </row>
    <row r="242" spans="2:13" ht="18.75" x14ac:dyDescent="0.25">
      <c r="B242" s="7" t="s">
        <v>15</v>
      </c>
      <c r="C242" s="7" t="s">
        <v>103</v>
      </c>
      <c r="D242" s="12">
        <v>1.095529</v>
      </c>
      <c r="E242" s="7"/>
      <c r="F242" s="7"/>
      <c r="G242" s="7"/>
      <c r="H242" s="12">
        <v>6.5332189999999999</v>
      </c>
      <c r="I242" s="12">
        <v>157.40252699999999</v>
      </c>
      <c r="J242" s="12">
        <v>77.336884999999995</v>
      </c>
      <c r="K242" s="12">
        <v>619.01</v>
      </c>
      <c r="L242" s="12">
        <v>125.27</v>
      </c>
      <c r="M242" s="12">
        <v>992.71</v>
      </c>
    </row>
    <row r="243" spans="2:13" ht="18.75" x14ac:dyDescent="0.25">
      <c r="B243" s="7" t="s">
        <v>15</v>
      </c>
      <c r="C243" s="7" t="s">
        <v>444</v>
      </c>
      <c r="D243" s="12">
        <v>4.9590820000000004</v>
      </c>
      <c r="E243" s="7"/>
      <c r="F243" s="7"/>
      <c r="G243" s="7"/>
      <c r="H243" s="12">
        <v>58.844923999999999</v>
      </c>
      <c r="I243" s="12">
        <v>109.763706</v>
      </c>
      <c r="J243" s="12">
        <v>302.10893800000002</v>
      </c>
      <c r="K243" s="12">
        <v>446.36</v>
      </c>
      <c r="L243" s="12">
        <v>403.97</v>
      </c>
      <c r="M243" s="12">
        <v>2087.11</v>
      </c>
    </row>
    <row r="244" spans="2:13" ht="18.75" x14ac:dyDescent="0.25">
      <c r="B244" s="7" t="s">
        <v>15</v>
      </c>
      <c r="C244" s="7" t="s">
        <v>39</v>
      </c>
      <c r="D244" s="12">
        <v>1.6487000000000002E-2</v>
      </c>
      <c r="E244" s="7"/>
      <c r="F244" s="7"/>
      <c r="G244" s="7"/>
      <c r="H244" s="12">
        <v>6.9976999999999998E-2</v>
      </c>
      <c r="I244" s="12">
        <v>0.36258600000000002</v>
      </c>
      <c r="J244" s="12">
        <v>0.139907</v>
      </c>
      <c r="K244" s="12">
        <v>0.17</v>
      </c>
      <c r="L244" s="12">
        <v>0.09</v>
      </c>
      <c r="M244" s="12">
        <v>1.49</v>
      </c>
    </row>
    <row r="245" spans="2:13" ht="18.75" x14ac:dyDescent="0.25">
      <c r="B245" s="7" t="s">
        <v>15</v>
      </c>
      <c r="C245" s="7" t="s">
        <v>446</v>
      </c>
      <c r="D245" s="12">
        <v>2.268796</v>
      </c>
      <c r="E245" s="7"/>
      <c r="F245" s="7"/>
      <c r="G245" s="7"/>
      <c r="H245" s="12">
        <v>15.20129</v>
      </c>
      <c r="I245" s="12">
        <v>124.272958</v>
      </c>
      <c r="J245" s="12">
        <v>571.48470599999996</v>
      </c>
      <c r="K245" s="12">
        <v>437.52</v>
      </c>
      <c r="L245" s="12">
        <v>297.47000000000003</v>
      </c>
      <c r="M245" s="12">
        <v>5331.88</v>
      </c>
    </row>
    <row r="246" spans="2:13" ht="18.75" x14ac:dyDescent="0.25">
      <c r="B246" s="7" t="s">
        <v>15</v>
      </c>
      <c r="C246" s="7" t="s">
        <v>435</v>
      </c>
      <c r="D246" s="12">
        <v>2.9892889999999999</v>
      </c>
      <c r="E246" s="7"/>
      <c r="F246" s="7"/>
      <c r="G246" s="7"/>
      <c r="H246" s="12">
        <v>14.974251000000001</v>
      </c>
      <c r="I246" s="12">
        <v>22.147826999999999</v>
      </c>
      <c r="J246" s="12">
        <v>73.861746999999994</v>
      </c>
      <c r="K246" s="12">
        <v>1807.52</v>
      </c>
      <c r="L246" s="12">
        <v>365.79</v>
      </c>
      <c r="M246" s="12">
        <v>2898.74</v>
      </c>
    </row>
    <row r="247" spans="2:13" ht="18.75" x14ac:dyDescent="0.25">
      <c r="B247" s="7" t="s">
        <v>15</v>
      </c>
      <c r="C247" s="7" t="s">
        <v>147</v>
      </c>
      <c r="D247" s="12">
        <v>0.442</v>
      </c>
      <c r="E247" s="7"/>
      <c r="F247" s="7"/>
      <c r="G247" s="7"/>
      <c r="H247" s="12">
        <v>4.7666690000000003</v>
      </c>
      <c r="I247" s="12">
        <v>2.4727459999999999</v>
      </c>
      <c r="J247" s="12">
        <v>8.0980279999999993</v>
      </c>
      <c r="K247" s="12">
        <v>51.82</v>
      </c>
      <c r="L247" s="12">
        <v>35.229999999999997</v>
      </c>
      <c r="M247" s="12">
        <v>631.52</v>
      </c>
    </row>
    <row r="248" spans="2:13" ht="18.75" x14ac:dyDescent="0.25">
      <c r="B248" s="7" t="s">
        <v>15</v>
      </c>
      <c r="C248" s="7" t="s">
        <v>436</v>
      </c>
      <c r="D248" s="12">
        <v>20.726182000000001</v>
      </c>
      <c r="E248" s="7"/>
      <c r="F248" s="7"/>
      <c r="G248" s="7"/>
      <c r="H248" s="12">
        <v>246.174071</v>
      </c>
      <c r="I248" s="12">
        <v>262.05155000000002</v>
      </c>
      <c r="J248" s="12">
        <v>317.50601799999998</v>
      </c>
      <c r="K248" s="12">
        <v>3662.67</v>
      </c>
      <c r="L248" s="12">
        <v>741.22</v>
      </c>
      <c r="M248" s="12">
        <v>5873.87</v>
      </c>
    </row>
    <row r="249" spans="2:13" ht="18.75" x14ac:dyDescent="0.25">
      <c r="B249" s="7" t="s">
        <v>15</v>
      </c>
      <c r="C249" s="7" t="s">
        <v>57</v>
      </c>
      <c r="D249" s="12">
        <v>1.3402099999999999</v>
      </c>
      <c r="E249" s="7"/>
      <c r="F249" s="7"/>
      <c r="G249" s="7"/>
      <c r="H249" s="12">
        <v>7.113175</v>
      </c>
      <c r="I249" s="12">
        <v>171.86193900000001</v>
      </c>
      <c r="J249" s="12">
        <v>312.578104</v>
      </c>
      <c r="K249" s="12">
        <v>311.68</v>
      </c>
      <c r="L249" s="12">
        <v>282.08</v>
      </c>
      <c r="M249" s="12">
        <v>1457.38</v>
      </c>
    </row>
    <row r="250" spans="2:13" ht="18.75" x14ac:dyDescent="0.25">
      <c r="B250" s="7" t="s">
        <v>15</v>
      </c>
      <c r="C250" s="7" t="s">
        <v>437</v>
      </c>
      <c r="D250" s="12">
        <v>9.7169999999999999E-3</v>
      </c>
      <c r="E250" s="7"/>
      <c r="F250" s="7"/>
      <c r="G250" s="7"/>
      <c r="H250" s="12">
        <v>3.6426539999999998</v>
      </c>
      <c r="I250" s="12">
        <v>2.1200600000000001</v>
      </c>
      <c r="J250" s="12">
        <v>18.133875</v>
      </c>
      <c r="K250" s="12">
        <v>1.1399999999999999</v>
      </c>
      <c r="L250" s="12">
        <v>0.53</v>
      </c>
      <c r="M250" s="12">
        <v>15.44</v>
      </c>
    </row>
    <row r="251" spans="2:13" ht="18.75" x14ac:dyDescent="0.25">
      <c r="B251" s="7" t="s">
        <v>15</v>
      </c>
      <c r="C251" s="7" t="s">
        <v>18</v>
      </c>
      <c r="D251" s="12">
        <v>177.424792</v>
      </c>
      <c r="E251" s="7"/>
      <c r="F251" s="7"/>
      <c r="G251" s="7"/>
      <c r="H251" s="12">
        <v>2817.9739800000002</v>
      </c>
      <c r="I251" s="12">
        <v>3042.726056</v>
      </c>
      <c r="J251" s="12">
        <v>1668.251532</v>
      </c>
      <c r="K251" s="12">
        <v>39506.67</v>
      </c>
      <c r="L251" s="12">
        <v>1466.68</v>
      </c>
      <c r="M251" s="12">
        <v>12265.63</v>
      </c>
    </row>
    <row r="252" spans="2:13" ht="18.75" x14ac:dyDescent="0.25">
      <c r="B252" s="7" t="s">
        <v>15</v>
      </c>
      <c r="C252" s="7" t="s">
        <v>92</v>
      </c>
      <c r="D252" s="12">
        <v>0.90320100000000003</v>
      </c>
      <c r="E252" s="7"/>
      <c r="F252" s="7"/>
      <c r="G252" s="7"/>
      <c r="H252" s="12">
        <v>5.1342920000000003</v>
      </c>
      <c r="I252" s="12">
        <v>19.438645999999999</v>
      </c>
      <c r="J252" s="12">
        <v>114.609769</v>
      </c>
      <c r="K252" s="12">
        <v>1844.28</v>
      </c>
      <c r="L252" s="12">
        <v>68.47</v>
      </c>
      <c r="M252" s="12">
        <v>572.59</v>
      </c>
    </row>
    <row r="253" spans="2:13" ht="18.75" x14ac:dyDescent="0.25">
      <c r="B253" s="7" t="s">
        <v>15</v>
      </c>
      <c r="C253" s="7" t="s">
        <v>94</v>
      </c>
      <c r="D253" s="12">
        <v>4.1199999999999999E-4</v>
      </c>
      <c r="E253" s="7"/>
      <c r="F253" s="7"/>
      <c r="G253" s="7"/>
      <c r="H253" s="12">
        <v>1.1428000000000001E-2</v>
      </c>
      <c r="I253" s="12">
        <v>16.146564000000001</v>
      </c>
      <c r="J253" s="12">
        <v>25.806778999999999</v>
      </c>
      <c r="K253" s="12">
        <v>0.6</v>
      </c>
      <c r="L253" s="12">
        <v>0.02</v>
      </c>
      <c r="M253" s="12">
        <v>0.19</v>
      </c>
    </row>
    <row r="254" spans="2:13" ht="18.75" x14ac:dyDescent="0.25">
      <c r="B254" s="7" t="s">
        <v>15</v>
      </c>
      <c r="C254" s="7" t="s">
        <v>461</v>
      </c>
      <c r="D254" s="12">
        <v>0.17454500000000001</v>
      </c>
      <c r="E254" s="7"/>
      <c r="F254" s="7"/>
      <c r="G254" s="7"/>
      <c r="H254" s="12">
        <v>1.109699</v>
      </c>
      <c r="I254" s="12">
        <v>0.72532600000000003</v>
      </c>
      <c r="J254" s="12">
        <v>3.1445750000000001</v>
      </c>
      <c r="K254" s="12">
        <v>276.32</v>
      </c>
      <c r="L254" s="12">
        <v>10.26</v>
      </c>
      <c r="M254" s="12">
        <v>85.79</v>
      </c>
    </row>
    <row r="255" spans="2:13" ht="18.75" x14ac:dyDescent="0.25">
      <c r="B255" s="7" t="s">
        <v>15</v>
      </c>
      <c r="C255" s="7" t="s">
        <v>462</v>
      </c>
      <c r="D255" s="12">
        <v>0.16591900000000001</v>
      </c>
      <c r="E255" s="7"/>
      <c r="F255" s="7"/>
      <c r="G255" s="7"/>
      <c r="H255" s="12">
        <v>3.1732109999999998</v>
      </c>
      <c r="I255" s="12">
        <v>2.1991909999999999</v>
      </c>
      <c r="J255" s="12">
        <v>8.6802240000000008</v>
      </c>
      <c r="K255" s="12">
        <v>175.67</v>
      </c>
      <c r="L255" s="12">
        <v>6.52</v>
      </c>
      <c r="M255" s="12">
        <v>54.54</v>
      </c>
    </row>
    <row r="256" spans="2:13" ht="18.75" x14ac:dyDescent="0.25">
      <c r="B256" s="7" t="s">
        <v>15</v>
      </c>
      <c r="C256" s="7" t="s">
        <v>466</v>
      </c>
      <c r="D256" s="12">
        <v>8.9312970000000007</v>
      </c>
      <c r="E256" s="7"/>
      <c r="F256" s="7"/>
      <c r="G256" s="7"/>
      <c r="H256" s="12">
        <v>63.880459000000002</v>
      </c>
      <c r="I256" s="12">
        <v>133.533884</v>
      </c>
      <c r="J256" s="12">
        <v>424.06443200000001</v>
      </c>
      <c r="K256" s="12">
        <v>1351.18</v>
      </c>
      <c r="L256" s="12">
        <v>491.64</v>
      </c>
      <c r="M256" s="12">
        <v>4722.6099999999997</v>
      </c>
    </row>
    <row r="257" spans="2:13" ht="18.75" x14ac:dyDescent="0.25">
      <c r="B257" s="7" t="s">
        <v>15</v>
      </c>
      <c r="C257" s="7" t="s">
        <v>463</v>
      </c>
      <c r="D257" s="12">
        <v>63.465828999999999</v>
      </c>
      <c r="E257" s="7"/>
      <c r="F257" s="7"/>
      <c r="G257" s="7"/>
      <c r="H257" s="12">
        <v>227.95268799999999</v>
      </c>
      <c r="I257" s="12">
        <v>590.723659</v>
      </c>
      <c r="J257" s="12">
        <v>306.26534500000002</v>
      </c>
      <c r="K257" s="12">
        <v>1137.21</v>
      </c>
      <c r="L257" s="12">
        <v>190.1</v>
      </c>
      <c r="M257" s="12">
        <v>2080.8000000000002</v>
      </c>
    </row>
    <row r="258" spans="2:13" ht="18.75" x14ac:dyDescent="0.25">
      <c r="B258" s="7" t="s">
        <v>15</v>
      </c>
      <c r="C258" s="7" t="s">
        <v>149</v>
      </c>
      <c r="D258" s="12">
        <v>0.88138300000000003</v>
      </c>
      <c r="E258" s="7"/>
      <c r="F258" s="7"/>
      <c r="G258" s="7"/>
      <c r="H258" s="12">
        <v>2.7163089999999999</v>
      </c>
      <c r="I258" s="12">
        <v>5.6494499999999999</v>
      </c>
      <c r="J258" s="12">
        <v>16.444590000000002</v>
      </c>
      <c r="K258" s="12">
        <v>106.53</v>
      </c>
      <c r="L258" s="12">
        <v>17.809999999999999</v>
      </c>
      <c r="M258" s="12">
        <v>194.92</v>
      </c>
    </row>
    <row r="259" spans="2:13" ht="18.75" x14ac:dyDescent="0.25">
      <c r="B259" s="7" t="s">
        <v>15</v>
      </c>
      <c r="C259" s="7" t="s">
        <v>464</v>
      </c>
      <c r="D259" s="12">
        <v>1.1912</v>
      </c>
      <c r="E259" s="7"/>
      <c r="F259" s="7"/>
      <c r="G259" s="7"/>
      <c r="H259" s="12">
        <v>6.5040019999999998</v>
      </c>
      <c r="I259" s="12">
        <v>22.464541000000001</v>
      </c>
      <c r="J259" s="12">
        <v>50.941727</v>
      </c>
      <c r="K259" s="12">
        <v>157.44999999999999</v>
      </c>
      <c r="L259" s="12">
        <v>57.29</v>
      </c>
      <c r="M259" s="12">
        <v>550.32000000000005</v>
      </c>
    </row>
    <row r="260" spans="2:13" ht="18.75" x14ac:dyDescent="0.25">
      <c r="B260" s="7" t="s">
        <v>15</v>
      </c>
      <c r="C260" s="7" t="s">
        <v>468</v>
      </c>
      <c r="D260" s="12">
        <v>0.117689</v>
      </c>
      <c r="E260" s="7"/>
      <c r="F260" s="7"/>
      <c r="G260" s="7"/>
      <c r="H260" s="12">
        <v>1.0107409999999999</v>
      </c>
      <c r="I260" s="12">
        <v>7.753959</v>
      </c>
      <c r="J260" s="12">
        <v>0.53476000000000001</v>
      </c>
      <c r="K260" s="12">
        <v>0.44</v>
      </c>
      <c r="L260" s="12">
        <v>0.16</v>
      </c>
      <c r="M260" s="12">
        <v>1.52</v>
      </c>
    </row>
    <row r="261" spans="2:13" ht="18.75" x14ac:dyDescent="0.25">
      <c r="B261" s="7" t="s">
        <v>15</v>
      </c>
      <c r="C261" s="7" t="s">
        <v>465</v>
      </c>
      <c r="D261" s="12">
        <v>4.3300000000000001E-4</v>
      </c>
      <c r="E261" s="7"/>
      <c r="F261" s="7"/>
      <c r="G261" s="7"/>
      <c r="H261" s="12">
        <v>0.120132</v>
      </c>
      <c r="I261" s="12">
        <v>0.11440400000000001</v>
      </c>
      <c r="J261" s="12">
        <v>2.9000000000000001E-2</v>
      </c>
      <c r="K261" s="12">
        <v>0</v>
      </c>
      <c r="L261" s="12">
        <v>0</v>
      </c>
      <c r="M261" s="12">
        <v>0.01</v>
      </c>
    </row>
    <row r="262" spans="2:13" ht="18.75" x14ac:dyDescent="0.25">
      <c r="B262" s="7" t="s">
        <v>15</v>
      </c>
      <c r="C262" s="7" t="s">
        <v>196</v>
      </c>
      <c r="D262" s="12">
        <v>1.208906</v>
      </c>
      <c r="E262" s="7"/>
      <c r="F262" s="7"/>
      <c r="G262" s="7"/>
      <c r="H262" s="12">
        <v>43.652669000000003</v>
      </c>
      <c r="I262" s="12">
        <v>144.59838300000001</v>
      </c>
      <c r="J262" s="12">
        <v>144.90107699999999</v>
      </c>
      <c r="K262" s="12">
        <v>2520.14</v>
      </c>
      <c r="L262" s="12">
        <v>305.18</v>
      </c>
      <c r="M262" s="12">
        <v>1621.93</v>
      </c>
    </row>
    <row r="263" spans="2:13" ht="18.75" x14ac:dyDescent="0.25">
      <c r="B263" s="7" t="s">
        <v>15</v>
      </c>
      <c r="C263" s="7" t="s">
        <v>467</v>
      </c>
      <c r="D263" s="12">
        <v>6.6886939999999999</v>
      </c>
      <c r="E263" s="7"/>
      <c r="F263" s="7"/>
      <c r="G263" s="7"/>
      <c r="H263" s="12">
        <v>450.42999400000002</v>
      </c>
      <c r="I263" s="12">
        <v>1279.6739769999999</v>
      </c>
      <c r="J263" s="12">
        <v>469.21747699999997</v>
      </c>
      <c r="K263" s="12">
        <v>4591.7</v>
      </c>
      <c r="L263" s="12">
        <v>170.47</v>
      </c>
      <c r="M263" s="12">
        <v>1425.58</v>
      </c>
    </row>
    <row r="264" spans="2:13" ht="18.75" x14ac:dyDescent="0.25">
      <c r="B264" s="7" t="s">
        <v>15</v>
      </c>
      <c r="C264" s="7" t="s">
        <v>198</v>
      </c>
      <c r="D264" s="12">
        <v>3.3995929999999999</v>
      </c>
      <c r="E264" s="7"/>
      <c r="F264" s="7"/>
      <c r="G264" s="7"/>
      <c r="H264" s="12">
        <v>105.506028</v>
      </c>
      <c r="I264" s="12">
        <v>151.283759</v>
      </c>
      <c r="J264" s="12">
        <v>138.32798700000001</v>
      </c>
      <c r="K264" s="12">
        <v>71.900000000000006</v>
      </c>
      <c r="L264" s="12">
        <v>10.1</v>
      </c>
      <c r="M264" s="12">
        <v>559.1</v>
      </c>
    </row>
    <row r="265" spans="2:13" ht="18.75" x14ac:dyDescent="0.25">
      <c r="B265" s="7" t="s">
        <v>15</v>
      </c>
      <c r="C265" s="7" t="s">
        <v>118</v>
      </c>
      <c r="D265" s="12">
        <v>3.695932</v>
      </c>
      <c r="E265" s="7"/>
      <c r="F265" s="7"/>
      <c r="G265" s="7"/>
      <c r="H265" s="12">
        <v>20.089136</v>
      </c>
      <c r="I265" s="12">
        <v>20.785129999999999</v>
      </c>
      <c r="J265" s="12">
        <v>49.671987999999999</v>
      </c>
      <c r="K265" s="12">
        <v>120.42</v>
      </c>
      <c r="L265" s="12">
        <v>16.920000000000002</v>
      </c>
      <c r="M265" s="12">
        <v>936.47</v>
      </c>
    </row>
    <row r="266" spans="2:13" ht="18.75" x14ac:dyDescent="0.25">
      <c r="B266" s="7" t="s">
        <v>15</v>
      </c>
      <c r="C266" s="7" t="s">
        <v>202</v>
      </c>
      <c r="D266" s="12">
        <v>17.3675</v>
      </c>
      <c r="E266" s="7"/>
      <c r="F266" s="7"/>
      <c r="G266" s="7"/>
      <c r="H266" s="12">
        <v>86.957385000000002</v>
      </c>
      <c r="I266" s="12">
        <v>151.53995599999999</v>
      </c>
      <c r="J266" s="12">
        <v>498.23495100000002</v>
      </c>
      <c r="K266" s="12">
        <v>1773.99</v>
      </c>
      <c r="L266" s="12">
        <v>249.27</v>
      </c>
      <c r="M266" s="12">
        <v>13795.38</v>
      </c>
    </row>
    <row r="267" spans="2:13" ht="18.75" x14ac:dyDescent="0.25">
      <c r="B267" s="7" t="s">
        <v>15</v>
      </c>
      <c r="C267" s="7" t="s">
        <v>157</v>
      </c>
      <c r="D267" s="12">
        <v>2.5182150000000001</v>
      </c>
      <c r="E267" s="7"/>
      <c r="F267" s="7"/>
      <c r="G267" s="7"/>
      <c r="H267" s="12">
        <v>60.19903</v>
      </c>
      <c r="I267" s="12">
        <v>249.45879600000001</v>
      </c>
      <c r="J267" s="12">
        <v>345.75656500000002</v>
      </c>
      <c r="K267" s="12">
        <v>146.63</v>
      </c>
      <c r="L267" s="12">
        <v>20.6</v>
      </c>
      <c r="M267" s="12">
        <v>1140.25</v>
      </c>
    </row>
    <row r="268" spans="2:13" ht="18.75" x14ac:dyDescent="0.25">
      <c r="B268" s="7" t="s">
        <v>15</v>
      </c>
      <c r="C268" s="7" t="s">
        <v>474</v>
      </c>
      <c r="D268" s="12">
        <v>7.1036210000000004</v>
      </c>
      <c r="E268" s="7"/>
      <c r="F268" s="7"/>
      <c r="G268" s="7"/>
      <c r="H268" s="12">
        <v>22.865998999999999</v>
      </c>
      <c r="I268" s="12">
        <v>48.152918999999997</v>
      </c>
      <c r="J268" s="12">
        <v>119.076564</v>
      </c>
      <c r="K268" s="12">
        <v>559.12</v>
      </c>
      <c r="L268" s="12">
        <v>78.56</v>
      </c>
      <c r="M268" s="12">
        <v>4347.9799999999996</v>
      </c>
    </row>
    <row r="269" spans="2:13" ht="18.75" x14ac:dyDescent="0.25">
      <c r="B269" s="7" t="s">
        <v>15</v>
      </c>
      <c r="C269" s="7" t="s">
        <v>479</v>
      </c>
      <c r="D269" s="12">
        <v>2.1950280000000002</v>
      </c>
      <c r="E269" s="7"/>
      <c r="F269" s="7"/>
      <c r="G269" s="7"/>
      <c r="H269" s="12">
        <v>7.9762789999999999</v>
      </c>
      <c r="I269" s="12">
        <v>18.453465999999999</v>
      </c>
      <c r="J269" s="12">
        <v>45.053469999999997</v>
      </c>
      <c r="K269" s="12">
        <v>144.46</v>
      </c>
      <c r="L269" s="12">
        <v>20.3</v>
      </c>
      <c r="M269" s="12">
        <v>1123.3499999999999</v>
      </c>
    </row>
    <row r="270" spans="2:13" ht="18.75" x14ac:dyDescent="0.25">
      <c r="B270" s="7" t="s">
        <v>15</v>
      </c>
      <c r="C270" s="7" t="s">
        <v>470</v>
      </c>
      <c r="D270" s="12">
        <v>10.076307999999999</v>
      </c>
      <c r="E270" s="7"/>
      <c r="F270" s="7"/>
      <c r="G270" s="7"/>
      <c r="H270" s="12">
        <v>50.435121000000002</v>
      </c>
      <c r="I270" s="12">
        <v>56.198107</v>
      </c>
      <c r="J270" s="12">
        <v>174.58632399999999</v>
      </c>
      <c r="K270" s="12">
        <v>984.82</v>
      </c>
      <c r="L270" s="12">
        <v>138.38</v>
      </c>
      <c r="M270" s="12">
        <v>7658.39</v>
      </c>
    </row>
    <row r="271" spans="2:13" ht="18.75" x14ac:dyDescent="0.25">
      <c r="B271" s="7" t="s">
        <v>15</v>
      </c>
      <c r="C271" s="7" t="s">
        <v>168</v>
      </c>
      <c r="D271" s="12">
        <v>5.9242990000000004</v>
      </c>
      <c r="E271" s="7"/>
      <c r="F271" s="7"/>
      <c r="G271" s="7"/>
      <c r="H271" s="12">
        <v>66.551754000000003</v>
      </c>
      <c r="I271" s="12">
        <v>253.98523700000001</v>
      </c>
      <c r="J271" s="12">
        <v>353.892222</v>
      </c>
      <c r="K271" s="12">
        <v>585.52</v>
      </c>
      <c r="L271" s="12">
        <v>82.27</v>
      </c>
      <c r="M271" s="12">
        <v>4553.28</v>
      </c>
    </row>
    <row r="272" spans="2:13" ht="18.75" x14ac:dyDescent="0.25">
      <c r="B272" s="7" t="s">
        <v>15</v>
      </c>
      <c r="C272" s="7" t="s">
        <v>469</v>
      </c>
      <c r="D272" s="12">
        <v>2.1595179999999998</v>
      </c>
      <c r="E272" s="7"/>
      <c r="F272" s="7"/>
      <c r="G272" s="7"/>
      <c r="H272" s="12">
        <v>6.6762819999999996</v>
      </c>
      <c r="I272" s="12">
        <v>12.473455</v>
      </c>
      <c r="J272" s="12">
        <v>46.723427999999998</v>
      </c>
      <c r="K272" s="12">
        <v>222.3</v>
      </c>
      <c r="L272" s="12">
        <v>31.24</v>
      </c>
      <c r="M272" s="12">
        <v>1728.69</v>
      </c>
    </row>
    <row r="273" spans="2:13" ht="18.75" x14ac:dyDescent="0.25">
      <c r="B273" s="7" t="s">
        <v>15</v>
      </c>
      <c r="C273" s="7" t="s">
        <v>471</v>
      </c>
      <c r="D273" s="12">
        <v>6.3686259999999999</v>
      </c>
      <c r="E273" s="7"/>
      <c r="F273" s="7"/>
      <c r="G273" s="7"/>
      <c r="H273" s="12">
        <v>251.99647100000001</v>
      </c>
      <c r="I273" s="12">
        <v>808.36452199999997</v>
      </c>
      <c r="J273" s="12">
        <v>89.545174000000003</v>
      </c>
      <c r="K273" s="12">
        <v>181.14</v>
      </c>
      <c r="L273" s="12">
        <v>81.38</v>
      </c>
      <c r="M273" s="12">
        <v>1014.63</v>
      </c>
    </row>
    <row r="274" spans="2:13" ht="18.75" x14ac:dyDescent="0.25">
      <c r="B274" s="7" t="s">
        <v>15</v>
      </c>
      <c r="C274" s="7" t="s">
        <v>476</v>
      </c>
      <c r="D274" s="12">
        <v>1.111496</v>
      </c>
      <c r="E274" s="7"/>
      <c r="F274" s="7"/>
      <c r="G274" s="7"/>
      <c r="H274" s="12">
        <v>4.1253549999999999</v>
      </c>
      <c r="I274" s="12">
        <v>6.9927590000000004</v>
      </c>
      <c r="J274" s="12">
        <v>13.075768</v>
      </c>
      <c r="K274" s="12">
        <v>66.89</v>
      </c>
      <c r="L274" s="12">
        <v>9.4</v>
      </c>
      <c r="M274" s="12">
        <v>520.16999999999996</v>
      </c>
    </row>
    <row r="275" spans="2:13" ht="18.75" x14ac:dyDescent="0.25">
      <c r="B275" s="7" t="s">
        <v>15</v>
      </c>
      <c r="C275" s="7" t="s">
        <v>475</v>
      </c>
      <c r="D275" s="12">
        <v>23.073611</v>
      </c>
      <c r="E275" s="7"/>
      <c r="F275" s="7"/>
      <c r="G275" s="7"/>
      <c r="H275" s="12">
        <v>135.98155600000001</v>
      </c>
      <c r="I275" s="12">
        <v>194.351125</v>
      </c>
      <c r="J275" s="12">
        <v>599.69890699999996</v>
      </c>
      <c r="K275" s="12">
        <v>2325.42</v>
      </c>
      <c r="L275" s="12">
        <v>326.75</v>
      </c>
      <c r="M275" s="12">
        <v>18083.55</v>
      </c>
    </row>
    <row r="276" spans="2:13" ht="18.75" x14ac:dyDescent="0.25">
      <c r="B276" s="7" t="s">
        <v>15</v>
      </c>
      <c r="C276" s="7" t="s">
        <v>482</v>
      </c>
      <c r="D276" s="12">
        <v>1.9138109999999999</v>
      </c>
      <c r="E276" s="7"/>
      <c r="F276" s="7"/>
      <c r="G276" s="7"/>
      <c r="H276" s="12">
        <v>32.199305000000003</v>
      </c>
      <c r="I276" s="12">
        <v>73.481853000000001</v>
      </c>
      <c r="J276" s="12">
        <v>67.512601000000004</v>
      </c>
      <c r="K276" s="12">
        <v>48.67</v>
      </c>
      <c r="L276" s="12">
        <v>6.84</v>
      </c>
      <c r="M276" s="12">
        <v>378.49</v>
      </c>
    </row>
    <row r="277" spans="2:13" ht="18.75" x14ac:dyDescent="0.25">
      <c r="B277" s="7" t="s">
        <v>15</v>
      </c>
      <c r="C277" s="7" t="s">
        <v>481</v>
      </c>
      <c r="D277" s="12">
        <v>2.6029279999999999</v>
      </c>
      <c r="E277" s="7"/>
      <c r="F277" s="7"/>
      <c r="G277" s="7"/>
      <c r="H277" s="12">
        <v>45.343234000000002</v>
      </c>
      <c r="I277" s="12">
        <v>78.919760999999994</v>
      </c>
      <c r="J277" s="12">
        <v>145.556603</v>
      </c>
      <c r="K277" s="12">
        <v>169.99</v>
      </c>
      <c r="L277" s="12">
        <v>23.89</v>
      </c>
      <c r="M277" s="12">
        <v>1321.91</v>
      </c>
    </row>
    <row r="278" spans="2:13" ht="18.75" x14ac:dyDescent="0.25">
      <c r="B278" s="7" t="s">
        <v>15</v>
      </c>
      <c r="C278" s="7" t="s">
        <v>150</v>
      </c>
      <c r="D278" s="12">
        <v>37.429834</v>
      </c>
      <c r="E278" s="7"/>
      <c r="F278" s="7"/>
      <c r="G278" s="7"/>
      <c r="H278" s="12">
        <v>166.03403499999999</v>
      </c>
      <c r="I278" s="12">
        <v>274.77019100000001</v>
      </c>
      <c r="J278" s="12">
        <v>1006.714605</v>
      </c>
      <c r="K278" s="12">
        <v>3483.22</v>
      </c>
      <c r="L278" s="12">
        <v>489.44</v>
      </c>
      <c r="M278" s="12">
        <v>27087.16</v>
      </c>
    </row>
    <row r="279" spans="2:13" ht="18.75" x14ac:dyDescent="0.25">
      <c r="B279" s="7" t="s">
        <v>15</v>
      </c>
      <c r="C279" s="7" t="s">
        <v>477</v>
      </c>
      <c r="D279" s="12">
        <v>40.608753999999998</v>
      </c>
      <c r="E279" s="7"/>
      <c r="F279" s="7"/>
      <c r="G279" s="7"/>
      <c r="H279" s="12">
        <v>534.62633400000004</v>
      </c>
      <c r="I279" s="12">
        <v>812.59607000000005</v>
      </c>
      <c r="J279" s="12">
        <v>1554.691476</v>
      </c>
      <c r="K279" s="12">
        <v>1765.85</v>
      </c>
      <c r="L279" s="12">
        <v>248.13</v>
      </c>
      <c r="M279" s="12">
        <v>13732.08</v>
      </c>
    </row>
    <row r="280" spans="2:13" ht="18.75" x14ac:dyDescent="0.25">
      <c r="B280" s="7" t="s">
        <v>15</v>
      </c>
      <c r="C280" s="7" t="s">
        <v>478</v>
      </c>
      <c r="D280" s="12">
        <v>5.423241</v>
      </c>
      <c r="E280" s="7"/>
      <c r="F280" s="7"/>
      <c r="G280" s="7"/>
      <c r="H280" s="12">
        <v>19.284286999999999</v>
      </c>
      <c r="I280" s="12">
        <v>25.851327999999999</v>
      </c>
      <c r="J280" s="12">
        <v>93.542227999999994</v>
      </c>
      <c r="K280" s="12">
        <v>868.73</v>
      </c>
      <c r="L280" s="12">
        <v>122.07</v>
      </c>
      <c r="M280" s="12">
        <v>6755.63</v>
      </c>
    </row>
    <row r="281" spans="2:13" ht="18.75" x14ac:dyDescent="0.25">
      <c r="B281" s="7" t="s">
        <v>15</v>
      </c>
      <c r="C281" s="7" t="s">
        <v>480</v>
      </c>
      <c r="D281" s="12">
        <v>4.4704569999999997</v>
      </c>
      <c r="E281" s="7"/>
      <c r="F281" s="7"/>
      <c r="G281" s="7"/>
      <c r="H281" s="12">
        <v>9.0574010000000005</v>
      </c>
      <c r="I281" s="12">
        <v>19.742455</v>
      </c>
      <c r="J281" s="12">
        <v>49.628867</v>
      </c>
      <c r="K281" s="12">
        <v>432.07</v>
      </c>
      <c r="L281" s="12">
        <v>60.71</v>
      </c>
      <c r="M281" s="12">
        <v>3360</v>
      </c>
    </row>
    <row r="282" spans="2:13" ht="18.75" x14ac:dyDescent="0.25">
      <c r="B282" s="7" t="s">
        <v>15</v>
      </c>
      <c r="C282" s="7" t="s">
        <v>472</v>
      </c>
      <c r="D282" s="12">
        <v>0.66551199999999999</v>
      </c>
      <c r="E282" s="7"/>
      <c r="F282" s="7"/>
      <c r="G282" s="7"/>
      <c r="H282" s="12">
        <v>5.0647529999999996</v>
      </c>
      <c r="I282" s="12">
        <v>29.217122</v>
      </c>
      <c r="J282" s="12">
        <v>38.357973000000001</v>
      </c>
      <c r="K282" s="12">
        <v>50.84</v>
      </c>
      <c r="L282" s="12">
        <v>7.14</v>
      </c>
      <c r="M282" s="12">
        <v>395.36</v>
      </c>
    </row>
    <row r="283" spans="2:13" ht="18.75" x14ac:dyDescent="0.25">
      <c r="B283" s="7" t="s">
        <v>15</v>
      </c>
      <c r="C283" s="7" t="s">
        <v>74</v>
      </c>
      <c r="D283" s="12">
        <v>153.92988399999999</v>
      </c>
      <c r="E283" s="7"/>
      <c r="F283" s="7"/>
      <c r="G283" s="7"/>
      <c r="H283" s="12">
        <v>717.34147599999994</v>
      </c>
      <c r="I283" s="12">
        <v>1751.813324</v>
      </c>
      <c r="J283" s="12">
        <v>4195.9434140000003</v>
      </c>
      <c r="K283" s="12">
        <v>16389.009999999998</v>
      </c>
      <c r="L283" s="12">
        <v>2302.87</v>
      </c>
      <c r="M283" s="12">
        <v>127448.52</v>
      </c>
    </row>
    <row r="284" spans="2:13" ht="18.75" x14ac:dyDescent="0.25">
      <c r="B284" s="7" t="s">
        <v>15</v>
      </c>
      <c r="C284" s="7" t="s">
        <v>78</v>
      </c>
      <c r="D284" s="12">
        <v>26.510287000000002</v>
      </c>
      <c r="E284" s="7"/>
      <c r="F284" s="7"/>
      <c r="G284" s="7"/>
      <c r="H284" s="12">
        <v>162.66159999999999</v>
      </c>
      <c r="I284" s="12">
        <v>455.00014900000002</v>
      </c>
      <c r="J284" s="12">
        <v>1127.4614340000001</v>
      </c>
      <c r="K284" s="12">
        <v>2152.79</v>
      </c>
      <c r="L284" s="12">
        <v>302.5</v>
      </c>
      <c r="M284" s="12">
        <v>16741.07</v>
      </c>
    </row>
    <row r="285" spans="2:13" ht="18.75" x14ac:dyDescent="0.25">
      <c r="B285" s="7" t="s">
        <v>15</v>
      </c>
      <c r="C285" s="7" t="s">
        <v>473</v>
      </c>
      <c r="D285" s="12">
        <v>2.190696</v>
      </c>
      <c r="E285" s="7"/>
      <c r="F285" s="7"/>
      <c r="G285" s="7"/>
      <c r="H285" s="12">
        <v>4.0553800000000004</v>
      </c>
      <c r="I285" s="12">
        <v>9.8138629999999996</v>
      </c>
      <c r="J285" s="12">
        <v>32.26332</v>
      </c>
      <c r="K285" s="12">
        <v>260.14999999999998</v>
      </c>
      <c r="L285" s="12">
        <v>36.549999999999997</v>
      </c>
      <c r="M285" s="12">
        <v>2023.05</v>
      </c>
    </row>
    <row r="286" spans="2:13" ht="18.75" x14ac:dyDescent="0.25">
      <c r="B286" s="7" t="s">
        <v>15</v>
      </c>
      <c r="C286" s="7" t="s">
        <v>487</v>
      </c>
      <c r="D286" s="12">
        <v>2.9273669999999998</v>
      </c>
      <c r="E286" s="7"/>
      <c r="F286" s="7"/>
      <c r="G286" s="7"/>
      <c r="H286" s="12">
        <v>8.1419259999999998</v>
      </c>
      <c r="I286" s="12">
        <v>7.3434359999999996</v>
      </c>
      <c r="J286" s="12">
        <v>59.409742999999999</v>
      </c>
      <c r="K286" s="12">
        <v>1058.29</v>
      </c>
      <c r="L286" s="12">
        <v>502.68</v>
      </c>
      <c r="M286" s="12">
        <v>4814.3599999999997</v>
      </c>
    </row>
    <row r="287" spans="2:13" ht="18.75" x14ac:dyDescent="0.25">
      <c r="B287" s="7" t="s">
        <v>15</v>
      </c>
      <c r="C287" s="7" t="s">
        <v>206</v>
      </c>
      <c r="D287" s="12">
        <v>0.89779399999999998</v>
      </c>
      <c r="E287" s="7"/>
      <c r="F287" s="7"/>
      <c r="G287" s="7"/>
      <c r="H287" s="12">
        <v>2.9252799999999999</v>
      </c>
      <c r="I287" s="12">
        <v>6.2544820000000003</v>
      </c>
      <c r="J287" s="12">
        <v>57.674376000000002</v>
      </c>
      <c r="K287" s="12">
        <v>286.97000000000003</v>
      </c>
      <c r="L287" s="12">
        <v>136.31</v>
      </c>
      <c r="M287" s="12">
        <v>1305.48</v>
      </c>
    </row>
    <row r="288" spans="2:13" ht="18.75" x14ac:dyDescent="0.25">
      <c r="B288" s="7" t="s">
        <v>15</v>
      </c>
      <c r="C288" s="7" t="s">
        <v>483</v>
      </c>
      <c r="D288" s="12">
        <v>18.53192</v>
      </c>
      <c r="E288" s="7"/>
      <c r="F288" s="7"/>
      <c r="G288" s="7"/>
      <c r="H288" s="12">
        <v>206.00609399999999</v>
      </c>
      <c r="I288" s="12">
        <v>203.78288900000001</v>
      </c>
      <c r="J288" s="12">
        <v>1139.1655060000001</v>
      </c>
      <c r="K288" s="12">
        <v>2229.39</v>
      </c>
      <c r="L288" s="12">
        <v>1058.94</v>
      </c>
      <c r="M288" s="12">
        <v>10141.92</v>
      </c>
    </row>
    <row r="289" spans="2:13" ht="18.75" x14ac:dyDescent="0.25">
      <c r="B289" s="7" t="s">
        <v>15</v>
      </c>
      <c r="C289" s="7" t="s">
        <v>484</v>
      </c>
      <c r="D289" s="12">
        <v>12.118338</v>
      </c>
      <c r="E289" s="7"/>
      <c r="F289" s="7"/>
      <c r="G289" s="7"/>
      <c r="H289" s="12">
        <v>71.608540000000005</v>
      </c>
      <c r="I289" s="12">
        <v>116.723232</v>
      </c>
      <c r="J289" s="12">
        <v>292.116377</v>
      </c>
      <c r="K289" s="12">
        <v>712.39</v>
      </c>
      <c r="L289" s="12">
        <v>338.38</v>
      </c>
      <c r="M289" s="12">
        <v>3240.81</v>
      </c>
    </row>
    <row r="290" spans="2:13" ht="18.75" x14ac:dyDescent="0.25">
      <c r="B290" s="7" t="s">
        <v>15</v>
      </c>
      <c r="C290" s="7" t="s">
        <v>485</v>
      </c>
      <c r="D290" s="12">
        <v>45.698512000000001</v>
      </c>
      <c r="E290" s="7"/>
      <c r="F290" s="7"/>
      <c r="G290" s="7"/>
      <c r="H290" s="12">
        <v>170.78957600000001</v>
      </c>
      <c r="I290" s="12">
        <v>274.52633600000001</v>
      </c>
      <c r="J290" s="12">
        <v>736.57496100000003</v>
      </c>
      <c r="K290" s="12">
        <v>3305.43</v>
      </c>
      <c r="L290" s="12">
        <v>1570.05</v>
      </c>
      <c r="M290" s="12">
        <v>15037.03</v>
      </c>
    </row>
    <row r="291" spans="2:13" ht="18.75" x14ac:dyDescent="0.25">
      <c r="B291" s="7" t="s">
        <v>15</v>
      </c>
      <c r="C291" s="7" t="s">
        <v>486</v>
      </c>
      <c r="D291" s="12">
        <v>18.362359999999999</v>
      </c>
      <c r="E291" s="7"/>
      <c r="F291" s="7"/>
      <c r="G291" s="7"/>
      <c r="H291" s="12">
        <v>117.386415</v>
      </c>
      <c r="I291" s="12">
        <v>405.473341</v>
      </c>
      <c r="J291" s="12">
        <v>2240.1852509999999</v>
      </c>
      <c r="K291" s="12">
        <v>5186.3900000000003</v>
      </c>
      <c r="L291" s="12">
        <v>2463.4899999999998</v>
      </c>
      <c r="M291" s="12">
        <v>23593.85</v>
      </c>
    </row>
    <row r="292" spans="2:13" ht="18.75" x14ac:dyDescent="0.25">
      <c r="B292" s="7" t="s">
        <v>15</v>
      </c>
      <c r="C292" s="7" t="s">
        <v>489</v>
      </c>
      <c r="D292" s="12">
        <v>0.21842</v>
      </c>
      <c r="E292" s="7"/>
      <c r="F292" s="7"/>
      <c r="G292" s="7"/>
      <c r="H292" s="12">
        <v>2.75698</v>
      </c>
      <c r="I292" s="12">
        <v>1.035793</v>
      </c>
      <c r="J292" s="12">
        <v>5.1756630000000001</v>
      </c>
      <c r="K292" s="12">
        <v>21.97</v>
      </c>
      <c r="L292" s="12">
        <v>10.44</v>
      </c>
      <c r="M292" s="12">
        <v>99.94</v>
      </c>
    </row>
    <row r="293" spans="2:13" ht="18.75" x14ac:dyDescent="0.25">
      <c r="B293" s="7" t="s">
        <v>15</v>
      </c>
      <c r="C293" s="7" t="s">
        <v>76</v>
      </c>
      <c r="D293" s="12">
        <v>6.0951589999999998</v>
      </c>
      <c r="E293" s="7"/>
      <c r="F293" s="7"/>
      <c r="G293" s="7"/>
      <c r="H293" s="12">
        <v>27.421348999999999</v>
      </c>
      <c r="I293" s="12">
        <v>26.188179000000002</v>
      </c>
      <c r="J293" s="12">
        <v>98.015356999999995</v>
      </c>
      <c r="K293" s="12">
        <v>598</v>
      </c>
      <c r="L293" s="12">
        <v>284.04000000000002</v>
      </c>
      <c r="M293" s="12">
        <v>2720.41</v>
      </c>
    </row>
    <row r="294" spans="2:13" ht="18.75" x14ac:dyDescent="0.25">
      <c r="B294" s="7" t="s">
        <v>15</v>
      </c>
      <c r="C294" s="7" t="s">
        <v>521</v>
      </c>
      <c r="D294" s="12">
        <v>1.617348</v>
      </c>
      <c r="E294" s="7"/>
      <c r="F294" s="7"/>
      <c r="G294" s="7"/>
      <c r="H294" s="12">
        <v>7.4832910000000004</v>
      </c>
      <c r="I294" s="12">
        <v>14.698485</v>
      </c>
      <c r="J294" s="12">
        <v>60.429582000000003</v>
      </c>
      <c r="K294" s="12">
        <v>127.75</v>
      </c>
      <c r="L294" s="12">
        <v>60.68</v>
      </c>
      <c r="M294" s="12">
        <v>581.17999999999995</v>
      </c>
    </row>
    <row r="295" spans="2:13" ht="18.75" x14ac:dyDescent="0.25">
      <c r="B295" s="7" t="s">
        <v>15</v>
      </c>
      <c r="C295" s="7" t="s">
        <v>205</v>
      </c>
      <c r="D295" s="12">
        <v>11.588047</v>
      </c>
      <c r="E295" s="7"/>
      <c r="F295" s="7"/>
      <c r="G295" s="7"/>
      <c r="H295" s="12">
        <v>80.053715999999994</v>
      </c>
      <c r="I295" s="12">
        <v>280.89219400000002</v>
      </c>
      <c r="J295" s="12">
        <v>452.188557</v>
      </c>
      <c r="K295" s="12">
        <v>639.64</v>
      </c>
      <c r="L295" s="12">
        <v>303.82</v>
      </c>
      <c r="M295" s="12">
        <v>2909.84</v>
      </c>
    </row>
    <row r="296" spans="2:13" ht="18.75" x14ac:dyDescent="0.25">
      <c r="B296" s="7" t="s">
        <v>15</v>
      </c>
      <c r="C296" s="7" t="s">
        <v>492</v>
      </c>
      <c r="D296" s="12">
        <v>1.419063</v>
      </c>
      <c r="E296" s="7"/>
      <c r="F296" s="7"/>
      <c r="G296" s="7"/>
      <c r="H296" s="12">
        <v>12.643783000000001</v>
      </c>
      <c r="I296" s="12">
        <v>13.611898</v>
      </c>
      <c r="J296" s="12">
        <v>30.041549</v>
      </c>
      <c r="K296" s="12">
        <v>161.5</v>
      </c>
      <c r="L296" s="12">
        <v>76.709999999999994</v>
      </c>
      <c r="M296" s="12">
        <v>734.71</v>
      </c>
    </row>
    <row r="297" spans="2:13" ht="18.75" x14ac:dyDescent="0.25">
      <c r="B297" s="7" t="s">
        <v>15</v>
      </c>
      <c r="C297" s="7" t="s">
        <v>218</v>
      </c>
      <c r="D297" s="12">
        <v>50.567867999999997</v>
      </c>
      <c r="E297" s="7"/>
      <c r="F297" s="7"/>
      <c r="G297" s="7"/>
      <c r="H297" s="12">
        <v>236.92598000000001</v>
      </c>
      <c r="I297" s="12">
        <v>486.08689700000002</v>
      </c>
      <c r="J297" s="12">
        <v>708.96900600000004</v>
      </c>
      <c r="K297" s="12">
        <v>1460.39</v>
      </c>
      <c r="L297" s="12">
        <v>693.67</v>
      </c>
      <c r="M297" s="12">
        <v>6643.59</v>
      </c>
    </row>
    <row r="298" spans="2:13" ht="18.75" x14ac:dyDescent="0.25">
      <c r="B298" s="7" t="s">
        <v>15</v>
      </c>
      <c r="C298" s="7" t="s">
        <v>490</v>
      </c>
      <c r="D298" s="12">
        <v>0.40903800000000001</v>
      </c>
      <c r="E298" s="7"/>
      <c r="F298" s="7"/>
      <c r="G298" s="7"/>
      <c r="H298" s="12">
        <v>2.975444</v>
      </c>
      <c r="I298" s="12">
        <v>3.036483</v>
      </c>
      <c r="J298" s="12">
        <v>16.956530000000001</v>
      </c>
      <c r="K298" s="12">
        <v>38.82</v>
      </c>
      <c r="L298" s="12">
        <v>18.440000000000001</v>
      </c>
      <c r="M298" s="12">
        <v>176.6</v>
      </c>
    </row>
    <row r="299" spans="2:13" ht="18.75" x14ac:dyDescent="0.25">
      <c r="B299" s="7" t="s">
        <v>15</v>
      </c>
      <c r="C299" s="7" t="s">
        <v>506</v>
      </c>
      <c r="D299" s="12">
        <v>25.982828000000001</v>
      </c>
      <c r="E299" s="7"/>
      <c r="F299" s="7"/>
      <c r="G299" s="7"/>
      <c r="H299" s="12">
        <v>105.44615</v>
      </c>
      <c r="I299" s="12">
        <v>228.353464</v>
      </c>
      <c r="J299" s="12">
        <v>605.07547299999999</v>
      </c>
      <c r="K299" s="12">
        <v>2301.67</v>
      </c>
      <c r="L299" s="12">
        <v>1093.27</v>
      </c>
      <c r="M299" s="12">
        <v>10470.73</v>
      </c>
    </row>
    <row r="300" spans="2:13" ht="18.75" x14ac:dyDescent="0.25">
      <c r="B300" s="7" t="s">
        <v>15</v>
      </c>
      <c r="C300" s="7" t="s">
        <v>493</v>
      </c>
      <c r="D300" s="12">
        <v>9.718197</v>
      </c>
      <c r="E300" s="7"/>
      <c r="F300" s="7"/>
      <c r="G300" s="7"/>
      <c r="H300" s="12">
        <v>68.013334</v>
      </c>
      <c r="I300" s="12">
        <v>103.145841</v>
      </c>
      <c r="J300" s="12">
        <v>299.31862000000001</v>
      </c>
      <c r="K300" s="12">
        <v>763.6</v>
      </c>
      <c r="L300" s="12">
        <v>362.7</v>
      </c>
      <c r="M300" s="12">
        <v>3473.75</v>
      </c>
    </row>
    <row r="301" spans="2:13" ht="18.75" x14ac:dyDescent="0.25">
      <c r="B301" s="7" t="s">
        <v>15</v>
      </c>
      <c r="C301" s="7" t="s">
        <v>35</v>
      </c>
      <c r="D301" s="12">
        <v>22.256191000000001</v>
      </c>
      <c r="E301" s="7"/>
      <c r="F301" s="7"/>
      <c r="G301" s="7"/>
      <c r="H301" s="12">
        <v>106.082922</v>
      </c>
      <c r="I301" s="12">
        <v>211.20809399999999</v>
      </c>
      <c r="J301" s="12">
        <v>1258.54844</v>
      </c>
      <c r="K301" s="12">
        <v>4796.49</v>
      </c>
      <c r="L301" s="12">
        <v>2278.29</v>
      </c>
      <c r="M301" s="12">
        <v>21820.11</v>
      </c>
    </row>
    <row r="302" spans="2:13" ht="18.75" x14ac:dyDescent="0.25">
      <c r="B302" s="7" t="s">
        <v>15</v>
      </c>
      <c r="C302" s="7" t="s">
        <v>491</v>
      </c>
      <c r="D302" s="12">
        <v>3.5392589999999999</v>
      </c>
      <c r="E302" s="7"/>
      <c r="F302" s="7"/>
      <c r="G302" s="7"/>
      <c r="H302" s="12">
        <v>15.416779999999999</v>
      </c>
      <c r="I302" s="12">
        <v>21.074078</v>
      </c>
      <c r="J302" s="12">
        <v>48.774800999999997</v>
      </c>
      <c r="K302" s="12">
        <v>320.64</v>
      </c>
      <c r="L302" s="12">
        <v>152.30000000000001</v>
      </c>
      <c r="M302" s="12">
        <v>1458.65</v>
      </c>
    </row>
    <row r="303" spans="2:13" ht="18.75" x14ac:dyDescent="0.25">
      <c r="B303" s="7" t="s">
        <v>15</v>
      </c>
      <c r="C303" s="7" t="s">
        <v>488</v>
      </c>
      <c r="D303" s="12">
        <v>18.087208</v>
      </c>
      <c r="E303" s="7"/>
      <c r="F303" s="7"/>
      <c r="G303" s="7"/>
      <c r="H303" s="12">
        <v>110.795394</v>
      </c>
      <c r="I303" s="12">
        <v>165.37853100000001</v>
      </c>
      <c r="J303" s="12">
        <v>592.70736399999998</v>
      </c>
      <c r="K303" s="12">
        <v>2008.45</v>
      </c>
      <c r="L303" s="12">
        <v>954</v>
      </c>
      <c r="M303" s="12">
        <v>9136.82</v>
      </c>
    </row>
    <row r="304" spans="2:13" ht="18.75" x14ac:dyDescent="0.25">
      <c r="B304" s="7" t="s">
        <v>15</v>
      </c>
      <c r="C304" s="7" t="s">
        <v>514</v>
      </c>
      <c r="D304" s="12">
        <v>0.17961199999999999</v>
      </c>
      <c r="E304" s="7"/>
      <c r="F304" s="7"/>
      <c r="G304" s="7"/>
      <c r="H304" s="12">
        <v>0.34750500000000001</v>
      </c>
      <c r="I304" s="12">
        <v>0.92818900000000004</v>
      </c>
      <c r="J304" s="12">
        <v>4.4772150000000002</v>
      </c>
      <c r="K304" s="12">
        <v>17.829999999999998</v>
      </c>
      <c r="L304" s="12">
        <v>8.4700000000000006</v>
      </c>
      <c r="M304" s="12">
        <v>81.11</v>
      </c>
    </row>
    <row r="305" spans="2:13" ht="18.75" x14ac:dyDescent="0.25">
      <c r="B305" s="7" t="s">
        <v>15</v>
      </c>
      <c r="C305" s="7" t="s">
        <v>155</v>
      </c>
      <c r="D305" s="12">
        <v>8.7252489999999998</v>
      </c>
      <c r="E305" s="7"/>
      <c r="F305" s="7"/>
      <c r="G305" s="7"/>
      <c r="H305" s="12">
        <v>54.379460000000002</v>
      </c>
      <c r="I305" s="12">
        <v>101.347166</v>
      </c>
      <c r="J305" s="12">
        <v>370.01484799999997</v>
      </c>
      <c r="K305" s="12">
        <v>586.94000000000005</v>
      </c>
      <c r="L305" s="12">
        <v>278.79000000000002</v>
      </c>
      <c r="M305" s="12">
        <v>2670.09</v>
      </c>
    </row>
    <row r="306" spans="2:13" ht="18.75" x14ac:dyDescent="0.25">
      <c r="B306" s="7" t="s">
        <v>15</v>
      </c>
      <c r="C306" s="7" t="s">
        <v>508</v>
      </c>
      <c r="D306" s="12">
        <v>7.9032609999999996</v>
      </c>
      <c r="E306" s="7"/>
      <c r="F306" s="7"/>
      <c r="G306" s="7"/>
      <c r="H306" s="12">
        <v>29.496210000000001</v>
      </c>
      <c r="I306" s="12">
        <v>46.386113000000002</v>
      </c>
      <c r="J306" s="12">
        <v>129.26663300000001</v>
      </c>
      <c r="K306" s="12">
        <v>545.22</v>
      </c>
      <c r="L306" s="12">
        <v>258.97000000000003</v>
      </c>
      <c r="M306" s="12">
        <v>2480.29</v>
      </c>
    </row>
    <row r="307" spans="2:13" ht="18.75" x14ac:dyDescent="0.25">
      <c r="B307" s="7" t="s">
        <v>15</v>
      </c>
      <c r="C307" s="7" t="s">
        <v>99</v>
      </c>
      <c r="D307" s="12">
        <v>35.131928000000002</v>
      </c>
      <c r="E307" s="7"/>
      <c r="F307" s="7"/>
      <c r="G307" s="7"/>
      <c r="H307" s="12">
        <v>201.361242</v>
      </c>
      <c r="I307" s="12">
        <v>355.89427599999999</v>
      </c>
      <c r="J307" s="12">
        <v>1361.6404620000001</v>
      </c>
      <c r="K307" s="12">
        <v>4520.0600000000004</v>
      </c>
      <c r="L307" s="12">
        <v>2146.9899999999998</v>
      </c>
      <c r="M307" s="12">
        <v>20562.599999999999</v>
      </c>
    </row>
    <row r="308" spans="2:13" ht="18.75" x14ac:dyDescent="0.25">
      <c r="B308" s="7" t="s">
        <v>15</v>
      </c>
      <c r="C308" s="7" t="s">
        <v>512</v>
      </c>
      <c r="D308" s="12">
        <v>10.673188</v>
      </c>
      <c r="E308" s="7"/>
      <c r="F308" s="7"/>
      <c r="G308" s="7"/>
      <c r="H308" s="12">
        <v>203.817238</v>
      </c>
      <c r="I308" s="12">
        <v>427.84178900000001</v>
      </c>
      <c r="J308" s="12">
        <v>2239.860428</v>
      </c>
      <c r="K308" s="12">
        <v>1697.98</v>
      </c>
      <c r="L308" s="12">
        <v>806.53</v>
      </c>
      <c r="M308" s="12">
        <v>7724.43</v>
      </c>
    </row>
    <row r="309" spans="2:13" ht="18.75" x14ac:dyDescent="0.25">
      <c r="B309" s="7" t="s">
        <v>15</v>
      </c>
      <c r="C309" s="7" t="s">
        <v>220</v>
      </c>
      <c r="D309" s="12">
        <v>41.663812</v>
      </c>
      <c r="E309" s="7"/>
      <c r="F309" s="7"/>
      <c r="G309" s="7"/>
      <c r="H309" s="12">
        <v>220.69800000000001</v>
      </c>
      <c r="I309" s="12">
        <v>283.99471</v>
      </c>
      <c r="J309" s="12">
        <v>839.450063</v>
      </c>
      <c r="K309" s="12">
        <v>3214.96</v>
      </c>
      <c r="L309" s="12">
        <v>1527.08</v>
      </c>
      <c r="M309" s="12">
        <v>14625.44</v>
      </c>
    </row>
    <row r="310" spans="2:13" ht="18.75" x14ac:dyDescent="0.25">
      <c r="B310" s="7" t="s">
        <v>15</v>
      </c>
      <c r="C310" s="7" t="s">
        <v>214</v>
      </c>
      <c r="D310" s="12">
        <v>17.420437</v>
      </c>
      <c r="E310" s="7"/>
      <c r="F310" s="7"/>
      <c r="G310" s="7"/>
      <c r="H310" s="12">
        <v>111.28744399999999</v>
      </c>
      <c r="I310" s="12">
        <v>303.68813</v>
      </c>
      <c r="J310" s="12">
        <v>632.565833</v>
      </c>
      <c r="K310" s="12">
        <v>1230.3399999999999</v>
      </c>
      <c r="L310" s="12">
        <v>584.4</v>
      </c>
      <c r="M310" s="12">
        <v>5597.04</v>
      </c>
    </row>
    <row r="311" spans="2:13" ht="18.75" x14ac:dyDescent="0.25">
      <c r="B311" s="7" t="s">
        <v>15</v>
      </c>
      <c r="C311" s="7" t="s">
        <v>494</v>
      </c>
      <c r="D311" s="12">
        <v>21.638855</v>
      </c>
      <c r="E311" s="7"/>
      <c r="F311" s="7"/>
      <c r="G311" s="7"/>
      <c r="H311" s="12">
        <v>122.781469</v>
      </c>
      <c r="I311" s="12">
        <v>158.651342</v>
      </c>
      <c r="J311" s="12">
        <v>493.60942799999998</v>
      </c>
      <c r="K311" s="12">
        <v>2094.9</v>
      </c>
      <c r="L311" s="12">
        <v>995.06</v>
      </c>
      <c r="M311" s="12">
        <v>9530.08</v>
      </c>
    </row>
    <row r="312" spans="2:13" ht="18.75" x14ac:dyDescent="0.25">
      <c r="B312" s="7" t="s">
        <v>15</v>
      </c>
      <c r="C312" s="7" t="s">
        <v>146</v>
      </c>
      <c r="D312" s="12">
        <v>45.471522999999998</v>
      </c>
      <c r="E312" s="7"/>
      <c r="F312" s="7"/>
      <c r="G312" s="7"/>
      <c r="H312" s="12">
        <v>221.38888700000001</v>
      </c>
      <c r="I312" s="12">
        <v>454.94356499999998</v>
      </c>
      <c r="J312" s="12">
        <v>783.72962600000005</v>
      </c>
      <c r="K312" s="12">
        <v>2393.4899999999998</v>
      </c>
      <c r="L312" s="12">
        <v>1136.8900000000001</v>
      </c>
      <c r="M312" s="12">
        <v>10888.45</v>
      </c>
    </row>
    <row r="313" spans="2:13" ht="18.75" x14ac:dyDescent="0.25">
      <c r="B313" s="7" t="s">
        <v>15</v>
      </c>
      <c r="C313" s="7" t="s">
        <v>203</v>
      </c>
      <c r="D313" s="12">
        <v>0.50198299999999996</v>
      </c>
      <c r="E313" s="7"/>
      <c r="F313" s="7"/>
      <c r="G313" s="7"/>
      <c r="H313" s="12">
        <v>1.906398</v>
      </c>
      <c r="I313" s="12">
        <v>6.4316240000000002</v>
      </c>
      <c r="J313" s="12">
        <v>21.604129</v>
      </c>
      <c r="K313" s="12">
        <v>36.71</v>
      </c>
      <c r="L313" s="12">
        <v>17.440000000000001</v>
      </c>
      <c r="M313" s="12">
        <v>167.02</v>
      </c>
    </row>
    <row r="314" spans="2:13" ht="18.75" x14ac:dyDescent="0.25">
      <c r="B314" s="7" t="s">
        <v>15</v>
      </c>
      <c r="C314" s="7" t="s">
        <v>542</v>
      </c>
      <c r="D314" s="12">
        <v>3.2334420000000001</v>
      </c>
      <c r="E314" s="7"/>
      <c r="F314" s="7"/>
      <c r="G314" s="7"/>
      <c r="H314" s="12">
        <v>14.846156000000001</v>
      </c>
      <c r="I314" s="12">
        <v>133.62238500000001</v>
      </c>
      <c r="J314" s="12">
        <v>169.13832500000001</v>
      </c>
      <c r="K314" s="12">
        <v>316.94</v>
      </c>
      <c r="L314" s="12">
        <v>150.54</v>
      </c>
      <c r="M314" s="12">
        <v>1441.82</v>
      </c>
    </row>
    <row r="315" spans="2:13" ht="18.75" x14ac:dyDescent="0.25">
      <c r="B315" s="7" t="s">
        <v>15</v>
      </c>
      <c r="C315" s="7" t="s">
        <v>543</v>
      </c>
      <c r="D315" s="12">
        <v>0.30093500000000001</v>
      </c>
      <c r="E315" s="7"/>
      <c r="F315" s="7"/>
      <c r="G315" s="7"/>
      <c r="H315" s="12">
        <v>1.457705</v>
      </c>
      <c r="I315" s="12">
        <v>3.2600899999999999</v>
      </c>
      <c r="J315" s="12">
        <v>8.8348359999999992</v>
      </c>
      <c r="K315" s="12">
        <v>25.57</v>
      </c>
      <c r="L315" s="12">
        <v>12.14</v>
      </c>
      <c r="M315" s="12">
        <v>116.31</v>
      </c>
    </row>
    <row r="316" spans="2:13" ht="18.75" x14ac:dyDescent="0.25">
      <c r="B316" s="7" t="s">
        <v>15</v>
      </c>
      <c r="C316" s="7" t="s">
        <v>502</v>
      </c>
      <c r="D316" s="12">
        <v>16.91039</v>
      </c>
      <c r="E316" s="7"/>
      <c r="F316" s="7"/>
      <c r="G316" s="7"/>
      <c r="H316" s="12">
        <v>201.30634800000001</v>
      </c>
      <c r="I316" s="12">
        <v>183.00269700000001</v>
      </c>
      <c r="J316" s="12">
        <v>1254.452303</v>
      </c>
      <c r="K316" s="12">
        <v>2309.11</v>
      </c>
      <c r="L316" s="12">
        <v>1096.81</v>
      </c>
      <c r="M316" s="12">
        <v>10504.58</v>
      </c>
    </row>
    <row r="317" spans="2:13" ht="18.75" x14ac:dyDescent="0.25">
      <c r="B317" s="7" t="s">
        <v>15</v>
      </c>
      <c r="C317" s="7" t="s">
        <v>498</v>
      </c>
      <c r="D317" s="12">
        <v>0.86106899999999997</v>
      </c>
      <c r="E317" s="7"/>
      <c r="F317" s="7"/>
      <c r="G317" s="7"/>
      <c r="H317" s="12">
        <v>2.3783940000000001</v>
      </c>
      <c r="I317" s="12">
        <v>3.3397830000000002</v>
      </c>
      <c r="J317" s="12">
        <v>7.9017749999999998</v>
      </c>
      <c r="K317" s="12">
        <v>50.79</v>
      </c>
      <c r="L317" s="12">
        <v>24.13</v>
      </c>
      <c r="M317" s="12">
        <v>231.06</v>
      </c>
    </row>
    <row r="318" spans="2:13" ht="18.75" x14ac:dyDescent="0.25">
      <c r="B318" s="7" t="s">
        <v>15</v>
      </c>
      <c r="C318" s="7" t="s">
        <v>503</v>
      </c>
      <c r="D318" s="12">
        <v>9.2798060000000007</v>
      </c>
      <c r="E318" s="7"/>
      <c r="F318" s="7"/>
      <c r="G318" s="7"/>
      <c r="H318" s="12">
        <v>50.289757000000002</v>
      </c>
      <c r="I318" s="12">
        <v>54.176096000000001</v>
      </c>
      <c r="J318" s="12">
        <v>300.521321</v>
      </c>
      <c r="K318" s="12">
        <v>1372.19</v>
      </c>
      <c r="L318" s="12">
        <v>651.78</v>
      </c>
      <c r="M318" s="12">
        <v>6242.36</v>
      </c>
    </row>
    <row r="319" spans="2:13" ht="18.75" x14ac:dyDescent="0.25">
      <c r="B319" s="7" t="s">
        <v>15</v>
      </c>
      <c r="C319" s="7" t="s">
        <v>495</v>
      </c>
      <c r="D319" s="12">
        <v>152.375257</v>
      </c>
      <c r="E319" s="7"/>
      <c r="F319" s="7"/>
      <c r="G319" s="7"/>
      <c r="H319" s="12">
        <v>712.69414600000005</v>
      </c>
      <c r="I319" s="12">
        <v>1094.230303</v>
      </c>
      <c r="J319" s="12">
        <v>6069.2087519999995</v>
      </c>
      <c r="K319" s="12">
        <v>43061.1</v>
      </c>
      <c r="L319" s="12">
        <v>20453.64</v>
      </c>
      <c r="M319" s="12">
        <v>195892.94</v>
      </c>
    </row>
    <row r="320" spans="2:13" ht="18.75" x14ac:dyDescent="0.25">
      <c r="B320" s="7" t="s">
        <v>15</v>
      </c>
      <c r="C320" s="7" t="s">
        <v>544</v>
      </c>
      <c r="D320" s="12">
        <v>8.3406330000000004</v>
      </c>
      <c r="E320" s="7"/>
      <c r="F320" s="7"/>
      <c r="G320" s="7"/>
      <c r="H320" s="12">
        <v>74.754722999999998</v>
      </c>
      <c r="I320" s="12">
        <v>156.94899599999999</v>
      </c>
      <c r="J320" s="12">
        <v>801.59780799999999</v>
      </c>
      <c r="K320" s="12">
        <v>1452.34</v>
      </c>
      <c r="L320" s="12">
        <v>689.85</v>
      </c>
      <c r="M320" s="12">
        <v>6606.95</v>
      </c>
    </row>
    <row r="321" spans="2:13" ht="18.75" x14ac:dyDescent="0.25">
      <c r="B321" s="7" t="s">
        <v>15</v>
      </c>
      <c r="C321" s="7" t="s">
        <v>504</v>
      </c>
      <c r="D321" s="12">
        <v>19.915665000000001</v>
      </c>
      <c r="E321" s="7"/>
      <c r="F321" s="7"/>
      <c r="G321" s="7"/>
      <c r="H321" s="12">
        <v>105.74911899999999</v>
      </c>
      <c r="I321" s="12">
        <v>209.67329599999999</v>
      </c>
      <c r="J321" s="12">
        <v>645.78093699999999</v>
      </c>
      <c r="K321" s="12">
        <v>1982.46</v>
      </c>
      <c r="L321" s="12">
        <v>941.64</v>
      </c>
      <c r="M321" s="12">
        <v>9018.6200000000008</v>
      </c>
    </row>
    <row r="322" spans="2:13" ht="18.75" x14ac:dyDescent="0.25">
      <c r="B322" s="7" t="s">
        <v>15</v>
      </c>
      <c r="C322" s="7" t="s">
        <v>515</v>
      </c>
      <c r="D322" s="12">
        <v>9.7651199999999996</v>
      </c>
      <c r="E322" s="7"/>
      <c r="F322" s="7"/>
      <c r="G322" s="7"/>
      <c r="H322" s="12">
        <v>31.311349</v>
      </c>
      <c r="I322" s="12">
        <v>85.643844000000001</v>
      </c>
      <c r="J322" s="12">
        <v>211.09505899999999</v>
      </c>
      <c r="K322" s="12">
        <v>876.7</v>
      </c>
      <c r="L322" s="12">
        <v>416.43</v>
      </c>
      <c r="M322" s="12">
        <v>3988.28</v>
      </c>
    </row>
    <row r="323" spans="2:13" ht="18.75" x14ac:dyDescent="0.25">
      <c r="B323" s="7" t="s">
        <v>15</v>
      </c>
      <c r="C323" s="7" t="s">
        <v>505</v>
      </c>
      <c r="D323" s="12">
        <v>5.6112859999999998</v>
      </c>
      <c r="E323" s="7"/>
      <c r="F323" s="7"/>
      <c r="G323" s="7"/>
      <c r="H323" s="12">
        <v>20.106894</v>
      </c>
      <c r="I323" s="12">
        <v>37.169469999999997</v>
      </c>
      <c r="J323" s="12">
        <v>115.89008200000001</v>
      </c>
      <c r="K323" s="12">
        <v>488.5</v>
      </c>
      <c r="L323" s="12">
        <v>232.03</v>
      </c>
      <c r="M323" s="12">
        <v>2222.2600000000002</v>
      </c>
    </row>
    <row r="324" spans="2:13" ht="18.75" x14ac:dyDescent="0.25">
      <c r="B324" s="7" t="s">
        <v>15</v>
      </c>
      <c r="C324" s="7" t="s">
        <v>523</v>
      </c>
      <c r="D324" s="12">
        <v>1.57952</v>
      </c>
      <c r="E324" s="7"/>
      <c r="F324" s="7"/>
      <c r="G324" s="7"/>
      <c r="H324" s="12">
        <v>3.606001</v>
      </c>
      <c r="I324" s="12">
        <v>6.4183029999999999</v>
      </c>
      <c r="J324" s="12">
        <v>33.507618000000001</v>
      </c>
      <c r="K324" s="12">
        <v>295.97000000000003</v>
      </c>
      <c r="L324" s="12">
        <v>140.58000000000001</v>
      </c>
      <c r="M324" s="12">
        <v>1346.41</v>
      </c>
    </row>
    <row r="325" spans="2:13" ht="18.75" x14ac:dyDescent="0.25">
      <c r="B325" s="7" t="s">
        <v>15</v>
      </c>
      <c r="C325" s="7" t="s">
        <v>537</v>
      </c>
      <c r="D325" s="12">
        <v>1.4018120000000001</v>
      </c>
      <c r="E325" s="7"/>
      <c r="F325" s="7"/>
      <c r="G325" s="7"/>
      <c r="H325" s="12">
        <v>4.871829</v>
      </c>
      <c r="I325" s="12">
        <v>5.9871869999999996</v>
      </c>
      <c r="J325" s="12">
        <v>30.846236999999999</v>
      </c>
      <c r="K325" s="12">
        <v>206.38</v>
      </c>
      <c r="L325" s="12">
        <v>98.03</v>
      </c>
      <c r="M325" s="12">
        <v>938.87</v>
      </c>
    </row>
    <row r="326" spans="2:13" ht="18.75" x14ac:dyDescent="0.25">
      <c r="B326" s="7" t="s">
        <v>15</v>
      </c>
      <c r="C326" s="7" t="s">
        <v>115</v>
      </c>
      <c r="D326" s="12">
        <v>3.0830839999999999</v>
      </c>
      <c r="E326" s="7"/>
      <c r="F326" s="7"/>
      <c r="G326" s="7"/>
      <c r="H326" s="12">
        <v>19.322341999999999</v>
      </c>
      <c r="I326" s="12">
        <v>90.256302000000005</v>
      </c>
      <c r="J326" s="12">
        <v>405.86653999999999</v>
      </c>
      <c r="K326" s="12">
        <v>321.14999999999998</v>
      </c>
      <c r="L326" s="12">
        <v>152.54</v>
      </c>
      <c r="M326" s="12">
        <v>1460.98</v>
      </c>
    </row>
    <row r="327" spans="2:13" ht="18.75" x14ac:dyDescent="0.25">
      <c r="B327" s="7" t="s">
        <v>15</v>
      </c>
      <c r="C327" s="7" t="s">
        <v>518</v>
      </c>
      <c r="D327" s="12">
        <v>2.1904409999999999</v>
      </c>
      <c r="E327" s="7"/>
      <c r="F327" s="7"/>
      <c r="G327" s="7"/>
      <c r="H327" s="12">
        <v>84.595095999999998</v>
      </c>
      <c r="I327" s="12">
        <v>185.248232</v>
      </c>
      <c r="J327" s="12">
        <v>336.69296600000001</v>
      </c>
      <c r="K327" s="12">
        <v>233.21</v>
      </c>
      <c r="L327" s="12">
        <v>110.77</v>
      </c>
      <c r="M327" s="12">
        <v>1060.9100000000001</v>
      </c>
    </row>
    <row r="328" spans="2:13" ht="18.75" x14ac:dyDescent="0.25">
      <c r="B328" s="7" t="s">
        <v>15</v>
      </c>
      <c r="C328" s="7" t="s">
        <v>524</v>
      </c>
      <c r="D328" s="12">
        <v>4.7594349999999999</v>
      </c>
      <c r="E328" s="7"/>
      <c r="F328" s="7"/>
      <c r="G328" s="7"/>
      <c r="H328" s="12">
        <v>20.096160999999999</v>
      </c>
      <c r="I328" s="12">
        <v>34.191699</v>
      </c>
      <c r="J328" s="12">
        <v>276.76106900000002</v>
      </c>
      <c r="K328" s="12">
        <v>1091.32</v>
      </c>
      <c r="L328" s="12">
        <v>518.37</v>
      </c>
      <c r="M328" s="12">
        <v>4964.6099999999997</v>
      </c>
    </row>
    <row r="329" spans="2:13" ht="18.75" x14ac:dyDescent="0.25">
      <c r="B329" s="7" t="s">
        <v>15</v>
      </c>
      <c r="C329" s="7" t="s">
        <v>167</v>
      </c>
      <c r="D329" s="12">
        <v>21.123111999999999</v>
      </c>
      <c r="E329" s="7"/>
      <c r="F329" s="7"/>
      <c r="G329" s="7"/>
      <c r="H329" s="12">
        <v>96.619590000000002</v>
      </c>
      <c r="I329" s="12">
        <v>192.89378500000001</v>
      </c>
      <c r="J329" s="12">
        <v>561.53788599999996</v>
      </c>
      <c r="K329" s="12">
        <v>1743.69</v>
      </c>
      <c r="L329" s="12">
        <v>828.24</v>
      </c>
      <c r="M329" s="12">
        <v>7932.37</v>
      </c>
    </row>
    <row r="330" spans="2:13" ht="18.75" x14ac:dyDescent="0.25">
      <c r="B330" s="7" t="s">
        <v>15</v>
      </c>
      <c r="C330" s="7" t="s">
        <v>520</v>
      </c>
      <c r="D330" s="12">
        <v>2.3109630000000001</v>
      </c>
      <c r="E330" s="7"/>
      <c r="F330" s="7"/>
      <c r="G330" s="7"/>
      <c r="H330" s="12">
        <v>8.2068600000000007</v>
      </c>
      <c r="I330" s="12">
        <v>13.244806000000001</v>
      </c>
      <c r="J330" s="12">
        <v>28.621597999999999</v>
      </c>
      <c r="K330" s="12">
        <v>134.77000000000001</v>
      </c>
      <c r="L330" s="12">
        <v>64.010000000000005</v>
      </c>
      <c r="M330" s="12">
        <v>613.07000000000005</v>
      </c>
    </row>
    <row r="331" spans="2:13" ht="18.75" x14ac:dyDescent="0.25">
      <c r="B331" s="7" t="s">
        <v>15</v>
      </c>
      <c r="C331" s="7" t="s">
        <v>105</v>
      </c>
      <c r="D331" s="12">
        <v>5.819623</v>
      </c>
      <c r="E331" s="7"/>
      <c r="F331" s="7"/>
      <c r="G331" s="7"/>
      <c r="H331" s="12">
        <v>22.696147</v>
      </c>
      <c r="I331" s="12">
        <v>29.504881999999998</v>
      </c>
      <c r="J331" s="12">
        <v>98.676738</v>
      </c>
      <c r="K331" s="12">
        <v>484.92</v>
      </c>
      <c r="L331" s="12">
        <v>230.33</v>
      </c>
      <c r="M331" s="12">
        <v>2205.98</v>
      </c>
    </row>
    <row r="332" spans="2:13" ht="18.75" x14ac:dyDescent="0.25">
      <c r="B332" s="7" t="s">
        <v>15</v>
      </c>
      <c r="C332" s="7" t="s">
        <v>114</v>
      </c>
      <c r="D332" s="12">
        <v>4.7556370000000001</v>
      </c>
      <c r="E332" s="7"/>
      <c r="F332" s="7"/>
      <c r="G332" s="7"/>
      <c r="H332" s="12">
        <v>24.936553</v>
      </c>
      <c r="I332" s="12">
        <v>40.318311000000001</v>
      </c>
      <c r="J332" s="12">
        <v>106.012787</v>
      </c>
      <c r="K332" s="12">
        <v>407.92</v>
      </c>
      <c r="L332" s="12">
        <v>193.76</v>
      </c>
      <c r="M332" s="12">
        <v>1855.72</v>
      </c>
    </row>
    <row r="333" spans="2:13" ht="18.75" x14ac:dyDescent="0.25">
      <c r="B333" s="7" t="s">
        <v>15</v>
      </c>
      <c r="C333" s="7" t="s">
        <v>527</v>
      </c>
      <c r="D333" s="12">
        <v>12.542325999999999</v>
      </c>
      <c r="E333" s="7"/>
      <c r="F333" s="7"/>
      <c r="G333" s="7"/>
      <c r="H333" s="12">
        <v>79.804784999999995</v>
      </c>
      <c r="I333" s="12">
        <v>62.622439999999997</v>
      </c>
      <c r="J333" s="12">
        <v>346.94981000000001</v>
      </c>
      <c r="K333" s="12">
        <v>1042.44</v>
      </c>
      <c r="L333" s="12">
        <v>495.15</v>
      </c>
      <c r="M333" s="12">
        <v>4742.24</v>
      </c>
    </row>
    <row r="334" spans="2:13" ht="18.75" x14ac:dyDescent="0.25">
      <c r="B334" s="7" t="s">
        <v>15</v>
      </c>
      <c r="C334" s="7" t="s">
        <v>216</v>
      </c>
      <c r="D334" s="12">
        <v>11.265123000000001</v>
      </c>
      <c r="E334" s="7"/>
      <c r="F334" s="7"/>
      <c r="G334" s="7"/>
      <c r="H334" s="12">
        <v>63.867902000000001</v>
      </c>
      <c r="I334" s="12">
        <v>118.38837100000001</v>
      </c>
      <c r="J334" s="12">
        <v>219.81659099999999</v>
      </c>
      <c r="K334" s="12">
        <v>800.9</v>
      </c>
      <c r="L334" s="12">
        <v>380.42</v>
      </c>
      <c r="M334" s="12">
        <v>3643.43</v>
      </c>
    </row>
    <row r="335" spans="2:13" ht="18.75" x14ac:dyDescent="0.25">
      <c r="B335" s="7" t="s">
        <v>15</v>
      </c>
      <c r="C335" s="7" t="s">
        <v>528</v>
      </c>
      <c r="D335" s="12">
        <v>1.89818</v>
      </c>
      <c r="E335" s="7"/>
      <c r="F335" s="7"/>
      <c r="G335" s="7"/>
      <c r="H335" s="12">
        <v>32.202148000000001</v>
      </c>
      <c r="I335" s="12">
        <v>38.676642000000001</v>
      </c>
      <c r="J335" s="12">
        <v>294.89231899999999</v>
      </c>
      <c r="K335" s="12">
        <v>216.69</v>
      </c>
      <c r="L335" s="12">
        <v>102.93</v>
      </c>
      <c r="M335" s="12">
        <v>985.77</v>
      </c>
    </row>
    <row r="336" spans="2:13" ht="18.75" x14ac:dyDescent="0.25">
      <c r="B336" s="7" t="s">
        <v>15</v>
      </c>
      <c r="C336" s="7" t="s">
        <v>529</v>
      </c>
      <c r="D336" s="12">
        <v>4.6888880000000004</v>
      </c>
      <c r="E336" s="7"/>
      <c r="F336" s="7"/>
      <c r="G336" s="7"/>
      <c r="H336" s="12">
        <v>60.704940000000001</v>
      </c>
      <c r="I336" s="12">
        <v>20.488963999999999</v>
      </c>
      <c r="J336" s="12">
        <v>255.966013</v>
      </c>
      <c r="K336" s="12">
        <v>692.14</v>
      </c>
      <c r="L336" s="12">
        <v>328.76</v>
      </c>
      <c r="M336" s="12">
        <v>3148.69</v>
      </c>
    </row>
    <row r="337" spans="2:13" ht="18.75" x14ac:dyDescent="0.25">
      <c r="B337" s="7" t="s">
        <v>15</v>
      </c>
      <c r="C337" s="7" t="s">
        <v>507</v>
      </c>
      <c r="D337" s="12">
        <v>0.73806000000000005</v>
      </c>
      <c r="E337" s="7"/>
      <c r="F337" s="7"/>
      <c r="G337" s="7"/>
      <c r="H337" s="12">
        <v>3.3984800000000002</v>
      </c>
      <c r="I337" s="12">
        <v>3.6002580000000002</v>
      </c>
      <c r="J337" s="12">
        <v>14.389754</v>
      </c>
      <c r="K337" s="12">
        <v>64.150000000000006</v>
      </c>
      <c r="L337" s="12">
        <v>30.47</v>
      </c>
      <c r="M337" s="12">
        <v>291.81</v>
      </c>
    </row>
    <row r="338" spans="2:13" ht="18.75" x14ac:dyDescent="0.25">
      <c r="B338" s="7" t="s">
        <v>15</v>
      </c>
      <c r="C338" s="7" t="s">
        <v>530</v>
      </c>
      <c r="D338" s="12">
        <v>1.2178929999999999</v>
      </c>
      <c r="E338" s="7"/>
      <c r="F338" s="7"/>
      <c r="G338" s="7"/>
      <c r="H338" s="12">
        <v>4.7587159999999997</v>
      </c>
      <c r="I338" s="12">
        <v>9.4421839999999992</v>
      </c>
      <c r="J338" s="12">
        <v>27.604624000000001</v>
      </c>
      <c r="K338" s="12">
        <v>67.739999999999995</v>
      </c>
      <c r="L338" s="12">
        <v>32.18</v>
      </c>
      <c r="M338" s="12">
        <v>308.17</v>
      </c>
    </row>
    <row r="339" spans="2:13" ht="18.75" x14ac:dyDescent="0.25">
      <c r="B339" s="7" t="s">
        <v>15</v>
      </c>
      <c r="C339" s="7" t="s">
        <v>531</v>
      </c>
      <c r="D339" s="12">
        <v>4.3856770000000003</v>
      </c>
      <c r="E339" s="7"/>
      <c r="F339" s="7"/>
      <c r="G339" s="7"/>
      <c r="H339" s="12">
        <v>12.94449</v>
      </c>
      <c r="I339" s="12">
        <v>26.507228000000001</v>
      </c>
      <c r="J339" s="12">
        <v>50.956555999999999</v>
      </c>
      <c r="K339" s="12">
        <v>355.1</v>
      </c>
      <c r="L339" s="12">
        <v>168.67</v>
      </c>
      <c r="M339" s="12">
        <v>1615.4</v>
      </c>
    </row>
    <row r="340" spans="2:13" ht="18.75" x14ac:dyDescent="0.25">
      <c r="B340" s="7" t="s">
        <v>15</v>
      </c>
      <c r="C340" s="7" t="s">
        <v>496</v>
      </c>
      <c r="D340" s="12">
        <v>0.27779599999999999</v>
      </c>
      <c r="E340" s="7"/>
      <c r="F340" s="7"/>
      <c r="G340" s="7"/>
      <c r="H340" s="12">
        <v>1.4416770000000001</v>
      </c>
      <c r="I340" s="12">
        <v>4.3102270000000003</v>
      </c>
      <c r="J340" s="12">
        <v>7.1218370000000002</v>
      </c>
      <c r="K340" s="12">
        <v>16.559999999999999</v>
      </c>
      <c r="L340" s="12">
        <v>7.87</v>
      </c>
      <c r="M340" s="12">
        <v>75.34</v>
      </c>
    </row>
    <row r="341" spans="2:13" ht="18.75" x14ac:dyDescent="0.25">
      <c r="B341" s="7" t="s">
        <v>15</v>
      </c>
      <c r="C341" s="7" t="s">
        <v>497</v>
      </c>
      <c r="D341" s="12">
        <v>1.1247069999999999</v>
      </c>
      <c r="E341" s="7"/>
      <c r="F341" s="7"/>
      <c r="G341" s="7"/>
      <c r="H341" s="12">
        <v>2.8832599999999999</v>
      </c>
      <c r="I341" s="12">
        <v>9.3737259999999996</v>
      </c>
      <c r="J341" s="12">
        <v>20.687412999999999</v>
      </c>
      <c r="K341" s="12">
        <v>93.39</v>
      </c>
      <c r="L341" s="12">
        <v>44.36</v>
      </c>
      <c r="M341" s="12">
        <v>424.85</v>
      </c>
    </row>
    <row r="342" spans="2:13" ht="18.75" x14ac:dyDescent="0.25">
      <c r="B342" s="7" t="s">
        <v>15</v>
      </c>
      <c r="C342" s="7" t="s">
        <v>84</v>
      </c>
      <c r="D342" s="12">
        <v>57.338845999999997</v>
      </c>
      <c r="E342" s="7"/>
      <c r="F342" s="7"/>
      <c r="G342" s="7"/>
      <c r="H342" s="12">
        <v>340.039061</v>
      </c>
      <c r="I342" s="12">
        <v>555.59260300000005</v>
      </c>
      <c r="J342" s="12">
        <v>1531.9918909999999</v>
      </c>
      <c r="K342" s="12">
        <v>4557.2700000000004</v>
      </c>
      <c r="L342" s="12">
        <v>2164.66</v>
      </c>
      <c r="M342" s="12">
        <v>20731.87</v>
      </c>
    </row>
    <row r="343" spans="2:13" ht="18.75" x14ac:dyDescent="0.25">
      <c r="B343" s="7" t="s">
        <v>15</v>
      </c>
      <c r="C343" s="7" t="s">
        <v>516</v>
      </c>
      <c r="D343" s="12">
        <v>2.9408180000000002</v>
      </c>
      <c r="E343" s="7"/>
      <c r="F343" s="7"/>
      <c r="G343" s="7"/>
      <c r="H343" s="12">
        <v>9.0745760000000004</v>
      </c>
      <c r="I343" s="12">
        <v>14.471841</v>
      </c>
      <c r="J343" s="12">
        <v>86.889404999999996</v>
      </c>
      <c r="K343" s="12">
        <v>428.47</v>
      </c>
      <c r="L343" s="12">
        <v>203.52</v>
      </c>
      <c r="M343" s="12">
        <v>1949.2</v>
      </c>
    </row>
    <row r="344" spans="2:13" ht="18.75" x14ac:dyDescent="0.25">
      <c r="B344" s="7" t="s">
        <v>15</v>
      </c>
      <c r="C344" s="7" t="s">
        <v>517</v>
      </c>
      <c r="D344" s="12">
        <v>1.0267379999999999</v>
      </c>
      <c r="E344" s="7"/>
      <c r="F344" s="7"/>
      <c r="G344" s="7"/>
      <c r="H344" s="12">
        <v>4.2440870000000004</v>
      </c>
      <c r="I344" s="12">
        <v>11.556376</v>
      </c>
      <c r="J344" s="12">
        <v>20.555076</v>
      </c>
      <c r="K344" s="12">
        <v>52.35</v>
      </c>
      <c r="L344" s="12">
        <v>24.87</v>
      </c>
      <c r="M344" s="12">
        <v>238.17</v>
      </c>
    </row>
    <row r="345" spans="2:13" ht="18.75" x14ac:dyDescent="0.25">
      <c r="B345" s="7" t="s">
        <v>15</v>
      </c>
      <c r="C345" s="7" t="s">
        <v>510</v>
      </c>
      <c r="D345" s="12">
        <v>0.45115</v>
      </c>
      <c r="E345" s="7"/>
      <c r="F345" s="7"/>
      <c r="G345" s="7"/>
      <c r="H345" s="12">
        <v>2.3499430000000001</v>
      </c>
      <c r="I345" s="12">
        <v>5.5100550000000004</v>
      </c>
      <c r="J345" s="12">
        <v>42.436718999999997</v>
      </c>
      <c r="K345" s="12">
        <v>52.52</v>
      </c>
      <c r="L345" s="12">
        <v>24.95</v>
      </c>
      <c r="M345" s="12">
        <v>238.91</v>
      </c>
    </row>
    <row r="346" spans="2:13" ht="18.75" x14ac:dyDescent="0.25">
      <c r="B346" s="7" t="s">
        <v>15</v>
      </c>
      <c r="C346" s="7" t="s">
        <v>522</v>
      </c>
      <c r="D346" s="12">
        <v>7.2739989999999999</v>
      </c>
      <c r="E346" s="7"/>
      <c r="F346" s="7"/>
      <c r="G346" s="7"/>
      <c r="H346" s="12">
        <v>32.971099000000002</v>
      </c>
      <c r="I346" s="12">
        <v>41.233629000000001</v>
      </c>
      <c r="J346" s="12">
        <v>306.19496600000002</v>
      </c>
      <c r="K346" s="12">
        <v>887.74</v>
      </c>
      <c r="L346" s="12">
        <v>421.67</v>
      </c>
      <c r="M346" s="12">
        <v>4038.49</v>
      </c>
    </row>
    <row r="347" spans="2:13" ht="18.75" x14ac:dyDescent="0.25">
      <c r="B347" s="7" t="s">
        <v>15</v>
      </c>
      <c r="C347" s="7" t="s">
        <v>519</v>
      </c>
      <c r="D347" s="12">
        <v>2.1291180000000001</v>
      </c>
      <c r="E347" s="7"/>
      <c r="F347" s="7"/>
      <c r="G347" s="7"/>
      <c r="H347" s="12">
        <v>19.248477999999999</v>
      </c>
      <c r="I347" s="12">
        <v>24.414584999999999</v>
      </c>
      <c r="J347" s="12">
        <v>15.167498999999999</v>
      </c>
      <c r="K347" s="12">
        <v>26.19</v>
      </c>
      <c r="L347" s="12">
        <v>12.44</v>
      </c>
      <c r="M347" s="12">
        <v>119.16</v>
      </c>
    </row>
    <row r="348" spans="2:13" ht="18.75" x14ac:dyDescent="0.25">
      <c r="B348" s="7" t="s">
        <v>15</v>
      </c>
      <c r="C348" s="7" t="s">
        <v>511</v>
      </c>
      <c r="D348" s="12">
        <v>5.3299310000000002</v>
      </c>
      <c r="E348" s="7"/>
      <c r="F348" s="7"/>
      <c r="G348" s="7"/>
      <c r="H348" s="12">
        <v>16.651478999999998</v>
      </c>
      <c r="I348" s="12">
        <v>28.044201999999999</v>
      </c>
      <c r="J348" s="12">
        <v>101.127077</v>
      </c>
      <c r="K348" s="12">
        <v>467.97</v>
      </c>
      <c r="L348" s="12">
        <v>222.28</v>
      </c>
      <c r="M348" s="12">
        <v>2128.88</v>
      </c>
    </row>
    <row r="349" spans="2:13" ht="18.75" x14ac:dyDescent="0.25">
      <c r="B349" s="7" t="s">
        <v>15</v>
      </c>
      <c r="C349" s="7" t="s">
        <v>208</v>
      </c>
      <c r="D349" s="12">
        <v>32.238081999999999</v>
      </c>
      <c r="E349" s="7"/>
      <c r="F349" s="7"/>
      <c r="G349" s="7"/>
      <c r="H349" s="12">
        <v>187.55241799999999</v>
      </c>
      <c r="I349" s="12">
        <v>383.32914399999999</v>
      </c>
      <c r="J349" s="12">
        <v>1068.6207400000001</v>
      </c>
      <c r="K349" s="12">
        <v>2510.04</v>
      </c>
      <c r="L349" s="12">
        <v>1192.25</v>
      </c>
      <c r="M349" s="12">
        <v>11418.65</v>
      </c>
    </row>
    <row r="350" spans="2:13" ht="18.75" x14ac:dyDescent="0.25">
      <c r="B350" s="7" t="s">
        <v>15</v>
      </c>
      <c r="C350" s="7" t="s">
        <v>548</v>
      </c>
      <c r="D350" s="12">
        <v>13.285537</v>
      </c>
      <c r="E350" s="7"/>
      <c r="F350" s="7"/>
      <c r="G350" s="7"/>
      <c r="H350" s="12">
        <v>95.248818</v>
      </c>
      <c r="I350" s="12">
        <v>99.405703000000003</v>
      </c>
      <c r="J350" s="12">
        <v>693.54908899999998</v>
      </c>
      <c r="K350" s="12">
        <v>1785.79</v>
      </c>
      <c r="L350" s="12">
        <v>848.23</v>
      </c>
      <c r="M350" s="12">
        <v>8123.89</v>
      </c>
    </row>
    <row r="351" spans="2:13" ht="18.75" x14ac:dyDescent="0.25">
      <c r="B351" s="7" t="s">
        <v>15</v>
      </c>
      <c r="C351" s="7" t="s">
        <v>499</v>
      </c>
      <c r="D351" s="12">
        <v>3.1076030000000001</v>
      </c>
      <c r="E351" s="7"/>
      <c r="F351" s="7"/>
      <c r="G351" s="7"/>
      <c r="H351" s="12">
        <v>4.792389</v>
      </c>
      <c r="I351" s="12">
        <v>15.563480999999999</v>
      </c>
      <c r="J351" s="12">
        <v>79.418892999999997</v>
      </c>
      <c r="K351" s="12">
        <v>364.86</v>
      </c>
      <c r="L351" s="12">
        <v>173.31</v>
      </c>
      <c r="M351" s="12">
        <v>1659.83</v>
      </c>
    </row>
    <row r="352" spans="2:13" ht="18.75" x14ac:dyDescent="0.25">
      <c r="B352" s="7" t="s">
        <v>15</v>
      </c>
      <c r="C352" s="7" t="s">
        <v>500</v>
      </c>
      <c r="D352" s="12">
        <v>25.486630999999999</v>
      </c>
      <c r="E352" s="7"/>
      <c r="F352" s="7"/>
      <c r="G352" s="7"/>
      <c r="H352" s="12">
        <v>114.364761</v>
      </c>
      <c r="I352" s="12">
        <v>198.82684800000001</v>
      </c>
      <c r="J352" s="12">
        <v>422.28358700000001</v>
      </c>
      <c r="K352" s="12">
        <v>1483.88</v>
      </c>
      <c r="L352" s="12">
        <v>704.83</v>
      </c>
      <c r="M352" s="12">
        <v>6750.43</v>
      </c>
    </row>
    <row r="353" spans="2:13" ht="18.75" x14ac:dyDescent="0.25">
      <c r="B353" s="7" t="s">
        <v>15</v>
      </c>
      <c r="C353" s="7" t="s">
        <v>501</v>
      </c>
      <c r="D353" s="12">
        <v>9.1929999999999998E-3</v>
      </c>
      <c r="E353" s="7"/>
      <c r="F353" s="7"/>
      <c r="G353" s="7"/>
      <c r="H353" s="12">
        <v>1.9231000000000002E-2</v>
      </c>
      <c r="I353" s="12">
        <v>3.3390000000000003E-2</v>
      </c>
      <c r="J353" s="12">
        <v>0.24612700000000001</v>
      </c>
      <c r="K353" s="12">
        <v>0.9</v>
      </c>
      <c r="L353" s="12">
        <v>0.43</v>
      </c>
      <c r="M353" s="12">
        <v>4.08</v>
      </c>
    </row>
    <row r="354" spans="2:13" ht="18.75" x14ac:dyDescent="0.25">
      <c r="B354" s="7" t="s">
        <v>15</v>
      </c>
      <c r="C354" s="7" t="s">
        <v>525</v>
      </c>
      <c r="D354" s="12">
        <v>3.809539</v>
      </c>
      <c r="E354" s="7"/>
      <c r="F354" s="7"/>
      <c r="G354" s="7"/>
      <c r="H354" s="12">
        <v>13.433066</v>
      </c>
      <c r="I354" s="12">
        <v>32.786423999999997</v>
      </c>
      <c r="J354" s="12">
        <v>76.074967000000001</v>
      </c>
      <c r="K354" s="12">
        <v>315.74</v>
      </c>
      <c r="L354" s="12">
        <v>149.97</v>
      </c>
      <c r="M354" s="12">
        <v>1436.35</v>
      </c>
    </row>
    <row r="355" spans="2:13" ht="18.75" x14ac:dyDescent="0.25">
      <c r="B355" s="7" t="s">
        <v>15</v>
      </c>
      <c r="C355" s="7" t="s">
        <v>526</v>
      </c>
      <c r="D355" s="12">
        <v>5.8113099999999998</v>
      </c>
      <c r="E355" s="7"/>
      <c r="F355" s="7"/>
      <c r="G355" s="7"/>
      <c r="H355" s="12">
        <v>24.15859</v>
      </c>
      <c r="I355" s="12">
        <v>150.084292</v>
      </c>
      <c r="J355" s="12">
        <v>202.119012</v>
      </c>
      <c r="K355" s="12">
        <v>404.02</v>
      </c>
      <c r="L355" s="12">
        <v>191.91</v>
      </c>
      <c r="M355" s="12">
        <v>1837.96</v>
      </c>
    </row>
    <row r="356" spans="2:13" ht="18.75" x14ac:dyDescent="0.25">
      <c r="B356" s="7" t="s">
        <v>15</v>
      </c>
      <c r="C356" s="7" t="s">
        <v>545</v>
      </c>
      <c r="D356" s="12">
        <v>25.813141000000002</v>
      </c>
      <c r="E356" s="7"/>
      <c r="F356" s="7"/>
      <c r="G356" s="7"/>
      <c r="H356" s="12">
        <v>79.425410999999997</v>
      </c>
      <c r="I356" s="12">
        <v>153.31467699999999</v>
      </c>
      <c r="J356" s="12">
        <v>1870.738443</v>
      </c>
      <c r="K356" s="12">
        <v>22782.91</v>
      </c>
      <c r="L356" s="12">
        <v>10821.68</v>
      </c>
      <c r="M356" s="12">
        <v>103643.68</v>
      </c>
    </row>
    <row r="357" spans="2:13" ht="18.75" x14ac:dyDescent="0.25">
      <c r="B357" s="7" t="s">
        <v>15</v>
      </c>
      <c r="C357" s="7" t="s">
        <v>513</v>
      </c>
      <c r="D357" s="12">
        <v>0.10448</v>
      </c>
      <c r="E357" s="7"/>
      <c r="F357" s="7"/>
      <c r="G357" s="7"/>
      <c r="H357" s="12">
        <v>0.69681899999999997</v>
      </c>
      <c r="I357" s="12">
        <v>1.1904330000000001</v>
      </c>
      <c r="J357" s="12">
        <v>6.5981420000000002</v>
      </c>
      <c r="K357" s="12">
        <v>9.8699999999999992</v>
      </c>
      <c r="L357" s="12">
        <v>4.6900000000000004</v>
      </c>
      <c r="M357" s="12">
        <v>44.89</v>
      </c>
    </row>
    <row r="358" spans="2:13" ht="18.75" x14ac:dyDescent="0.25">
      <c r="B358" s="7" t="s">
        <v>15</v>
      </c>
      <c r="C358" s="7" t="s">
        <v>546</v>
      </c>
      <c r="D358" s="12">
        <v>20.769546999999999</v>
      </c>
      <c r="E358" s="7"/>
      <c r="F358" s="7"/>
      <c r="G358" s="7"/>
      <c r="H358" s="12">
        <v>202.70233400000001</v>
      </c>
      <c r="I358" s="12">
        <v>312.638552</v>
      </c>
      <c r="J358" s="12">
        <v>1012.212463</v>
      </c>
      <c r="K358" s="12">
        <v>1424.69</v>
      </c>
      <c r="L358" s="12">
        <v>676.72</v>
      </c>
      <c r="M358" s="12">
        <v>6481.19</v>
      </c>
    </row>
    <row r="359" spans="2:13" ht="18.75" x14ac:dyDescent="0.25">
      <c r="B359" s="7" t="s">
        <v>15</v>
      </c>
      <c r="C359" s="7" t="s">
        <v>70</v>
      </c>
      <c r="D359" s="12">
        <v>24.338646000000001</v>
      </c>
      <c r="E359" s="7"/>
      <c r="F359" s="7"/>
      <c r="G359" s="7"/>
      <c r="H359" s="12">
        <v>237.875711</v>
      </c>
      <c r="I359" s="12">
        <v>447.154426</v>
      </c>
      <c r="J359" s="12">
        <v>2951.5883690000001</v>
      </c>
      <c r="K359" s="12">
        <v>4575.1899999999996</v>
      </c>
      <c r="L359" s="12">
        <v>2173.1799999999998</v>
      </c>
      <c r="M359" s="12">
        <v>20813.39</v>
      </c>
    </row>
    <row r="360" spans="2:13" ht="18.75" x14ac:dyDescent="0.25">
      <c r="B360" s="7" t="s">
        <v>15</v>
      </c>
      <c r="C360" s="7" t="s">
        <v>212</v>
      </c>
      <c r="D360" s="12">
        <v>6.4661479999999996</v>
      </c>
      <c r="E360" s="7"/>
      <c r="F360" s="7"/>
      <c r="G360" s="7"/>
      <c r="H360" s="12">
        <v>45.707689999999999</v>
      </c>
      <c r="I360" s="12">
        <v>514.88034100000004</v>
      </c>
      <c r="J360" s="12">
        <v>229.63082</v>
      </c>
      <c r="K360" s="12">
        <v>438.32</v>
      </c>
      <c r="L360" s="12">
        <v>208.2</v>
      </c>
      <c r="M360" s="12">
        <v>1994.02</v>
      </c>
    </row>
    <row r="361" spans="2:13" ht="18.75" x14ac:dyDescent="0.25">
      <c r="B361" s="7" t="s">
        <v>15</v>
      </c>
      <c r="C361" s="7" t="s">
        <v>547</v>
      </c>
      <c r="D361" s="12">
        <v>3.1659389999999998</v>
      </c>
      <c r="E361" s="7"/>
      <c r="F361" s="7"/>
      <c r="G361" s="7"/>
      <c r="H361" s="12">
        <v>15.717104000000001</v>
      </c>
      <c r="I361" s="12">
        <v>28.713864999999998</v>
      </c>
      <c r="J361" s="12">
        <v>90.606139999999996</v>
      </c>
      <c r="K361" s="12">
        <v>322.07</v>
      </c>
      <c r="L361" s="12">
        <v>152.97999999999999</v>
      </c>
      <c r="M361" s="12">
        <v>1465.15</v>
      </c>
    </row>
    <row r="362" spans="2:13" ht="18.75" x14ac:dyDescent="0.25">
      <c r="B362" s="7" t="s">
        <v>15</v>
      </c>
      <c r="C362" s="7" t="s">
        <v>538</v>
      </c>
      <c r="D362" s="12">
        <v>7.212618</v>
      </c>
      <c r="E362" s="7"/>
      <c r="F362" s="7"/>
      <c r="G362" s="7"/>
      <c r="H362" s="12">
        <v>29.153943000000002</v>
      </c>
      <c r="I362" s="12">
        <v>27.686921999999999</v>
      </c>
      <c r="J362" s="12">
        <v>215.29581099999999</v>
      </c>
      <c r="K362" s="12">
        <v>1155.5899999999999</v>
      </c>
      <c r="L362" s="12">
        <v>548.9</v>
      </c>
      <c r="M362" s="12">
        <v>5257.01</v>
      </c>
    </row>
    <row r="363" spans="2:13" ht="18.75" x14ac:dyDescent="0.25">
      <c r="B363" s="7" t="s">
        <v>15</v>
      </c>
      <c r="C363" s="7" t="s">
        <v>539</v>
      </c>
      <c r="D363" s="12">
        <v>21.385587000000001</v>
      </c>
      <c r="E363" s="7"/>
      <c r="F363" s="7"/>
      <c r="G363" s="7"/>
      <c r="H363" s="12">
        <v>120.127736</v>
      </c>
      <c r="I363" s="12">
        <v>173.351113</v>
      </c>
      <c r="J363" s="12">
        <v>392.12817899999999</v>
      </c>
      <c r="K363" s="12">
        <v>1334.37</v>
      </c>
      <c r="L363" s="12">
        <v>633.82000000000005</v>
      </c>
      <c r="M363" s="12">
        <v>6070.32</v>
      </c>
    </row>
    <row r="364" spans="2:13" ht="18.75" x14ac:dyDescent="0.25">
      <c r="B364" s="7" t="s">
        <v>15</v>
      </c>
      <c r="C364" s="7" t="s">
        <v>540</v>
      </c>
      <c r="D364" s="12">
        <v>2.059447</v>
      </c>
      <c r="E364" s="7"/>
      <c r="F364" s="7"/>
      <c r="G364" s="7"/>
      <c r="H364" s="12">
        <v>20.608314</v>
      </c>
      <c r="I364" s="12">
        <v>11.800041</v>
      </c>
      <c r="J364" s="12">
        <v>48.789816000000002</v>
      </c>
      <c r="K364" s="12">
        <v>140.97999999999999</v>
      </c>
      <c r="L364" s="12">
        <v>66.959999999999994</v>
      </c>
      <c r="M364" s="12">
        <v>641.34</v>
      </c>
    </row>
    <row r="365" spans="2:13" ht="18.75" x14ac:dyDescent="0.25">
      <c r="B365" s="7" t="s">
        <v>15</v>
      </c>
      <c r="C365" s="7" t="s">
        <v>152</v>
      </c>
      <c r="D365" s="12">
        <v>21.401309999999999</v>
      </c>
      <c r="E365" s="7"/>
      <c r="F365" s="7"/>
      <c r="G365" s="7"/>
      <c r="H365" s="12">
        <v>111.048541</v>
      </c>
      <c r="I365" s="12">
        <v>188.854187</v>
      </c>
      <c r="J365" s="12">
        <v>751.11045300000001</v>
      </c>
      <c r="K365" s="12">
        <v>1653.01</v>
      </c>
      <c r="L365" s="12">
        <v>785.16</v>
      </c>
      <c r="M365" s="12">
        <v>7519.84</v>
      </c>
    </row>
    <row r="366" spans="2:13" ht="18.75" x14ac:dyDescent="0.25">
      <c r="B366" s="7" t="s">
        <v>15</v>
      </c>
      <c r="C366" s="7" t="s">
        <v>541</v>
      </c>
      <c r="D366" s="12">
        <v>2.720853</v>
      </c>
      <c r="E366" s="7"/>
      <c r="F366" s="7"/>
      <c r="G366" s="7"/>
      <c r="H366" s="12">
        <v>18.380893</v>
      </c>
      <c r="I366" s="12">
        <v>29.209996</v>
      </c>
      <c r="J366" s="12">
        <v>37.526763000000003</v>
      </c>
      <c r="K366" s="12">
        <v>96.01</v>
      </c>
      <c r="L366" s="12">
        <v>45.6</v>
      </c>
      <c r="M366" s="12">
        <v>436.75</v>
      </c>
    </row>
    <row r="367" spans="2:13" ht="18.75" x14ac:dyDescent="0.25">
      <c r="B367" s="7" t="s">
        <v>15</v>
      </c>
      <c r="C367" s="7" t="s">
        <v>129</v>
      </c>
      <c r="D367" s="12">
        <v>9.2033210000000008</v>
      </c>
      <c r="E367" s="7"/>
      <c r="F367" s="7"/>
      <c r="G367" s="7"/>
      <c r="H367" s="12">
        <v>96.238050999999999</v>
      </c>
      <c r="I367" s="12">
        <v>124.128788</v>
      </c>
      <c r="J367" s="12">
        <v>743.57670599999994</v>
      </c>
      <c r="K367" s="12">
        <v>784.98</v>
      </c>
      <c r="L367" s="12">
        <v>372.86</v>
      </c>
      <c r="M367" s="12">
        <v>3571.04</v>
      </c>
    </row>
    <row r="368" spans="2:13" ht="18.75" x14ac:dyDescent="0.25">
      <c r="B368" s="7" t="s">
        <v>15</v>
      </c>
      <c r="C368" s="7" t="s">
        <v>532</v>
      </c>
      <c r="D368" s="12">
        <v>6.801164</v>
      </c>
      <c r="E368" s="7"/>
      <c r="F368" s="7"/>
      <c r="G368" s="7"/>
      <c r="H368" s="12">
        <v>39.841963999999997</v>
      </c>
      <c r="I368" s="12">
        <v>114.763761</v>
      </c>
      <c r="J368" s="12">
        <v>367.58294000000001</v>
      </c>
      <c r="K368" s="12">
        <v>611.63</v>
      </c>
      <c r="L368" s="12">
        <v>290.52</v>
      </c>
      <c r="M368" s="12">
        <v>2782.43</v>
      </c>
    </row>
    <row r="369" spans="2:13" ht="18.75" x14ac:dyDescent="0.25">
      <c r="B369" s="7" t="s">
        <v>15</v>
      </c>
      <c r="C369" s="7" t="s">
        <v>534</v>
      </c>
      <c r="D369" s="12">
        <v>18.553570000000001</v>
      </c>
      <c r="E369" s="7"/>
      <c r="F369" s="7"/>
      <c r="G369" s="7"/>
      <c r="H369" s="12">
        <v>153.28571400000001</v>
      </c>
      <c r="I369" s="12">
        <v>366.595641</v>
      </c>
      <c r="J369" s="12">
        <v>1146.4233819999999</v>
      </c>
      <c r="K369" s="12">
        <v>1718.91</v>
      </c>
      <c r="L369" s="12">
        <v>816.47</v>
      </c>
      <c r="M369" s="12">
        <v>7819.66</v>
      </c>
    </row>
    <row r="370" spans="2:13" ht="18.75" x14ac:dyDescent="0.25">
      <c r="B370" s="7" t="s">
        <v>15</v>
      </c>
      <c r="C370" s="7" t="s">
        <v>533</v>
      </c>
      <c r="D370" s="12">
        <v>6.2702239999999998</v>
      </c>
      <c r="E370" s="7"/>
      <c r="F370" s="7"/>
      <c r="G370" s="7"/>
      <c r="H370" s="12">
        <v>28.882961000000002</v>
      </c>
      <c r="I370" s="12">
        <v>35.63955</v>
      </c>
      <c r="J370" s="12">
        <v>82.657337999999996</v>
      </c>
      <c r="K370" s="12">
        <v>475.68</v>
      </c>
      <c r="L370" s="12">
        <v>225.95</v>
      </c>
      <c r="M370" s="12">
        <v>2163.9699999999998</v>
      </c>
    </row>
    <row r="371" spans="2:13" ht="18.75" x14ac:dyDescent="0.25">
      <c r="B371" s="7" t="s">
        <v>15</v>
      </c>
      <c r="C371" s="7" t="s">
        <v>509</v>
      </c>
      <c r="D371" s="12">
        <v>0.114963</v>
      </c>
      <c r="E371" s="7"/>
      <c r="F371" s="7"/>
      <c r="G371" s="7"/>
      <c r="H371" s="12">
        <v>0.18151800000000001</v>
      </c>
      <c r="I371" s="12">
        <v>0.58172699999999999</v>
      </c>
      <c r="J371" s="12">
        <v>2.2029329999999998</v>
      </c>
      <c r="K371" s="12">
        <v>10.69</v>
      </c>
      <c r="L371" s="12">
        <v>5.08</v>
      </c>
      <c r="M371" s="12">
        <v>48.62</v>
      </c>
    </row>
    <row r="372" spans="2:13" ht="18.75" x14ac:dyDescent="0.25">
      <c r="B372" s="7" t="s">
        <v>15</v>
      </c>
      <c r="C372" s="7" t="s">
        <v>50</v>
      </c>
      <c r="D372" s="12">
        <v>48.247295999999999</v>
      </c>
      <c r="E372" s="7"/>
      <c r="F372" s="7"/>
      <c r="G372" s="7"/>
      <c r="H372" s="12">
        <v>214.73100299999999</v>
      </c>
      <c r="I372" s="12">
        <v>332.16251099999999</v>
      </c>
      <c r="J372" s="12">
        <v>1928.065194</v>
      </c>
      <c r="K372" s="12">
        <v>9092.4500000000007</v>
      </c>
      <c r="L372" s="12">
        <v>4318.83</v>
      </c>
      <c r="M372" s="12">
        <v>41363.24</v>
      </c>
    </row>
    <row r="373" spans="2:13" ht="18.75" x14ac:dyDescent="0.25">
      <c r="B373" s="7" t="s">
        <v>15</v>
      </c>
      <c r="C373" s="7" t="s">
        <v>211</v>
      </c>
      <c r="D373" s="12">
        <v>2.2066020000000002</v>
      </c>
      <c r="E373" s="7"/>
      <c r="F373" s="7"/>
      <c r="G373" s="7"/>
      <c r="H373" s="12">
        <v>45.670050000000003</v>
      </c>
      <c r="I373" s="12">
        <v>38.446662000000003</v>
      </c>
      <c r="J373" s="12">
        <v>596.67162499999995</v>
      </c>
      <c r="K373" s="12">
        <v>449.36</v>
      </c>
      <c r="L373" s="12">
        <v>213.44</v>
      </c>
      <c r="M373" s="12">
        <v>2044.23</v>
      </c>
    </row>
    <row r="374" spans="2:13" ht="18.75" x14ac:dyDescent="0.25">
      <c r="B374" s="7" t="s">
        <v>15</v>
      </c>
      <c r="C374" s="7" t="s">
        <v>535</v>
      </c>
      <c r="D374" s="12">
        <v>3.070198</v>
      </c>
      <c r="E374" s="7"/>
      <c r="F374" s="7"/>
      <c r="G374" s="7"/>
      <c r="H374" s="12">
        <v>8.8457629999999998</v>
      </c>
      <c r="I374" s="12">
        <v>13.611128000000001</v>
      </c>
      <c r="J374" s="12">
        <v>67.908834999999996</v>
      </c>
      <c r="K374" s="12">
        <v>478.18</v>
      </c>
      <c r="L374" s="12">
        <v>227.13</v>
      </c>
      <c r="M374" s="12">
        <v>2175.33</v>
      </c>
    </row>
    <row r="375" spans="2:13" ht="18.75" x14ac:dyDescent="0.25">
      <c r="B375" s="7" t="s">
        <v>15</v>
      </c>
      <c r="C375" s="7" t="s">
        <v>536</v>
      </c>
      <c r="D375" s="12">
        <v>13.626938000000001</v>
      </c>
      <c r="E375" s="7"/>
      <c r="F375" s="7"/>
      <c r="G375" s="7"/>
      <c r="H375" s="12">
        <v>53.738630000000001</v>
      </c>
      <c r="I375" s="12">
        <v>109.513706</v>
      </c>
      <c r="J375" s="12">
        <v>321.81236100000001</v>
      </c>
      <c r="K375" s="12">
        <v>856.5</v>
      </c>
      <c r="L375" s="12">
        <v>406.83</v>
      </c>
      <c r="M375" s="12">
        <v>3896.36</v>
      </c>
    </row>
    <row r="376" spans="2:13" ht="18.75" x14ac:dyDescent="0.25">
      <c r="B376" s="7" t="s">
        <v>15</v>
      </c>
      <c r="C376" s="7" t="s">
        <v>226</v>
      </c>
      <c r="D376" s="12">
        <v>4.209333</v>
      </c>
      <c r="E376" s="7"/>
      <c r="F376" s="7"/>
      <c r="G376" s="7"/>
      <c r="H376" s="12">
        <v>49.946016999999998</v>
      </c>
      <c r="I376" s="12">
        <v>6.3153280000000001</v>
      </c>
      <c r="J376" s="12">
        <v>67.820065999999997</v>
      </c>
      <c r="K376" s="12">
        <v>899.14</v>
      </c>
      <c r="L376" s="12">
        <v>64.64</v>
      </c>
      <c r="M376" s="12">
        <v>1401.92</v>
      </c>
    </row>
    <row r="377" spans="2:13" ht="18.75" x14ac:dyDescent="0.25">
      <c r="B377" s="7" t="s">
        <v>15</v>
      </c>
      <c r="C377" s="7" t="s">
        <v>556</v>
      </c>
      <c r="D377" s="12">
        <v>7.294746</v>
      </c>
      <c r="E377" s="7"/>
      <c r="F377" s="7"/>
      <c r="G377" s="7"/>
      <c r="H377" s="12">
        <v>23.962917000000001</v>
      </c>
      <c r="I377" s="12">
        <v>16.867601000000001</v>
      </c>
      <c r="J377" s="12">
        <v>72.306167000000002</v>
      </c>
      <c r="K377" s="12">
        <v>3413.19</v>
      </c>
      <c r="L377" s="12">
        <v>245.39</v>
      </c>
      <c r="M377" s="12">
        <v>5321.78</v>
      </c>
    </row>
    <row r="378" spans="2:13" ht="18.75" x14ac:dyDescent="0.25">
      <c r="B378" s="7" t="s">
        <v>15</v>
      </c>
      <c r="C378" s="7" t="s">
        <v>62</v>
      </c>
      <c r="D378" s="12">
        <v>0.127974</v>
      </c>
      <c r="E378" s="7"/>
      <c r="F378" s="7"/>
      <c r="G378" s="7"/>
      <c r="H378" s="12">
        <v>1.1963200000000001</v>
      </c>
      <c r="I378" s="12">
        <v>2.1638299999999999</v>
      </c>
      <c r="J378" s="12">
        <v>24.637854000000001</v>
      </c>
      <c r="K378" s="12">
        <v>783.12</v>
      </c>
      <c r="L378" s="12">
        <v>56.3</v>
      </c>
      <c r="M378" s="12">
        <v>1221.03</v>
      </c>
    </row>
    <row r="379" spans="2:13" ht="18.75" x14ac:dyDescent="0.25">
      <c r="B379" s="7" t="s">
        <v>15</v>
      </c>
      <c r="C379" s="7" t="s">
        <v>559</v>
      </c>
      <c r="D379" s="12">
        <v>23.551082999999998</v>
      </c>
      <c r="E379" s="7"/>
      <c r="F379" s="7"/>
      <c r="G379" s="7"/>
      <c r="H379" s="12">
        <v>131.08106100000001</v>
      </c>
      <c r="I379" s="12">
        <v>176.51265799999999</v>
      </c>
      <c r="J379" s="12">
        <v>223.200062</v>
      </c>
      <c r="K379" s="12">
        <v>3963.9</v>
      </c>
      <c r="L379" s="12">
        <v>284.98</v>
      </c>
      <c r="M379" s="12">
        <v>6180.44</v>
      </c>
    </row>
    <row r="380" spans="2:13" ht="18.75" x14ac:dyDescent="0.25">
      <c r="B380" s="7" t="s">
        <v>15</v>
      </c>
      <c r="C380" s="7" t="s">
        <v>552</v>
      </c>
      <c r="D380" s="12">
        <v>13.420434</v>
      </c>
      <c r="E380" s="7"/>
      <c r="F380" s="7"/>
      <c r="G380" s="7"/>
      <c r="H380" s="12">
        <v>61.010885999999999</v>
      </c>
      <c r="I380" s="12">
        <v>142.35166799999999</v>
      </c>
      <c r="J380" s="12">
        <v>751.05348300000003</v>
      </c>
      <c r="K380" s="12">
        <v>13512.39</v>
      </c>
      <c r="L380" s="12">
        <v>971.46</v>
      </c>
      <c r="M380" s="12">
        <v>21068.28</v>
      </c>
    </row>
    <row r="381" spans="2:13" ht="18.75" x14ac:dyDescent="0.25">
      <c r="B381" s="7" t="s">
        <v>15</v>
      </c>
      <c r="C381" s="7" t="s">
        <v>224</v>
      </c>
      <c r="D381" s="12">
        <v>101.71768400000001</v>
      </c>
      <c r="E381" s="7"/>
      <c r="F381" s="7"/>
      <c r="G381" s="7"/>
      <c r="H381" s="12">
        <v>1024.028973</v>
      </c>
      <c r="I381" s="12">
        <v>929.20043799999996</v>
      </c>
      <c r="J381" s="12">
        <v>3331.2813839999999</v>
      </c>
      <c r="K381" s="12">
        <v>38036.980000000003</v>
      </c>
      <c r="L381" s="12">
        <v>2734.64</v>
      </c>
      <c r="M381" s="12">
        <v>59306.59</v>
      </c>
    </row>
    <row r="382" spans="2:13" ht="18.75" x14ac:dyDescent="0.25">
      <c r="B382" s="7" t="s">
        <v>15</v>
      </c>
      <c r="C382" s="7" t="s">
        <v>558</v>
      </c>
      <c r="D382" s="12">
        <v>13.432323</v>
      </c>
      <c r="E382" s="7"/>
      <c r="F382" s="7"/>
      <c r="G382" s="7"/>
      <c r="H382" s="12">
        <v>35.323807000000002</v>
      </c>
      <c r="I382" s="12">
        <v>26.710194000000001</v>
      </c>
      <c r="J382" s="12">
        <v>27.871597000000001</v>
      </c>
      <c r="K382" s="12">
        <v>2146.08</v>
      </c>
      <c r="L382" s="12">
        <v>154.29</v>
      </c>
      <c r="M382" s="12">
        <v>3346.12</v>
      </c>
    </row>
    <row r="383" spans="2:13" ht="18.75" x14ac:dyDescent="0.25">
      <c r="B383" s="7" t="s">
        <v>15</v>
      </c>
      <c r="C383" s="7" t="s">
        <v>549</v>
      </c>
      <c r="D383" s="12">
        <v>3.28E-4</v>
      </c>
      <c r="E383" s="7"/>
      <c r="F383" s="7"/>
      <c r="G383" s="7"/>
      <c r="H383" s="12">
        <v>30.346450999999998</v>
      </c>
      <c r="I383" s="12">
        <v>81.365278000000004</v>
      </c>
      <c r="J383" s="12">
        <v>87.060289999999995</v>
      </c>
      <c r="K383" s="12">
        <v>0.03</v>
      </c>
      <c r="L383" s="12">
        <v>0</v>
      </c>
      <c r="M383" s="12">
        <v>0.05</v>
      </c>
    </row>
    <row r="384" spans="2:13" ht="18.75" x14ac:dyDescent="0.25">
      <c r="B384" s="7" t="s">
        <v>15</v>
      </c>
      <c r="C384" s="7" t="s">
        <v>550</v>
      </c>
      <c r="D384" s="12">
        <v>9.0074579999999997</v>
      </c>
      <c r="E384" s="7"/>
      <c r="F384" s="7"/>
      <c r="G384" s="7"/>
      <c r="H384" s="12">
        <v>92.801271999999997</v>
      </c>
      <c r="I384" s="12">
        <v>119.79256100000001</v>
      </c>
      <c r="J384" s="12">
        <v>156.89380800000001</v>
      </c>
      <c r="K384" s="12">
        <v>608.94000000000005</v>
      </c>
      <c r="L384" s="12">
        <v>43.78</v>
      </c>
      <c r="M384" s="12">
        <v>949.46</v>
      </c>
    </row>
    <row r="385" spans="2:13" ht="18.75" x14ac:dyDescent="0.25">
      <c r="B385" s="7" t="s">
        <v>15</v>
      </c>
      <c r="C385" s="7" t="s">
        <v>553</v>
      </c>
      <c r="D385" s="12">
        <v>4.6947000000000003E-2</v>
      </c>
      <c r="E385" s="7"/>
      <c r="F385" s="7"/>
      <c r="G385" s="7"/>
      <c r="H385" s="12">
        <v>229.26567900000001</v>
      </c>
      <c r="I385" s="12">
        <v>248.67446200000001</v>
      </c>
      <c r="J385" s="12">
        <v>442.080262</v>
      </c>
      <c r="K385" s="12">
        <v>0.79</v>
      </c>
      <c r="L385" s="12">
        <v>1.77</v>
      </c>
      <c r="M385" s="12">
        <v>7.09</v>
      </c>
    </row>
    <row r="386" spans="2:13" ht="18.75" x14ac:dyDescent="0.25">
      <c r="B386" s="7" t="s">
        <v>15</v>
      </c>
      <c r="C386" s="7" t="s">
        <v>551</v>
      </c>
      <c r="D386" s="12">
        <v>1.0969800000000001</v>
      </c>
      <c r="E386" s="7"/>
      <c r="F386" s="7"/>
      <c r="G386" s="7"/>
      <c r="H386" s="12">
        <v>7.5475599999999998</v>
      </c>
      <c r="I386" s="12">
        <v>15.541174</v>
      </c>
      <c r="J386" s="12">
        <v>27.491513999999999</v>
      </c>
      <c r="K386" s="12">
        <v>300.62</v>
      </c>
      <c r="L386" s="12">
        <v>21.61</v>
      </c>
      <c r="M386" s="12">
        <v>468.72</v>
      </c>
    </row>
    <row r="387" spans="2:13" ht="18.75" x14ac:dyDescent="0.25">
      <c r="B387" s="7" t="s">
        <v>15</v>
      </c>
      <c r="C387" s="7" t="s">
        <v>116</v>
      </c>
      <c r="D387" s="12">
        <v>19.870964000000001</v>
      </c>
      <c r="E387" s="7"/>
      <c r="F387" s="7"/>
      <c r="G387" s="7"/>
      <c r="H387" s="12">
        <v>44.625791</v>
      </c>
      <c r="I387" s="12">
        <v>324.538702</v>
      </c>
      <c r="J387" s="12">
        <v>70.614260999999999</v>
      </c>
      <c r="K387" s="12">
        <v>406.99</v>
      </c>
      <c r="L387" s="12">
        <v>29.26</v>
      </c>
      <c r="M387" s="12">
        <v>634.58000000000004</v>
      </c>
    </row>
    <row r="388" spans="2:13" ht="18.75" x14ac:dyDescent="0.25">
      <c r="B388" s="7" t="s">
        <v>15</v>
      </c>
      <c r="C388" s="7" t="s">
        <v>82</v>
      </c>
      <c r="D388" s="12">
        <v>38.140853</v>
      </c>
      <c r="E388" s="7"/>
      <c r="F388" s="7"/>
      <c r="G388" s="7"/>
      <c r="H388" s="12">
        <v>210.78877600000001</v>
      </c>
      <c r="I388" s="12">
        <v>451.32697100000001</v>
      </c>
      <c r="J388" s="12">
        <v>119.864114</v>
      </c>
      <c r="K388" s="12">
        <v>207728.49</v>
      </c>
      <c r="L388" s="12">
        <v>14934.47</v>
      </c>
      <c r="M388" s="12">
        <v>323886.63</v>
      </c>
    </row>
    <row r="389" spans="2:13" ht="18.75" x14ac:dyDescent="0.25">
      <c r="B389" s="7" t="s">
        <v>15</v>
      </c>
      <c r="C389" s="7" t="s">
        <v>66</v>
      </c>
      <c r="D389" s="12">
        <v>0.50715500000000002</v>
      </c>
      <c r="E389" s="7"/>
      <c r="F389" s="7"/>
      <c r="G389" s="7"/>
      <c r="H389" s="12">
        <v>17.664296</v>
      </c>
      <c r="I389" s="12">
        <v>66.901342</v>
      </c>
      <c r="J389" s="12">
        <v>86.287937999999997</v>
      </c>
      <c r="K389" s="12">
        <v>262.12</v>
      </c>
      <c r="L389" s="12">
        <v>18.84</v>
      </c>
      <c r="M389" s="12">
        <v>408.69</v>
      </c>
    </row>
    <row r="390" spans="2:13" ht="18.75" x14ac:dyDescent="0.25">
      <c r="B390" s="7" t="s">
        <v>15</v>
      </c>
      <c r="C390" s="7" t="s">
        <v>555</v>
      </c>
      <c r="D390" s="12">
        <v>0.134183</v>
      </c>
      <c r="E390" s="7"/>
      <c r="F390" s="7"/>
      <c r="G390" s="7"/>
      <c r="H390" s="12">
        <v>7.5359119999999997</v>
      </c>
      <c r="I390" s="12">
        <v>18.441217000000002</v>
      </c>
      <c r="J390" s="12">
        <v>7.7057079999999996</v>
      </c>
      <c r="K390" s="12">
        <v>22.46</v>
      </c>
      <c r="L390" s="12">
        <v>1.61</v>
      </c>
      <c r="M390" s="12">
        <v>35.01</v>
      </c>
    </row>
    <row r="391" spans="2:13" ht="18.75" x14ac:dyDescent="0.25">
      <c r="B391" s="7" t="s">
        <v>15</v>
      </c>
      <c r="C391" s="7" t="s">
        <v>557</v>
      </c>
      <c r="D391" s="12">
        <v>4.4251659999999999</v>
      </c>
      <c r="E391" s="7"/>
      <c r="F391" s="7"/>
      <c r="G391" s="7"/>
      <c r="H391" s="12">
        <v>22.409144999999999</v>
      </c>
      <c r="I391" s="12">
        <v>143.07658499999999</v>
      </c>
      <c r="J391" s="12">
        <v>236.70725300000001</v>
      </c>
      <c r="K391" s="12">
        <v>1484.87</v>
      </c>
      <c r="L391" s="12">
        <v>106.75</v>
      </c>
      <c r="M391" s="12">
        <v>2315.1799999999998</v>
      </c>
    </row>
    <row r="392" spans="2:13" ht="18.75" x14ac:dyDescent="0.25">
      <c r="B392" s="7" t="s">
        <v>15</v>
      </c>
      <c r="C392" s="7" t="s">
        <v>554</v>
      </c>
      <c r="D392" s="12">
        <v>0.94733599999999996</v>
      </c>
      <c r="E392" s="7"/>
      <c r="F392" s="7"/>
      <c r="G392" s="7"/>
      <c r="H392" s="12">
        <v>1.470737</v>
      </c>
      <c r="I392" s="12">
        <v>2.0827849999999999</v>
      </c>
      <c r="J392" s="12">
        <v>3.504737</v>
      </c>
      <c r="K392" s="12">
        <v>178</v>
      </c>
      <c r="L392" s="12">
        <v>12.8</v>
      </c>
      <c r="M392" s="12">
        <v>277.54000000000002</v>
      </c>
    </row>
    <row r="393" spans="2:13" ht="18.75" x14ac:dyDescent="0.25">
      <c r="B393" s="7" t="s">
        <v>15</v>
      </c>
      <c r="C393" s="7" t="s">
        <v>560</v>
      </c>
      <c r="D393" s="12">
        <v>23.076036999999999</v>
      </c>
      <c r="E393" s="7"/>
      <c r="F393" s="7"/>
      <c r="G393" s="7"/>
      <c r="H393" s="12">
        <v>160.667406</v>
      </c>
      <c r="I393" s="12">
        <v>146.709733</v>
      </c>
      <c r="J393" s="12">
        <v>989.26833199999999</v>
      </c>
      <c r="K393" s="12">
        <v>789.04</v>
      </c>
      <c r="L393" s="12">
        <v>1759.25</v>
      </c>
      <c r="M393" s="12">
        <v>7036.3</v>
      </c>
    </row>
    <row r="394" spans="2:13" ht="18.75" x14ac:dyDescent="0.25">
      <c r="B394" s="7" t="s">
        <v>15</v>
      </c>
      <c r="C394" s="7" t="s">
        <v>562</v>
      </c>
      <c r="D394" s="12">
        <v>90.198310000000006</v>
      </c>
      <c r="E394" s="7"/>
      <c r="F394" s="7"/>
      <c r="G394" s="7"/>
      <c r="H394" s="12">
        <v>1319.260685</v>
      </c>
      <c r="I394" s="12">
        <v>2308.812919</v>
      </c>
      <c r="J394" s="12">
        <v>1630.517059</v>
      </c>
      <c r="K394" s="12">
        <v>2773.53</v>
      </c>
      <c r="L394" s="12">
        <v>1317.4</v>
      </c>
      <c r="M394" s="12">
        <v>12617.28</v>
      </c>
    </row>
    <row r="395" spans="2:13" ht="18.75" x14ac:dyDescent="0.25">
      <c r="B395" s="7" t="s">
        <v>15</v>
      </c>
      <c r="C395" s="7" t="s">
        <v>567</v>
      </c>
      <c r="D395" s="12">
        <v>0.17043900000000001</v>
      </c>
      <c r="E395" s="7"/>
      <c r="F395" s="7"/>
      <c r="G395" s="7"/>
      <c r="H395" s="12">
        <v>14.519348000000001</v>
      </c>
      <c r="I395" s="12">
        <v>6.5350570000000001</v>
      </c>
      <c r="J395" s="12">
        <v>6.212307</v>
      </c>
      <c r="K395" s="12">
        <v>24.46</v>
      </c>
      <c r="L395" s="12">
        <v>11.62</v>
      </c>
      <c r="M395" s="12">
        <v>111.28</v>
      </c>
    </row>
    <row r="396" spans="2:13" ht="18.75" x14ac:dyDescent="0.25">
      <c r="B396" s="7" t="s">
        <v>15</v>
      </c>
      <c r="C396" s="7" t="s">
        <v>134</v>
      </c>
      <c r="D396" s="12">
        <v>2.0450729999999999</v>
      </c>
      <c r="E396" s="7"/>
      <c r="F396" s="7"/>
      <c r="G396" s="7"/>
      <c r="H396" s="12">
        <v>15.518692</v>
      </c>
      <c r="I396" s="12">
        <v>80.495340999999996</v>
      </c>
      <c r="J396" s="12">
        <v>512.52635799999996</v>
      </c>
      <c r="K396" s="12">
        <v>522.55999999999995</v>
      </c>
      <c r="L396" s="12">
        <v>248.21</v>
      </c>
      <c r="M396" s="12">
        <v>2377.2399999999998</v>
      </c>
    </row>
    <row r="397" spans="2:13" ht="18.75" x14ac:dyDescent="0.25">
      <c r="B397" s="7" t="s">
        <v>15</v>
      </c>
      <c r="C397" s="7" t="s">
        <v>565</v>
      </c>
      <c r="D397" s="12">
        <v>23.535418</v>
      </c>
      <c r="E397" s="7"/>
      <c r="F397" s="7"/>
      <c r="G397" s="7"/>
      <c r="H397" s="12">
        <v>73.072456000000003</v>
      </c>
      <c r="I397" s="12">
        <v>82.362916999999996</v>
      </c>
      <c r="J397" s="12">
        <v>293.69041800000002</v>
      </c>
      <c r="K397" s="12">
        <v>2126.44</v>
      </c>
      <c r="L397" s="12">
        <v>1010.04</v>
      </c>
      <c r="M397" s="12">
        <v>9673.59</v>
      </c>
    </row>
    <row r="398" spans="2:13" ht="18.75" x14ac:dyDescent="0.25">
      <c r="B398" s="7" t="s">
        <v>15</v>
      </c>
      <c r="C398" s="7" t="s">
        <v>566</v>
      </c>
      <c r="D398" s="12">
        <v>102.322148</v>
      </c>
      <c r="E398" s="7"/>
      <c r="F398" s="7"/>
      <c r="G398" s="7"/>
      <c r="H398" s="12">
        <v>339.06994800000001</v>
      </c>
      <c r="I398" s="12">
        <v>626.72335099999998</v>
      </c>
      <c r="J398" s="12">
        <v>1803.55736</v>
      </c>
      <c r="K398" s="12">
        <v>10979.1</v>
      </c>
      <c r="L398" s="12">
        <v>5214.9799999999996</v>
      </c>
      <c r="M398" s="12">
        <v>49945.99</v>
      </c>
    </row>
    <row r="399" spans="2:13" ht="18.75" x14ac:dyDescent="0.25">
      <c r="B399" s="7" t="s">
        <v>15</v>
      </c>
      <c r="C399" s="7" t="s">
        <v>561</v>
      </c>
      <c r="D399" s="12">
        <v>3.3090359999999999</v>
      </c>
      <c r="E399" s="7"/>
      <c r="F399" s="7"/>
      <c r="G399" s="7"/>
      <c r="H399" s="12">
        <v>24.305145</v>
      </c>
      <c r="I399" s="12">
        <v>87.688806</v>
      </c>
      <c r="J399" s="12">
        <v>45.378546</v>
      </c>
      <c r="K399" s="12">
        <v>95.53</v>
      </c>
      <c r="L399" s="12">
        <v>45.38</v>
      </c>
      <c r="M399" s="12">
        <v>434.61</v>
      </c>
    </row>
    <row r="400" spans="2:13" ht="18.75" x14ac:dyDescent="0.25">
      <c r="B400" s="7" t="s">
        <v>15</v>
      </c>
      <c r="C400" s="7" t="s">
        <v>564</v>
      </c>
      <c r="D400" s="12">
        <v>0.87409800000000004</v>
      </c>
      <c r="E400" s="7"/>
      <c r="F400" s="7"/>
      <c r="G400" s="7"/>
      <c r="H400" s="12">
        <v>9.5475530000000006</v>
      </c>
      <c r="I400" s="12">
        <v>15.250202</v>
      </c>
      <c r="J400" s="12">
        <v>43.843259000000003</v>
      </c>
      <c r="K400" s="12">
        <v>149.30000000000001</v>
      </c>
      <c r="L400" s="12">
        <v>70.92</v>
      </c>
      <c r="M400" s="12">
        <v>679.19</v>
      </c>
    </row>
    <row r="401" spans="2:13" ht="18.75" x14ac:dyDescent="0.25">
      <c r="B401" s="7" t="s">
        <v>15</v>
      </c>
      <c r="C401" s="7" t="s">
        <v>563</v>
      </c>
      <c r="D401" s="12">
        <v>23.317872000000001</v>
      </c>
      <c r="E401" s="7"/>
      <c r="F401" s="7"/>
      <c r="G401" s="7"/>
      <c r="H401" s="12">
        <v>167.64349999999999</v>
      </c>
      <c r="I401" s="12">
        <v>271.64642300000003</v>
      </c>
      <c r="J401" s="12">
        <v>225.53076300000001</v>
      </c>
      <c r="K401" s="12">
        <v>1167.25</v>
      </c>
      <c r="L401" s="12">
        <v>554.42999999999995</v>
      </c>
      <c r="M401" s="12">
        <v>5310.04</v>
      </c>
    </row>
    <row r="402" spans="2:13" ht="18.75" x14ac:dyDescent="0.25">
      <c r="B402" s="7" t="s">
        <v>15</v>
      </c>
      <c r="C402" s="7" t="s">
        <v>72</v>
      </c>
      <c r="D402" s="12">
        <v>2.443101</v>
      </c>
      <c r="E402" s="7"/>
      <c r="F402" s="7"/>
      <c r="G402" s="7"/>
      <c r="H402" s="12">
        <v>314.81559199999998</v>
      </c>
      <c r="I402" s="12">
        <v>404.71329500000002</v>
      </c>
      <c r="J402" s="12">
        <v>2293.1864179999998</v>
      </c>
      <c r="K402" s="12">
        <v>103.98</v>
      </c>
      <c r="L402" s="12">
        <v>231.83</v>
      </c>
      <c r="M402" s="12">
        <v>927.22</v>
      </c>
    </row>
    <row r="403" spans="2:13" ht="18.75" x14ac:dyDescent="0.25">
      <c r="B403" s="7" t="s">
        <v>15</v>
      </c>
      <c r="C403" s="7" t="s">
        <v>568</v>
      </c>
      <c r="D403" s="12">
        <v>3.6819999999999999E-3</v>
      </c>
      <c r="E403" s="7"/>
      <c r="F403" s="7"/>
      <c r="G403" s="7"/>
      <c r="H403" s="12">
        <v>3.1399999999999999E-4</v>
      </c>
      <c r="I403" s="12">
        <v>2.3372289999999998</v>
      </c>
      <c r="J403" s="12">
        <v>9.0310609999999993</v>
      </c>
      <c r="K403" s="12">
        <v>0.28999999999999998</v>
      </c>
      <c r="L403" s="12">
        <v>0.13</v>
      </c>
      <c r="M403" s="12">
        <v>1.65</v>
      </c>
    </row>
    <row r="404" spans="2:13" ht="18.75" x14ac:dyDescent="0.25">
      <c r="B404" s="7" t="s">
        <v>15</v>
      </c>
      <c r="C404" s="7" t="s">
        <v>576</v>
      </c>
      <c r="D404" s="12">
        <v>0.10122100000000001</v>
      </c>
      <c r="E404" s="7"/>
      <c r="F404" s="7"/>
      <c r="G404" s="7"/>
      <c r="H404" s="12">
        <v>3.5631000000000003E-2</v>
      </c>
      <c r="I404" s="12">
        <v>1.1901999999999999E-2</v>
      </c>
      <c r="J404" s="12">
        <v>0.26358700000000002</v>
      </c>
      <c r="K404" s="12">
        <v>5.91</v>
      </c>
      <c r="L404" s="12">
        <v>13.18</v>
      </c>
      <c r="M404" s="12">
        <v>52.71</v>
      </c>
    </row>
    <row r="405" spans="2:13" ht="18.75" x14ac:dyDescent="0.25">
      <c r="B405" s="7" t="s">
        <v>15</v>
      </c>
      <c r="C405" s="7" t="s">
        <v>232</v>
      </c>
      <c r="D405" s="12">
        <v>1.8978699999999999</v>
      </c>
      <c r="E405" s="7"/>
      <c r="F405" s="7"/>
      <c r="G405" s="7"/>
      <c r="H405" s="12">
        <v>12.529619</v>
      </c>
      <c r="I405" s="12">
        <v>12.731605999999999</v>
      </c>
      <c r="J405" s="12">
        <v>56.119166</v>
      </c>
      <c r="K405" s="12">
        <v>87.79</v>
      </c>
      <c r="L405" s="12">
        <v>39.44</v>
      </c>
      <c r="M405" s="12">
        <v>491.72</v>
      </c>
    </row>
    <row r="406" spans="2:13" ht="18.75" x14ac:dyDescent="0.25">
      <c r="B406" s="7" t="s">
        <v>15</v>
      </c>
      <c r="C406" s="7" t="s">
        <v>569</v>
      </c>
      <c r="D406" s="12">
        <v>0.26639800000000002</v>
      </c>
      <c r="E406" s="7"/>
      <c r="F406" s="7"/>
      <c r="G406" s="7"/>
      <c r="H406" s="12">
        <v>2.6125769999999999</v>
      </c>
      <c r="I406" s="12">
        <v>1.9192670000000001</v>
      </c>
      <c r="J406" s="12">
        <v>3.516054</v>
      </c>
      <c r="K406" s="12">
        <v>39.03</v>
      </c>
      <c r="L406" s="12">
        <v>6.52</v>
      </c>
      <c r="M406" s="12">
        <v>71.42</v>
      </c>
    </row>
    <row r="407" spans="2:13" ht="18.75" x14ac:dyDescent="0.25">
      <c r="B407" s="7" t="s">
        <v>15</v>
      </c>
      <c r="C407" s="7" t="s">
        <v>156</v>
      </c>
      <c r="D407" s="12">
        <v>0.34980299999999998</v>
      </c>
      <c r="E407" s="7"/>
      <c r="F407" s="7"/>
      <c r="G407" s="7"/>
      <c r="H407" s="12">
        <v>1.499447</v>
      </c>
      <c r="I407" s="12">
        <v>4.7537289999999999</v>
      </c>
      <c r="J407" s="12">
        <v>6.9488969999999997</v>
      </c>
      <c r="K407" s="12">
        <v>78.290000000000006</v>
      </c>
      <c r="L407" s="12">
        <v>13.09</v>
      </c>
      <c r="M407" s="12">
        <v>143.25</v>
      </c>
    </row>
    <row r="408" spans="2:13" ht="18.75" x14ac:dyDescent="0.25">
      <c r="B408" s="7" t="s">
        <v>15</v>
      </c>
      <c r="C408" s="7" t="s">
        <v>137</v>
      </c>
      <c r="D408" s="12">
        <v>4.8200000000000001E-4</v>
      </c>
      <c r="E408" s="7"/>
      <c r="F408" s="7"/>
      <c r="G408" s="7"/>
      <c r="H408" s="12">
        <v>0.22653400000000001</v>
      </c>
      <c r="I408" s="12">
        <v>0.54763799999999996</v>
      </c>
      <c r="J408" s="12">
        <v>0.23624700000000001</v>
      </c>
      <c r="K408" s="12">
        <v>0</v>
      </c>
      <c r="L408" s="12">
        <v>0</v>
      </c>
      <c r="M408" s="12">
        <v>0.01</v>
      </c>
    </row>
    <row r="409" spans="2:13" ht="18.75" x14ac:dyDescent="0.25">
      <c r="B409" s="7" t="s">
        <v>15</v>
      </c>
      <c r="C409" s="7" t="s">
        <v>229</v>
      </c>
      <c r="D409" s="12">
        <v>6.361618</v>
      </c>
      <c r="E409" s="7"/>
      <c r="F409" s="7"/>
      <c r="G409" s="7"/>
      <c r="H409" s="12">
        <v>28.179604000000001</v>
      </c>
      <c r="I409" s="12">
        <v>44.199584000000002</v>
      </c>
      <c r="J409" s="12">
        <v>89.751754000000005</v>
      </c>
      <c r="K409" s="12">
        <v>634.59</v>
      </c>
      <c r="L409" s="12">
        <v>106.08</v>
      </c>
      <c r="M409" s="12">
        <v>1161.1300000000001</v>
      </c>
    </row>
    <row r="410" spans="2:13" ht="18.75" x14ac:dyDescent="0.25">
      <c r="B410" s="7" t="s">
        <v>15</v>
      </c>
      <c r="C410" s="7" t="s">
        <v>574</v>
      </c>
      <c r="D410" s="12">
        <v>0.87478500000000003</v>
      </c>
      <c r="E410" s="7"/>
      <c r="F410" s="7"/>
      <c r="G410" s="7"/>
      <c r="H410" s="12">
        <v>14.851407999999999</v>
      </c>
      <c r="I410" s="12">
        <v>22.543953999999999</v>
      </c>
      <c r="J410" s="12">
        <v>39.218685000000001</v>
      </c>
      <c r="K410" s="12">
        <v>27.9</v>
      </c>
      <c r="L410" s="12">
        <v>12.53</v>
      </c>
      <c r="M410" s="12">
        <v>156.26</v>
      </c>
    </row>
    <row r="411" spans="2:13" ht="18.75" x14ac:dyDescent="0.25">
      <c r="B411" s="7" t="s">
        <v>15</v>
      </c>
      <c r="C411" s="7" t="s">
        <v>570</v>
      </c>
      <c r="D411" s="12">
        <v>0.35644900000000002</v>
      </c>
      <c r="E411" s="7"/>
      <c r="F411" s="7"/>
      <c r="G411" s="7"/>
      <c r="H411" s="12">
        <v>2.8459110000000001</v>
      </c>
      <c r="I411" s="12">
        <v>3.5999810000000001</v>
      </c>
      <c r="J411" s="12">
        <v>10.772745</v>
      </c>
      <c r="K411" s="12">
        <v>39.81</v>
      </c>
      <c r="L411" s="12">
        <v>36.03</v>
      </c>
      <c r="M411" s="12">
        <v>186.16</v>
      </c>
    </row>
    <row r="412" spans="2:13" ht="18.75" x14ac:dyDescent="0.25">
      <c r="B412" s="7" t="s">
        <v>15</v>
      </c>
      <c r="C412" s="7" t="s">
        <v>158</v>
      </c>
      <c r="D412" s="12">
        <v>5.3304330000000002</v>
      </c>
      <c r="E412" s="7"/>
      <c r="F412" s="7"/>
      <c r="G412" s="7"/>
      <c r="H412" s="12">
        <v>99.996459000000002</v>
      </c>
      <c r="I412" s="12">
        <v>43.453229999999998</v>
      </c>
      <c r="J412" s="12">
        <v>280.22788500000001</v>
      </c>
      <c r="K412" s="12">
        <v>75.8</v>
      </c>
      <c r="L412" s="12">
        <v>169.01</v>
      </c>
      <c r="M412" s="12">
        <v>675.96</v>
      </c>
    </row>
    <row r="413" spans="2:13" ht="18.75" x14ac:dyDescent="0.25">
      <c r="B413" s="7" t="s">
        <v>15</v>
      </c>
      <c r="C413" s="7" t="s">
        <v>42</v>
      </c>
      <c r="D413" s="12">
        <v>15.354274</v>
      </c>
      <c r="E413" s="7"/>
      <c r="F413" s="7"/>
      <c r="G413" s="7"/>
      <c r="H413" s="12">
        <v>226.55632600000001</v>
      </c>
      <c r="I413" s="12">
        <v>120.869366</v>
      </c>
      <c r="J413" s="12">
        <v>162.06666300000001</v>
      </c>
      <c r="K413" s="12">
        <v>80.55</v>
      </c>
      <c r="L413" s="12">
        <v>179.61</v>
      </c>
      <c r="M413" s="12">
        <v>718.35</v>
      </c>
    </row>
    <row r="414" spans="2:13" ht="18.75" x14ac:dyDescent="0.25">
      <c r="B414" s="7" t="s">
        <v>15</v>
      </c>
      <c r="C414" s="7" t="s">
        <v>572</v>
      </c>
      <c r="D414" s="12">
        <v>1.5942000000000001E-2</v>
      </c>
      <c r="E414" s="7"/>
      <c r="F414" s="7"/>
      <c r="G414" s="7"/>
      <c r="H414" s="12">
        <v>0.13717199999999999</v>
      </c>
      <c r="I414" s="12">
        <v>0.39615699999999998</v>
      </c>
      <c r="J414" s="12">
        <v>0.44169399999999998</v>
      </c>
      <c r="K414" s="12">
        <v>0.09</v>
      </c>
      <c r="L414" s="12">
        <v>0.04</v>
      </c>
      <c r="M414" s="12">
        <v>0.52</v>
      </c>
    </row>
    <row r="415" spans="2:13" ht="18.75" x14ac:dyDescent="0.25">
      <c r="B415" s="7" t="s">
        <v>15</v>
      </c>
      <c r="C415" s="7" t="s">
        <v>571</v>
      </c>
      <c r="D415" s="12">
        <v>0.103964</v>
      </c>
      <c r="E415" s="7"/>
      <c r="F415" s="7"/>
      <c r="G415" s="7"/>
      <c r="H415" s="12">
        <v>6.0423999999999999E-2</v>
      </c>
      <c r="I415" s="12">
        <v>0.56897699999999996</v>
      </c>
      <c r="J415" s="12">
        <v>0.52302899999999997</v>
      </c>
      <c r="K415" s="12">
        <v>8.8800000000000008</v>
      </c>
      <c r="L415" s="12">
        <v>1.48</v>
      </c>
      <c r="M415" s="12">
        <v>16.239999999999998</v>
      </c>
    </row>
    <row r="416" spans="2:13" ht="18.75" x14ac:dyDescent="0.25">
      <c r="B416" s="7" t="s">
        <v>15</v>
      </c>
      <c r="C416" s="7" t="s">
        <v>573</v>
      </c>
      <c r="D416" s="12">
        <v>3.351378</v>
      </c>
      <c r="E416" s="7"/>
      <c r="F416" s="7"/>
      <c r="G416" s="7"/>
      <c r="H416" s="12">
        <v>3.2831769999999998</v>
      </c>
      <c r="I416" s="12">
        <v>6.7558980000000002</v>
      </c>
      <c r="J416" s="12">
        <v>9.0908449999999998</v>
      </c>
      <c r="K416" s="12">
        <v>459.79</v>
      </c>
      <c r="L416" s="12">
        <v>76.86</v>
      </c>
      <c r="M416" s="12">
        <v>841.3</v>
      </c>
    </row>
    <row r="417" spans="2:13" ht="18.75" x14ac:dyDescent="0.25">
      <c r="B417" s="7" t="s">
        <v>15</v>
      </c>
      <c r="C417" s="7" t="s">
        <v>161</v>
      </c>
      <c r="D417" s="12">
        <v>0.17638499999999999</v>
      </c>
      <c r="E417" s="7"/>
      <c r="F417" s="7"/>
      <c r="G417" s="7"/>
      <c r="H417" s="12">
        <v>0.14133100000000001</v>
      </c>
      <c r="I417" s="12">
        <v>0.310139</v>
      </c>
      <c r="J417" s="12">
        <v>1.0960430000000001</v>
      </c>
      <c r="K417" s="12">
        <v>4.0199999999999996</v>
      </c>
      <c r="L417" s="12">
        <v>8.9700000000000006</v>
      </c>
      <c r="M417" s="12">
        <v>35.86</v>
      </c>
    </row>
    <row r="418" spans="2:13" ht="18.75" x14ac:dyDescent="0.25">
      <c r="B418" s="7" t="s">
        <v>15</v>
      </c>
      <c r="C418" s="7" t="s">
        <v>228</v>
      </c>
      <c r="D418" s="12">
        <v>3.9975559999999999</v>
      </c>
      <c r="E418" s="7"/>
      <c r="F418" s="7"/>
      <c r="G418" s="7"/>
      <c r="H418" s="12">
        <v>69.436749000000006</v>
      </c>
      <c r="I418" s="12">
        <v>182.812163</v>
      </c>
      <c r="J418" s="12">
        <v>343.73800599999998</v>
      </c>
      <c r="K418" s="12">
        <v>213.86</v>
      </c>
      <c r="L418" s="12">
        <v>96.08</v>
      </c>
      <c r="M418" s="12">
        <v>1197.9100000000001</v>
      </c>
    </row>
    <row r="419" spans="2:13" ht="18.75" x14ac:dyDescent="0.25">
      <c r="B419" s="7" t="s">
        <v>15</v>
      </c>
      <c r="C419" s="7" t="s">
        <v>231</v>
      </c>
      <c r="D419" s="12">
        <v>0.39948499999999998</v>
      </c>
      <c r="E419" s="7"/>
      <c r="F419" s="7"/>
      <c r="G419" s="7"/>
      <c r="H419" s="12">
        <v>1.5768089999999999</v>
      </c>
      <c r="I419" s="12">
        <v>6.1389800000000001</v>
      </c>
      <c r="J419" s="12">
        <v>14.065974000000001</v>
      </c>
      <c r="K419" s="12">
        <v>17.23</v>
      </c>
      <c r="L419" s="12">
        <v>7.74</v>
      </c>
      <c r="M419" s="12">
        <v>96.49</v>
      </c>
    </row>
    <row r="420" spans="2:13" ht="18.75" x14ac:dyDescent="0.25">
      <c r="B420" s="7" t="s">
        <v>15</v>
      </c>
      <c r="C420" s="7" t="s">
        <v>164</v>
      </c>
      <c r="D420" s="12">
        <v>16.852011000000001</v>
      </c>
      <c r="E420" s="7"/>
      <c r="F420" s="7"/>
      <c r="G420" s="7"/>
      <c r="H420" s="12">
        <v>88.991033000000002</v>
      </c>
      <c r="I420" s="12">
        <v>278.22813300000001</v>
      </c>
      <c r="J420" s="12">
        <v>867.41832499999998</v>
      </c>
      <c r="K420" s="12">
        <v>805.62</v>
      </c>
      <c r="L420" s="12">
        <v>361.93</v>
      </c>
      <c r="M420" s="12">
        <v>4512.4799999999996</v>
      </c>
    </row>
    <row r="421" spans="2:13" ht="18.75" x14ac:dyDescent="0.25">
      <c r="B421" s="7" t="s">
        <v>15</v>
      </c>
      <c r="C421" s="7" t="s">
        <v>234</v>
      </c>
      <c r="D421" s="12">
        <v>1.738389</v>
      </c>
      <c r="E421" s="7"/>
      <c r="F421" s="7"/>
      <c r="G421" s="7"/>
      <c r="H421" s="12">
        <v>9.9617590000000007</v>
      </c>
      <c r="I421" s="12">
        <v>35.696725000000001</v>
      </c>
      <c r="J421" s="12">
        <v>40.156421000000002</v>
      </c>
      <c r="K421" s="12">
        <v>134.11000000000001</v>
      </c>
      <c r="L421" s="12">
        <v>121.38</v>
      </c>
      <c r="M421" s="12">
        <v>627.09</v>
      </c>
    </row>
    <row r="422" spans="2:13" ht="18.75" x14ac:dyDescent="0.25">
      <c r="B422" s="7" t="s">
        <v>15</v>
      </c>
      <c r="C422" s="7" t="s">
        <v>579</v>
      </c>
      <c r="D422" s="12">
        <v>0.78198400000000001</v>
      </c>
      <c r="E422" s="7"/>
      <c r="F422" s="7"/>
      <c r="G422" s="7"/>
      <c r="H422" s="12">
        <v>2.5561240000000001</v>
      </c>
      <c r="I422" s="12">
        <v>2.6837939999999998</v>
      </c>
      <c r="J422" s="12">
        <v>8.6037630000000007</v>
      </c>
      <c r="K422" s="12">
        <v>111.06</v>
      </c>
      <c r="L422" s="12">
        <v>100.52</v>
      </c>
      <c r="M422" s="12">
        <v>519.32000000000005</v>
      </c>
    </row>
    <row r="423" spans="2:13" ht="18.75" x14ac:dyDescent="0.25">
      <c r="B423" s="7" t="s">
        <v>15</v>
      </c>
      <c r="C423" s="7" t="s">
        <v>237</v>
      </c>
      <c r="D423" s="12">
        <v>11.195078000000001</v>
      </c>
      <c r="E423" s="7"/>
      <c r="F423" s="7"/>
      <c r="G423" s="7"/>
      <c r="H423" s="12">
        <v>46.260357999999997</v>
      </c>
      <c r="I423" s="12">
        <v>158.370722</v>
      </c>
      <c r="J423" s="12">
        <v>446.43191000000002</v>
      </c>
      <c r="K423" s="12">
        <v>719.36</v>
      </c>
      <c r="L423" s="12">
        <v>323.17</v>
      </c>
      <c r="M423" s="12">
        <v>4029.32</v>
      </c>
    </row>
    <row r="424" spans="2:13" ht="18.75" x14ac:dyDescent="0.25">
      <c r="B424" s="7" t="s">
        <v>15</v>
      </c>
      <c r="C424" s="7" t="s">
        <v>577</v>
      </c>
      <c r="D424" s="12">
        <v>1.1705E-2</v>
      </c>
      <c r="E424" s="7"/>
      <c r="F424" s="7"/>
      <c r="G424" s="7"/>
      <c r="H424" s="12">
        <v>1.0703149999999999</v>
      </c>
      <c r="I424" s="12">
        <v>8.5681609999999999</v>
      </c>
      <c r="J424" s="12">
        <v>20.351388</v>
      </c>
      <c r="K424" s="12">
        <v>0.27</v>
      </c>
      <c r="L424" s="12">
        <v>0.59</v>
      </c>
      <c r="M424" s="12">
        <v>2.37</v>
      </c>
    </row>
    <row r="425" spans="2:13" ht="18.75" x14ac:dyDescent="0.25">
      <c r="B425" s="7" t="s">
        <v>15</v>
      </c>
      <c r="C425" s="7" t="s">
        <v>578</v>
      </c>
      <c r="D425" s="12">
        <v>0.34975299999999998</v>
      </c>
      <c r="E425" s="7"/>
      <c r="F425" s="7"/>
      <c r="G425" s="7"/>
      <c r="H425" s="12">
        <v>0.99548099999999995</v>
      </c>
      <c r="I425" s="12">
        <v>1.4095960000000001</v>
      </c>
      <c r="J425" s="12">
        <v>3.3122669999999999</v>
      </c>
      <c r="K425" s="12">
        <v>32.56</v>
      </c>
      <c r="L425" s="12">
        <v>29.47</v>
      </c>
      <c r="M425" s="12">
        <v>152.26</v>
      </c>
    </row>
    <row r="426" spans="2:13" ht="18.75" x14ac:dyDescent="0.25">
      <c r="B426" s="7" t="s">
        <v>15</v>
      </c>
      <c r="C426" s="7" t="s">
        <v>575</v>
      </c>
      <c r="D426" s="12">
        <v>0.32571899999999998</v>
      </c>
      <c r="E426" s="7"/>
      <c r="F426" s="7"/>
      <c r="G426" s="7"/>
      <c r="H426" s="12">
        <v>0.67617799999999995</v>
      </c>
      <c r="I426" s="12">
        <v>3.5108389999999998</v>
      </c>
      <c r="J426" s="12">
        <v>3.4275570000000002</v>
      </c>
      <c r="K426" s="12">
        <v>18.059999999999999</v>
      </c>
      <c r="L426" s="12">
        <v>8.11</v>
      </c>
      <c r="M426" s="12">
        <v>101.14</v>
      </c>
    </row>
    <row r="427" spans="2:13" ht="18.75" x14ac:dyDescent="0.25">
      <c r="B427" s="7" t="s">
        <v>15</v>
      </c>
      <c r="C427" s="7" t="s">
        <v>580</v>
      </c>
      <c r="D427" s="12">
        <v>3.0724999999999999E-2</v>
      </c>
      <c r="E427" s="7"/>
      <c r="F427" s="7"/>
      <c r="G427" s="7"/>
      <c r="H427" s="12">
        <v>0.21929499999999999</v>
      </c>
      <c r="I427" s="12">
        <v>3.5022999999999999E-2</v>
      </c>
      <c r="J427" s="12">
        <v>4.2483E-2</v>
      </c>
      <c r="K427" s="12">
        <v>0.34</v>
      </c>
      <c r="L427" s="12">
        <v>0.15</v>
      </c>
      <c r="M427" s="12">
        <v>1.92</v>
      </c>
    </row>
    <row r="428" spans="2:13" ht="18.75" x14ac:dyDescent="0.25">
      <c r="B428" s="7" t="s">
        <v>15</v>
      </c>
      <c r="C428" s="7" t="s">
        <v>583</v>
      </c>
      <c r="D428" s="12">
        <v>1.1580999999999999E-2</v>
      </c>
      <c r="E428" s="7"/>
      <c r="F428" s="7"/>
      <c r="G428" s="7"/>
      <c r="H428" s="12">
        <v>4.6463999999999998E-2</v>
      </c>
      <c r="I428" s="12">
        <v>0.13572999999999999</v>
      </c>
      <c r="J428" s="12">
        <v>0.39924199999999999</v>
      </c>
      <c r="K428" s="12">
        <v>0.92</v>
      </c>
      <c r="L428" s="12">
        <v>0.41</v>
      </c>
      <c r="M428" s="12">
        <v>5.14</v>
      </c>
    </row>
    <row r="429" spans="2:13" ht="18.75" x14ac:dyDescent="0.25">
      <c r="B429" s="7" t="s">
        <v>15</v>
      </c>
      <c r="C429" s="7" t="s">
        <v>582</v>
      </c>
      <c r="D429" s="12">
        <v>2.7999999999999998E-4</v>
      </c>
      <c r="E429" s="7"/>
      <c r="F429" s="7"/>
      <c r="G429" s="7"/>
      <c r="H429" s="12">
        <v>1.6689999999999999E-3</v>
      </c>
      <c r="I429" s="12">
        <v>3.9543339999999998</v>
      </c>
      <c r="J429" s="12">
        <v>3.8575219999999999</v>
      </c>
      <c r="K429" s="12">
        <v>0.01</v>
      </c>
      <c r="L429" s="12">
        <v>0</v>
      </c>
      <c r="M429" s="12">
        <v>0.03</v>
      </c>
    </row>
    <row r="430" spans="2:13" ht="18.75" x14ac:dyDescent="0.25">
      <c r="B430" s="7" t="s">
        <v>15</v>
      </c>
      <c r="C430" s="7" t="s">
        <v>581</v>
      </c>
      <c r="D430" s="12">
        <v>0.140045</v>
      </c>
      <c r="E430" s="7"/>
      <c r="F430" s="7"/>
      <c r="G430" s="7"/>
      <c r="H430" s="12">
        <v>0.64721700000000004</v>
      </c>
      <c r="I430" s="12">
        <v>0.90311900000000001</v>
      </c>
      <c r="J430" s="12">
        <v>11.776759</v>
      </c>
      <c r="K430" s="12">
        <v>7.75</v>
      </c>
      <c r="L430" s="12">
        <v>3.48</v>
      </c>
      <c r="M430" s="12">
        <v>43.43</v>
      </c>
    </row>
    <row r="431" spans="2:13" ht="18.75" x14ac:dyDescent="0.25">
      <c r="B431" s="7" t="s">
        <v>15</v>
      </c>
      <c r="C431" s="7" t="s">
        <v>239</v>
      </c>
      <c r="D431" s="12">
        <v>0.44237700000000002</v>
      </c>
      <c r="E431" s="7"/>
      <c r="F431" s="7"/>
      <c r="G431" s="7"/>
      <c r="H431" s="12">
        <v>9.9484000000000003E-2</v>
      </c>
      <c r="I431" s="12">
        <v>3.2027890000000001</v>
      </c>
      <c r="J431" s="12">
        <v>0.72144699999999995</v>
      </c>
      <c r="K431" s="12">
        <v>6.28</v>
      </c>
      <c r="L431" s="12">
        <v>2.82</v>
      </c>
      <c r="M431" s="12">
        <v>35.17</v>
      </c>
    </row>
    <row r="432" spans="2:13" ht="18.75" x14ac:dyDescent="0.25">
      <c r="B432" s="7" t="s">
        <v>15</v>
      </c>
      <c r="C432" s="7" t="s">
        <v>584</v>
      </c>
      <c r="D432" s="12">
        <v>0.53421300000000005</v>
      </c>
      <c r="E432" s="7"/>
      <c r="F432" s="7"/>
      <c r="G432" s="7"/>
      <c r="H432" s="12">
        <v>0.704762</v>
      </c>
      <c r="I432" s="12">
        <v>2.2950729999999999</v>
      </c>
      <c r="J432" s="12">
        <v>7.7718449999999999</v>
      </c>
      <c r="K432" s="12">
        <v>71.67</v>
      </c>
      <c r="L432" s="12">
        <v>32.200000000000003</v>
      </c>
      <c r="M432" s="12">
        <v>401.42</v>
      </c>
    </row>
    <row r="433" spans="2:13" ht="18.75" x14ac:dyDescent="0.25">
      <c r="B433" s="7" t="s">
        <v>15</v>
      </c>
      <c r="C433" s="7" t="s">
        <v>588</v>
      </c>
      <c r="D433" s="12">
        <v>106.31116</v>
      </c>
      <c r="E433" s="7"/>
      <c r="F433" s="7"/>
      <c r="G433" s="7"/>
      <c r="H433" s="12">
        <v>870.79826200000002</v>
      </c>
      <c r="I433" s="12">
        <v>2221.3657429999998</v>
      </c>
      <c r="J433" s="12">
        <v>741.36192600000004</v>
      </c>
      <c r="K433" s="12">
        <v>1287.04</v>
      </c>
      <c r="L433" s="12">
        <v>578.21</v>
      </c>
      <c r="M433" s="12">
        <v>7209.04</v>
      </c>
    </row>
    <row r="434" spans="2:13" ht="18.75" x14ac:dyDescent="0.25">
      <c r="B434" s="7" t="s">
        <v>15</v>
      </c>
      <c r="C434" s="7" t="s">
        <v>587</v>
      </c>
      <c r="D434" s="12">
        <v>17.016487000000001</v>
      </c>
      <c r="E434" s="7"/>
      <c r="F434" s="7"/>
      <c r="G434" s="7"/>
      <c r="H434" s="12">
        <v>102.124369</v>
      </c>
      <c r="I434" s="12">
        <v>144.75003599999999</v>
      </c>
      <c r="J434" s="12">
        <v>367.15028999999998</v>
      </c>
      <c r="K434" s="12">
        <v>784.58</v>
      </c>
      <c r="L434" s="12">
        <v>352.47</v>
      </c>
      <c r="M434" s="12">
        <v>4394.63</v>
      </c>
    </row>
    <row r="435" spans="2:13" ht="18.75" x14ac:dyDescent="0.25">
      <c r="B435" s="7" t="s">
        <v>15</v>
      </c>
      <c r="C435" s="7" t="s">
        <v>586</v>
      </c>
      <c r="D435" s="12">
        <v>18.800263999999999</v>
      </c>
      <c r="E435" s="7"/>
      <c r="F435" s="7"/>
      <c r="G435" s="7"/>
      <c r="H435" s="12">
        <v>127.548479</v>
      </c>
      <c r="I435" s="12">
        <v>363.38755900000001</v>
      </c>
      <c r="J435" s="12">
        <v>87.572235000000006</v>
      </c>
      <c r="K435" s="12">
        <v>247.28</v>
      </c>
      <c r="L435" s="12">
        <v>111.09</v>
      </c>
      <c r="M435" s="12">
        <v>1385.08</v>
      </c>
    </row>
    <row r="436" spans="2:13" ht="18.75" x14ac:dyDescent="0.25">
      <c r="B436" s="7" t="s">
        <v>15</v>
      </c>
      <c r="C436" s="7" t="s">
        <v>589</v>
      </c>
      <c r="D436" s="12">
        <v>8.8484049999999996</v>
      </c>
      <c r="E436" s="7"/>
      <c r="F436" s="7"/>
      <c r="G436" s="7"/>
      <c r="H436" s="12">
        <v>26.096789000000001</v>
      </c>
      <c r="I436" s="12">
        <v>37.760041999999999</v>
      </c>
      <c r="J436" s="12">
        <v>45.696548999999997</v>
      </c>
      <c r="K436" s="12">
        <v>103.62</v>
      </c>
      <c r="L436" s="12">
        <v>46.55</v>
      </c>
      <c r="M436" s="12">
        <v>580.41999999999996</v>
      </c>
    </row>
    <row r="437" spans="2:13" ht="18.75" x14ac:dyDescent="0.25">
      <c r="B437" s="7" t="s">
        <v>15</v>
      </c>
      <c r="C437" s="7" t="s">
        <v>590</v>
      </c>
      <c r="D437" s="12">
        <v>12.279574999999999</v>
      </c>
      <c r="E437" s="7"/>
      <c r="F437" s="7"/>
      <c r="G437" s="7"/>
      <c r="H437" s="12">
        <v>111.06574500000001</v>
      </c>
      <c r="I437" s="12">
        <v>164.606964</v>
      </c>
      <c r="J437" s="12">
        <v>205.29602499999999</v>
      </c>
      <c r="K437" s="12">
        <v>400.9</v>
      </c>
      <c r="L437" s="12">
        <v>180.1</v>
      </c>
      <c r="M437" s="12">
        <v>2245.52</v>
      </c>
    </row>
    <row r="438" spans="2:13" ht="18.75" x14ac:dyDescent="0.25">
      <c r="B438" s="7" t="s">
        <v>15</v>
      </c>
      <c r="C438" s="7" t="s">
        <v>96</v>
      </c>
      <c r="D438" s="12">
        <v>6.4848429999999997</v>
      </c>
      <c r="E438" s="7"/>
      <c r="F438" s="7"/>
      <c r="G438" s="7"/>
      <c r="H438" s="12">
        <v>46.621425000000002</v>
      </c>
      <c r="I438" s="12">
        <v>112.83640200000001</v>
      </c>
      <c r="J438" s="12">
        <v>79.619692000000001</v>
      </c>
      <c r="K438" s="12">
        <v>56.83</v>
      </c>
      <c r="L438" s="12">
        <v>25.53</v>
      </c>
      <c r="M438" s="12">
        <v>318.33</v>
      </c>
    </row>
    <row r="439" spans="2:13" ht="18.75" x14ac:dyDescent="0.25">
      <c r="B439" s="7" t="s">
        <v>15</v>
      </c>
      <c r="C439" s="7" t="s">
        <v>591</v>
      </c>
      <c r="D439" s="12">
        <v>4.4449059999999996</v>
      </c>
      <c r="E439" s="7"/>
      <c r="F439" s="7"/>
      <c r="G439" s="7"/>
      <c r="H439" s="12">
        <v>21.590102000000002</v>
      </c>
      <c r="I439" s="12">
        <v>21.580589</v>
      </c>
      <c r="J439" s="12">
        <v>71.353145999999995</v>
      </c>
      <c r="K439" s="12">
        <v>231.52</v>
      </c>
      <c r="L439" s="12">
        <v>104.01</v>
      </c>
      <c r="M439" s="12">
        <v>1296.81</v>
      </c>
    </row>
    <row r="440" spans="2:13" ht="18.75" x14ac:dyDescent="0.25">
      <c r="B440" s="7" t="s">
        <v>15</v>
      </c>
      <c r="C440" s="7" t="s">
        <v>141</v>
      </c>
      <c r="D440" s="12">
        <v>52.701036000000002</v>
      </c>
      <c r="E440" s="7"/>
      <c r="F440" s="7"/>
      <c r="G440" s="7"/>
      <c r="H440" s="12">
        <v>1751.24965</v>
      </c>
      <c r="I440" s="12">
        <v>1178.4124119999999</v>
      </c>
      <c r="J440" s="12">
        <v>2022.2264110000001</v>
      </c>
      <c r="K440" s="12">
        <v>1964.05</v>
      </c>
      <c r="L440" s="12">
        <v>882.36</v>
      </c>
      <c r="M440" s="12">
        <v>11001.19</v>
      </c>
    </row>
    <row r="441" spans="2:13" ht="18.75" x14ac:dyDescent="0.25">
      <c r="B441" s="7" t="s">
        <v>15</v>
      </c>
      <c r="C441" s="7" t="s">
        <v>136</v>
      </c>
      <c r="D441" s="12">
        <v>214.81030999999999</v>
      </c>
      <c r="E441" s="7"/>
      <c r="F441" s="7"/>
      <c r="G441" s="7"/>
      <c r="H441" s="12">
        <v>1331.93948</v>
      </c>
      <c r="I441" s="12">
        <v>3552.4445500000002</v>
      </c>
      <c r="J441" s="12">
        <v>130.605176</v>
      </c>
      <c r="K441" s="12">
        <v>198.83</v>
      </c>
      <c r="L441" s="12">
        <v>89.32</v>
      </c>
      <c r="M441" s="12">
        <v>1113.68</v>
      </c>
    </row>
    <row r="442" spans="2:13" ht="18.75" x14ac:dyDescent="0.25">
      <c r="B442" s="7" t="s">
        <v>15</v>
      </c>
      <c r="C442" s="7" t="s">
        <v>68</v>
      </c>
      <c r="D442" s="12">
        <v>3.7516980000000002</v>
      </c>
      <c r="E442" s="7"/>
      <c r="F442" s="7"/>
      <c r="G442" s="7"/>
      <c r="H442" s="12">
        <v>33.883896999999997</v>
      </c>
      <c r="I442" s="12">
        <v>84.757598999999999</v>
      </c>
      <c r="J442" s="12">
        <v>62.698304</v>
      </c>
      <c r="K442" s="12">
        <v>49.45</v>
      </c>
      <c r="L442" s="12">
        <v>22.21</v>
      </c>
      <c r="M442" s="12">
        <v>276.97000000000003</v>
      </c>
    </row>
    <row r="443" spans="2:13" ht="18.75" x14ac:dyDescent="0.25">
      <c r="B443" s="7" t="s">
        <v>15</v>
      </c>
      <c r="C443" s="7" t="s">
        <v>243</v>
      </c>
      <c r="D443" s="12">
        <v>133.884916</v>
      </c>
      <c r="E443" s="7"/>
      <c r="F443" s="7"/>
      <c r="G443" s="7"/>
      <c r="H443" s="12">
        <v>783.99724100000003</v>
      </c>
      <c r="I443" s="12">
        <v>2727.4074289999999</v>
      </c>
      <c r="J443" s="12">
        <v>1482.204334</v>
      </c>
      <c r="K443" s="12">
        <v>1893.21</v>
      </c>
      <c r="L443" s="12">
        <v>850.53</v>
      </c>
      <c r="M443" s="12">
        <v>10604.4</v>
      </c>
    </row>
    <row r="444" spans="2:13" ht="18.75" x14ac:dyDescent="0.25">
      <c r="B444" s="7" t="s">
        <v>15</v>
      </c>
      <c r="C444" s="7" t="s">
        <v>598</v>
      </c>
      <c r="D444" s="12">
        <v>0.10127899999999999</v>
      </c>
      <c r="E444" s="7"/>
      <c r="F444" s="7"/>
      <c r="G444" s="7"/>
      <c r="H444" s="12">
        <v>0.31727</v>
      </c>
      <c r="I444" s="12">
        <v>4.4778580000000003</v>
      </c>
      <c r="J444" s="12">
        <v>5.2375509999999998</v>
      </c>
      <c r="K444" s="12">
        <v>18.8</v>
      </c>
      <c r="L444" s="12">
        <v>8.4499999999999993</v>
      </c>
      <c r="M444" s="12">
        <v>105.33</v>
      </c>
    </row>
    <row r="445" spans="2:13" ht="18.75" x14ac:dyDescent="0.25">
      <c r="B445" s="7" t="s">
        <v>15</v>
      </c>
      <c r="C445" s="7" t="s">
        <v>593</v>
      </c>
      <c r="D445" s="12">
        <v>0.77635399999999999</v>
      </c>
      <c r="E445" s="7"/>
      <c r="F445" s="7"/>
      <c r="G445" s="7"/>
      <c r="H445" s="12">
        <v>2.5556390000000002</v>
      </c>
      <c r="I445" s="12">
        <v>5.4912910000000004</v>
      </c>
      <c r="J445" s="12">
        <v>3.838911</v>
      </c>
      <c r="K445" s="12">
        <v>3.63</v>
      </c>
      <c r="L445" s="12">
        <v>1.63</v>
      </c>
      <c r="M445" s="12">
        <v>20.36</v>
      </c>
    </row>
    <row r="446" spans="2:13" ht="18.75" x14ac:dyDescent="0.25">
      <c r="B446" s="7" t="s">
        <v>15</v>
      </c>
      <c r="C446" s="7" t="s">
        <v>596</v>
      </c>
      <c r="D446" s="12">
        <v>0.27018799999999998</v>
      </c>
      <c r="E446" s="7"/>
      <c r="F446" s="7"/>
      <c r="G446" s="7"/>
      <c r="H446" s="12">
        <v>1.750901</v>
      </c>
      <c r="I446" s="12">
        <v>1.8116680000000001</v>
      </c>
      <c r="J446" s="12">
        <v>3.5845199999999999</v>
      </c>
      <c r="K446" s="12">
        <v>7.32</v>
      </c>
      <c r="L446" s="12">
        <v>3.29</v>
      </c>
      <c r="M446" s="12">
        <v>41.02</v>
      </c>
    </row>
    <row r="447" spans="2:13" ht="18.75" x14ac:dyDescent="0.25">
      <c r="B447" s="7" t="s">
        <v>15</v>
      </c>
      <c r="C447" s="7" t="s">
        <v>241</v>
      </c>
      <c r="D447" s="12">
        <v>1.2412240000000001</v>
      </c>
      <c r="E447" s="7"/>
      <c r="F447" s="7"/>
      <c r="G447" s="7"/>
      <c r="H447" s="12">
        <v>7.4187750000000001</v>
      </c>
      <c r="I447" s="12">
        <v>9.9104089999999996</v>
      </c>
      <c r="J447" s="12">
        <v>37.961933000000002</v>
      </c>
      <c r="K447" s="12">
        <v>75.73</v>
      </c>
      <c r="L447" s="12">
        <v>34.020000000000003</v>
      </c>
      <c r="M447" s="12">
        <v>424.19</v>
      </c>
    </row>
    <row r="448" spans="2:13" ht="18.75" x14ac:dyDescent="0.25">
      <c r="B448" s="7" t="s">
        <v>15</v>
      </c>
      <c r="C448" s="7" t="s">
        <v>592</v>
      </c>
      <c r="D448" s="12">
        <v>5.0976E-2</v>
      </c>
      <c r="E448" s="7"/>
      <c r="F448" s="7"/>
      <c r="G448" s="7"/>
      <c r="H448" s="12">
        <v>0.32563799999999998</v>
      </c>
      <c r="I448" s="12">
        <v>0.339949</v>
      </c>
      <c r="J448" s="12">
        <v>1.0671999999999999E-2</v>
      </c>
      <c r="K448" s="12">
        <v>0.02</v>
      </c>
      <c r="L448" s="12">
        <v>0.01</v>
      </c>
      <c r="M448" s="12">
        <v>0.09</v>
      </c>
    </row>
    <row r="449" spans="2:13" ht="18.75" x14ac:dyDescent="0.25">
      <c r="B449" s="7" t="s">
        <v>15</v>
      </c>
      <c r="C449" s="7" t="s">
        <v>109</v>
      </c>
      <c r="D449" s="12">
        <v>6.4488320000000003</v>
      </c>
      <c r="E449" s="7"/>
      <c r="F449" s="7"/>
      <c r="G449" s="7"/>
      <c r="H449" s="12">
        <v>33.597839</v>
      </c>
      <c r="I449" s="12">
        <v>66.204166999999998</v>
      </c>
      <c r="J449" s="12">
        <v>156.647119</v>
      </c>
      <c r="K449" s="12">
        <v>312.19</v>
      </c>
      <c r="L449" s="12">
        <v>140.25</v>
      </c>
      <c r="M449" s="12">
        <v>1748.69</v>
      </c>
    </row>
    <row r="450" spans="2:13" ht="18.75" x14ac:dyDescent="0.25">
      <c r="B450" s="7" t="s">
        <v>15</v>
      </c>
      <c r="C450" s="7" t="s">
        <v>138</v>
      </c>
      <c r="D450" s="12">
        <v>85.486338000000003</v>
      </c>
      <c r="E450" s="7"/>
      <c r="F450" s="7"/>
      <c r="G450" s="7"/>
      <c r="H450" s="12">
        <v>109.678687</v>
      </c>
      <c r="I450" s="12">
        <v>577.07240899999999</v>
      </c>
      <c r="J450" s="12">
        <v>334.569008</v>
      </c>
      <c r="K450" s="12">
        <v>548.87</v>
      </c>
      <c r="L450" s="12">
        <v>246.58</v>
      </c>
      <c r="M450" s="12">
        <v>3074.35</v>
      </c>
    </row>
    <row r="451" spans="2:13" ht="18.75" x14ac:dyDescent="0.25">
      <c r="B451" s="7" t="s">
        <v>15</v>
      </c>
      <c r="C451" s="7" t="s">
        <v>594</v>
      </c>
      <c r="D451" s="12">
        <v>0.90646199999999999</v>
      </c>
      <c r="E451" s="7"/>
      <c r="F451" s="7"/>
      <c r="G451" s="7"/>
      <c r="H451" s="12">
        <v>7.5264620000000004</v>
      </c>
      <c r="I451" s="12">
        <v>8.9327050000000003</v>
      </c>
      <c r="J451" s="12">
        <v>29.841712999999999</v>
      </c>
      <c r="K451" s="12">
        <v>123.66</v>
      </c>
      <c r="L451" s="12">
        <v>20.67</v>
      </c>
      <c r="M451" s="12">
        <v>226.26</v>
      </c>
    </row>
    <row r="452" spans="2:13" ht="18.75" x14ac:dyDescent="0.25">
      <c r="B452" s="7" t="s">
        <v>15</v>
      </c>
      <c r="C452" s="7" t="s">
        <v>595</v>
      </c>
      <c r="D452" s="12">
        <v>0.87927</v>
      </c>
      <c r="E452" s="7"/>
      <c r="F452" s="7"/>
      <c r="G452" s="7"/>
      <c r="H452" s="12">
        <v>3.4452240000000001</v>
      </c>
      <c r="I452" s="12">
        <v>6.4837629999999997</v>
      </c>
      <c r="J452" s="12">
        <v>20.429079000000002</v>
      </c>
      <c r="K452" s="12">
        <v>51.3</v>
      </c>
      <c r="L452" s="12">
        <v>23.05</v>
      </c>
      <c r="M452" s="12">
        <v>287.35000000000002</v>
      </c>
    </row>
    <row r="453" spans="2:13" ht="18.75" x14ac:dyDescent="0.25">
      <c r="B453" s="7" t="s">
        <v>15</v>
      </c>
      <c r="C453" s="7" t="s">
        <v>599</v>
      </c>
      <c r="D453" s="12">
        <v>0.36901600000000001</v>
      </c>
      <c r="E453" s="7"/>
      <c r="F453" s="7"/>
      <c r="G453" s="7"/>
      <c r="H453" s="12">
        <v>0.88688800000000001</v>
      </c>
      <c r="I453" s="12">
        <v>1.8090299999999999</v>
      </c>
      <c r="J453" s="12">
        <v>2.9688270000000001</v>
      </c>
      <c r="K453" s="12">
        <v>34.22</v>
      </c>
      <c r="L453" s="12">
        <v>15.38</v>
      </c>
      <c r="M453" s="12">
        <v>191.7</v>
      </c>
    </row>
    <row r="454" spans="2:13" ht="18.75" x14ac:dyDescent="0.25">
      <c r="B454" s="7" t="s">
        <v>15</v>
      </c>
      <c r="C454" s="7" t="s">
        <v>597</v>
      </c>
      <c r="D454" s="12">
        <v>22.144071</v>
      </c>
      <c r="E454" s="7"/>
      <c r="F454" s="7"/>
      <c r="G454" s="7"/>
      <c r="H454" s="12">
        <v>223.88670500000001</v>
      </c>
      <c r="I454" s="12">
        <v>169.084239</v>
      </c>
      <c r="J454" s="12">
        <v>738.60000100000002</v>
      </c>
      <c r="K454" s="12">
        <v>885.43</v>
      </c>
      <c r="L454" s="12">
        <v>397.78</v>
      </c>
      <c r="M454" s="12">
        <v>4959.55</v>
      </c>
    </row>
    <row r="455" spans="2:13" ht="18.75" x14ac:dyDescent="0.25">
      <c r="B455" s="7" t="s">
        <v>15</v>
      </c>
      <c r="C455" s="7" t="s">
        <v>600</v>
      </c>
      <c r="D455" s="12">
        <v>6.2836169999999996</v>
      </c>
      <c r="E455" s="7"/>
      <c r="F455" s="7"/>
      <c r="G455" s="7"/>
      <c r="H455" s="12">
        <v>37.605856000000003</v>
      </c>
      <c r="I455" s="12">
        <v>58.227336999999999</v>
      </c>
      <c r="J455" s="12">
        <v>110.460307</v>
      </c>
      <c r="K455" s="12">
        <v>312.77</v>
      </c>
      <c r="L455" s="12">
        <v>140.51</v>
      </c>
      <c r="M455" s="12">
        <v>1751.91</v>
      </c>
    </row>
    <row r="456" spans="2:13" ht="18.75" x14ac:dyDescent="0.25">
      <c r="B456" s="7" t="s">
        <v>15</v>
      </c>
      <c r="C456" s="7" t="s">
        <v>101</v>
      </c>
      <c r="D456" s="12">
        <v>21.493303999999998</v>
      </c>
      <c r="E456" s="7"/>
      <c r="F456" s="7"/>
      <c r="G456" s="7"/>
      <c r="H456" s="12">
        <v>452.413006</v>
      </c>
      <c r="I456" s="12">
        <v>378.23240199999998</v>
      </c>
      <c r="J456" s="12">
        <v>784.36365999999998</v>
      </c>
      <c r="K456" s="12">
        <v>405.38</v>
      </c>
      <c r="L456" s="12">
        <v>182.12</v>
      </c>
      <c r="M456" s="12">
        <v>2270.63</v>
      </c>
    </row>
    <row r="457" spans="2:13" ht="18.75" x14ac:dyDescent="0.25">
      <c r="B457" s="7" t="s">
        <v>15</v>
      </c>
      <c r="C457" s="7" t="s">
        <v>247</v>
      </c>
      <c r="D457" s="12">
        <v>6.6641240000000002</v>
      </c>
      <c r="E457" s="7"/>
      <c r="F457" s="7"/>
      <c r="G457" s="7"/>
      <c r="H457" s="12">
        <v>197.57004599999999</v>
      </c>
      <c r="I457" s="12">
        <v>271.80476700000003</v>
      </c>
      <c r="J457" s="12">
        <v>143.450132</v>
      </c>
      <c r="K457" s="12">
        <v>154.21</v>
      </c>
      <c r="L457" s="12">
        <v>69.28</v>
      </c>
      <c r="M457" s="12">
        <v>863.76</v>
      </c>
    </row>
    <row r="458" spans="2:13" ht="18.75" x14ac:dyDescent="0.25">
      <c r="B458" s="7" t="s">
        <v>15</v>
      </c>
      <c r="C458" s="7" t="s">
        <v>602</v>
      </c>
      <c r="D458" s="12">
        <v>0.338812</v>
      </c>
      <c r="E458" s="7"/>
      <c r="F458" s="7"/>
      <c r="G458" s="7"/>
      <c r="H458" s="12">
        <v>1.204998</v>
      </c>
      <c r="I458" s="12">
        <v>2.5842670000000001</v>
      </c>
      <c r="J458" s="12">
        <v>13.268779</v>
      </c>
      <c r="K458" s="12">
        <v>17.87</v>
      </c>
      <c r="L458" s="12">
        <v>8.0299999999999994</v>
      </c>
      <c r="M458" s="12">
        <v>100.12</v>
      </c>
    </row>
    <row r="459" spans="2:13" ht="18.75" x14ac:dyDescent="0.25">
      <c r="B459" s="7" t="s">
        <v>15</v>
      </c>
      <c r="C459" s="7" t="s">
        <v>608</v>
      </c>
      <c r="D459" s="12">
        <v>1.8527629999999999</v>
      </c>
      <c r="E459" s="7"/>
      <c r="F459" s="7"/>
      <c r="G459" s="7"/>
      <c r="H459" s="12">
        <v>6.5954160000000002</v>
      </c>
      <c r="I459" s="12">
        <v>7.5479849999999997</v>
      </c>
      <c r="J459" s="12">
        <v>24.669421</v>
      </c>
      <c r="K459" s="12">
        <v>84.78</v>
      </c>
      <c r="L459" s="12">
        <v>38.090000000000003</v>
      </c>
      <c r="M459" s="12">
        <v>474.89</v>
      </c>
    </row>
    <row r="460" spans="2:13" ht="18.75" x14ac:dyDescent="0.25">
      <c r="B460" s="7" t="s">
        <v>15</v>
      </c>
      <c r="C460" s="7" t="s">
        <v>601</v>
      </c>
      <c r="D460" s="12">
        <v>0.36637900000000001</v>
      </c>
      <c r="E460" s="7"/>
      <c r="F460" s="7"/>
      <c r="G460" s="7"/>
      <c r="H460" s="12">
        <v>0.89929800000000004</v>
      </c>
      <c r="I460" s="12">
        <v>3.5465490000000002</v>
      </c>
      <c r="J460" s="12">
        <v>13.643732999999999</v>
      </c>
      <c r="K460" s="12">
        <v>23.97</v>
      </c>
      <c r="L460" s="12">
        <v>10.77</v>
      </c>
      <c r="M460" s="12">
        <v>134.25</v>
      </c>
    </row>
    <row r="461" spans="2:13" ht="18.75" x14ac:dyDescent="0.25">
      <c r="B461" s="7" t="s">
        <v>15</v>
      </c>
      <c r="C461" s="7" t="s">
        <v>622</v>
      </c>
      <c r="D461" s="12">
        <v>1.7727980000000001</v>
      </c>
      <c r="E461" s="7"/>
      <c r="F461" s="7"/>
      <c r="G461" s="7"/>
      <c r="H461" s="12">
        <v>4.3552340000000003</v>
      </c>
      <c r="I461" s="12">
        <v>20.930619</v>
      </c>
      <c r="J461" s="12">
        <v>69.302250000000001</v>
      </c>
      <c r="K461" s="12">
        <v>230.46</v>
      </c>
      <c r="L461" s="12">
        <v>103.54</v>
      </c>
      <c r="M461" s="12">
        <v>1290.8699999999999</v>
      </c>
    </row>
    <row r="462" spans="2:13" ht="18.75" x14ac:dyDescent="0.25">
      <c r="B462" s="7" t="s">
        <v>15</v>
      </c>
      <c r="C462" s="7" t="s">
        <v>623</v>
      </c>
      <c r="D462" s="12">
        <v>4.2235680000000002</v>
      </c>
      <c r="E462" s="7"/>
      <c r="F462" s="7"/>
      <c r="G462" s="7"/>
      <c r="H462" s="12">
        <v>21.545663000000001</v>
      </c>
      <c r="I462" s="12">
        <v>21.140332000000001</v>
      </c>
      <c r="J462" s="12">
        <v>84.066725000000005</v>
      </c>
      <c r="K462" s="12">
        <v>238.15</v>
      </c>
      <c r="L462" s="12">
        <v>106.99</v>
      </c>
      <c r="M462" s="12">
        <v>1333.97</v>
      </c>
    </row>
    <row r="463" spans="2:13" ht="18.75" x14ac:dyDescent="0.25">
      <c r="B463" s="7" t="s">
        <v>15</v>
      </c>
      <c r="C463" s="7" t="s">
        <v>604</v>
      </c>
      <c r="D463" s="12">
        <v>1.529609</v>
      </c>
      <c r="E463" s="7"/>
      <c r="F463" s="7"/>
      <c r="G463" s="7"/>
      <c r="H463" s="12">
        <v>9.6684129999999993</v>
      </c>
      <c r="I463" s="12">
        <v>17.058838999999999</v>
      </c>
      <c r="J463" s="12">
        <v>35.422522999999998</v>
      </c>
      <c r="K463" s="12">
        <v>78.569999999999993</v>
      </c>
      <c r="L463" s="12">
        <v>35.299999999999997</v>
      </c>
      <c r="M463" s="12">
        <v>440.07</v>
      </c>
    </row>
    <row r="464" spans="2:13" ht="18.75" x14ac:dyDescent="0.25">
      <c r="B464" s="7" t="s">
        <v>15</v>
      </c>
      <c r="C464" s="7" t="s">
        <v>612</v>
      </c>
      <c r="D464" s="12">
        <v>7.4370200000000004</v>
      </c>
      <c r="E464" s="7"/>
      <c r="F464" s="7"/>
      <c r="G464" s="7"/>
      <c r="H464" s="12">
        <v>37.443629999999999</v>
      </c>
      <c r="I464" s="12">
        <v>47.544083000000001</v>
      </c>
      <c r="J464" s="12">
        <v>84.076981000000004</v>
      </c>
      <c r="K464" s="12">
        <v>146.55000000000001</v>
      </c>
      <c r="L464" s="12">
        <v>65.84</v>
      </c>
      <c r="M464" s="12">
        <v>820.84</v>
      </c>
    </row>
    <row r="465" spans="2:13" ht="18.75" x14ac:dyDescent="0.25">
      <c r="B465" s="7" t="s">
        <v>15</v>
      </c>
      <c r="C465" s="7" t="s">
        <v>55</v>
      </c>
      <c r="D465" s="12">
        <v>3.854095</v>
      </c>
      <c r="E465" s="7"/>
      <c r="F465" s="7"/>
      <c r="G465" s="7"/>
      <c r="H465" s="12">
        <v>25.325353</v>
      </c>
      <c r="I465" s="12">
        <v>82.800237999999993</v>
      </c>
      <c r="J465" s="12">
        <v>416.89604100000003</v>
      </c>
      <c r="K465" s="12">
        <v>458.61</v>
      </c>
      <c r="L465" s="12">
        <v>206.03</v>
      </c>
      <c r="M465" s="12">
        <v>2568.77</v>
      </c>
    </row>
    <row r="466" spans="2:13" ht="18.75" x14ac:dyDescent="0.25">
      <c r="B466" s="7" t="s">
        <v>15</v>
      </c>
      <c r="C466" s="7" t="s">
        <v>163</v>
      </c>
      <c r="D466" s="12">
        <v>16.441296999999999</v>
      </c>
      <c r="E466" s="7"/>
      <c r="F466" s="7"/>
      <c r="G466" s="7"/>
      <c r="H466" s="12">
        <v>207.666065</v>
      </c>
      <c r="I466" s="12">
        <v>399.53188899999998</v>
      </c>
      <c r="J466" s="12">
        <v>332.81190900000001</v>
      </c>
      <c r="K466" s="12">
        <v>658</v>
      </c>
      <c r="L466" s="12">
        <v>295.61</v>
      </c>
      <c r="M466" s="12">
        <v>3685.66</v>
      </c>
    </row>
    <row r="467" spans="2:13" ht="18.75" x14ac:dyDescent="0.25">
      <c r="B467" s="7" t="s">
        <v>15</v>
      </c>
      <c r="C467" s="7" t="s">
        <v>603</v>
      </c>
      <c r="D467" s="12">
        <v>0.95644300000000004</v>
      </c>
      <c r="E467" s="7"/>
      <c r="F467" s="7"/>
      <c r="G467" s="7"/>
      <c r="H467" s="12">
        <v>5.9567880000000004</v>
      </c>
      <c r="I467" s="12">
        <v>14.116106</v>
      </c>
      <c r="J467" s="12">
        <v>34.467143999999998</v>
      </c>
      <c r="K467" s="12">
        <v>40.57</v>
      </c>
      <c r="L467" s="12">
        <v>18.23</v>
      </c>
      <c r="M467" s="12">
        <v>227.24</v>
      </c>
    </row>
    <row r="468" spans="2:13" ht="18.75" x14ac:dyDescent="0.25">
      <c r="B468" s="7" t="s">
        <v>15</v>
      </c>
      <c r="C468" s="7" t="s">
        <v>618</v>
      </c>
      <c r="D468" s="12">
        <v>7.3438829999999999</v>
      </c>
      <c r="E468" s="7"/>
      <c r="F468" s="7"/>
      <c r="G468" s="7"/>
      <c r="H468" s="12">
        <v>76.338869000000003</v>
      </c>
      <c r="I468" s="12">
        <v>118.07805500000001</v>
      </c>
      <c r="J468" s="12">
        <v>179.33580499999999</v>
      </c>
      <c r="K468" s="12">
        <v>466.55</v>
      </c>
      <c r="L468" s="12">
        <v>209.6</v>
      </c>
      <c r="M468" s="12">
        <v>2613.2600000000002</v>
      </c>
    </row>
    <row r="469" spans="2:13" ht="18.75" x14ac:dyDescent="0.25">
      <c r="B469" s="7" t="s">
        <v>15</v>
      </c>
      <c r="C469" s="7" t="s">
        <v>619</v>
      </c>
      <c r="D469" s="12">
        <v>5.8411999999999999E-2</v>
      </c>
      <c r="E469" s="7"/>
      <c r="F469" s="7"/>
      <c r="G469" s="7"/>
      <c r="H469" s="12">
        <v>0.663829</v>
      </c>
      <c r="I469" s="12">
        <v>9.9240999999999996E-2</v>
      </c>
      <c r="J469" s="12">
        <v>1.41012</v>
      </c>
      <c r="K469" s="12">
        <v>2.2400000000000002</v>
      </c>
      <c r="L469" s="12">
        <v>1</v>
      </c>
      <c r="M469" s="12">
        <v>12.52</v>
      </c>
    </row>
    <row r="470" spans="2:13" ht="18.75" x14ac:dyDescent="0.25">
      <c r="B470" s="7" t="s">
        <v>15</v>
      </c>
      <c r="C470" s="7" t="s">
        <v>606</v>
      </c>
      <c r="D470" s="12">
        <v>0.30496899999999999</v>
      </c>
      <c r="E470" s="7"/>
      <c r="F470" s="7"/>
      <c r="G470" s="7"/>
      <c r="H470" s="12">
        <v>43.905143000000002</v>
      </c>
      <c r="I470" s="12">
        <v>8.4559859999999993</v>
      </c>
      <c r="J470" s="12">
        <v>8.6214879999999994</v>
      </c>
      <c r="K470" s="12">
        <v>4.55</v>
      </c>
      <c r="L470" s="12">
        <v>2.04</v>
      </c>
      <c r="M470" s="12">
        <v>25.47</v>
      </c>
    </row>
    <row r="471" spans="2:13" ht="18.75" x14ac:dyDescent="0.25">
      <c r="B471" s="7" t="s">
        <v>15</v>
      </c>
      <c r="C471" s="7" t="s">
        <v>620</v>
      </c>
      <c r="D471" s="12">
        <v>1.62042</v>
      </c>
      <c r="E471" s="7"/>
      <c r="F471" s="7"/>
      <c r="G471" s="7"/>
      <c r="H471" s="12">
        <v>8.2538809999999998</v>
      </c>
      <c r="I471" s="12">
        <v>17.290621000000002</v>
      </c>
      <c r="J471" s="12">
        <v>26.402746</v>
      </c>
      <c r="K471" s="12">
        <v>1192.81</v>
      </c>
      <c r="L471" s="12">
        <v>85.76</v>
      </c>
      <c r="M471" s="12">
        <v>1859.8</v>
      </c>
    </row>
    <row r="472" spans="2:13" ht="18.75" x14ac:dyDescent="0.25">
      <c r="B472" s="7" t="s">
        <v>15</v>
      </c>
      <c r="C472" s="7" t="s">
        <v>610</v>
      </c>
      <c r="D472" s="12">
        <v>4.8187509999999998</v>
      </c>
      <c r="E472" s="7"/>
      <c r="F472" s="7"/>
      <c r="G472" s="7"/>
      <c r="H472" s="12">
        <v>30.353300999999998</v>
      </c>
      <c r="I472" s="12">
        <v>27.262701</v>
      </c>
      <c r="J472" s="12">
        <v>179.961894</v>
      </c>
      <c r="K472" s="12">
        <v>4160.6000000000004</v>
      </c>
      <c r="L472" s="12">
        <v>299.12</v>
      </c>
      <c r="M472" s="12">
        <v>6487.13</v>
      </c>
    </row>
    <row r="473" spans="2:13" ht="18.75" x14ac:dyDescent="0.25">
      <c r="B473" s="7" t="s">
        <v>15</v>
      </c>
      <c r="C473" s="7" t="s">
        <v>607</v>
      </c>
      <c r="D473" s="12">
        <v>9.6149959999999997</v>
      </c>
      <c r="E473" s="7"/>
      <c r="F473" s="7"/>
      <c r="G473" s="7"/>
      <c r="H473" s="12">
        <v>128.843661</v>
      </c>
      <c r="I473" s="12">
        <v>94.426727</v>
      </c>
      <c r="J473" s="12">
        <v>1125.7361060000001</v>
      </c>
      <c r="K473" s="12">
        <v>8739.2900000000009</v>
      </c>
      <c r="L473" s="12">
        <v>628.29999999999995</v>
      </c>
      <c r="M473" s="12">
        <v>13626.14</v>
      </c>
    </row>
    <row r="474" spans="2:13" ht="18.75" x14ac:dyDescent="0.25">
      <c r="B474" s="7" t="s">
        <v>15</v>
      </c>
      <c r="C474" s="7" t="s">
        <v>614</v>
      </c>
      <c r="D474" s="12">
        <v>0.53159999999999996</v>
      </c>
      <c r="E474" s="7"/>
      <c r="F474" s="7"/>
      <c r="G474" s="7"/>
      <c r="H474" s="12">
        <v>1.226723</v>
      </c>
      <c r="I474" s="12">
        <v>2.0779350000000001</v>
      </c>
      <c r="J474" s="12">
        <v>11.350107</v>
      </c>
      <c r="K474" s="12">
        <v>85.07</v>
      </c>
      <c r="L474" s="12">
        <v>38.22</v>
      </c>
      <c r="M474" s="12">
        <v>476.5</v>
      </c>
    </row>
    <row r="475" spans="2:13" ht="18.75" x14ac:dyDescent="0.25">
      <c r="B475" s="7" t="s">
        <v>15</v>
      </c>
      <c r="C475" s="7" t="s">
        <v>617</v>
      </c>
      <c r="D475" s="12">
        <v>0.21491399999999999</v>
      </c>
      <c r="E475" s="7"/>
      <c r="F475" s="7"/>
      <c r="G475" s="7"/>
      <c r="H475" s="12">
        <v>0.221974</v>
      </c>
      <c r="I475" s="12">
        <v>1.2652110000000001</v>
      </c>
      <c r="J475" s="12">
        <v>2.9467509999999999</v>
      </c>
      <c r="K475" s="12">
        <v>16.37</v>
      </c>
      <c r="L475" s="12">
        <v>7.36</v>
      </c>
      <c r="M475" s="12">
        <v>91.71</v>
      </c>
    </row>
    <row r="476" spans="2:13" ht="18.75" x14ac:dyDescent="0.25">
      <c r="B476" s="7" t="s">
        <v>15</v>
      </c>
      <c r="C476" s="7" t="s">
        <v>611</v>
      </c>
      <c r="D476" s="12">
        <v>0.75146900000000005</v>
      </c>
      <c r="E476" s="7"/>
      <c r="F476" s="7"/>
      <c r="G476" s="7"/>
      <c r="H476" s="12">
        <v>3.3548079999999998</v>
      </c>
      <c r="I476" s="12">
        <v>4.3530620000000004</v>
      </c>
      <c r="J476" s="12">
        <v>11.124585</v>
      </c>
      <c r="K476" s="12">
        <v>33.11</v>
      </c>
      <c r="L476" s="12">
        <v>14.88</v>
      </c>
      <c r="M476" s="12">
        <v>185.47</v>
      </c>
    </row>
    <row r="477" spans="2:13" ht="18.75" x14ac:dyDescent="0.25">
      <c r="B477" s="7" t="s">
        <v>15</v>
      </c>
      <c r="C477" s="7" t="s">
        <v>613</v>
      </c>
      <c r="D477" s="12">
        <v>4.1219999999999998E-3</v>
      </c>
      <c r="E477" s="7"/>
      <c r="F477" s="7"/>
      <c r="G477" s="7"/>
      <c r="H477" s="12">
        <v>5.0650000000000001E-3</v>
      </c>
      <c r="I477" s="12">
        <v>2.1885999999999999E-2</v>
      </c>
      <c r="J477" s="12">
        <v>7.5282000000000002E-2</v>
      </c>
      <c r="K477" s="12">
        <v>0.24</v>
      </c>
      <c r="L477" s="12">
        <v>0.11</v>
      </c>
      <c r="M477" s="12">
        <v>1.34</v>
      </c>
    </row>
    <row r="478" spans="2:13" ht="18.75" x14ac:dyDescent="0.25">
      <c r="B478" s="7" t="s">
        <v>15</v>
      </c>
      <c r="C478" s="7" t="s">
        <v>615</v>
      </c>
      <c r="D478" s="12">
        <v>0.68769800000000003</v>
      </c>
      <c r="E478" s="7"/>
      <c r="F478" s="7"/>
      <c r="G478" s="7"/>
      <c r="H478" s="12">
        <v>4.2819570000000002</v>
      </c>
      <c r="I478" s="12">
        <v>3.0206149999999998</v>
      </c>
      <c r="J478" s="12">
        <v>6.734521</v>
      </c>
      <c r="K478" s="12">
        <v>14.12</v>
      </c>
      <c r="L478" s="12">
        <v>6.35</v>
      </c>
      <c r="M478" s="12">
        <v>79.12</v>
      </c>
    </row>
    <row r="479" spans="2:13" ht="18.75" x14ac:dyDescent="0.25">
      <c r="B479" s="7" t="s">
        <v>15</v>
      </c>
      <c r="C479" s="7" t="s">
        <v>621</v>
      </c>
      <c r="D479" s="12">
        <v>4.6933720000000001</v>
      </c>
      <c r="E479" s="7"/>
      <c r="F479" s="7"/>
      <c r="G479" s="7"/>
      <c r="H479" s="12">
        <v>24.557759000000001</v>
      </c>
      <c r="I479" s="12">
        <v>30.303947000000001</v>
      </c>
      <c r="J479" s="12">
        <v>309.225866</v>
      </c>
      <c r="K479" s="12">
        <v>518.99</v>
      </c>
      <c r="L479" s="12">
        <v>233.16</v>
      </c>
      <c r="M479" s="12">
        <v>2907</v>
      </c>
    </row>
    <row r="480" spans="2:13" ht="18.75" x14ac:dyDescent="0.25">
      <c r="B480" s="7" t="s">
        <v>15</v>
      </c>
      <c r="C480" s="7" t="s">
        <v>605</v>
      </c>
      <c r="D480" s="12">
        <v>22.045503</v>
      </c>
      <c r="E480" s="7"/>
      <c r="F480" s="7"/>
      <c r="G480" s="7"/>
      <c r="H480" s="12">
        <v>331.45076899999998</v>
      </c>
      <c r="I480" s="12">
        <v>1190.1667649999999</v>
      </c>
      <c r="J480" s="12">
        <v>248.745147</v>
      </c>
      <c r="K480" s="12">
        <v>268.62</v>
      </c>
      <c r="L480" s="12">
        <v>120.68</v>
      </c>
      <c r="M480" s="12">
        <v>1504.63</v>
      </c>
    </row>
    <row r="481" spans="2:13" ht="18.75" x14ac:dyDescent="0.25">
      <c r="B481" s="7" t="s">
        <v>15</v>
      </c>
      <c r="C481" s="7" t="s">
        <v>245</v>
      </c>
      <c r="D481" s="12">
        <v>6.7919429999999998</v>
      </c>
      <c r="E481" s="7"/>
      <c r="F481" s="7"/>
      <c r="G481" s="7"/>
      <c r="H481" s="12">
        <v>40.269264</v>
      </c>
      <c r="I481" s="12">
        <v>64.266096000000005</v>
      </c>
      <c r="J481" s="12">
        <v>557.57324700000004</v>
      </c>
      <c r="K481" s="12">
        <v>663.34</v>
      </c>
      <c r="L481" s="12">
        <v>298.01</v>
      </c>
      <c r="M481" s="12">
        <v>3715.55</v>
      </c>
    </row>
    <row r="482" spans="2:13" ht="18.75" x14ac:dyDescent="0.25">
      <c r="B482" s="7" t="s">
        <v>15</v>
      </c>
      <c r="C482" s="7" t="s">
        <v>609</v>
      </c>
      <c r="D482" s="12">
        <v>8.5723999999999995E-2</v>
      </c>
      <c r="E482" s="7"/>
      <c r="F482" s="7"/>
      <c r="G482" s="7"/>
      <c r="H482" s="12">
        <v>1.5296689999999999</v>
      </c>
      <c r="I482" s="12">
        <v>0.87972099999999998</v>
      </c>
      <c r="J482" s="12">
        <v>2.7232780000000001</v>
      </c>
      <c r="K482" s="12">
        <v>1.25</v>
      </c>
      <c r="L482" s="12">
        <v>0.56000000000000005</v>
      </c>
      <c r="M482" s="12">
        <v>7.01</v>
      </c>
    </row>
    <row r="483" spans="2:13" ht="18.75" x14ac:dyDescent="0.25">
      <c r="B483" s="7" t="s">
        <v>15</v>
      </c>
      <c r="C483" s="7" t="s">
        <v>159</v>
      </c>
      <c r="D483" s="12">
        <v>0.108401</v>
      </c>
      <c r="E483" s="7"/>
      <c r="F483" s="7"/>
      <c r="G483" s="7"/>
      <c r="H483" s="12">
        <v>2.02854</v>
      </c>
      <c r="I483" s="12">
        <v>4.7966800000000003</v>
      </c>
      <c r="J483" s="12">
        <v>41.563912999999999</v>
      </c>
      <c r="K483" s="12">
        <v>8.89</v>
      </c>
      <c r="L483" s="12">
        <v>4</v>
      </c>
      <c r="M483" s="12">
        <v>49.81</v>
      </c>
    </row>
    <row r="484" spans="2:13" ht="18.75" x14ac:dyDescent="0.25">
      <c r="B484" s="7" t="s">
        <v>15</v>
      </c>
      <c r="C484" s="7" t="s">
        <v>616</v>
      </c>
      <c r="D484" s="12">
        <v>0.57748200000000005</v>
      </c>
      <c r="E484" s="7"/>
      <c r="F484" s="7"/>
      <c r="G484" s="7"/>
      <c r="H484" s="12">
        <v>1.4144699999999999</v>
      </c>
      <c r="I484" s="12">
        <v>2.9105340000000002</v>
      </c>
      <c r="J484" s="12">
        <v>5.0526099999999996</v>
      </c>
      <c r="K484" s="12">
        <v>31.39</v>
      </c>
      <c r="L484" s="12">
        <v>14.1</v>
      </c>
      <c r="M484" s="12">
        <v>175.84</v>
      </c>
    </row>
    <row r="485" spans="2:13" ht="18.75" x14ac:dyDescent="0.25">
      <c r="B485" s="7" t="s">
        <v>15</v>
      </c>
      <c r="C485" s="7" t="s">
        <v>625</v>
      </c>
      <c r="D485" s="12">
        <v>0.17588799999999999</v>
      </c>
      <c r="E485" s="7"/>
      <c r="F485" s="7"/>
      <c r="G485" s="7"/>
      <c r="H485" s="12">
        <v>0.38096799999999997</v>
      </c>
      <c r="I485" s="12">
        <v>5.1219190000000001</v>
      </c>
      <c r="J485" s="12">
        <v>1.098598</v>
      </c>
      <c r="K485" s="12">
        <v>3.33</v>
      </c>
      <c r="L485" s="12">
        <v>0.56000000000000005</v>
      </c>
      <c r="M485" s="12">
        <v>6.09</v>
      </c>
    </row>
    <row r="486" spans="2:13" ht="18.75" x14ac:dyDescent="0.25">
      <c r="B486" s="7" t="s">
        <v>15</v>
      </c>
      <c r="C486" s="7" t="s">
        <v>627</v>
      </c>
      <c r="D486" s="12">
        <v>9.9974999999999994E-2</v>
      </c>
      <c r="E486" s="7"/>
      <c r="F486" s="7"/>
      <c r="G486" s="7"/>
      <c r="H486" s="12">
        <v>0.64740699999999995</v>
      </c>
      <c r="I486" s="12">
        <v>0.13949400000000001</v>
      </c>
      <c r="J486" s="12">
        <v>1.2118910000000001</v>
      </c>
      <c r="K486" s="12">
        <v>16.27</v>
      </c>
      <c r="L486" s="12">
        <v>2.72</v>
      </c>
      <c r="M486" s="12">
        <v>29.77</v>
      </c>
    </row>
    <row r="487" spans="2:13" ht="18.75" x14ac:dyDescent="0.25">
      <c r="B487" s="7" t="s">
        <v>15</v>
      </c>
      <c r="C487" s="7" t="s">
        <v>628</v>
      </c>
      <c r="D487" s="12">
        <v>0.93326399999999998</v>
      </c>
      <c r="E487" s="7"/>
      <c r="F487" s="7"/>
      <c r="G487" s="7"/>
      <c r="H487" s="12">
        <v>39.919387</v>
      </c>
      <c r="I487" s="12">
        <v>121.530123</v>
      </c>
      <c r="J487" s="12">
        <v>106.88885999999999</v>
      </c>
      <c r="K487" s="12">
        <v>50.04</v>
      </c>
      <c r="L487" s="12">
        <v>8.3699999999999992</v>
      </c>
      <c r="M487" s="12">
        <v>91.57</v>
      </c>
    </row>
    <row r="488" spans="2:13" ht="18.75" x14ac:dyDescent="0.25">
      <c r="B488" s="7" t="s">
        <v>15</v>
      </c>
      <c r="C488" s="7" t="s">
        <v>629</v>
      </c>
      <c r="D488" s="12">
        <v>3.9247779999999999</v>
      </c>
      <c r="E488" s="7"/>
      <c r="F488" s="7"/>
      <c r="G488" s="7"/>
      <c r="H488" s="12">
        <v>25.286090000000002</v>
      </c>
      <c r="I488" s="12">
        <v>118.391288</v>
      </c>
      <c r="J488" s="12">
        <v>89.440586999999994</v>
      </c>
      <c r="K488" s="12">
        <v>359.88</v>
      </c>
      <c r="L488" s="12">
        <v>60.16</v>
      </c>
      <c r="M488" s="12">
        <v>658.5</v>
      </c>
    </row>
    <row r="489" spans="2:13" ht="18.75" x14ac:dyDescent="0.25">
      <c r="B489" s="7" t="s">
        <v>15</v>
      </c>
      <c r="C489" s="7" t="s">
        <v>630</v>
      </c>
      <c r="D489" s="12">
        <v>1.215643</v>
      </c>
      <c r="E489" s="7"/>
      <c r="F489" s="7"/>
      <c r="G489" s="7"/>
      <c r="H489" s="12">
        <v>20.127227999999999</v>
      </c>
      <c r="I489" s="12">
        <v>12.588244</v>
      </c>
      <c r="J489" s="12">
        <v>155.41972100000001</v>
      </c>
      <c r="K489" s="12">
        <v>210.47</v>
      </c>
      <c r="L489" s="12">
        <v>35.18</v>
      </c>
      <c r="M489" s="12">
        <v>385.1</v>
      </c>
    </row>
    <row r="490" spans="2:13" ht="18.75" x14ac:dyDescent="0.25">
      <c r="B490" s="7" t="s">
        <v>15</v>
      </c>
      <c r="C490" s="7" t="s">
        <v>634</v>
      </c>
      <c r="D490" s="12">
        <v>0.27281300000000003</v>
      </c>
      <c r="E490" s="7"/>
      <c r="F490" s="7"/>
      <c r="G490" s="7"/>
      <c r="H490" s="12">
        <v>1.2655650000000001</v>
      </c>
      <c r="I490" s="12">
        <v>0.51521099999999997</v>
      </c>
      <c r="J490" s="12">
        <v>2.7002980000000001</v>
      </c>
      <c r="K490" s="12">
        <v>40.93</v>
      </c>
      <c r="L490" s="12">
        <v>6.84</v>
      </c>
      <c r="M490" s="12">
        <v>74.89</v>
      </c>
    </row>
    <row r="491" spans="2:13" ht="18.75" x14ac:dyDescent="0.25">
      <c r="B491" s="7" t="s">
        <v>15</v>
      </c>
      <c r="C491" s="7" t="s">
        <v>632</v>
      </c>
      <c r="D491" s="12">
        <v>6.1605819999999998</v>
      </c>
      <c r="E491" s="7"/>
      <c r="F491" s="7"/>
      <c r="G491" s="7"/>
      <c r="H491" s="12">
        <v>28.457746</v>
      </c>
      <c r="I491" s="12">
        <v>64.359748999999994</v>
      </c>
      <c r="J491" s="12">
        <v>94.711744999999993</v>
      </c>
      <c r="K491" s="12">
        <v>691.13</v>
      </c>
      <c r="L491" s="12">
        <v>115.53</v>
      </c>
      <c r="M491" s="12">
        <v>1264.5999999999999</v>
      </c>
    </row>
    <row r="492" spans="2:13" ht="18.75" x14ac:dyDescent="0.25">
      <c r="B492" s="7" t="s">
        <v>15</v>
      </c>
      <c r="C492" s="7" t="s">
        <v>631</v>
      </c>
      <c r="D492" s="12">
        <v>2.2172719999999999</v>
      </c>
      <c r="E492" s="7"/>
      <c r="F492" s="7"/>
      <c r="G492" s="7"/>
      <c r="H492" s="12">
        <v>4.9087940000000003</v>
      </c>
      <c r="I492" s="12">
        <v>8.2520240000000005</v>
      </c>
      <c r="J492" s="12">
        <v>6.0651060000000001</v>
      </c>
      <c r="K492" s="12">
        <v>16.100000000000001</v>
      </c>
      <c r="L492" s="12">
        <v>2.69</v>
      </c>
      <c r="M492" s="12">
        <v>29.46</v>
      </c>
    </row>
    <row r="493" spans="2:13" ht="18.75" x14ac:dyDescent="0.25">
      <c r="B493" s="7" t="s">
        <v>15</v>
      </c>
      <c r="C493" s="7" t="s">
        <v>633</v>
      </c>
      <c r="D493" s="12">
        <v>0.56437499999999996</v>
      </c>
      <c r="E493" s="7"/>
      <c r="F493" s="7"/>
      <c r="G493" s="7"/>
      <c r="H493" s="12">
        <v>5.1918699999999998</v>
      </c>
      <c r="I493" s="12">
        <v>78.844185999999993</v>
      </c>
      <c r="J493" s="12">
        <v>59.131517000000002</v>
      </c>
      <c r="K493" s="12">
        <v>89.72</v>
      </c>
      <c r="L493" s="12">
        <v>15</v>
      </c>
      <c r="M493" s="12">
        <v>164.16</v>
      </c>
    </row>
    <row r="494" spans="2:13" ht="18.75" x14ac:dyDescent="0.25">
      <c r="B494" s="7" t="s">
        <v>15</v>
      </c>
      <c r="C494" s="7" t="s">
        <v>636</v>
      </c>
      <c r="D494" s="12">
        <v>4.4733210000000003</v>
      </c>
      <c r="E494" s="7"/>
      <c r="F494" s="7"/>
      <c r="G494" s="7"/>
      <c r="H494" s="12">
        <v>10.030153</v>
      </c>
      <c r="I494" s="12">
        <v>24.219045999999999</v>
      </c>
      <c r="J494" s="12">
        <v>35.061340000000001</v>
      </c>
      <c r="K494" s="12">
        <v>261.87</v>
      </c>
      <c r="L494" s="12">
        <v>43.78</v>
      </c>
      <c r="M494" s="12">
        <v>479.16</v>
      </c>
    </row>
    <row r="495" spans="2:13" ht="18.75" x14ac:dyDescent="0.25">
      <c r="B495" s="7" t="s">
        <v>15</v>
      </c>
      <c r="C495" s="7" t="s">
        <v>635</v>
      </c>
      <c r="D495" s="12">
        <v>3.7976109999999998</v>
      </c>
      <c r="E495" s="7"/>
      <c r="F495" s="7"/>
      <c r="G495" s="7"/>
      <c r="H495" s="12">
        <v>13.998559999999999</v>
      </c>
      <c r="I495" s="12">
        <v>39.291832999999997</v>
      </c>
      <c r="J495" s="12">
        <v>6.7286929999999998</v>
      </c>
      <c r="K495" s="12">
        <v>65.09</v>
      </c>
      <c r="L495" s="12">
        <v>10.88</v>
      </c>
      <c r="M495" s="12">
        <v>119.1</v>
      </c>
    </row>
    <row r="496" spans="2:13" ht="18.75" x14ac:dyDescent="0.25">
      <c r="B496" s="7" t="s">
        <v>15</v>
      </c>
      <c r="C496" s="7" t="s">
        <v>45</v>
      </c>
      <c r="D496" s="12">
        <v>11.087789000000001</v>
      </c>
      <c r="E496" s="7"/>
      <c r="F496" s="7"/>
      <c r="G496" s="7"/>
      <c r="H496" s="12">
        <v>59.031305000000003</v>
      </c>
      <c r="I496" s="12">
        <v>104.996364</v>
      </c>
      <c r="J496" s="12">
        <v>141.641671</v>
      </c>
      <c r="K496" s="12">
        <v>1217.52</v>
      </c>
      <c r="L496" s="12">
        <v>203.53</v>
      </c>
      <c r="M496" s="12">
        <v>2227.7600000000002</v>
      </c>
    </row>
    <row r="497" spans="2:13" ht="18.75" x14ac:dyDescent="0.25">
      <c r="B497" s="7" t="s">
        <v>15</v>
      </c>
      <c r="C497" s="7" t="s">
        <v>639</v>
      </c>
      <c r="D497" s="12">
        <v>19.520482000000001</v>
      </c>
      <c r="E497" s="7"/>
      <c r="F497" s="7"/>
      <c r="G497" s="7"/>
      <c r="H497" s="12">
        <v>1130.291982</v>
      </c>
      <c r="I497" s="12">
        <v>648.89412700000003</v>
      </c>
      <c r="J497" s="12">
        <v>2068.7900500000001</v>
      </c>
      <c r="K497" s="12">
        <v>1696.37</v>
      </c>
      <c r="L497" s="12">
        <v>283.57</v>
      </c>
      <c r="M497" s="12">
        <v>3103.91</v>
      </c>
    </row>
    <row r="498" spans="2:13" ht="18.75" x14ac:dyDescent="0.25">
      <c r="B498" s="7" t="s">
        <v>15</v>
      </c>
      <c r="C498" s="7" t="s">
        <v>637</v>
      </c>
      <c r="D498" s="12">
        <v>14.002209000000001</v>
      </c>
      <c r="E498" s="7"/>
      <c r="F498" s="7"/>
      <c r="G498" s="7"/>
      <c r="H498" s="12">
        <v>49.874952</v>
      </c>
      <c r="I498" s="12">
        <v>72.240910999999997</v>
      </c>
      <c r="J498" s="12">
        <v>171.416911</v>
      </c>
      <c r="K498" s="12">
        <v>3239.85</v>
      </c>
      <c r="L498" s="12">
        <v>541.58000000000004</v>
      </c>
      <c r="M498" s="12">
        <v>5928.09</v>
      </c>
    </row>
    <row r="499" spans="2:13" ht="18.75" x14ac:dyDescent="0.25">
      <c r="B499" s="7" t="s">
        <v>15</v>
      </c>
      <c r="C499" s="7" t="s">
        <v>643</v>
      </c>
      <c r="D499" s="12">
        <v>6.3555659999999996</v>
      </c>
      <c r="E499" s="7"/>
      <c r="F499" s="7"/>
      <c r="G499" s="7"/>
      <c r="H499" s="12">
        <v>39.132871000000002</v>
      </c>
      <c r="I499" s="12">
        <v>28.509990999999999</v>
      </c>
      <c r="J499" s="12">
        <v>54.024264000000002</v>
      </c>
      <c r="K499" s="12">
        <v>388.2</v>
      </c>
      <c r="L499" s="12">
        <v>64.89</v>
      </c>
      <c r="M499" s="12">
        <v>710.31</v>
      </c>
    </row>
    <row r="500" spans="2:13" ht="18.75" x14ac:dyDescent="0.25">
      <c r="B500" s="7" t="s">
        <v>15</v>
      </c>
      <c r="C500" s="7" t="s">
        <v>638</v>
      </c>
      <c r="D500" s="12">
        <v>2.1625999999999999E-2</v>
      </c>
      <c r="E500" s="7"/>
      <c r="F500" s="7"/>
      <c r="G500" s="7"/>
      <c r="H500" s="12">
        <v>0.33524399999999999</v>
      </c>
      <c r="I500" s="12">
        <v>1.1231260000000001</v>
      </c>
      <c r="J500" s="12">
        <v>1.9320660000000001</v>
      </c>
      <c r="K500" s="12">
        <v>2.0299999999999998</v>
      </c>
      <c r="L500" s="12">
        <v>0.34</v>
      </c>
      <c r="M500" s="12">
        <v>3.71</v>
      </c>
    </row>
    <row r="501" spans="2:13" ht="18.75" x14ac:dyDescent="0.25">
      <c r="B501" s="7" t="s">
        <v>15</v>
      </c>
      <c r="C501" s="7" t="s">
        <v>642</v>
      </c>
      <c r="D501" s="12">
        <v>19.136717000000001</v>
      </c>
      <c r="E501" s="7"/>
      <c r="F501" s="7"/>
      <c r="G501" s="7"/>
      <c r="H501" s="12">
        <v>125.804339</v>
      </c>
      <c r="I501" s="12">
        <v>301.11893900000001</v>
      </c>
      <c r="J501" s="12">
        <v>469.09565500000002</v>
      </c>
      <c r="K501" s="12">
        <v>2689.27</v>
      </c>
      <c r="L501" s="12">
        <v>449.55</v>
      </c>
      <c r="M501" s="12">
        <v>4920.67</v>
      </c>
    </row>
    <row r="502" spans="2:13" ht="18.75" x14ac:dyDescent="0.25">
      <c r="B502" s="7" t="s">
        <v>15</v>
      </c>
      <c r="C502" s="7" t="s">
        <v>641</v>
      </c>
      <c r="D502" s="12">
        <v>3.9999999999999998E-6</v>
      </c>
      <c r="E502" s="7"/>
      <c r="F502" s="7"/>
      <c r="G502" s="7"/>
      <c r="H502" s="12">
        <v>0.46319399999999999</v>
      </c>
      <c r="I502" s="12">
        <v>0.56267900000000004</v>
      </c>
      <c r="J502" s="12">
        <v>1.5497050000000001</v>
      </c>
      <c r="K502" s="12">
        <v>0</v>
      </c>
      <c r="L502" s="12">
        <v>0</v>
      </c>
      <c r="M502" s="12">
        <v>0</v>
      </c>
    </row>
    <row r="503" spans="2:13" ht="18.75" x14ac:dyDescent="0.25">
      <c r="B503" s="7" t="s">
        <v>15</v>
      </c>
      <c r="C503" s="7" t="s">
        <v>640</v>
      </c>
      <c r="D503" s="12">
        <v>0.14574200000000001</v>
      </c>
      <c r="E503" s="7"/>
      <c r="F503" s="7"/>
      <c r="G503" s="7"/>
      <c r="H503" s="12">
        <v>1.8806670000000001</v>
      </c>
      <c r="I503" s="12">
        <v>0.88576699999999997</v>
      </c>
      <c r="J503" s="12">
        <v>4.4604369999999998</v>
      </c>
      <c r="K503" s="12">
        <v>16.350000000000001</v>
      </c>
      <c r="L503" s="12">
        <v>2.73</v>
      </c>
      <c r="M503" s="12">
        <v>29.92</v>
      </c>
    </row>
    <row r="504" spans="2:13" ht="18.75" x14ac:dyDescent="0.25">
      <c r="B504" s="7" t="s">
        <v>15</v>
      </c>
      <c r="C504" s="7" t="s">
        <v>645</v>
      </c>
      <c r="D504" s="12">
        <v>0.51217000000000001</v>
      </c>
      <c r="E504" s="7"/>
      <c r="F504" s="7"/>
      <c r="G504" s="7"/>
      <c r="H504" s="12">
        <v>2.22919</v>
      </c>
      <c r="I504" s="12">
        <v>2.4000539999999999</v>
      </c>
      <c r="J504" s="12">
        <v>6.538519</v>
      </c>
      <c r="K504" s="12">
        <v>74.37</v>
      </c>
      <c r="L504" s="12">
        <v>12.43</v>
      </c>
      <c r="M504" s="12">
        <v>136.08000000000001</v>
      </c>
    </row>
    <row r="505" spans="2:13" ht="18.75" x14ac:dyDescent="0.25">
      <c r="B505" s="7" t="s">
        <v>15</v>
      </c>
      <c r="C505" s="7" t="s">
        <v>249</v>
      </c>
      <c r="D505" s="12">
        <v>19.367799000000002</v>
      </c>
      <c r="E505" s="7"/>
      <c r="F505" s="7"/>
      <c r="G505" s="7"/>
      <c r="H505" s="12">
        <v>124.891111</v>
      </c>
      <c r="I505" s="12">
        <v>390.74467900000002</v>
      </c>
      <c r="J505" s="12">
        <v>307.35118699999998</v>
      </c>
      <c r="K505" s="12">
        <v>2056.67</v>
      </c>
      <c r="L505" s="12">
        <v>343.8</v>
      </c>
      <c r="M505" s="12">
        <v>3763.17</v>
      </c>
    </row>
    <row r="506" spans="2:13" ht="18.75" x14ac:dyDescent="0.25">
      <c r="B506" s="7" t="s">
        <v>15</v>
      </c>
      <c r="C506" s="7" t="s">
        <v>644</v>
      </c>
      <c r="D506" s="12">
        <v>0.51774699999999996</v>
      </c>
      <c r="E506" s="7"/>
      <c r="F506" s="7"/>
      <c r="G506" s="7"/>
      <c r="H506" s="12">
        <v>1.766052</v>
      </c>
      <c r="I506" s="12">
        <v>4.8012879999999996</v>
      </c>
      <c r="J506" s="12">
        <v>11.636093000000001</v>
      </c>
      <c r="K506" s="12">
        <v>80.209999999999994</v>
      </c>
      <c r="L506" s="12">
        <v>13.41</v>
      </c>
      <c r="M506" s="12">
        <v>146.77000000000001</v>
      </c>
    </row>
    <row r="507" spans="2:13" ht="18.75" x14ac:dyDescent="0.25">
      <c r="B507" s="7" t="s">
        <v>15</v>
      </c>
      <c r="C507" s="7" t="s">
        <v>647</v>
      </c>
      <c r="D507" s="12">
        <v>0.342582</v>
      </c>
      <c r="E507" s="7"/>
      <c r="F507" s="7"/>
      <c r="G507" s="7"/>
      <c r="H507" s="12">
        <v>0.40956900000000002</v>
      </c>
      <c r="I507" s="12">
        <v>1.610252</v>
      </c>
      <c r="J507" s="12">
        <v>3.621677</v>
      </c>
      <c r="K507" s="12">
        <v>49.26</v>
      </c>
      <c r="L507" s="12">
        <v>8.23</v>
      </c>
      <c r="M507" s="12">
        <v>90.14</v>
      </c>
    </row>
    <row r="508" spans="2:13" ht="18.75" x14ac:dyDescent="0.25">
      <c r="B508" s="7" t="s">
        <v>15</v>
      </c>
      <c r="C508" s="7" t="s">
        <v>650</v>
      </c>
      <c r="D508" s="12">
        <v>3.0253800000000002</v>
      </c>
      <c r="E508" s="7"/>
      <c r="F508" s="7"/>
      <c r="G508" s="7"/>
      <c r="H508" s="12">
        <v>14.159278</v>
      </c>
      <c r="I508" s="12">
        <v>17.856195</v>
      </c>
      <c r="J508" s="12">
        <v>33.635160999999997</v>
      </c>
      <c r="K508" s="12">
        <v>326.49</v>
      </c>
      <c r="L508" s="12">
        <v>54.58</v>
      </c>
      <c r="M508" s="12">
        <v>597.4</v>
      </c>
    </row>
    <row r="509" spans="2:13" ht="18.75" x14ac:dyDescent="0.25">
      <c r="B509" s="7" t="s">
        <v>15</v>
      </c>
      <c r="C509" s="7" t="s">
        <v>661</v>
      </c>
      <c r="D509" s="12">
        <v>0.27834999999999999</v>
      </c>
      <c r="E509" s="7"/>
      <c r="F509" s="7"/>
      <c r="G509" s="7"/>
      <c r="H509" s="12">
        <v>2.1650550000000002</v>
      </c>
      <c r="I509" s="12">
        <v>5.0231060000000003</v>
      </c>
      <c r="J509" s="12">
        <v>4.3784619999999999</v>
      </c>
      <c r="K509" s="12">
        <v>10.97</v>
      </c>
      <c r="L509" s="12">
        <v>1.83</v>
      </c>
      <c r="M509" s="12">
        <v>20.07</v>
      </c>
    </row>
    <row r="510" spans="2:13" ht="18.75" x14ac:dyDescent="0.25">
      <c r="B510" s="7" t="s">
        <v>15</v>
      </c>
      <c r="C510" s="7" t="s">
        <v>649</v>
      </c>
      <c r="D510" s="12">
        <v>0.91918800000000001</v>
      </c>
      <c r="E510" s="7"/>
      <c r="F510" s="7"/>
      <c r="G510" s="7"/>
      <c r="H510" s="12">
        <v>19.054576000000001</v>
      </c>
      <c r="I510" s="12">
        <v>101.33344099999999</v>
      </c>
      <c r="J510" s="12">
        <v>190.26008300000001</v>
      </c>
      <c r="K510" s="12">
        <v>348.46</v>
      </c>
      <c r="L510" s="12">
        <v>58.25</v>
      </c>
      <c r="M510" s="12">
        <v>637.6</v>
      </c>
    </row>
    <row r="511" spans="2:13" ht="18.75" x14ac:dyDescent="0.25">
      <c r="B511" s="7" t="s">
        <v>15</v>
      </c>
      <c r="C511" s="7" t="s">
        <v>656</v>
      </c>
      <c r="D511" s="12">
        <v>4.398555</v>
      </c>
      <c r="E511" s="7"/>
      <c r="F511" s="7"/>
      <c r="G511" s="7"/>
      <c r="H511" s="12">
        <v>13.134463999999999</v>
      </c>
      <c r="I511" s="12">
        <v>18.197673999999999</v>
      </c>
      <c r="J511" s="12">
        <v>61.761738999999999</v>
      </c>
      <c r="K511" s="12">
        <v>580.91999999999996</v>
      </c>
      <c r="L511" s="12">
        <v>97.11</v>
      </c>
      <c r="M511" s="12">
        <v>1062.93</v>
      </c>
    </row>
    <row r="512" spans="2:13" ht="18.75" x14ac:dyDescent="0.25">
      <c r="B512" s="7" t="s">
        <v>15</v>
      </c>
      <c r="C512" s="7" t="s">
        <v>648</v>
      </c>
      <c r="D512" s="12">
        <v>0.55086800000000002</v>
      </c>
      <c r="E512" s="7"/>
      <c r="F512" s="7"/>
      <c r="G512" s="7"/>
      <c r="H512" s="12">
        <v>3.587005</v>
      </c>
      <c r="I512" s="12">
        <v>4.8181430000000001</v>
      </c>
      <c r="J512" s="12">
        <v>10.33728</v>
      </c>
      <c r="K512" s="12">
        <v>65.510000000000005</v>
      </c>
      <c r="L512" s="12">
        <v>10.95</v>
      </c>
      <c r="M512" s="12">
        <v>119.87</v>
      </c>
    </row>
    <row r="513" spans="2:13" ht="18.75" x14ac:dyDescent="0.25">
      <c r="B513" s="7" t="s">
        <v>15</v>
      </c>
      <c r="C513" s="7" t="s">
        <v>657</v>
      </c>
      <c r="D513" s="12">
        <v>0.11095099999999999</v>
      </c>
      <c r="E513" s="7"/>
      <c r="F513" s="7"/>
      <c r="G513" s="7"/>
      <c r="H513" s="12">
        <v>0.48996899999999999</v>
      </c>
      <c r="I513" s="12">
        <v>1.446399</v>
      </c>
      <c r="J513" s="12">
        <v>2.7170100000000001</v>
      </c>
      <c r="K513" s="12">
        <v>8.85</v>
      </c>
      <c r="L513" s="12">
        <v>1.48</v>
      </c>
      <c r="M513" s="12">
        <v>16.2</v>
      </c>
    </row>
    <row r="514" spans="2:13" ht="18.75" x14ac:dyDescent="0.25">
      <c r="B514" s="7" t="s">
        <v>15</v>
      </c>
      <c r="C514" s="7" t="s">
        <v>654</v>
      </c>
      <c r="D514" s="12">
        <v>3.02596</v>
      </c>
      <c r="E514" s="7"/>
      <c r="F514" s="7"/>
      <c r="G514" s="7"/>
      <c r="H514" s="12">
        <v>16.267296000000002</v>
      </c>
      <c r="I514" s="12">
        <v>18.559073000000001</v>
      </c>
      <c r="J514" s="12">
        <v>39.587603999999999</v>
      </c>
      <c r="K514" s="12">
        <v>418.64</v>
      </c>
      <c r="L514" s="12">
        <v>69.98</v>
      </c>
      <c r="M514" s="12">
        <v>766</v>
      </c>
    </row>
    <row r="515" spans="2:13" ht="18.75" x14ac:dyDescent="0.25">
      <c r="B515" s="7" t="s">
        <v>15</v>
      </c>
      <c r="C515" s="7" t="s">
        <v>655</v>
      </c>
      <c r="D515" s="12">
        <v>7.9022449999999997</v>
      </c>
      <c r="E515" s="7"/>
      <c r="F515" s="7"/>
      <c r="G515" s="7"/>
      <c r="H515" s="12">
        <v>28.368268</v>
      </c>
      <c r="I515" s="12">
        <v>29.450704999999999</v>
      </c>
      <c r="J515" s="12">
        <v>50.938549999999999</v>
      </c>
      <c r="K515" s="12">
        <v>724.9</v>
      </c>
      <c r="L515" s="12">
        <v>121.18</v>
      </c>
      <c r="M515" s="12">
        <v>1326.38</v>
      </c>
    </row>
    <row r="516" spans="2:13" ht="18.75" x14ac:dyDescent="0.25">
      <c r="B516" s="7" t="s">
        <v>15</v>
      </c>
      <c r="C516" s="7" t="s">
        <v>660</v>
      </c>
      <c r="D516" s="12">
        <v>3.9999999999999998E-6</v>
      </c>
      <c r="E516" s="7"/>
      <c r="F516" s="7"/>
      <c r="G516" s="7"/>
      <c r="H516" s="12">
        <v>5.5886529999999999</v>
      </c>
      <c r="I516" s="12">
        <v>10.746789</v>
      </c>
      <c r="J516" s="12">
        <v>7.7638119999999997</v>
      </c>
      <c r="K516" s="12">
        <v>0</v>
      </c>
      <c r="L516" s="12">
        <v>0</v>
      </c>
      <c r="M516" s="12">
        <v>0</v>
      </c>
    </row>
    <row r="517" spans="2:13" ht="18.75" x14ac:dyDescent="0.25">
      <c r="B517" s="7" t="s">
        <v>15</v>
      </c>
      <c r="C517" s="7" t="s">
        <v>652</v>
      </c>
      <c r="D517" s="12">
        <v>2.9480140000000001</v>
      </c>
      <c r="E517" s="7"/>
      <c r="F517" s="7"/>
      <c r="G517" s="7"/>
      <c r="H517" s="12">
        <v>12.821516000000001</v>
      </c>
      <c r="I517" s="12">
        <v>47.706265000000002</v>
      </c>
      <c r="J517" s="12">
        <v>50.693280999999999</v>
      </c>
      <c r="K517" s="12">
        <v>275.5</v>
      </c>
      <c r="L517" s="12">
        <v>46.05</v>
      </c>
      <c r="M517" s="12">
        <v>504.1</v>
      </c>
    </row>
    <row r="518" spans="2:13" ht="18.75" x14ac:dyDescent="0.25">
      <c r="B518" s="7" t="s">
        <v>15</v>
      </c>
      <c r="C518" s="7" t="s">
        <v>653</v>
      </c>
      <c r="D518" s="12">
        <v>1.001954</v>
      </c>
      <c r="E518" s="7"/>
      <c r="F518" s="7"/>
      <c r="G518" s="7"/>
      <c r="H518" s="12">
        <v>1.5</v>
      </c>
      <c r="I518" s="12">
        <v>3.3467880000000001</v>
      </c>
      <c r="J518" s="12">
        <v>26.900946000000001</v>
      </c>
      <c r="K518" s="12">
        <v>386.97</v>
      </c>
      <c r="L518" s="12">
        <v>64.69</v>
      </c>
      <c r="M518" s="12">
        <v>708.06</v>
      </c>
    </row>
    <row r="519" spans="2:13" ht="18.75" x14ac:dyDescent="0.25">
      <c r="B519" s="7" t="s">
        <v>15</v>
      </c>
      <c r="C519" s="7" t="s">
        <v>658</v>
      </c>
      <c r="D519" s="12">
        <v>7.1536000000000002E-2</v>
      </c>
      <c r="E519" s="7"/>
      <c r="F519" s="7"/>
      <c r="G519" s="7"/>
      <c r="H519" s="12">
        <v>0.16478899999999999</v>
      </c>
      <c r="I519" s="12">
        <v>14.842981</v>
      </c>
      <c r="J519" s="12">
        <v>0.94956200000000002</v>
      </c>
      <c r="K519" s="12">
        <v>0.31</v>
      </c>
      <c r="L519" s="12">
        <v>0.05</v>
      </c>
      <c r="M519" s="12">
        <v>0.57999999999999996</v>
      </c>
    </row>
    <row r="520" spans="2:13" ht="18.75" x14ac:dyDescent="0.25">
      <c r="B520" s="7" t="s">
        <v>15</v>
      </c>
      <c r="C520" s="7" t="s">
        <v>659</v>
      </c>
      <c r="D520" s="12">
        <v>11.789194</v>
      </c>
      <c r="E520" s="7"/>
      <c r="F520" s="7"/>
      <c r="G520" s="7"/>
      <c r="H520" s="12">
        <v>113.288377</v>
      </c>
      <c r="I520" s="12">
        <v>94.999088999999998</v>
      </c>
      <c r="J520" s="12">
        <v>94.244300999999993</v>
      </c>
      <c r="K520" s="12">
        <v>911.6</v>
      </c>
      <c r="L520" s="12">
        <v>152.38999999999999</v>
      </c>
      <c r="M520" s="12">
        <v>1667.99</v>
      </c>
    </row>
    <row r="521" spans="2:13" ht="18.75" x14ac:dyDescent="0.25">
      <c r="B521" s="7" t="s">
        <v>15</v>
      </c>
      <c r="C521" s="7" t="s">
        <v>651</v>
      </c>
      <c r="D521" s="12">
        <v>1.5833390000000001</v>
      </c>
      <c r="E521" s="7"/>
      <c r="F521" s="7"/>
      <c r="G521" s="7"/>
      <c r="H521" s="12">
        <v>7.4660359999999999</v>
      </c>
      <c r="I521" s="12">
        <v>5.9893850000000004</v>
      </c>
      <c r="J521" s="12">
        <v>29.118860999999999</v>
      </c>
      <c r="K521" s="12">
        <v>344.27</v>
      </c>
      <c r="L521" s="12">
        <v>57.55</v>
      </c>
      <c r="M521" s="12">
        <v>629.92999999999995</v>
      </c>
    </row>
    <row r="522" spans="2:13" ht="18.75" x14ac:dyDescent="0.25">
      <c r="B522" s="7" t="s">
        <v>15</v>
      </c>
      <c r="C522" s="7" t="s">
        <v>663</v>
      </c>
      <c r="D522" s="12">
        <v>3.6660360000000001</v>
      </c>
      <c r="E522" s="7"/>
      <c r="F522" s="7"/>
      <c r="G522" s="7"/>
      <c r="H522" s="12">
        <v>11.933908000000001</v>
      </c>
      <c r="I522" s="12">
        <v>15.142996999999999</v>
      </c>
      <c r="J522" s="12">
        <v>38.273496999999999</v>
      </c>
      <c r="K522" s="12">
        <v>446.89</v>
      </c>
      <c r="L522" s="12">
        <v>74.7</v>
      </c>
      <c r="M522" s="12">
        <v>817.7</v>
      </c>
    </row>
    <row r="523" spans="2:13" ht="18.75" x14ac:dyDescent="0.25">
      <c r="B523" s="7" t="s">
        <v>15</v>
      </c>
      <c r="C523" s="7" t="s">
        <v>664</v>
      </c>
      <c r="D523" s="12">
        <v>0.19447999999999999</v>
      </c>
      <c r="E523" s="7"/>
      <c r="F523" s="7"/>
      <c r="G523" s="7"/>
      <c r="H523" s="12">
        <v>0.44744099999999998</v>
      </c>
      <c r="I523" s="12">
        <v>0.30019299999999999</v>
      </c>
      <c r="J523" s="12">
        <v>0.75311300000000003</v>
      </c>
      <c r="K523" s="12">
        <v>9.3699999999999992</v>
      </c>
      <c r="L523" s="12">
        <v>1.57</v>
      </c>
      <c r="M523" s="12">
        <v>17.149999999999999</v>
      </c>
    </row>
    <row r="524" spans="2:13" ht="18.75" x14ac:dyDescent="0.25">
      <c r="B524" s="7" t="s">
        <v>15</v>
      </c>
      <c r="C524" s="7" t="s">
        <v>665</v>
      </c>
      <c r="D524" s="12">
        <v>3.8823999999999997E-2</v>
      </c>
      <c r="E524" s="7"/>
      <c r="F524" s="7"/>
      <c r="G524" s="7"/>
      <c r="H524" s="12">
        <v>5.1880999999999997E-2</v>
      </c>
      <c r="I524" s="12">
        <v>2.3560999999999999E-2</v>
      </c>
      <c r="J524" s="12">
        <v>0.48631600000000003</v>
      </c>
      <c r="K524" s="12">
        <v>14.08</v>
      </c>
      <c r="L524" s="12">
        <v>5.12</v>
      </c>
      <c r="M524" s="12">
        <v>49.21</v>
      </c>
    </row>
    <row r="525" spans="2:13" ht="18.75" x14ac:dyDescent="0.25">
      <c r="B525" s="7" t="s">
        <v>15</v>
      </c>
      <c r="C525" s="7" t="s">
        <v>666</v>
      </c>
      <c r="D525" s="12">
        <v>1.829995</v>
      </c>
      <c r="E525" s="7"/>
      <c r="F525" s="7"/>
      <c r="G525" s="7"/>
      <c r="H525" s="12">
        <v>6.9195479999999998</v>
      </c>
      <c r="I525" s="12">
        <v>22.692723999999998</v>
      </c>
      <c r="J525" s="12">
        <v>12.251319000000001</v>
      </c>
      <c r="K525" s="12">
        <v>75.900000000000006</v>
      </c>
      <c r="L525" s="12">
        <v>12.69</v>
      </c>
      <c r="M525" s="12">
        <v>138.88</v>
      </c>
    </row>
    <row r="526" spans="2:13" ht="18.75" x14ac:dyDescent="0.25">
      <c r="B526" s="7" t="s">
        <v>15</v>
      </c>
      <c r="C526" s="7" t="s">
        <v>671</v>
      </c>
      <c r="D526" s="12">
        <v>1.851361</v>
      </c>
      <c r="E526" s="7"/>
      <c r="F526" s="7"/>
      <c r="G526" s="7"/>
      <c r="H526" s="12">
        <v>5.9163600000000001</v>
      </c>
      <c r="I526" s="12">
        <v>18.440624</v>
      </c>
      <c r="J526" s="12">
        <v>25.559918</v>
      </c>
      <c r="K526" s="12">
        <v>190.62</v>
      </c>
      <c r="L526" s="12">
        <v>31.87</v>
      </c>
      <c r="M526" s="12">
        <v>348.79</v>
      </c>
    </row>
    <row r="527" spans="2:13" ht="18.75" x14ac:dyDescent="0.25">
      <c r="B527" s="7" t="s">
        <v>15</v>
      </c>
      <c r="C527" s="7" t="s">
        <v>672</v>
      </c>
      <c r="D527" s="12">
        <v>7.3314620000000001</v>
      </c>
      <c r="E527" s="7"/>
      <c r="F527" s="7"/>
      <c r="G527" s="7"/>
      <c r="H527" s="12">
        <v>1.9449069999999999</v>
      </c>
      <c r="I527" s="12">
        <v>9.4265249999999998</v>
      </c>
      <c r="J527" s="12">
        <v>15.412025999999999</v>
      </c>
      <c r="K527" s="12">
        <v>632.11</v>
      </c>
      <c r="L527" s="12">
        <v>105.67</v>
      </c>
      <c r="M527" s="12">
        <v>1156.5999999999999</v>
      </c>
    </row>
    <row r="528" spans="2:13" ht="18.75" x14ac:dyDescent="0.25">
      <c r="B528" s="7" t="s">
        <v>15</v>
      </c>
      <c r="C528" s="7" t="s">
        <v>667</v>
      </c>
      <c r="D528" s="12">
        <v>0.300265</v>
      </c>
      <c r="E528" s="7"/>
      <c r="F528" s="7"/>
      <c r="G528" s="7"/>
      <c r="H528" s="12">
        <v>0.95555599999999996</v>
      </c>
      <c r="I528" s="12">
        <v>1.626004</v>
      </c>
      <c r="J528" s="12">
        <v>5.2481949999999999</v>
      </c>
      <c r="K528" s="12">
        <v>20.55</v>
      </c>
      <c r="L528" s="12">
        <v>11.17</v>
      </c>
      <c r="M528" s="12">
        <v>182.96</v>
      </c>
    </row>
    <row r="529" spans="2:13" ht="18.75" x14ac:dyDescent="0.25">
      <c r="B529" s="7" t="s">
        <v>15</v>
      </c>
      <c r="C529" s="7" t="s">
        <v>668</v>
      </c>
      <c r="D529" s="12">
        <v>1.79149</v>
      </c>
      <c r="E529" s="7"/>
      <c r="F529" s="7"/>
      <c r="G529" s="7"/>
      <c r="H529" s="12">
        <v>6.6894999999999998</v>
      </c>
      <c r="I529" s="12">
        <v>10.605124999999999</v>
      </c>
      <c r="J529" s="12">
        <v>22.267015000000001</v>
      </c>
      <c r="K529" s="12">
        <v>62.21</v>
      </c>
      <c r="L529" s="12">
        <v>27.95</v>
      </c>
      <c r="M529" s="12">
        <v>348.45</v>
      </c>
    </row>
    <row r="530" spans="2:13" ht="18.75" x14ac:dyDescent="0.25">
      <c r="B530" s="7" t="s">
        <v>15</v>
      </c>
      <c r="C530" s="7" t="s">
        <v>673</v>
      </c>
      <c r="D530" s="12">
        <v>0.128778</v>
      </c>
      <c r="E530" s="7"/>
      <c r="F530" s="7"/>
      <c r="G530" s="7"/>
      <c r="H530" s="12">
        <v>0.27963199999999999</v>
      </c>
      <c r="I530" s="12">
        <v>0.246312</v>
      </c>
      <c r="J530" s="12">
        <v>1.245193</v>
      </c>
      <c r="K530" s="12">
        <v>11.38</v>
      </c>
      <c r="L530" s="12">
        <v>5.41</v>
      </c>
      <c r="M530" s="12">
        <v>51.77</v>
      </c>
    </row>
    <row r="531" spans="2:13" ht="18.75" x14ac:dyDescent="0.25">
      <c r="B531" s="7" t="s">
        <v>15</v>
      </c>
      <c r="C531" s="7" t="s">
        <v>675</v>
      </c>
      <c r="D531" s="12">
        <v>7.7886999999999998E-2</v>
      </c>
      <c r="E531" s="7"/>
      <c r="F531" s="7"/>
      <c r="G531" s="7"/>
      <c r="H531" s="12">
        <v>4.5161030000000002</v>
      </c>
      <c r="I531" s="12">
        <v>24.271663</v>
      </c>
      <c r="J531" s="12">
        <v>28.769788999999999</v>
      </c>
      <c r="K531" s="12">
        <v>3.25</v>
      </c>
      <c r="L531" s="12">
        <v>0.54</v>
      </c>
      <c r="M531" s="12">
        <v>5.95</v>
      </c>
    </row>
    <row r="532" spans="2:13" ht="18.75" x14ac:dyDescent="0.25">
      <c r="B532" s="7" t="s">
        <v>15</v>
      </c>
      <c r="C532" s="7" t="s">
        <v>669</v>
      </c>
      <c r="D532" s="12">
        <v>6.2672000000000005E-2</v>
      </c>
      <c r="E532" s="7"/>
      <c r="F532" s="7"/>
      <c r="G532" s="7"/>
      <c r="H532" s="12">
        <v>0.45224799999999998</v>
      </c>
      <c r="I532" s="12">
        <v>0.52213500000000002</v>
      </c>
      <c r="J532" s="12">
        <v>4.8970089999999997</v>
      </c>
      <c r="K532" s="12">
        <v>19.95</v>
      </c>
      <c r="L532" s="12">
        <v>7.26</v>
      </c>
      <c r="M532" s="12">
        <v>69.72</v>
      </c>
    </row>
    <row r="533" spans="2:13" ht="18.75" x14ac:dyDescent="0.25">
      <c r="B533" s="7" t="s">
        <v>15</v>
      </c>
      <c r="C533" s="7" t="s">
        <v>670</v>
      </c>
      <c r="D533" s="12">
        <v>2.6107119999999999</v>
      </c>
      <c r="E533" s="7"/>
      <c r="F533" s="7"/>
      <c r="G533" s="7"/>
      <c r="H533" s="12">
        <v>9.1306820000000002</v>
      </c>
      <c r="I533" s="12">
        <v>7.0319089999999997</v>
      </c>
      <c r="J533" s="12">
        <v>27.277722000000001</v>
      </c>
      <c r="K533" s="12">
        <v>471.12</v>
      </c>
      <c r="L533" s="12">
        <v>78.75</v>
      </c>
      <c r="M533" s="12">
        <v>862.03</v>
      </c>
    </row>
    <row r="534" spans="2:13" ht="18.75" x14ac:dyDescent="0.25">
      <c r="B534" s="7" t="s">
        <v>15</v>
      </c>
      <c r="C534" s="7" t="s">
        <v>674</v>
      </c>
      <c r="D534" s="12">
        <v>0.20053799999999999</v>
      </c>
      <c r="E534" s="7"/>
      <c r="F534" s="7"/>
      <c r="G534" s="7"/>
      <c r="H534" s="12">
        <v>0.32638899999999998</v>
      </c>
      <c r="I534" s="12">
        <v>0.85117200000000004</v>
      </c>
      <c r="J534" s="12">
        <v>1.8236699999999999</v>
      </c>
      <c r="K534" s="12">
        <v>11.62</v>
      </c>
      <c r="L534" s="12">
        <v>5.52</v>
      </c>
      <c r="M534" s="12">
        <v>52.87</v>
      </c>
    </row>
    <row r="535" spans="2:13" ht="18.75" x14ac:dyDescent="0.25">
      <c r="B535" s="7" t="s">
        <v>15</v>
      </c>
      <c r="C535" s="7" t="s">
        <v>676</v>
      </c>
      <c r="D535" s="12">
        <v>0.18113599999999999</v>
      </c>
      <c r="E535" s="7"/>
      <c r="F535" s="7"/>
      <c r="G535" s="7"/>
      <c r="H535" s="12">
        <v>0.543597</v>
      </c>
      <c r="I535" s="12">
        <v>2.5863010000000002</v>
      </c>
      <c r="J535" s="12">
        <v>18.007937999999999</v>
      </c>
      <c r="K535" s="12">
        <v>83.99</v>
      </c>
      <c r="L535" s="12">
        <v>45.66</v>
      </c>
      <c r="M535" s="12">
        <v>747.8</v>
      </c>
    </row>
    <row r="536" spans="2:13" ht="18.75" x14ac:dyDescent="0.25">
      <c r="B536" s="7" t="s">
        <v>15</v>
      </c>
      <c r="C536" s="7" t="s">
        <v>678</v>
      </c>
      <c r="D536" s="12">
        <v>5.2086E-2</v>
      </c>
      <c r="E536" s="7"/>
      <c r="F536" s="7"/>
      <c r="G536" s="7"/>
      <c r="H536" s="12">
        <v>0.37291999999999997</v>
      </c>
      <c r="I536" s="12">
        <v>0.14083300000000001</v>
      </c>
      <c r="J536" s="12">
        <v>0.56144300000000003</v>
      </c>
      <c r="K536" s="12">
        <v>5.79</v>
      </c>
      <c r="L536" s="12">
        <v>0.97</v>
      </c>
      <c r="M536" s="12">
        <v>10.6</v>
      </c>
    </row>
    <row r="537" spans="2:13" ht="18.75" x14ac:dyDescent="0.25">
      <c r="B537" s="7" t="s">
        <v>15</v>
      </c>
      <c r="C537" s="7" t="s">
        <v>680</v>
      </c>
      <c r="D537" s="12">
        <v>0.15398600000000001</v>
      </c>
      <c r="E537" s="7"/>
      <c r="F537" s="7"/>
      <c r="G537" s="7"/>
      <c r="H537" s="12">
        <v>3.1624889999999999</v>
      </c>
      <c r="I537" s="12">
        <v>5.6536530000000003</v>
      </c>
      <c r="J537" s="12">
        <v>16.973385</v>
      </c>
      <c r="K537" s="12">
        <v>27.65</v>
      </c>
      <c r="L537" s="12">
        <v>4.62</v>
      </c>
      <c r="M537" s="12">
        <v>50.6</v>
      </c>
    </row>
    <row r="538" spans="2:13" x14ac:dyDescent="0.25">
      <c r="B538" s="11"/>
    </row>
    <row r="539" spans="2:13" x14ac:dyDescent="0.25">
      <c r="B539" s="11" t="s">
        <v>25</v>
      </c>
    </row>
  </sheetData>
  <mergeCells count="2">
    <mergeCell ref="E7:G7"/>
    <mergeCell ref="B2:D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30"/>
  <sheetViews>
    <sheetView workbookViewId="0">
      <selection activeCell="M2" sqref="M2"/>
    </sheetView>
  </sheetViews>
  <sheetFormatPr defaultRowHeight="15" x14ac:dyDescent="0.25"/>
  <cols>
    <col min="5" max="5" width="13.5703125" bestFit="1" customWidth="1"/>
    <col min="6" max="6" width="13.5703125" customWidth="1"/>
    <col min="7" max="8" width="15" bestFit="1" customWidth="1"/>
    <col min="9" max="9" width="16" bestFit="1" customWidth="1"/>
    <col min="10" max="10" width="10" bestFit="1" customWidth="1"/>
    <col min="11" max="11" width="9" customWidth="1"/>
    <col min="12" max="12" width="10" bestFit="1" customWidth="1"/>
    <col min="18" max="18" width="10" bestFit="1" customWidth="1"/>
    <col min="19" max="19" width="11.42578125" bestFit="1" customWidth="1"/>
    <col min="20" max="20" width="10" bestFit="1" customWidth="1"/>
    <col min="21" max="21" width="11.42578125" bestFit="1" customWidth="1"/>
  </cols>
  <sheetData>
    <row r="1" spans="1:23" x14ac:dyDescent="0.25">
      <c r="B1" t="s">
        <v>27</v>
      </c>
      <c r="C1" t="s">
        <v>250</v>
      </c>
      <c r="D1" t="s">
        <v>28</v>
      </c>
      <c r="E1" s="24" t="s">
        <v>251</v>
      </c>
      <c r="F1" s="24" t="s">
        <v>681</v>
      </c>
      <c r="G1" s="24" t="s">
        <v>252</v>
      </c>
      <c r="H1" s="24" t="s">
        <v>253</v>
      </c>
      <c r="I1" s="24" t="s">
        <v>254</v>
      </c>
      <c r="J1" s="24" t="s">
        <v>255</v>
      </c>
      <c r="K1" s="24" t="s">
        <v>256</v>
      </c>
      <c r="L1" s="24" t="s">
        <v>257</v>
      </c>
      <c r="N1" s="24">
        <f>+SUM(N2:N530)</f>
        <v>5214.6323540000012</v>
      </c>
      <c r="O1" s="24">
        <f>+SUM(O2:O530)</f>
        <v>5214.9008820000026</v>
      </c>
      <c r="P1" s="24">
        <f t="shared" ref="P1:V1" si="0">+SUM(P2:P530)</f>
        <v>40683.674389000022</v>
      </c>
      <c r="Q1" s="24">
        <f t="shared" si="0"/>
        <v>76635.465634999971</v>
      </c>
      <c r="R1" s="24">
        <f t="shared" si="0"/>
        <v>150673.62153200028</v>
      </c>
      <c r="S1" s="24">
        <f t="shared" si="0"/>
        <v>1044859.7099999997</v>
      </c>
      <c r="T1" s="24">
        <f t="shared" si="0"/>
        <v>237158.63999999993</v>
      </c>
      <c r="U1" s="24">
        <f t="shared" si="0"/>
        <v>2830223.6</v>
      </c>
      <c r="V1" s="24">
        <f t="shared" si="0"/>
        <v>5214.900883000003</v>
      </c>
    </row>
    <row r="2" spans="1:23" x14ac:dyDescent="0.25">
      <c r="A2" t="str">
        <f>+B2&amp;D2&amp;C2</f>
        <v>A01.22EU1</v>
      </c>
      <c r="B2" t="s">
        <v>125</v>
      </c>
      <c r="C2" t="s">
        <v>258</v>
      </c>
      <c r="D2" t="s">
        <v>278</v>
      </c>
      <c r="E2">
        <v>1588479.26999999</v>
      </c>
      <c r="F2">
        <v>1588576.5799999901</v>
      </c>
      <c r="G2">
        <v>7013427</v>
      </c>
      <c r="H2">
        <v>5231653.46</v>
      </c>
      <c r="I2">
        <v>4364588.37</v>
      </c>
      <c r="J2">
        <v>383.70961499999999</v>
      </c>
      <c r="K2">
        <v>29.393519000000001</v>
      </c>
      <c r="L2">
        <v>155.04058800000001</v>
      </c>
      <c r="M2" t="s">
        <v>15</v>
      </c>
      <c r="N2" s="24">
        <f>+ROUND(E2,0)/1000000</f>
        <v>1.588479</v>
      </c>
      <c r="O2" s="24">
        <f>+ROUND(F2,0)/1000000</f>
        <v>1.5885769999999999</v>
      </c>
      <c r="P2">
        <f>+ROUND(G2,0)/1000000</f>
        <v>7.0134270000000001</v>
      </c>
      <c r="Q2">
        <f>+ROUND(H2,0)/1000000</f>
        <v>5.2316529999999997</v>
      </c>
      <c r="R2">
        <f>+ROUND(I2,0)/1000000</f>
        <v>4.3645880000000004</v>
      </c>
      <c r="S2" s="24">
        <f>+ROUND(J2,2)</f>
        <v>383.71</v>
      </c>
      <c r="T2" s="24">
        <f>+ROUND(K2,2)</f>
        <v>29.39</v>
      </c>
      <c r="U2" s="24">
        <f>+ROUND(L2,2)</f>
        <v>155.04</v>
      </c>
      <c r="V2" s="24">
        <f>+VLOOKUP(A2,[1]DQS4_AUX!$A:$M,13,FALSE)</f>
        <v>1.5885769999999999</v>
      </c>
      <c r="W2" s="24">
        <f>+V2-O2</f>
        <v>0</v>
      </c>
    </row>
    <row r="3" spans="1:23" x14ac:dyDescent="0.25">
      <c r="A3" t="str">
        <f t="shared" ref="A3:A66" si="1">+B3&amp;D3&amp;C3</f>
        <v>A01.70EU1</v>
      </c>
      <c r="B3" t="s">
        <v>125</v>
      </c>
      <c r="C3" t="s">
        <v>258</v>
      </c>
      <c r="D3" t="s">
        <v>263</v>
      </c>
      <c r="E3">
        <v>93409.79</v>
      </c>
      <c r="F3">
        <v>93409.79</v>
      </c>
      <c r="G3">
        <v>157416.75</v>
      </c>
      <c r="H3">
        <v>1675479.73</v>
      </c>
      <c r="I3">
        <v>1395509.29</v>
      </c>
      <c r="J3">
        <v>94.750381000000004</v>
      </c>
      <c r="K3">
        <v>7.2582120000000003</v>
      </c>
      <c r="L3">
        <v>38.284560999999997</v>
      </c>
      <c r="M3" t="s">
        <v>15</v>
      </c>
      <c r="N3" s="24">
        <f t="shared" ref="N3:N66" si="2">+ROUND(E3,0)/1000000</f>
        <v>9.3410000000000007E-2</v>
      </c>
      <c r="O3" s="24">
        <f t="shared" ref="O3:O66" si="3">+ROUND(F3,0)/1000000</f>
        <v>9.3410000000000007E-2</v>
      </c>
      <c r="P3">
        <f t="shared" ref="P3:P66" si="4">+ROUND(G3,0)/1000000</f>
        <v>0.157417</v>
      </c>
      <c r="Q3">
        <f t="shared" ref="Q3:Q66" si="5">+ROUND(H3,0)/1000000</f>
        <v>1.6754800000000001</v>
      </c>
      <c r="R3">
        <f t="shared" ref="R3:R66" si="6">+ROUND(I3,0)/1000000</f>
        <v>1.3955090000000001</v>
      </c>
      <c r="S3" s="24">
        <f t="shared" ref="S3:S66" si="7">+ROUND(J3,2)</f>
        <v>94.75</v>
      </c>
      <c r="T3" s="24">
        <f t="shared" ref="T3:T66" si="8">+ROUND(K3,2)</f>
        <v>7.26</v>
      </c>
      <c r="U3" s="24">
        <f t="shared" ref="U3:U66" si="9">+ROUND(L3,2)</f>
        <v>38.28</v>
      </c>
      <c r="V3" s="24">
        <f>+VLOOKUP(A3,[1]DQS4_AUX!$A:$M,13,FALSE)</f>
        <v>9.3410000000000007E-2</v>
      </c>
      <c r="W3" s="24">
        <f t="shared" ref="W3:W66" si="10">+V3-O3</f>
        <v>0</v>
      </c>
    </row>
    <row r="4" spans="1:23" x14ac:dyDescent="0.25">
      <c r="A4" t="str">
        <f t="shared" si="1"/>
        <v>A01.61EU1</v>
      </c>
      <c r="B4" t="s">
        <v>125</v>
      </c>
      <c r="C4" t="s">
        <v>258</v>
      </c>
      <c r="D4" t="s">
        <v>265</v>
      </c>
      <c r="E4">
        <v>12839160.699999901</v>
      </c>
      <c r="F4">
        <v>12839488.529999901</v>
      </c>
      <c r="G4">
        <v>50712151.009999998</v>
      </c>
      <c r="H4">
        <v>53618594.869999997</v>
      </c>
      <c r="I4">
        <v>46803185.369999997</v>
      </c>
      <c r="J4">
        <v>7240.7569489999996</v>
      </c>
      <c r="K4">
        <v>554.66775500000006</v>
      </c>
      <c r="L4">
        <v>2925.679169</v>
      </c>
      <c r="M4" t="s">
        <v>15</v>
      </c>
      <c r="N4" s="24">
        <f t="shared" si="2"/>
        <v>12.839161000000001</v>
      </c>
      <c r="O4" s="24">
        <f t="shared" si="3"/>
        <v>12.839489</v>
      </c>
      <c r="P4">
        <f t="shared" si="4"/>
        <v>50.712150999999999</v>
      </c>
      <c r="Q4">
        <f t="shared" si="5"/>
        <v>53.618594999999999</v>
      </c>
      <c r="R4">
        <f t="shared" si="6"/>
        <v>46.803184999999999</v>
      </c>
      <c r="S4" s="24">
        <f t="shared" si="7"/>
        <v>7240.76</v>
      </c>
      <c r="T4" s="24">
        <f t="shared" si="8"/>
        <v>554.66999999999996</v>
      </c>
      <c r="U4" s="24">
        <f t="shared" si="9"/>
        <v>2925.68</v>
      </c>
      <c r="V4" s="24">
        <f>+VLOOKUP(A4,[1]DQS4_AUX!$A:$M,13,FALSE)</f>
        <v>12.839489</v>
      </c>
      <c r="W4" s="24">
        <f t="shared" si="10"/>
        <v>0</v>
      </c>
    </row>
    <row r="5" spans="1:23" x14ac:dyDescent="0.25">
      <c r="A5" t="str">
        <f t="shared" si="1"/>
        <v>A01.41EU1</v>
      </c>
      <c r="B5" t="s">
        <v>125</v>
      </c>
      <c r="C5" t="s">
        <v>258</v>
      </c>
      <c r="D5" t="s">
        <v>266</v>
      </c>
      <c r="E5">
        <v>5949577.2099999897</v>
      </c>
      <c r="F5">
        <v>5949838.5699999901</v>
      </c>
      <c r="G5">
        <v>30932792.879999999</v>
      </c>
      <c r="H5">
        <v>34314784.909999996</v>
      </c>
      <c r="I5">
        <v>55134825.270000003</v>
      </c>
      <c r="J5">
        <v>6466.2406819999997</v>
      </c>
      <c r="K5">
        <v>495.33708799999999</v>
      </c>
      <c r="L5">
        <v>2612.7304049999998</v>
      </c>
      <c r="M5" t="s">
        <v>15</v>
      </c>
      <c r="N5" s="24">
        <f t="shared" si="2"/>
        <v>5.9495769999999997</v>
      </c>
      <c r="O5" s="24">
        <f t="shared" si="3"/>
        <v>5.9498389999999999</v>
      </c>
      <c r="P5">
        <f t="shared" si="4"/>
        <v>30.932793</v>
      </c>
      <c r="Q5">
        <f t="shared" si="5"/>
        <v>34.314785000000001</v>
      </c>
      <c r="R5">
        <f t="shared" si="6"/>
        <v>55.134824999999999</v>
      </c>
      <c r="S5" s="24">
        <f t="shared" si="7"/>
        <v>6466.24</v>
      </c>
      <c r="T5" s="24">
        <f t="shared" si="8"/>
        <v>495.34</v>
      </c>
      <c r="U5" s="24">
        <f t="shared" si="9"/>
        <v>2612.73</v>
      </c>
      <c r="V5" s="24">
        <f>+VLOOKUP(A5,[1]DQS4_AUX!$A:$M,13,FALSE)</f>
        <v>5.9498389999999999</v>
      </c>
      <c r="W5" s="24">
        <f t="shared" si="10"/>
        <v>0</v>
      </c>
    </row>
    <row r="6" spans="1:23" x14ac:dyDescent="0.25">
      <c r="A6" t="str">
        <f t="shared" si="1"/>
        <v>A01.19EU1</v>
      </c>
      <c r="B6" t="s">
        <v>125</v>
      </c>
      <c r="C6" t="s">
        <v>258</v>
      </c>
      <c r="D6" t="s">
        <v>264</v>
      </c>
      <c r="E6">
        <v>4352641.2099999897</v>
      </c>
      <c r="F6">
        <v>4352666.9699999904</v>
      </c>
      <c r="G6">
        <v>35869298.490000002</v>
      </c>
      <c r="H6">
        <v>96347135.019999996</v>
      </c>
      <c r="I6">
        <v>51220780.009999998</v>
      </c>
      <c r="J6">
        <v>5732.3169930000004</v>
      </c>
      <c r="K6">
        <v>439.11592899999999</v>
      </c>
      <c r="L6">
        <v>2316.1833409999999</v>
      </c>
      <c r="M6" t="s">
        <v>15</v>
      </c>
      <c r="N6" s="24">
        <f t="shared" si="2"/>
        <v>4.3526410000000002</v>
      </c>
      <c r="O6" s="24">
        <f t="shared" si="3"/>
        <v>4.3526670000000003</v>
      </c>
      <c r="P6">
        <f t="shared" si="4"/>
        <v>35.869298000000001</v>
      </c>
      <c r="Q6">
        <f t="shared" si="5"/>
        <v>96.347134999999994</v>
      </c>
      <c r="R6">
        <f t="shared" si="6"/>
        <v>51.220779999999998</v>
      </c>
      <c r="S6" s="24">
        <f t="shared" si="7"/>
        <v>5732.32</v>
      </c>
      <c r="T6" s="24">
        <f t="shared" si="8"/>
        <v>439.12</v>
      </c>
      <c r="U6" s="24">
        <f t="shared" si="9"/>
        <v>2316.1799999999998</v>
      </c>
      <c r="V6" s="24">
        <f>+VLOOKUP(A6,[1]DQS4_AUX!$A:$M,13,FALSE)</f>
        <v>4.3526670000000003</v>
      </c>
      <c r="W6" s="24">
        <f t="shared" si="10"/>
        <v>0</v>
      </c>
    </row>
    <row r="7" spans="1:23" x14ac:dyDescent="0.25">
      <c r="A7" t="str">
        <f t="shared" si="1"/>
        <v>A01.24EU1</v>
      </c>
      <c r="B7" t="s">
        <v>125</v>
      </c>
      <c r="C7" t="s">
        <v>258</v>
      </c>
      <c r="D7" t="s">
        <v>259</v>
      </c>
      <c r="E7">
        <v>1560616.23</v>
      </c>
      <c r="F7">
        <v>1560616.23</v>
      </c>
      <c r="G7">
        <v>10985607.460000001</v>
      </c>
      <c r="H7">
        <v>17934094.530000001</v>
      </c>
      <c r="I7">
        <v>16165978.210000001</v>
      </c>
      <c r="J7">
        <v>1593.75981</v>
      </c>
      <c r="K7">
        <v>122.087671</v>
      </c>
      <c r="L7">
        <v>643.96994600000005</v>
      </c>
      <c r="M7" t="s">
        <v>15</v>
      </c>
      <c r="N7" s="24">
        <f t="shared" si="2"/>
        <v>1.560616</v>
      </c>
      <c r="O7" s="24">
        <f t="shared" si="3"/>
        <v>1.560616</v>
      </c>
      <c r="P7">
        <f t="shared" si="4"/>
        <v>10.985607</v>
      </c>
      <c r="Q7">
        <f t="shared" si="5"/>
        <v>17.934094999999999</v>
      </c>
      <c r="R7">
        <f t="shared" si="6"/>
        <v>16.165977999999999</v>
      </c>
      <c r="S7" s="24">
        <f t="shared" si="7"/>
        <v>1593.76</v>
      </c>
      <c r="T7" s="24">
        <f t="shared" si="8"/>
        <v>122.09</v>
      </c>
      <c r="U7" s="24">
        <f t="shared" si="9"/>
        <v>643.97</v>
      </c>
      <c r="V7" s="24">
        <f>+VLOOKUP(A7,[1]DQS4_AUX!$A:$M,13,FALSE)</f>
        <v>1.560616</v>
      </c>
      <c r="W7" s="24">
        <f t="shared" si="10"/>
        <v>0</v>
      </c>
    </row>
    <row r="8" spans="1:23" x14ac:dyDescent="0.25">
      <c r="A8" t="str">
        <f t="shared" si="1"/>
        <v>A01.62EU1</v>
      </c>
      <c r="B8" t="s">
        <v>125</v>
      </c>
      <c r="C8" t="s">
        <v>258</v>
      </c>
      <c r="D8" t="s">
        <v>261</v>
      </c>
      <c r="E8">
        <v>413260.34999999899</v>
      </c>
      <c r="F8">
        <v>413291.109999999</v>
      </c>
      <c r="G8">
        <v>687479.31</v>
      </c>
      <c r="H8">
        <v>144159.79</v>
      </c>
      <c r="I8">
        <v>1844875.29</v>
      </c>
      <c r="J8">
        <v>977.84279200000003</v>
      </c>
      <c r="K8">
        <v>74.906248000000005</v>
      </c>
      <c r="L8">
        <v>395.10431799999998</v>
      </c>
      <c r="M8" t="s">
        <v>15</v>
      </c>
      <c r="N8" s="24">
        <f t="shared" si="2"/>
        <v>0.41326000000000002</v>
      </c>
      <c r="O8" s="24">
        <f t="shared" si="3"/>
        <v>0.41329100000000002</v>
      </c>
      <c r="P8">
        <f t="shared" si="4"/>
        <v>0.68747899999999995</v>
      </c>
      <c r="Q8">
        <f t="shared" si="5"/>
        <v>0.14416000000000001</v>
      </c>
      <c r="R8">
        <f t="shared" si="6"/>
        <v>1.844875</v>
      </c>
      <c r="S8" s="24">
        <f t="shared" si="7"/>
        <v>977.84</v>
      </c>
      <c r="T8" s="24">
        <f t="shared" si="8"/>
        <v>74.91</v>
      </c>
      <c r="U8" s="24">
        <f t="shared" si="9"/>
        <v>395.1</v>
      </c>
      <c r="V8" s="24">
        <f>+VLOOKUP(A8,[1]DQS4_AUX!$A:$M,13,FALSE)</f>
        <v>0.41329100000000002</v>
      </c>
      <c r="W8" s="24">
        <f t="shared" si="10"/>
        <v>0</v>
      </c>
    </row>
    <row r="9" spans="1:23" x14ac:dyDescent="0.25">
      <c r="A9" t="str">
        <f t="shared" si="1"/>
        <v>A01.25EU1</v>
      </c>
      <c r="B9" t="s">
        <v>125</v>
      </c>
      <c r="C9" t="s">
        <v>258</v>
      </c>
      <c r="D9" t="s">
        <v>262</v>
      </c>
      <c r="E9">
        <v>8930052.9299999904</v>
      </c>
      <c r="F9">
        <v>8930503.5499999896</v>
      </c>
      <c r="G9">
        <v>46993978.539999999</v>
      </c>
      <c r="H9">
        <v>48182285.530000001</v>
      </c>
      <c r="I9">
        <v>49044161.659999996</v>
      </c>
      <c r="J9">
        <v>3487.7670760000001</v>
      </c>
      <c r="K9">
        <v>267.175299</v>
      </c>
      <c r="L9">
        <v>1409.2569659999999</v>
      </c>
      <c r="M9" t="s">
        <v>15</v>
      </c>
      <c r="N9" s="24">
        <f t="shared" si="2"/>
        <v>8.9300529999999991</v>
      </c>
      <c r="O9" s="24">
        <f t="shared" si="3"/>
        <v>8.9305040000000009</v>
      </c>
      <c r="P9">
        <f t="shared" si="4"/>
        <v>46.993979000000003</v>
      </c>
      <c r="Q9">
        <f t="shared" si="5"/>
        <v>48.182285999999998</v>
      </c>
      <c r="R9">
        <f t="shared" si="6"/>
        <v>49.044162</v>
      </c>
      <c r="S9" s="24">
        <f t="shared" si="7"/>
        <v>3487.77</v>
      </c>
      <c r="T9" s="24">
        <f t="shared" si="8"/>
        <v>267.18</v>
      </c>
      <c r="U9" s="24">
        <f t="shared" si="9"/>
        <v>1409.26</v>
      </c>
      <c r="V9" s="24">
        <f>+VLOOKUP(A9,[1]DQS4_AUX!$A:$M,13,FALSE)</f>
        <v>8.9305040000000009</v>
      </c>
      <c r="W9" s="24">
        <f t="shared" si="10"/>
        <v>0</v>
      </c>
    </row>
    <row r="10" spans="1:23" x14ac:dyDescent="0.25">
      <c r="A10" t="str">
        <f t="shared" si="1"/>
        <v>A01.49EU1</v>
      </c>
      <c r="B10" t="s">
        <v>125</v>
      </c>
      <c r="C10" t="s">
        <v>258</v>
      </c>
      <c r="D10" t="s">
        <v>260</v>
      </c>
      <c r="E10">
        <v>486317.15</v>
      </c>
      <c r="F10">
        <v>486317.15</v>
      </c>
      <c r="G10">
        <v>1515373.08</v>
      </c>
      <c r="H10">
        <v>1264930.25</v>
      </c>
      <c r="I10">
        <v>3309621.42</v>
      </c>
      <c r="J10">
        <v>773.01390200000003</v>
      </c>
      <c r="K10">
        <v>59.215617000000002</v>
      </c>
      <c r="L10">
        <v>312.34174999999999</v>
      </c>
      <c r="M10" t="s">
        <v>15</v>
      </c>
      <c r="N10" s="24">
        <f t="shared" si="2"/>
        <v>0.486317</v>
      </c>
      <c r="O10" s="24">
        <f t="shared" si="3"/>
        <v>0.486317</v>
      </c>
      <c r="P10">
        <f t="shared" si="4"/>
        <v>1.5153730000000001</v>
      </c>
      <c r="Q10">
        <f t="shared" si="5"/>
        <v>1.2649300000000001</v>
      </c>
      <c r="R10">
        <f t="shared" si="6"/>
        <v>3.3096209999999999</v>
      </c>
      <c r="S10" s="24">
        <f t="shared" si="7"/>
        <v>773.01</v>
      </c>
      <c r="T10" s="24">
        <f t="shared" si="8"/>
        <v>59.22</v>
      </c>
      <c r="U10" s="24">
        <f t="shared" si="9"/>
        <v>312.33999999999997</v>
      </c>
      <c r="V10" s="24">
        <f>+VLOOKUP(A10,[1]DQS4_AUX!$A:$M,13,FALSE)</f>
        <v>0.486317</v>
      </c>
      <c r="W10" s="24">
        <f t="shared" si="10"/>
        <v>0</v>
      </c>
    </row>
    <row r="11" spans="1:23" x14ac:dyDescent="0.25">
      <c r="A11" t="str">
        <f t="shared" si="1"/>
        <v>A01.26EU1</v>
      </c>
      <c r="B11" t="s">
        <v>125</v>
      </c>
      <c r="C11" t="s">
        <v>258</v>
      </c>
      <c r="D11" t="s">
        <v>267</v>
      </c>
      <c r="E11">
        <v>12588860.4899999</v>
      </c>
      <c r="F11">
        <v>12590597.359999901</v>
      </c>
      <c r="G11">
        <v>94236931.709999993</v>
      </c>
      <c r="H11">
        <v>193144904.72999999</v>
      </c>
      <c r="I11">
        <v>136936557.22</v>
      </c>
      <c r="J11">
        <v>6390.7448999999997</v>
      </c>
      <c r="K11">
        <v>489.55386900000002</v>
      </c>
      <c r="L11">
        <v>2582.2258080000001</v>
      </c>
      <c r="M11" t="s">
        <v>15</v>
      </c>
      <c r="N11" s="24">
        <f t="shared" si="2"/>
        <v>12.58886</v>
      </c>
      <c r="O11" s="24">
        <f t="shared" si="3"/>
        <v>12.590597000000001</v>
      </c>
      <c r="P11">
        <f t="shared" si="4"/>
        <v>94.236931999999996</v>
      </c>
      <c r="Q11">
        <f t="shared" si="5"/>
        <v>193.14490499999999</v>
      </c>
      <c r="R11">
        <f t="shared" si="6"/>
        <v>136.93655699999999</v>
      </c>
      <c r="S11" s="24">
        <f t="shared" si="7"/>
        <v>6390.74</v>
      </c>
      <c r="T11" s="24">
        <f t="shared" si="8"/>
        <v>489.55</v>
      </c>
      <c r="U11" s="24">
        <f t="shared" si="9"/>
        <v>2582.23</v>
      </c>
      <c r="V11" s="24">
        <f>+VLOOKUP(A11,[1]DQS4_AUX!$A:$M,13,FALSE)</f>
        <v>12.590597000000001</v>
      </c>
      <c r="W11" s="24">
        <f t="shared" si="10"/>
        <v>0</v>
      </c>
    </row>
    <row r="12" spans="1:23" x14ac:dyDescent="0.25">
      <c r="A12" t="str">
        <f t="shared" si="1"/>
        <v>A01.13EU1</v>
      </c>
      <c r="B12" t="s">
        <v>125</v>
      </c>
      <c r="C12" t="s">
        <v>258</v>
      </c>
      <c r="D12" t="s">
        <v>276</v>
      </c>
      <c r="E12">
        <v>14468445.089999899</v>
      </c>
      <c r="F12">
        <v>14468463.2899999</v>
      </c>
      <c r="G12">
        <v>96657868.780000001</v>
      </c>
      <c r="H12">
        <v>134388411.33000001</v>
      </c>
      <c r="I12">
        <v>264223317.19999999</v>
      </c>
      <c r="J12">
        <v>23143.515791000002</v>
      </c>
      <c r="K12">
        <v>1772.875929</v>
      </c>
      <c r="L12">
        <v>9351.3017550000004</v>
      </c>
      <c r="M12" t="s">
        <v>15</v>
      </c>
      <c r="N12" s="24">
        <f t="shared" si="2"/>
        <v>14.468444999999999</v>
      </c>
      <c r="O12" s="24">
        <f t="shared" si="3"/>
        <v>14.468463</v>
      </c>
      <c r="P12">
        <f t="shared" si="4"/>
        <v>96.657869000000005</v>
      </c>
      <c r="Q12">
        <f t="shared" si="5"/>
        <v>134.38841099999999</v>
      </c>
      <c r="R12">
        <f t="shared" si="6"/>
        <v>264.22331700000001</v>
      </c>
      <c r="S12" s="24">
        <f t="shared" si="7"/>
        <v>23143.52</v>
      </c>
      <c r="T12" s="24">
        <f t="shared" si="8"/>
        <v>1772.88</v>
      </c>
      <c r="U12" s="24">
        <f t="shared" si="9"/>
        <v>9351.2999999999993</v>
      </c>
      <c r="V12" s="24">
        <f>+VLOOKUP(A12,[1]DQS4_AUX!$A:$M,13,FALSE)</f>
        <v>14.468463</v>
      </c>
      <c r="W12" s="24">
        <f t="shared" si="10"/>
        <v>0</v>
      </c>
    </row>
    <row r="13" spans="1:23" x14ac:dyDescent="0.25">
      <c r="A13" t="str">
        <f t="shared" si="1"/>
        <v>A01.45EU1</v>
      </c>
      <c r="B13" t="s">
        <v>125</v>
      </c>
      <c r="C13" t="s">
        <v>258</v>
      </c>
      <c r="D13" t="s">
        <v>272</v>
      </c>
      <c r="E13">
        <v>451981.9</v>
      </c>
      <c r="F13">
        <v>451981.9</v>
      </c>
      <c r="G13">
        <v>884982.59</v>
      </c>
      <c r="H13">
        <v>1337462.58</v>
      </c>
      <c r="I13">
        <v>1640510.15</v>
      </c>
      <c r="J13">
        <v>667.92045599999994</v>
      </c>
      <c r="K13">
        <v>51.165087999999997</v>
      </c>
      <c r="L13">
        <v>269.877996</v>
      </c>
      <c r="M13" t="s">
        <v>15</v>
      </c>
      <c r="N13" s="24">
        <f t="shared" si="2"/>
        <v>0.45198199999999999</v>
      </c>
      <c r="O13" s="24">
        <f t="shared" si="3"/>
        <v>0.45198199999999999</v>
      </c>
      <c r="P13">
        <f t="shared" si="4"/>
        <v>0.88498299999999996</v>
      </c>
      <c r="Q13">
        <f t="shared" si="5"/>
        <v>1.3374630000000001</v>
      </c>
      <c r="R13">
        <f t="shared" si="6"/>
        <v>1.6405099999999999</v>
      </c>
      <c r="S13" s="24">
        <f t="shared" si="7"/>
        <v>667.92</v>
      </c>
      <c r="T13" s="24">
        <f t="shared" si="8"/>
        <v>51.17</v>
      </c>
      <c r="U13" s="24">
        <f t="shared" si="9"/>
        <v>269.88</v>
      </c>
      <c r="V13" s="24">
        <f>+VLOOKUP(A13,[1]DQS4_AUX!$A:$M,13,FALSE)</f>
        <v>0.45198199999999999</v>
      </c>
      <c r="W13" s="24">
        <f t="shared" si="10"/>
        <v>0</v>
      </c>
    </row>
    <row r="14" spans="1:23" x14ac:dyDescent="0.25">
      <c r="A14" t="str">
        <f t="shared" si="1"/>
        <v>A01.28EU1</v>
      </c>
      <c r="B14" t="s">
        <v>125</v>
      </c>
      <c r="C14" t="s">
        <v>258</v>
      </c>
      <c r="D14" t="s">
        <v>286</v>
      </c>
      <c r="E14">
        <v>283361.03000000003</v>
      </c>
      <c r="F14">
        <v>283361.03000000003</v>
      </c>
      <c r="G14">
        <v>340557.37</v>
      </c>
      <c r="H14">
        <v>178776.55</v>
      </c>
      <c r="I14">
        <v>447343.09</v>
      </c>
      <c r="J14">
        <v>225.926005</v>
      </c>
      <c r="K14">
        <v>17.306722000000001</v>
      </c>
      <c r="L14">
        <v>91.286994000000007</v>
      </c>
      <c r="M14" t="s">
        <v>15</v>
      </c>
      <c r="N14" s="24">
        <f t="shared" si="2"/>
        <v>0.28336099999999997</v>
      </c>
      <c r="O14" s="24">
        <f t="shared" si="3"/>
        <v>0.28336099999999997</v>
      </c>
      <c r="P14">
        <f t="shared" si="4"/>
        <v>0.340557</v>
      </c>
      <c r="Q14">
        <f t="shared" si="5"/>
        <v>0.17877699999999999</v>
      </c>
      <c r="R14">
        <f t="shared" si="6"/>
        <v>0.44734299999999999</v>
      </c>
      <c r="S14" s="24">
        <f t="shared" si="7"/>
        <v>225.93</v>
      </c>
      <c r="T14" s="24">
        <f t="shared" si="8"/>
        <v>17.309999999999999</v>
      </c>
      <c r="U14" s="24">
        <f t="shared" si="9"/>
        <v>91.29</v>
      </c>
      <c r="V14" s="24">
        <f>+VLOOKUP(A14,[1]DQS4_AUX!$A:$M,13,FALSE)</f>
        <v>0.28336099999999997</v>
      </c>
      <c r="W14" s="24">
        <f t="shared" si="10"/>
        <v>0</v>
      </c>
    </row>
    <row r="15" spans="1:23" x14ac:dyDescent="0.25">
      <c r="A15" t="str">
        <f t="shared" si="1"/>
        <v>A03.22EU1</v>
      </c>
      <c r="B15" t="s">
        <v>125</v>
      </c>
      <c r="C15" t="s">
        <v>258</v>
      </c>
      <c r="D15" t="s">
        <v>287</v>
      </c>
      <c r="E15">
        <v>329.8</v>
      </c>
      <c r="F15">
        <v>329.8</v>
      </c>
      <c r="G15">
        <v>158158.17000000001</v>
      </c>
      <c r="H15">
        <v>29892.89</v>
      </c>
      <c r="I15">
        <v>1520714.93</v>
      </c>
      <c r="J15">
        <v>2.8419629999999998</v>
      </c>
      <c r="K15">
        <v>0.21770400000000001</v>
      </c>
      <c r="L15">
        <v>1.148315</v>
      </c>
      <c r="M15" t="s">
        <v>15</v>
      </c>
      <c r="N15" s="24">
        <f t="shared" si="2"/>
        <v>3.3E-4</v>
      </c>
      <c r="O15" s="24">
        <f t="shared" si="3"/>
        <v>3.3E-4</v>
      </c>
      <c r="P15">
        <f t="shared" si="4"/>
        <v>0.15815799999999999</v>
      </c>
      <c r="Q15">
        <f t="shared" si="5"/>
        <v>2.9892999999999999E-2</v>
      </c>
      <c r="R15">
        <f t="shared" si="6"/>
        <v>1.520715</v>
      </c>
      <c r="S15" s="24">
        <f t="shared" si="7"/>
        <v>2.84</v>
      </c>
      <c r="T15" s="24">
        <f t="shared" si="8"/>
        <v>0.22</v>
      </c>
      <c r="U15" s="24">
        <f t="shared" si="9"/>
        <v>1.1499999999999999</v>
      </c>
      <c r="V15" s="24">
        <f>+VLOOKUP(A15,[1]DQS4_AUX!$A:$M,13,FALSE)</f>
        <v>3.3E-4</v>
      </c>
      <c r="W15" s="24">
        <f t="shared" si="10"/>
        <v>0</v>
      </c>
    </row>
    <row r="16" spans="1:23" x14ac:dyDescent="0.25">
      <c r="A16" t="str">
        <f t="shared" si="1"/>
        <v>A01.11EU1</v>
      </c>
      <c r="B16" t="s">
        <v>125</v>
      </c>
      <c r="C16" t="s">
        <v>258</v>
      </c>
      <c r="D16" t="s">
        <v>271</v>
      </c>
      <c r="E16">
        <v>3022794.3299999898</v>
      </c>
      <c r="F16">
        <v>3022871.6699999901</v>
      </c>
      <c r="G16">
        <v>27246801.48</v>
      </c>
      <c r="H16">
        <v>35305292.75</v>
      </c>
      <c r="I16">
        <v>45933455.789999999</v>
      </c>
      <c r="J16">
        <v>3601.1348200000002</v>
      </c>
      <c r="K16">
        <v>275.85977500000001</v>
      </c>
      <c r="L16">
        <v>1455.064071</v>
      </c>
      <c r="M16" t="s">
        <v>15</v>
      </c>
      <c r="N16" s="24">
        <f t="shared" si="2"/>
        <v>3.0227940000000002</v>
      </c>
      <c r="O16" s="24">
        <f t="shared" si="3"/>
        <v>3.022872</v>
      </c>
      <c r="P16">
        <f t="shared" si="4"/>
        <v>27.246801000000001</v>
      </c>
      <c r="Q16">
        <f t="shared" si="5"/>
        <v>35.305292999999999</v>
      </c>
      <c r="R16">
        <f t="shared" si="6"/>
        <v>45.933456</v>
      </c>
      <c r="S16" s="24">
        <f t="shared" si="7"/>
        <v>3601.13</v>
      </c>
      <c r="T16" s="24">
        <f t="shared" si="8"/>
        <v>275.86</v>
      </c>
      <c r="U16" s="24">
        <f t="shared" si="9"/>
        <v>1455.06</v>
      </c>
      <c r="V16" s="24">
        <f>+VLOOKUP(A16,[1]DQS4_AUX!$A:$M,13,FALSE)</f>
        <v>3.022872</v>
      </c>
      <c r="W16" s="24">
        <f t="shared" si="10"/>
        <v>0</v>
      </c>
    </row>
    <row r="17" spans="1:23" x14ac:dyDescent="0.25">
      <c r="A17" t="str">
        <f t="shared" si="1"/>
        <v>A02.30EU1</v>
      </c>
      <c r="B17" t="s">
        <v>125</v>
      </c>
      <c r="C17" t="s">
        <v>258</v>
      </c>
      <c r="D17" t="s">
        <v>269</v>
      </c>
      <c r="E17">
        <v>1922170.09</v>
      </c>
      <c r="F17">
        <v>1922170.09</v>
      </c>
      <c r="G17">
        <v>13477686.09</v>
      </c>
      <c r="H17">
        <v>6291520.1500000004</v>
      </c>
      <c r="I17">
        <v>15271466</v>
      </c>
      <c r="J17">
        <v>1713.0922680000001</v>
      </c>
      <c r="K17">
        <v>131.22898499999999</v>
      </c>
      <c r="L17">
        <v>692.18708700000002</v>
      </c>
      <c r="M17" t="s">
        <v>15</v>
      </c>
      <c r="N17" s="24">
        <f t="shared" si="2"/>
        <v>1.9221699999999999</v>
      </c>
      <c r="O17" s="24">
        <f t="shared" si="3"/>
        <v>1.9221699999999999</v>
      </c>
      <c r="P17">
        <f t="shared" si="4"/>
        <v>13.477686</v>
      </c>
      <c r="Q17">
        <f t="shared" si="5"/>
        <v>6.2915200000000002</v>
      </c>
      <c r="R17">
        <f t="shared" si="6"/>
        <v>15.271466</v>
      </c>
      <c r="S17" s="24">
        <f t="shared" si="7"/>
        <v>1713.09</v>
      </c>
      <c r="T17" s="24">
        <f t="shared" si="8"/>
        <v>131.22999999999999</v>
      </c>
      <c r="U17" s="24">
        <f t="shared" si="9"/>
        <v>692.19</v>
      </c>
      <c r="V17" s="24">
        <f>+VLOOKUP(A17,[1]DQS4_AUX!$A:$M,13,FALSE)</f>
        <v>1.9221699999999999</v>
      </c>
      <c r="W17" s="24">
        <f t="shared" si="10"/>
        <v>0</v>
      </c>
    </row>
    <row r="18" spans="1:23" x14ac:dyDescent="0.25">
      <c r="A18" t="str">
        <f t="shared" si="1"/>
        <v>A01.47EU1</v>
      </c>
      <c r="B18" t="s">
        <v>125</v>
      </c>
      <c r="C18" t="s">
        <v>258</v>
      </c>
      <c r="D18" t="s">
        <v>268</v>
      </c>
      <c r="E18">
        <v>19938699.689999901</v>
      </c>
      <c r="F18">
        <v>19939177.829999901</v>
      </c>
      <c r="G18">
        <v>37219849.890000001</v>
      </c>
      <c r="H18">
        <v>123423103.31999999</v>
      </c>
      <c r="I18">
        <v>257398182.03</v>
      </c>
      <c r="J18">
        <v>36869.987595999999</v>
      </c>
      <c r="K18">
        <v>2824.3728550000001</v>
      </c>
      <c r="L18">
        <v>14897.580201999999</v>
      </c>
      <c r="M18" t="s">
        <v>15</v>
      </c>
      <c r="N18" s="24">
        <f t="shared" si="2"/>
        <v>19.938700000000001</v>
      </c>
      <c r="O18" s="24">
        <f t="shared" si="3"/>
        <v>19.939177999999998</v>
      </c>
      <c r="P18">
        <f t="shared" si="4"/>
        <v>37.219850000000001</v>
      </c>
      <c r="Q18">
        <f t="shared" si="5"/>
        <v>123.423103</v>
      </c>
      <c r="R18">
        <f t="shared" si="6"/>
        <v>257.39818200000002</v>
      </c>
      <c r="S18" s="24">
        <f t="shared" si="7"/>
        <v>36869.99</v>
      </c>
      <c r="T18" s="24">
        <f t="shared" si="8"/>
        <v>2824.37</v>
      </c>
      <c r="U18" s="24">
        <f t="shared" si="9"/>
        <v>14897.58</v>
      </c>
      <c r="V18" s="24">
        <f>+VLOOKUP(A18,[1]DQS4_AUX!$A:$M,13,FALSE)</f>
        <v>19.939177999999998</v>
      </c>
      <c r="W18" s="24">
        <f t="shared" si="10"/>
        <v>0</v>
      </c>
    </row>
    <row r="19" spans="1:23" x14ac:dyDescent="0.25">
      <c r="A19" t="str">
        <f t="shared" si="1"/>
        <v>A01.42EU1</v>
      </c>
      <c r="B19" t="s">
        <v>125</v>
      </c>
      <c r="C19" t="s">
        <v>258</v>
      </c>
      <c r="D19" t="s">
        <v>283</v>
      </c>
      <c r="E19">
        <v>7400613</v>
      </c>
      <c r="F19">
        <v>7400613</v>
      </c>
      <c r="G19">
        <v>19298686.23</v>
      </c>
      <c r="H19">
        <v>81068187.819999993</v>
      </c>
      <c r="I19">
        <v>57016683.619999997</v>
      </c>
      <c r="J19">
        <v>7805.0322900000001</v>
      </c>
      <c r="K19">
        <v>597.89336600000001</v>
      </c>
      <c r="L19">
        <v>3153.6786950000001</v>
      </c>
      <c r="M19" t="s">
        <v>15</v>
      </c>
      <c r="N19" s="24">
        <f t="shared" si="2"/>
        <v>7.4006129999999999</v>
      </c>
      <c r="O19" s="24">
        <f t="shared" si="3"/>
        <v>7.4006129999999999</v>
      </c>
      <c r="P19">
        <f t="shared" si="4"/>
        <v>19.298686</v>
      </c>
      <c r="Q19">
        <f t="shared" si="5"/>
        <v>81.068188000000006</v>
      </c>
      <c r="R19">
        <f t="shared" si="6"/>
        <v>57.016683999999998</v>
      </c>
      <c r="S19" s="24">
        <f t="shared" si="7"/>
        <v>7805.03</v>
      </c>
      <c r="T19" s="24">
        <f t="shared" si="8"/>
        <v>597.89</v>
      </c>
      <c r="U19" s="24">
        <f t="shared" si="9"/>
        <v>3153.68</v>
      </c>
      <c r="V19" s="24">
        <f>+VLOOKUP(A19,[1]DQS4_AUX!$A:$M,13,FALSE)</f>
        <v>7.4006129999999999</v>
      </c>
      <c r="W19" s="24">
        <f t="shared" si="10"/>
        <v>0</v>
      </c>
    </row>
    <row r="20" spans="1:23" x14ac:dyDescent="0.25">
      <c r="A20" t="str">
        <f t="shared" si="1"/>
        <v>A01.12EU1</v>
      </c>
      <c r="B20" t="s">
        <v>125</v>
      </c>
      <c r="C20" t="s">
        <v>258</v>
      </c>
      <c r="D20" t="s">
        <v>279</v>
      </c>
      <c r="E20">
        <v>649560.85</v>
      </c>
      <c r="F20">
        <v>649560.85</v>
      </c>
      <c r="G20">
        <v>5033775.4800000004</v>
      </c>
      <c r="H20">
        <v>3926508.62</v>
      </c>
      <c r="I20">
        <v>5354237.92</v>
      </c>
      <c r="J20">
        <v>607.90290600000003</v>
      </c>
      <c r="K20">
        <v>46.567526000000001</v>
      </c>
      <c r="L20">
        <v>245.62747899999999</v>
      </c>
      <c r="M20" t="s">
        <v>15</v>
      </c>
      <c r="N20" s="24">
        <f t="shared" si="2"/>
        <v>0.64956100000000006</v>
      </c>
      <c r="O20" s="24">
        <f t="shared" si="3"/>
        <v>0.64956100000000006</v>
      </c>
      <c r="P20">
        <f t="shared" si="4"/>
        <v>5.0337750000000003</v>
      </c>
      <c r="Q20">
        <f t="shared" si="5"/>
        <v>3.9265089999999998</v>
      </c>
      <c r="R20">
        <f t="shared" si="6"/>
        <v>5.3542379999999996</v>
      </c>
      <c r="S20" s="24">
        <f t="shared" si="7"/>
        <v>607.9</v>
      </c>
      <c r="T20" s="24">
        <f t="shared" si="8"/>
        <v>46.57</v>
      </c>
      <c r="U20" s="24">
        <f t="shared" si="9"/>
        <v>245.63</v>
      </c>
      <c r="V20" s="24">
        <f>+VLOOKUP(A20,[1]DQS4_AUX!$A:$M,13,FALSE)</f>
        <v>0.64956100000000006</v>
      </c>
      <c r="W20" s="24">
        <f t="shared" si="10"/>
        <v>0</v>
      </c>
    </row>
    <row r="21" spans="1:23" x14ac:dyDescent="0.25">
      <c r="A21" t="str">
        <f t="shared" si="1"/>
        <v>A01.29EU1</v>
      </c>
      <c r="B21" t="s">
        <v>125</v>
      </c>
      <c r="C21" t="s">
        <v>258</v>
      </c>
      <c r="D21" t="s">
        <v>280</v>
      </c>
      <c r="E21">
        <v>459635.85</v>
      </c>
      <c r="F21">
        <v>459635.85</v>
      </c>
      <c r="G21">
        <v>37432713.630000003</v>
      </c>
      <c r="H21">
        <v>69631219.689999998</v>
      </c>
      <c r="I21">
        <v>25714922.059999999</v>
      </c>
      <c r="J21">
        <v>368.92001299999998</v>
      </c>
      <c r="K21">
        <v>28.260591000000002</v>
      </c>
      <c r="L21">
        <v>149.06474900000001</v>
      </c>
      <c r="M21" t="s">
        <v>15</v>
      </c>
      <c r="N21" s="24">
        <f t="shared" si="2"/>
        <v>0.45963599999999999</v>
      </c>
      <c r="O21" s="24">
        <f t="shared" si="3"/>
        <v>0.45963599999999999</v>
      </c>
      <c r="P21">
        <f t="shared" si="4"/>
        <v>37.432713999999997</v>
      </c>
      <c r="Q21">
        <f t="shared" si="5"/>
        <v>69.631219999999999</v>
      </c>
      <c r="R21">
        <f t="shared" si="6"/>
        <v>25.714922000000001</v>
      </c>
      <c r="S21" s="24">
        <f t="shared" si="7"/>
        <v>368.92</v>
      </c>
      <c r="T21" s="24">
        <f t="shared" si="8"/>
        <v>28.26</v>
      </c>
      <c r="U21" s="24">
        <f t="shared" si="9"/>
        <v>149.06</v>
      </c>
      <c r="V21" s="24">
        <f>+VLOOKUP(A21,[1]DQS4_AUX!$A:$M,13,FALSE)</f>
        <v>0.45963599999999999</v>
      </c>
      <c r="W21" s="24">
        <f t="shared" si="10"/>
        <v>0</v>
      </c>
    </row>
    <row r="22" spans="1:23" x14ac:dyDescent="0.25">
      <c r="A22" t="str">
        <f t="shared" si="1"/>
        <v>A01.50EU1</v>
      </c>
      <c r="B22" t="s">
        <v>125</v>
      </c>
      <c r="C22" t="s">
        <v>258</v>
      </c>
      <c r="D22" t="s">
        <v>285</v>
      </c>
      <c r="E22">
        <v>37112020.809999898</v>
      </c>
      <c r="F22">
        <v>37114755.319999903</v>
      </c>
      <c r="G22">
        <v>272596897.56</v>
      </c>
      <c r="H22">
        <v>1172822118.26</v>
      </c>
      <c r="I22">
        <v>338389799.04000002</v>
      </c>
      <c r="J22">
        <v>14948.869135999999</v>
      </c>
      <c r="K22">
        <v>1145.1366190000001</v>
      </c>
      <c r="L22">
        <v>6040.1965490000002</v>
      </c>
      <c r="M22" t="s">
        <v>15</v>
      </c>
      <c r="N22" s="24">
        <f t="shared" si="2"/>
        <v>37.112020999999999</v>
      </c>
      <c r="O22" s="24">
        <f t="shared" si="3"/>
        <v>37.114755000000002</v>
      </c>
      <c r="P22">
        <f t="shared" si="4"/>
        <v>272.59689800000001</v>
      </c>
      <c r="Q22">
        <f t="shared" si="5"/>
        <v>1172.822118</v>
      </c>
      <c r="R22">
        <f t="shared" si="6"/>
        <v>338.38979899999998</v>
      </c>
      <c r="S22" s="24">
        <f t="shared" si="7"/>
        <v>14948.87</v>
      </c>
      <c r="T22" s="24">
        <f t="shared" si="8"/>
        <v>1145.1400000000001</v>
      </c>
      <c r="U22" s="24">
        <f t="shared" si="9"/>
        <v>6040.2</v>
      </c>
      <c r="V22" s="24">
        <f>+VLOOKUP(A22,[1]DQS4_AUX!$A:$M,13,FALSE)</f>
        <v>37.114755000000002</v>
      </c>
      <c r="W22" s="24">
        <f t="shared" si="10"/>
        <v>0</v>
      </c>
    </row>
    <row r="23" spans="1:23" x14ac:dyDescent="0.25">
      <c r="A23" t="str">
        <f t="shared" si="1"/>
        <v>A02.40EU1</v>
      </c>
      <c r="B23" t="s">
        <v>125</v>
      </c>
      <c r="C23" t="s">
        <v>258</v>
      </c>
      <c r="D23" t="s">
        <v>289</v>
      </c>
      <c r="E23">
        <v>5714178.6799999904</v>
      </c>
      <c r="F23">
        <v>5716053.5499999896</v>
      </c>
      <c r="G23">
        <v>14283182.289999999</v>
      </c>
      <c r="H23">
        <v>22900965.989999998</v>
      </c>
      <c r="I23">
        <v>48733317.030000001</v>
      </c>
      <c r="J23">
        <v>9927.8644710000008</v>
      </c>
      <c r="K23">
        <v>760.50987299999997</v>
      </c>
      <c r="L23">
        <v>4011.4240789999999</v>
      </c>
      <c r="M23" t="s">
        <v>15</v>
      </c>
      <c r="N23" s="24">
        <f t="shared" si="2"/>
        <v>5.7141789999999997</v>
      </c>
      <c r="O23" s="24">
        <f t="shared" si="3"/>
        <v>5.7160539999999997</v>
      </c>
      <c r="P23">
        <f t="shared" si="4"/>
        <v>14.283182</v>
      </c>
      <c r="Q23">
        <f t="shared" si="5"/>
        <v>22.900966</v>
      </c>
      <c r="R23">
        <f t="shared" si="6"/>
        <v>48.733317</v>
      </c>
      <c r="S23" s="24">
        <f t="shared" si="7"/>
        <v>9927.86</v>
      </c>
      <c r="T23" s="24">
        <f t="shared" si="8"/>
        <v>760.51</v>
      </c>
      <c r="U23" s="24">
        <f t="shared" si="9"/>
        <v>4011.42</v>
      </c>
      <c r="V23" s="24">
        <f>+VLOOKUP(A23,[1]DQS4_AUX!$A:$M,13,FALSE)</f>
        <v>5.7160539999999997</v>
      </c>
      <c r="W23" s="24">
        <f t="shared" si="10"/>
        <v>0</v>
      </c>
    </row>
    <row r="24" spans="1:23" x14ac:dyDescent="0.25">
      <c r="A24" t="str">
        <f t="shared" si="1"/>
        <v>A03.21EU1</v>
      </c>
      <c r="B24" t="s">
        <v>125</v>
      </c>
      <c r="C24" t="s">
        <v>258</v>
      </c>
      <c r="D24" t="s">
        <v>275</v>
      </c>
      <c r="E24">
        <v>962777.12</v>
      </c>
      <c r="F24">
        <v>962777.12</v>
      </c>
      <c r="G24">
        <v>2413631.66</v>
      </c>
      <c r="H24">
        <v>5499071.7800000003</v>
      </c>
      <c r="I24">
        <v>5225749.99</v>
      </c>
      <c r="J24">
        <v>828.92603199999996</v>
      </c>
      <c r="K24">
        <v>63.498680999999998</v>
      </c>
      <c r="L24">
        <v>334.93343800000002</v>
      </c>
      <c r="M24" t="s">
        <v>15</v>
      </c>
      <c r="N24" s="24">
        <f t="shared" si="2"/>
        <v>0.96277699999999999</v>
      </c>
      <c r="O24" s="24">
        <f t="shared" si="3"/>
        <v>0.96277699999999999</v>
      </c>
      <c r="P24">
        <f t="shared" si="4"/>
        <v>2.4136320000000002</v>
      </c>
      <c r="Q24">
        <f t="shared" si="5"/>
        <v>5.499072</v>
      </c>
      <c r="R24">
        <f t="shared" si="6"/>
        <v>5.2257499999999997</v>
      </c>
      <c r="S24" s="24">
        <f t="shared" si="7"/>
        <v>828.93</v>
      </c>
      <c r="T24" s="24">
        <f t="shared" si="8"/>
        <v>63.5</v>
      </c>
      <c r="U24" s="24">
        <f t="shared" si="9"/>
        <v>334.93</v>
      </c>
      <c r="V24" s="24">
        <f>+VLOOKUP(A24,[1]DQS4_AUX!$A:$M,13,FALSE)</f>
        <v>0.96277699999999999</v>
      </c>
      <c r="W24" s="24">
        <f t="shared" si="10"/>
        <v>0</v>
      </c>
    </row>
    <row r="25" spans="1:23" x14ac:dyDescent="0.25">
      <c r="A25" t="str">
        <f t="shared" si="1"/>
        <v>A01.63EU1</v>
      </c>
      <c r="B25" t="s">
        <v>125</v>
      </c>
      <c r="C25" t="s">
        <v>258</v>
      </c>
      <c r="D25" t="s">
        <v>281</v>
      </c>
      <c r="E25">
        <v>16045.97</v>
      </c>
      <c r="F25">
        <v>16045.97</v>
      </c>
      <c r="G25">
        <v>89214.52</v>
      </c>
      <c r="H25">
        <v>67956.639999999999</v>
      </c>
      <c r="I25">
        <v>515843.41</v>
      </c>
      <c r="J25">
        <v>57.957656</v>
      </c>
      <c r="K25">
        <v>4.4397630000000001</v>
      </c>
      <c r="L25">
        <v>23.418202000000001</v>
      </c>
      <c r="M25" t="s">
        <v>15</v>
      </c>
      <c r="N25" s="24">
        <f t="shared" si="2"/>
        <v>1.6046000000000001E-2</v>
      </c>
      <c r="O25" s="24">
        <f t="shared" si="3"/>
        <v>1.6046000000000001E-2</v>
      </c>
      <c r="P25">
        <f t="shared" si="4"/>
        <v>8.9215000000000003E-2</v>
      </c>
      <c r="Q25">
        <f t="shared" si="5"/>
        <v>6.7957000000000004E-2</v>
      </c>
      <c r="R25">
        <f t="shared" si="6"/>
        <v>0.51584300000000005</v>
      </c>
      <c r="S25" s="24">
        <f t="shared" si="7"/>
        <v>57.96</v>
      </c>
      <c r="T25" s="24">
        <f t="shared" si="8"/>
        <v>4.4400000000000004</v>
      </c>
      <c r="U25" s="24">
        <f t="shared" si="9"/>
        <v>23.42</v>
      </c>
      <c r="V25" s="24">
        <f>+VLOOKUP(A25,[1]DQS4_AUX!$A:$M,13,FALSE)</f>
        <v>1.6046000000000001E-2</v>
      </c>
      <c r="W25" s="24">
        <f t="shared" si="10"/>
        <v>0</v>
      </c>
    </row>
    <row r="26" spans="1:23" x14ac:dyDescent="0.25">
      <c r="A26" t="str">
        <f t="shared" si="1"/>
        <v>A02.10EU1</v>
      </c>
      <c r="B26" t="s">
        <v>125</v>
      </c>
      <c r="C26" t="s">
        <v>258</v>
      </c>
      <c r="D26" t="s">
        <v>284</v>
      </c>
      <c r="E26">
        <v>12957624.449999901</v>
      </c>
      <c r="F26">
        <v>12957754.7299999</v>
      </c>
      <c r="G26">
        <v>20495222.030000001</v>
      </c>
      <c r="H26">
        <v>164334898.97</v>
      </c>
      <c r="I26">
        <v>101599334.47</v>
      </c>
      <c r="J26">
        <v>9891.4772639999992</v>
      </c>
      <c r="K26">
        <v>757.72249799999997</v>
      </c>
      <c r="L26">
        <v>3996.7215900000001</v>
      </c>
      <c r="M26" t="s">
        <v>15</v>
      </c>
      <c r="N26" s="24">
        <f t="shared" si="2"/>
        <v>12.957623999999999</v>
      </c>
      <c r="O26" s="24">
        <f t="shared" si="3"/>
        <v>12.957755000000001</v>
      </c>
      <c r="P26">
        <f t="shared" si="4"/>
        <v>20.495221999999998</v>
      </c>
      <c r="Q26">
        <f t="shared" si="5"/>
        <v>164.33489900000001</v>
      </c>
      <c r="R26">
        <f t="shared" si="6"/>
        <v>101.599334</v>
      </c>
      <c r="S26" s="24">
        <f t="shared" si="7"/>
        <v>9891.48</v>
      </c>
      <c r="T26" s="24">
        <f t="shared" si="8"/>
        <v>757.72</v>
      </c>
      <c r="U26" s="24">
        <f t="shared" si="9"/>
        <v>3996.72</v>
      </c>
      <c r="V26" s="24">
        <f>+VLOOKUP(A26,[1]DQS4_AUX!$A:$M,13,FALSE)</f>
        <v>12.957755000000001</v>
      </c>
      <c r="W26" s="24">
        <f t="shared" si="10"/>
        <v>0</v>
      </c>
    </row>
    <row r="27" spans="1:23" x14ac:dyDescent="0.25">
      <c r="A27" t="str">
        <f t="shared" si="1"/>
        <v>A02.20EU1</v>
      </c>
      <c r="B27" t="s">
        <v>125</v>
      </c>
      <c r="C27" t="s">
        <v>258</v>
      </c>
      <c r="D27" t="s">
        <v>282</v>
      </c>
      <c r="E27">
        <v>15881423.009999899</v>
      </c>
      <c r="F27">
        <v>15883624.3199999</v>
      </c>
      <c r="G27">
        <v>63528738.740000002</v>
      </c>
      <c r="H27">
        <v>138884353.22</v>
      </c>
      <c r="I27">
        <v>198499231.77000001</v>
      </c>
      <c r="J27">
        <v>29718.835580999999</v>
      </c>
      <c r="K27">
        <v>2276.56891</v>
      </c>
      <c r="L27">
        <v>12008.106376</v>
      </c>
      <c r="M27" t="s">
        <v>15</v>
      </c>
      <c r="N27" s="24">
        <f t="shared" si="2"/>
        <v>15.881423</v>
      </c>
      <c r="O27" s="24">
        <f t="shared" si="3"/>
        <v>15.883623999999999</v>
      </c>
      <c r="P27">
        <f t="shared" si="4"/>
        <v>63.528739000000002</v>
      </c>
      <c r="Q27">
        <f t="shared" si="5"/>
        <v>138.884353</v>
      </c>
      <c r="R27">
        <f t="shared" si="6"/>
        <v>198.49923200000001</v>
      </c>
      <c r="S27" s="24">
        <f t="shared" si="7"/>
        <v>29718.84</v>
      </c>
      <c r="T27" s="24">
        <f t="shared" si="8"/>
        <v>2276.5700000000002</v>
      </c>
      <c r="U27" s="24">
        <f t="shared" si="9"/>
        <v>12008.11</v>
      </c>
      <c r="V27" s="24">
        <f>+VLOOKUP(A27,[1]DQS4_AUX!$A:$M,13,FALSE)</f>
        <v>15.883623999999999</v>
      </c>
      <c r="W27" s="24">
        <f t="shared" si="10"/>
        <v>0</v>
      </c>
    </row>
    <row r="28" spans="1:23" x14ac:dyDescent="0.25">
      <c r="A28" t="str">
        <f t="shared" si="1"/>
        <v>A03.11EU1</v>
      </c>
      <c r="B28" t="s">
        <v>125</v>
      </c>
      <c r="C28" t="s">
        <v>258</v>
      </c>
      <c r="D28" t="s">
        <v>270</v>
      </c>
      <c r="E28">
        <v>2495514.96999999</v>
      </c>
      <c r="F28">
        <v>2495533.9599999902</v>
      </c>
      <c r="G28">
        <v>50999061.049999997</v>
      </c>
      <c r="H28">
        <v>39019750.43</v>
      </c>
      <c r="I28">
        <v>67435794.129999995</v>
      </c>
      <c r="J28">
        <v>4103.0154519999996</v>
      </c>
      <c r="K28">
        <v>314.30561999999998</v>
      </c>
      <c r="L28">
        <v>1657.852492</v>
      </c>
      <c r="M28" t="s">
        <v>15</v>
      </c>
      <c r="N28" s="24">
        <f t="shared" si="2"/>
        <v>2.4955150000000001</v>
      </c>
      <c r="O28" s="24">
        <f t="shared" si="3"/>
        <v>2.4955340000000001</v>
      </c>
      <c r="P28">
        <f t="shared" si="4"/>
        <v>50.999060999999998</v>
      </c>
      <c r="Q28">
        <f t="shared" si="5"/>
        <v>39.019750000000002</v>
      </c>
      <c r="R28">
        <f t="shared" si="6"/>
        <v>67.435794000000001</v>
      </c>
      <c r="S28" s="24">
        <f t="shared" si="7"/>
        <v>4103.0200000000004</v>
      </c>
      <c r="T28" s="24">
        <f t="shared" si="8"/>
        <v>314.31</v>
      </c>
      <c r="U28" s="24">
        <f t="shared" si="9"/>
        <v>1657.85</v>
      </c>
      <c r="V28" s="24">
        <f>+VLOOKUP(A28,[1]DQS4_AUX!$A:$M,13,FALSE)</f>
        <v>2.4955340000000001</v>
      </c>
      <c r="W28" s="24">
        <f t="shared" si="10"/>
        <v>0</v>
      </c>
    </row>
    <row r="29" spans="1:23" x14ac:dyDescent="0.25">
      <c r="A29" t="str">
        <f t="shared" si="1"/>
        <v>A01.23EU1</v>
      </c>
      <c r="B29" t="s">
        <v>125</v>
      </c>
      <c r="C29" t="s">
        <v>258</v>
      </c>
      <c r="D29" t="s">
        <v>277</v>
      </c>
      <c r="E29">
        <v>602312.40999999898</v>
      </c>
      <c r="F29">
        <v>602433.11999999895</v>
      </c>
      <c r="G29">
        <v>6209384.3600000003</v>
      </c>
      <c r="H29">
        <v>6013557.6900000004</v>
      </c>
      <c r="I29">
        <v>12875894.539999999</v>
      </c>
      <c r="J29">
        <v>909.45180000000005</v>
      </c>
      <c r="K29">
        <v>69.667253000000002</v>
      </c>
      <c r="L29">
        <v>367.47045300000002</v>
      </c>
      <c r="M29" t="s">
        <v>15</v>
      </c>
      <c r="N29" s="24">
        <f t="shared" si="2"/>
        <v>0.60231199999999996</v>
      </c>
      <c r="O29" s="24">
        <f t="shared" si="3"/>
        <v>0.602433</v>
      </c>
      <c r="P29">
        <f t="shared" si="4"/>
        <v>6.209384</v>
      </c>
      <c r="Q29">
        <f t="shared" si="5"/>
        <v>6.0135579999999997</v>
      </c>
      <c r="R29">
        <f t="shared" si="6"/>
        <v>12.875895</v>
      </c>
      <c r="S29" s="24">
        <f t="shared" si="7"/>
        <v>909.45</v>
      </c>
      <c r="T29" s="24">
        <f t="shared" si="8"/>
        <v>69.67</v>
      </c>
      <c r="U29" s="24">
        <f t="shared" si="9"/>
        <v>367.47</v>
      </c>
      <c r="V29" s="24">
        <f>+VLOOKUP(A29,[1]DQS4_AUX!$A:$M,13,FALSE)</f>
        <v>0.602433</v>
      </c>
      <c r="W29" s="24">
        <f t="shared" si="10"/>
        <v>0</v>
      </c>
    </row>
    <row r="30" spans="1:23" x14ac:dyDescent="0.25">
      <c r="A30" t="str">
        <f t="shared" si="1"/>
        <v>A01.30EU1</v>
      </c>
      <c r="B30" t="s">
        <v>125</v>
      </c>
      <c r="C30" t="s">
        <v>258</v>
      </c>
      <c r="D30" t="s">
        <v>288</v>
      </c>
      <c r="E30">
        <v>1069966.2</v>
      </c>
      <c r="F30">
        <v>1069966.2</v>
      </c>
      <c r="G30">
        <v>5870375.3899999997</v>
      </c>
      <c r="H30">
        <v>8509443.3100000005</v>
      </c>
      <c r="I30">
        <v>20841096.52</v>
      </c>
      <c r="J30">
        <v>2272.4258380000001</v>
      </c>
      <c r="K30">
        <v>174.07593700000001</v>
      </c>
      <c r="L30">
        <v>918.18978600000003</v>
      </c>
      <c r="M30" t="s">
        <v>15</v>
      </c>
      <c r="N30" s="24">
        <f t="shared" si="2"/>
        <v>1.069966</v>
      </c>
      <c r="O30" s="24">
        <f t="shared" si="3"/>
        <v>1.069966</v>
      </c>
      <c r="P30">
        <f t="shared" si="4"/>
        <v>5.8703750000000001</v>
      </c>
      <c r="Q30">
        <f t="shared" si="5"/>
        <v>8.5094429999999992</v>
      </c>
      <c r="R30">
        <f t="shared" si="6"/>
        <v>20.841097000000001</v>
      </c>
      <c r="S30" s="24">
        <f t="shared" si="7"/>
        <v>2272.4299999999998</v>
      </c>
      <c r="T30" s="24">
        <f t="shared" si="8"/>
        <v>174.08</v>
      </c>
      <c r="U30" s="24">
        <f t="shared" si="9"/>
        <v>918.19</v>
      </c>
      <c r="V30" s="24">
        <f>+VLOOKUP(A30,[1]DQS4_AUX!$A:$M,13,FALSE)</f>
        <v>1.069966</v>
      </c>
      <c r="W30" s="24">
        <f t="shared" si="10"/>
        <v>0</v>
      </c>
    </row>
    <row r="31" spans="1:23" x14ac:dyDescent="0.25">
      <c r="A31" t="str">
        <f t="shared" si="1"/>
        <v>A01.46EU1</v>
      </c>
      <c r="B31" t="s">
        <v>125</v>
      </c>
      <c r="C31" t="s">
        <v>258</v>
      </c>
      <c r="D31" t="s">
        <v>273</v>
      </c>
      <c r="E31">
        <v>7950661.9199999897</v>
      </c>
      <c r="F31">
        <v>7950920.4399999902</v>
      </c>
      <c r="G31">
        <v>84289052.900000006</v>
      </c>
      <c r="H31">
        <v>140052984.11000001</v>
      </c>
      <c r="I31">
        <v>353371041.77999997</v>
      </c>
      <c r="J31">
        <v>14831.382756000001</v>
      </c>
      <c r="K31">
        <v>1136.1369239999999</v>
      </c>
      <c r="L31">
        <v>5992.7254670000002</v>
      </c>
      <c r="M31" t="s">
        <v>15</v>
      </c>
      <c r="N31" s="24">
        <f t="shared" si="2"/>
        <v>7.9506620000000003</v>
      </c>
      <c r="O31" s="24">
        <f t="shared" si="3"/>
        <v>7.95092</v>
      </c>
      <c r="P31">
        <f t="shared" si="4"/>
        <v>84.289052999999996</v>
      </c>
      <c r="Q31">
        <f t="shared" si="5"/>
        <v>140.05298400000001</v>
      </c>
      <c r="R31">
        <f t="shared" si="6"/>
        <v>353.37104199999999</v>
      </c>
      <c r="S31" s="24">
        <f t="shared" si="7"/>
        <v>14831.38</v>
      </c>
      <c r="T31" s="24">
        <f t="shared" si="8"/>
        <v>1136.1400000000001</v>
      </c>
      <c r="U31" s="24">
        <f t="shared" si="9"/>
        <v>5992.73</v>
      </c>
      <c r="V31" s="24">
        <f>+VLOOKUP(A31,[1]DQS4_AUX!$A:$M,13,FALSE)</f>
        <v>7.95092</v>
      </c>
      <c r="W31" s="24">
        <f t="shared" si="10"/>
        <v>0</v>
      </c>
    </row>
    <row r="32" spans="1:23" x14ac:dyDescent="0.25">
      <c r="A32" t="str">
        <f t="shared" si="1"/>
        <v>A01.43EU1</v>
      </c>
      <c r="B32" t="s">
        <v>125</v>
      </c>
      <c r="C32" t="s">
        <v>258</v>
      </c>
      <c r="D32" t="s">
        <v>274</v>
      </c>
      <c r="E32">
        <v>100819.09</v>
      </c>
      <c r="F32">
        <v>100819.09</v>
      </c>
      <c r="G32">
        <v>100000</v>
      </c>
      <c r="H32">
        <v>3204618.88</v>
      </c>
      <c r="I32">
        <v>280628.24</v>
      </c>
      <c r="J32">
        <v>9.4221609999999991</v>
      </c>
      <c r="K32">
        <v>0.72177000000000002</v>
      </c>
      <c r="L32">
        <v>3.8070909999999998</v>
      </c>
      <c r="M32" t="s">
        <v>15</v>
      </c>
      <c r="N32" s="24">
        <f t="shared" si="2"/>
        <v>0.10081900000000001</v>
      </c>
      <c r="O32" s="24">
        <f t="shared" si="3"/>
        <v>0.10081900000000001</v>
      </c>
      <c r="P32">
        <f t="shared" si="4"/>
        <v>0.1</v>
      </c>
      <c r="Q32">
        <f t="shared" si="5"/>
        <v>3.2046190000000001</v>
      </c>
      <c r="R32">
        <f t="shared" si="6"/>
        <v>0.28062799999999999</v>
      </c>
      <c r="S32" s="24">
        <f t="shared" si="7"/>
        <v>9.42</v>
      </c>
      <c r="T32" s="24">
        <f t="shared" si="8"/>
        <v>0.72</v>
      </c>
      <c r="U32" s="24">
        <f t="shared" si="9"/>
        <v>3.81</v>
      </c>
      <c r="V32" s="24">
        <f>+VLOOKUP(A32,[1]DQS4_AUX!$A:$M,13,FALSE)</f>
        <v>0.10081900000000001</v>
      </c>
      <c r="W32" s="24">
        <f t="shared" si="10"/>
        <v>0</v>
      </c>
    </row>
    <row r="33" spans="1:23" x14ac:dyDescent="0.25">
      <c r="A33" t="str">
        <f t="shared" si="1"/>
        <v>A01.21EU1</v>
      </c>
      <c r="B33" t="s">
        <v>125</v>
      </c>
      <c r="C33" t="s">
        <v>258</v>
      </c>
      <c r="D33" t="s">
        <v>126</v>
      </c>
      <c r="E33">
        <v>6978752.02999999</v>
      </c>
      <c r="F33">
        <v>6978841.8099999903</v>
      </c>
      <c r="G33">
        <v>83156186.780000001</v>
      </c>
      <c r="H33">
        <v>93046855.689999998</v>
      </c>
      <c r="I33">
        <v>77669588.420000002</v>
      </c>
      <c r="J33">
        <v>3280.5346810000001</v>
      </c>
      <c r="K33">
        <v>251.30059700000001</v>
      </c>
      <c r="L33">
        <v>1325.5232759999999</v>
      </c>
      <c r="M33" t="s">
        <v>15</v>
      </c>
      <c r="N33" s="24">
        <f t="shared" si="2"/>
        <v>6.9787520000000001</v>
      </c>
      <c r="O33" s="24">
        <f t="shared" si="3"/>
        <v>6.9788420000000002</v>
      </c>
      <c r="P33">
        <f t="shared" si="4"/>
        <v>83.156187000000003</v>
      </c>
      <c r="Q33">
        <f t="shared" si="5"/>
        <v>93.046856000000005</v>
      </c>
      <c r="R33">
        <f t="shared" si="6"/>
        <v>77.669588000000005</v>
      </c>
      <c r="S33" s="24">
        <f t="shared" si="7"/>
        <v>3280.53</v>
      </c>
      <c r="T33" s="24">
        <f t="shared" si="8"/>
        <v>251.3</v>
      </c>
      <c r="U33" s="24">
        <f t="shared" si="9"/>
        <v>1325.52</v>
      </c>
      <c r="V33" s="24">
        <f>+VLOOKUP(A33,[1]DQS4_AUX!$A:$M,13,FALSE)</f>
        <v>6.9788420000000002</v>
      </c>
      <c r="W33" s="24">
        <f t="shared" si="10"/>
        <v>0</v>
      </c>
    </row>
    <row r="34" spans="1:23" x14ac:dyDescent="0.25">
      <c r="A34" t="str">
        <f t="shared" si="1"/>
        <v>B07.29EU1</v>
      </c>
      <c r="B34" t="s">
        <v>173</v>
      </c>
      <c r="C34" t="s">
        <v>258</v>
      </c>
      <c r="D34" t="s">
        <v>290</v>
      </c>
      <c r="E34">
        <v>101845.55</v>
      </c>
      <c r="F34">
        <v>101845.55</v>
      </c>
      <c r="G34">
        <v>190000000</v>
      </c>
      <c r="H34">
        <v>1299407108</v>
      </c>
      <c r="I34">
        <v>807569402</v>
      </c>
      <c r="J34">
        <v>36.641300999999999</v>
      </c>
      <c r="K34">
        <v>4.4371939999999999</v>
      </c>
      <c r="L34">
        <v>23.581838000000001</v>
      </c>
      <c r="M34" t="s">
        <v>15</v>
      </c>
      <c r="N34" s="24">
        <f t="shared" si="2"/>
        <v>0.10184600000000001</v>
      </c>
      <c r="O34" s="24">
        <f t="shared" si="3"/>
        <v>0.10184600000000001</v>
      </c>
      <c r="P34">
        <f t="shared" si="4"/>
        <v>190</v>
      </c>
      <c r="Q34">
        <f t="shared" si="5"/>
        <v>1299.4071080000001</v>
      </c>
      <c r="R34">
        <f t="shared" si="6"/>
        <v>807.56940199999997</v>
      </c>
      <c r="S34" s="24">
        <f t="shared" si="7"/>
        <v>36.64</v>
      </c>
      <c r="T34" s="24">
        <f t="shared" si="8"/>
        <v>4.4400000000000004</v>
      </c>
      <c r="U34" s="24">
        <f t="shared" si="9"/>
        <v>23.58</v>
      </c>
      <c r="V34" s="24">
        <f>+VLOOKUP(A34,[1]DQS4_AUX!$A:$M,13,FALSE)</f>
        <v>0.10184600000000001</v>
      </c>
      <c r="W34" s="24">
        <f t="shared" si="10"/>
        <v>0</v>
      </c>
    </row>
    <row r="35" spans="1:23" x14ac:dyDescent="0.25">
      <c r="A35" t="str">
        <f t="shared" si="1"/>
        <v>B08.12EU1</v>
      </c>
      <c r="B35" t="s">
        <v>173</v>
      </c>
      <c r="C35" t="s">
        <v>258</v>
      </c>
      <c r="D35" t="s">
        <v>174</v>
      </c>
      <c r="E35">
        <v>3602727.5399999898</v>
      </c>
      <c r="F35">
        <v>3603782.1199999899</v>
      </c>
      <c r="G35">
        <v>32487325.140000001</v>
      </c>
      <c r="H35">
        <v>82261916.120000005</v>
      </c>
      <c r="I35">
        <v>115239206.25</v>
      </c>
      <c r="J35">
        <v>2927.1634239999998</v>
      </c>
      <c r="K35">
        <v>354.474242</v>
      </c>
      <c r="L35">
        <v>1883.882251</v>
      </c>
      <c r="M35" t="s">
        <v>15</v>
      </c>
      <c r="N35" s="24">
        <f t="shared" si="2"/>
        <v>3.6027279999999999</v>
      </c>
      <c r="O35" s="24">
        <f t="shared" si="3"/>
        <v>3.6037819999999998</v>
      </c>
      <c r="P35">
        <f t="shared" si="4"/>
        <v>32.487324999999998</v>
      </c>
      <c r="Q35">
        <f t="shared" si="5"/>
        <v>82.261915999999999</v>
      </c>
      <c r="R35">
        <f t="shared" si="6"/>
        <v>115.239206</v>
      </c>
      <c r="S35" s="24">
        <f t="shared" si="7"/>
        <v>2927.16</v>
      </c>
      <c r="T35" s="24">
        <f t="shared" si="8"/>
        <v>354.47</v>
      </c>
      <c r="U35" s="24">
        <f t="shared" si="9"/>
        <v>1883.88</v>
      </c>
      <c r="V35" s="24">
        <f>+VLOOKUP(A35,[1]DQS4_AUX!$A:$M,13,FALSE)</f>
        <v>3.6037819999999998</v>
      </c>
      <c r="W35" s="24">
        <f t="shared" si="10"/>
        <v>0</v>
      </c>
    </row>
    <row r="36" spans="1:23" x14ac:dyDescent="0.25">
      <c r="A36" t="str">
        <f t="shared" si="1"/>
        <v>B08.11EU1</v>
      </c>
      <c r="B36" t="s">
        <v>173</v>
      </c>
      <c r="C36" t="s">
        <v>258</v>
      </c>
      <c r="D36" t="s">
        <v>293</v>
      </c>
      <c r="E36">
        <v>6629381.7599999905</v>
      </c>
      <c r="F36">
        <v>6631528.0599999903</v>
      </c>
      <c r="G36">
        <v>78121379.510000005</v>
      </c>
      <c r="H36">
        <v>132388028.73999999</v>
      </c>
      <c r="I36">
        <v>159918656.33000001</v>
      </c>
      <c r="J36">
        <v>4189.5233680000001</v>
      </c>
      <c r="K36">
        <v>507.34378299999997</v>
      </c>
      <c r="L36">
        <v>2696.3198189999998</v>
      </c>
      <c r="M36" t="s">
        <v>15</v>
      </c>
      <c r="N36" s="24">
        <f t="shared" si="2"/>
        <v>6.6293819999999997</v>
      </c>
      <c r="O36" s="24">
        <f t="shared" si="3"/>
        <v>6.6315280000000003</v>
      </c>
      <c r="P36">
        <f t="shared" si="4"/>
        <v>78.121380000000002</v>
      </c>
      <c r="Q36">
        <f t="shared" si="5"/>
        <v>132.38802899999999</v>
      </c>
      <c r="R36">
        <f t="shared" si="6"/>
        <v>159.918656</v>
      </c>
      <c r="S36" s="24">
        <f t="shared" si="7"/>
        <v>4189.5200000000004</v>
      </c>
      <c r="T36" s="24">
        <f t="shared" si="8"/>
        <v>507.34</v>
      </c>
      <c r="U36" s="24">
        <f t="shared" si="9"/>
        <v>2696.32</v>
      </c>
      <c r="V36" s="24">
        <f>+VLOOKUP(A36,[1]DQS4_AUX!$A:$M,13,FALSE)</f>
        <v>6.6315280000000003</v>
      </c>
      <c r="W36" s="24">
        <f t="shared" si="10"/>
        <v>0</v>
      </c>
    </row>
    <row r="37" spans="1:23" x14ac:dyDescent="0.25">
      <c r="A37" t="str">
        <f t="shared" si="1"/>
        <v>B08.93EU1</v>
      </c>
      <c r="B37" t="s">
        <v>173</v>
      </c>
      <c r="C37" t="s">
        <v>258</v>
      </c>
      <c r="D37" t="s">
        <v>291</v>
      </c>
      <c r="E37">
        <v>13990.72</v>
      </c>
      <c r="F37">
        <v>13990.72</v>
      </c>
      <c r="G37">
        <v>15264.21</v>
      </c>
      <c r="H37">
        <v>893521</v>
      </c>
      <c r="I37">
        <v>357365.23</v>
      </c>
      <c r="J37">
        <v>2.562303</v>
      </c>
      <c r="K37">
        <v>0.31028899999999998</v>
      </c>
      <c r="L37">
        <v>1.649062</v>
      </c>
      <c r="M37" t="s">
        <v>15</v>
      </c>
      <c r="N37" s="24">
        <f t="shared" si="2"/>
        <v>1.3991E-2</v>
      </c>
      <c r="O37" s="24">
        <f t="shared" si="3"/>
        <v>1.3991E-2</v>
      </c>
      <c r="P37">
        <f t="shared" si="4"/>
        <v>1.5264E-2</v>
      </c>
      <c r="Q37">
        <f t="shared" si="5"/>
        <v>0.89352100000000001</v>
      </c>
      <c r="R37">
        <f t="shared" si="6"/>
        <v>0.35736499999999999</v>
      </c>
      <c r="S37" s="24">
        <f t="shared" si="7"/>
        <v>2.56</v>
      </c>
      <c r="T37" s="24">
        <f t="shared" si="8"/>
        <v>0.31</v>
      </c>
      <c r="U37" s="24">
        <f t="shared" si="9"/>
        <v>1.65</v>
      </c>
      <c r="V37" s="24">
        <f>+VLOOKUP(A37,[1]DQS4_AUX!$A:$M,13,FALSE)</f>
        <v>1.3991E-2</v>
      </c>
      <c r="W37" s="24">
        <f t="shared" si="10"/>
        <v>0</v>
      </c>
    </row>
    <row r="38" spans="1:23" x14ac:dyDescent="0.25">
      <c r="A38" t="str">
        <f t="shared" si="1"/>
        <v>B08.99EU1</v>
      </c>
      <c r="B38" t="s">
        <v>173</v>
      </c>
      <c r="C38" t="s">
        <v>258</v>
      </c>
      <c r="D38" t="s">
        <v>294</v>
      </c>
      <c r="E38">
        <v>738721.21999999904</v>
      </c>
      <c r="F38">
        <v>738770.73999999894</v>
      </c>
      <c r="G38">
        <v>1663138.03</v>
      </c>
      <c r="H38">
        <v>2469082.5099999998</v>
      </c>
      <c r="I38">
        <v>8217428.9100000001</v>
      </c>
      <c r="J38">
        <v>1679.5648120000001</v>
      </c>
      <c r="K38">
        <v>203.39232100000001</v>
      </c>
      <c r="L38">
        <v>1080.9449050000001</v>
      </c>
      <c r="M38" t="s">
        <v>15</v>
      </c>
      <c r="N38" s="24">
        <f t="shared" si="2"/>
        <v>0.73872099999999996</v>
      </c>
      <c r="O38" s="24">
        <f t="shared" si="3"/>
        <v>0.73877099999999996</v>
      </c>
      <c r="P38">
        <f t="shared" si="4"/>
        <v>1.663138</v>
      </c>
      <c r="Q38">
        <f t="shared" si="5"/>
        <v>2.4690829999999999</v>
      </c>
      <c r="R38">
        <f t="shared" si="6"/>
        <v>8.2174289999999992</v>
      </c>
      <c r="S38" s="24">
        <f t="shared" si="7"/>
        <v>1679.56</v>
      </c>
      <c r="T38" s="24">
        <f t="shared" si="8"/>
        <v>203.39</v>
      </c>
      <c r="U38" s="24">
        <f t="shared" si="9"/>
        <v>1080.94</v>
      </c>
      <c r="V38" s="24">
        <f>+VLOOKUP(A38,[1]DQS4_AUX!$A:$M,13,FALSE)</f>
        <v>0.73877099999999996</v>
      </c>
      <c r="W38" s="24">
        <f t="shared" si="10"/>
        <v>0</v>
      </c>
    </row>
    <row r="39" spans="1:23" x14ac:dyDescent="0.25">
      <c r="A39" t="str">
        <f t="shared" si="1"/>
        <v>B09.90EU1</v>
      </c>
      <c r="B39" t="s">
        <v>173</v>
      </c>
      <c r="C39" t="s">
        <v>258</v>
      </c>
      <c r="D39" t="s">
        <v>292</v>
      </c>
      <c r="E39">
        <v>54347.74</v>
      </c>
      <c r="F39">
        <v>54347.74</v>
      </c>
      <c r="G39">
        <v>436823.53</v>
      </c>
      <c r="H39">
        <v>747345.48</v>
      </c>
      <c r="I39">
        <v>642401.62</v>
      </c>
      <c r="J39">
        <v>19.965416999999999</v>
      </c>
      <c r="K39">
        <v>2.4177759999999999</v>
      </c>
      <c r="L39">
        <v>12.849468</v>
      </c>
      <c r="M39" t="s">
        <v>15</v>
      </c>
      <c r="N39" s="24">
        <f t="shared" si="2"/>
        <v>5.4348E-2</v>
      </c>
      <c r="O39" s="24">
        <f t="shared" si="3"/>
        <v>5.4348E-2</v>
      </c>
      <c r="P39">
        <f t="shared" si="4"/>
        <v>0.43682399999999999</v>
      </c>
      <c r="Q39">
        <f t="shared" si="5"/>
        <v>0.74734500000000004</v>
      </c>
      <c r="R39">
        <f t="shared" si="6"/>
        <v>0.64240200000000003</v>
      </c>
      <c r="S39" s="24">
        <f t="shared" si="7"/>
        <v>19.97</v>
      </c>
      <c r="T39" s="24">
        <f t="shared" si="8"/>
        <v>2.42</v>
      </c>
      <c r="U39" s="24">
        <f t="shared" si="9"/>
        <v>12.85</v>
      </c>
      <c r="V39" s="24">
        <f>+VLOOKUP(A39,[1]DQS4_AUX!$A:$M,13,FALSE)</f>
        <v>5.4348E-2</v>
      </c>
      <c r="W39" s="24">
        <f t="shared" si="10"/>
        <v>0</v>
      </c>
    </row>
    <row r="40" spans="1:23" x14ac:dyDescent="0.25">
      <c r="A40" t="str">
        <f t="shared" si="1"/>
        <v>C20.52EU2</v>
      </c>
      <c r="B40" t="s">
        <v>38</v>
      </c>
      <c r="C40" t="s">
        <v>321</v>
      </c>
      <c r="D40" t="s">
        <v>299</v>
      </c>
      <c r="E40">
        <v>2.61</v>
      </c>
      <c r="F40">
        <v>2.61</v>
      </c>
      <c r="G40">
        <v>7398613</v>
      </c>
      <c r="H40">
        <v>15505721</v>
      </c>
      <c r="I40">
        <v>22683673</v>
      </c>
      <c r="J40">
        <v>0</v>
      </c>
      <c r="K40">
        <v>0</v>
      </c>
      <c r="L40">
        <v>0</v>
      </c>
      <c r="M40" t="s">
        <v>682</v>
      </c>
      <c r="N40" s="24">
        <f t="shared" si="2"/>
        <v>3.0000000000000001E-6</v>
      </c>
      <c r="O40" s="24">
        <f t="shared" si="3"/>
        <v>3.0000000000000001E-6</v>
      </c>
      <c r="P40">
        <f t="shared" si="4"/>
        <v>7.3986130000000001</v>
      </c>
      <c r="Q40">
        <f t="shared" si="5"/>
        <v>15.505720999999999</v>
      </c>
      <c r="R40">
        <f t="shared" si="6"/>
        <v>22.683672999999999</v>
      </c>
      <c r="S40" s="24">
        <f t="shared" si="7"/>
        <v>0</v>
      </c>
      <c r="T40" s="24">
        <f t="shared" si="8"/>
        <v>0</v>
      </c>
      <c r="U40" s="24">
        <f t="shared" si="9"/>
        <v>0</v>
      </c>
      <c r="V40" s="24">
        <f>+VLOOKUP(A40,[1]DQS4_AUX!$A:$M,13,FALSE)</f>
        <v>3.0000000000000001E-6</v>
      </c>
      <c r="W40" s="24">
        <f t="shared" si="10"/>
        <v>0</v>
      </c>
    </row>
    <row r="41" spans="1:23" x14ac:dyDescent="0.25">
      <c r="A41" t="str">
        <f t="shared" si="1"/>
        <v>C18.20EU1</v>
      </c>
      <c r="B41" t="s">
        <v>38</v>
      </c>
      <c r="C41" t="s">
        <v>258</v>
      </c>
      <c r="D41" t="s">
        <v>303</v>
      </c>
      <c r="E41">
        <v>114461.54</v>
      </c>
      <c r="F41">
        <v>114461.54</v>
      </c>
      <c r="G41">
        <v>1442299.85</v>
      </c>
      <c r="H41">
        <v>2202384.9900000002</v>
      </c>
      <c r="I41">
        <v>2741736.79</v>
      </c>
      <c r="J41">
        <v>11.456084000000001</v>
      </c>
      <c r="K41">
        <v>10.368176</v>
      </c>
      <c r="L41">
        <v>53.567464000000001</v>
      </c>
      <c r="M41" t="s">
        <v>15</v>
      </c>
      <c r="N41" s="24">
        <f t="shared" si="2"/>
        <v>0.11446199999999999</v>
      </c>
      <c r="O41" s="24">
        <f t="shared" si="3"/>
        <v>0.11446199999999999</v>
      </c>
      <c r="P41">
        <f t="shared" si="4"/>
        <v>1.4422999999999999</v>
      </c>
      <c r="Q41">
        <f t="shared" si="5"/>
        <v>2.202385</v>
      </c>
      <c r="R41">
        <f t="shared" si="6"/>
        <v>2.7417370000000001</v>
      </c>
      <c r="S41" s="24">
        <f t="shared" si="7"/>
        <v>11.46</v>
      </c>
      <c r="T41" s="24">
        <f t="shared" si="8"/>
        <v>10.37</v>
      </c>
      <c r="U41" s="24">
        <f t="shared" si="9"/>
        <v>53.57</v>
      </c>
      <c r="V41" s="24">
        <f>+VLOOKUP(A41,[1]DQS4_AUX!$A:$M,13,FALSE)</f>
        <v>0.11446199999999999</v>
      </c>
      <c r="W41" s="24">
        <f t="shared" si="10"/>
        <v>0</v>
      </c>
    </row>
    <row r="42" spans="1:23" x14ac:dyDescent="0.25">
      <c r="A42" t="str">
        <f t="shared" si="1"/>
        <v>C14.13EU1</v>
      </c>
      <c r="B42" t="s">
        <v>38</v>
      </c>
      <c r="C42" t="s">
        <v>258</v>
      </c>
      <c r="D42" t="s">
        <v>58</v>
      </c>
      <c r="E42">
        <v>44212780.359999903</v>
      </c>
      <c r="F42">
        <v>44215227.239999898</v>
      </c>
      <c r="G42">
        <v>282658544.31</v>
      </c>
      <c r="H42">
        <v>511940485.16000003</v>
      </c>
      <c r="I42">
        <v>1449532829.25</v>
      </c>
      <c r="J42">
        <v>2451.5062969999999</v>
      </c>
      <c r="K42">
        <v>4533.4286460000003</v>
      </c>
      <c r="L42">
        <v>31327.666335000002</v>
      </c>
      <c r="M42" t="s">
        <v>15</v>
      </c>
      <c r="N42" s="24">
        <f t="shared" si="2"/>
        <v>44.212780000000002</v>
      </c>
      <c r="O42" s="24">
        <f t="shared" si="3"/>
        <v>44.215226999999999</v>
      </c>
      <c r="P42">
        <f t="shared" si="4"/>
        <v>282.65854400000001</v>
      </c>
      <c r="Q42">
        <f t="shared" si="5"/>
        <v>511.94048500000002</v>
      </c>
      <c r="R42">
        <f t="shared" si="6"/>
        <v>1449.532829</v>
      </c>
      <c r="S42" s="24">
        <f t="shared" si="7"/>
        <v>2451.5100000000002</v>
      </c>
      <c r="T42" s="24">
        <f t="shared" si="8"/>
        <v>4533.43</v>
      </c>
      <c r="U42" s="24">
        <f t="shared" si="9"/>
        <v>31327.67</v>
      </c>
      <c r="V42" s="24">
        <f>+VLOOKUP(A42,[1]DQS4_AUX!$A:$M,13,FALSE)</f>
        <v>44.215226999999999</v>
      </c>
      <c r="W42" s="24">
        <f t="shared" si="10"/>
        <v>0</v>
      </c>
    </row>
    <row r="43" spans="1:23" x14ac:dyDescent="0.25">
      <c r="A43" t="str">
        <f t="shared" si="1"/>
        <v>C17.29EU1</v>
      </c>
      <c r="B43" t="s">
        <v>38</v>
      </c>
      <c r="C43" t="s">
        <v>258</v>
      </c>
      <c r="D43" t="s">
        <v>304</v>
      </c>
      <c r="E43">
        <v>5883843.5499999896</v>
      </c>
      <c r="F43">
        <v>5884276.7999999896</v>
      </c>
      <c r="G43">
        <v>13546211.25</v>
      </c>
      <c r="H43">
        <v>15109509.689999999</v>
      </c>
      <c r="I43">
        <v>40858563.729999997</v>
      </c>
      <c r="J43">
        <v>596.76482999999996</v>
      </c>
      <c r="K43">
        <v>540.09408900000005</v>
      </c>
      <c r="L43">
        <v>2790.4100640000001</v>
      </c>
      <c r="M43" t="s">
        <v>15</v>
      </c>
      <c r="N43" s="24">
        <f t="shared" si="2"/>
        <v>5.8838439999999999</v>
      </c>
      <c r="O43" s="24">
        <f t="shared" si="3"/>
        <v>5.884277</v>
      </c>
      <c r="P43">
        <f t="shared" si="4"/>
        <v>13.546211</v>
      </c>
      <c r="Q43">
        <f t="shared" si="5"/>
        <v>15.10951</v>
      </c>
      <c r="R43">
        <f t="shared" si="6"/>
        <v>40.858564000000001</v>
      </c>
      <c r="S43" s="24">
        <f t="shared" si="7"/>
        <v>596.76</v>
      </c>
      <c r="T43" s="24">
        <f t="shared" si="8"/>
        <v>540.09</v>
      </c>
      <c r="U43" s="24">
        <f t="shared" si="9"/>
        <v>2790.41</v>
      </c>
      <c r="V43" s="24">
        <f>+VLOOKUP(A43,[1]DQS4_AUX!$A:$M,13,FALSE)</f>
        <v>5.884277</v>
      </c>
      <c r="W43" s="24">
        <f t="shared" si="10"/>
        <v>0</v>
      </c>
    </row>
    <row r="44" spans="1:23" x14ac:dyDescent="0.25">
      <c r="A44" t="str">
        <f t="shared" si="1"/>
        <v>C10.81EU1</v>
      </c>
      <c r="B44" t="s">
        <v>38</v>
      </c>
      <c r="C44" t="s">
        <v>258</v>
      </c>
      <c r="D44" t="s">
        <v>305</v>
      </c>
      <c r="E44">
        <v>355898.54</v>
      </c>
      <c r="F44">
        <v>355898.54</v>
      </c>
      <c r="G44">
        <v>8340638</v>
      </c>
      <c r="H44">
        <v>9557070.0700000003</v>
      </c>
      <c r="I44">
        <v>101846464.08</v>
      </c>
      <c r="J44">
        <v>14.722759999999999</v>
      </c>
      <c r="K44">
        <v>10.010116</v>
      </c>
      <c r="L44">
        <v>179.42206300000001</v>
      </c>
      <c r="M44" t="s">
        <v>15</v>
      </c>
      <c r="N44" s="24">
        <f t="shared" si="2"/>
        <v>0.35589900000000002</v>
      </c>
      <c r="O44" s="24">
        <f t="shared" si="3"/>
        <v>0.35589900000000002</v>
      </c>
      <c r="P44">
        <f t="shared" si="4"/>
        <v>8.3406380000000002</v>
      </c>
      <c r="Q44">
        <f t="shared" si="5"/>
        <v>9.5570699999999995</v>
      </c>
      <c r="R44">
        <f t="shared" si="6"/>
        <v>101.846464</v>
      </c>
      <c r="S44" s="24">
        <f t="shared" si="7"/>
        <v>14.72</v>
      </c>
      <c r="T44" s="24">
        <f t="shared" si="8"/>
        <v>10.01</v>
      </c>
      <c r="U44" s="24">
        <f t="shared" si="9"/>
        <v>179.42</v>
      </c>
      <c r="V44" s="24">
        <f>+VLOOKUP(A44,[1]DQS4_AUX!$A:$M,13,FALSE)</f>
        <v>0.35589900000000002</v>
      </c>
      <c r="W44" s="24">
        <f t="shared" si="10"/>
        <v>0</v>
      </c>
    </row>
    <row r="45" spans="1:23" x14ac:dyDescent="0.25">
      <c r="A45" t="str">
        <f t="shared" si="1"/>
        <v>C28.94EU1</v>
      </c>
      <c r="B45" t="s">
        <v>38</v>
      </c>
      <c r="C45" t="s">
        <v>258</v>
      </c>
      <c r="D45" t="s">
        <v>295</v>
      </c>
      <c r="E45">
        <v>717452.95999999903</v>
      </c>
      <c r="F45">
        <v>717479.06999999902</v>
      </c>
      <c r="G45">
        <v>4233163.6900000004</v>
      </c>
      <c r="H45">
        <v>6477216.6500000004</v>
      </c>
      <c r="I45">
        <v>7491034.5199999996</v>
      </c>
      <c r="J45">
        <v>21.099657000000001</v>
      </c>
      <c r="K45">
        <v>11.469936000000001</v>
      </c>
      <c r="L45">
        <v>187.871455</v>
      </c>
      <c r="M45" t="s">
        <v>15</v>
      </c>
      <c r="N45" s="24">
        <f t="shared" si="2"/>
        <v>0.71745300000000001</v>
      </c>
      <c r="O45" s="24">
        <f t="shared" si="3"/>
        <v>0.71747899999999998</v>
      </c>
      <c r="P45">
        <f t="shared" si="4"/>
        <v>4.2331640000000004</v>
      </c>
      <c r="Q45">
        <f t="shared" si="5"/>
        <v>6.4772169999999996</v>
      </c>
      <c r="R45">
        <f t="shared" si="6"/>
        <v>7.4910350000000001</v>
      </c>
      <c r="S45" s="24">
        <f t="shared" si="7"/>
        <v>21.1</v>
      </c>
      <c r="T45" s="24">
        <f t="shared" si="8"/>
        <v>11.47</v>
      </c>
      <c r="U45" s="24">
        <f t="shared" si="9"/>
        <v>187.87</v>
      </c>
      <c r="V45" s="24">
        <f>+VLOOKUP(A45,[1]DQS4_AUX!$A:$M,13,FALSE)</f>
        <v>0.71747899999999998</v>
      </c>
      <c r="W45" s="24">
        <f t="shared" si="10"/>
        <v>0</v>
      </c>
    </row>
    <row r="46" spans="1:23" x14ac:dyDescent="0.25">
      <c r="A46" t="str">
        <f t="shared" si="1"/>
        <v>C31.02EU1</v>
      </c>
      <c r="B46" t="s">
        <v>38</v>
      </c>
      <c r="C46" t="s">
        <v>258</v>
      </c>
      <c r="D46" t="s">
        <v>297</v>
      </c>
      <c r="E46">
        <v>10711269.849999901</v>
      </c>
      <c r="F46">
        <v>10711361.2299999</v>
      </c>
      <c r="G46">
        <v>36619807.579999998</v>
      </c>
      <c r="H46">
        <v>50120504.18</v>
      </c>
      <c r="I46">
        <v>77023893.769999996</v>
      </c>
      <c r="J46">
        <v>1083.344184</v>
      </c>
      <c r="K46">
        <v>394.18584199999998</v>
      </c>
      <c r="L46">
        <v>3786.4854209999999</v>
      </c>
      <c r="M46" t="s">
        <v>15</v>
      </c>
      <c r="N46" s="24">
        <f t="shared" si="2"/>
        <v>10.711270000000001</v>
      </c>
      <c r="O46" s="24">
        <f t="shared" si="3"/>
        <v>10.711361</v>
      </c>
      <c r="P46">
        <f t="shared" si="4"/>
        <v>36.619807999999999</v>
      </c>
      <c r="Q46">
        <f t="shared" si="5"/>
        <v>50.120503999999997</v>
      </c>
      <c r="R46">
        <f t="shared" si="6"/>
        <v>77.023893999999999</v>
      </c>
      <c r="S46" s="24">
        <f t="shared" si="7"/>
        <v>1083.3399999999999</v>
      </c>
      <c r="T46" s="24">
        <f t="shared" si="8"/>
        <v>394.19</v>
      </c>
      <c r="U46" s="24">
        <f t="shared" si="9"/>
        <v>3786.49</v>
      </c>
      <c r="V46" s="24">
        <f>+VLOOKUP(A46,[1]DQS4_AUX!$A:$M,13,FALSE)</f>
        <v>10.711361</v>
      </c>
      <c r="W46" s="24">
        <f t="shared" si="10"/>
        <v>0</v>
      </c>
    </row>
    <row r="47" spans="1:23" x14ac:dyDescent="0.25">
      <c r="A47" t="str">
        <f t="shared" si="1"/>
        <v>C13.99EU1</v>
      </c>
      <c r="B47" t="s">
        <v>38</v>
      </c>
      <c r="C47" t="s">
        <v>258</v>
      </c>
      <c r="D47" t="s">
        <v>296</v>
      </c>
      <c r="E47">
        <v>5276982.6099999901</v>
      </c>
      <c r="F47">
        <v>5277661.9499999899</v>
      </c>
      <c r="G47">
        <v>39874541.780000001</v>
      </c>
      <c r="H47">
        <v>111532672.27</v>
      </c>
      <c r="I47">
        <v>249243159.22999999</v>
      </c>
      <c r="J47">
        <v>180.66958</v>
      </c>
      <c r="K47">
        <v>334.10181499999999</v>
      </c>
      <c r="L47">
        <v>2308.7671209999999</v>
      </c>
      <c r="M47" t="s">
        <v>15</v>
      </c>
      <c r="N47" s="24">
        <f t="shared" si="2"/>
        <v>5.2769830000000004</v>
      </c>
      <c r="O47" s="24">
        <f t="shared" si="3"/>
        <v>5.2776620000000003</v>
      </c>
      <c r="P47">
        <f t="shared" si="4"/>
        <v>39.874541999999998</v>
      </c>
      <c r="Q47">
        <f t="shared" si="5"/>
        <v>111.53267200000001</v>
      </c>
      <c r="R47">
        <f t="shared" si="6"/>
        <v>249.24315899999999</v>
      </c>
      <c r="S47" s="24">
        <f t="shared" si="7"/>
        <v>180.67</v>
      </c>
      <c r="T47" s="24">
        <f t="shared" si="8"/>
        <v>334.1</v>
      </c>
      <c r="U47" s="24">
        <f t="shared" si="9"/>
        <v>2308.77</v>
      </c>
      <c r="V47" s="24">
        <f>+VLOOKUP(A47,[1]DQS4_AUX!$A:$M,13,FALSE)</f>
        <v>5.2776620000000003</v>
      </c>
      <c r="W47" s="24">
        <f t="shared" si="10"/>
        <v>0</v>
      </c>
    </row>
    <row r="48" spans="1:23" x14ac:dyDescent="0.25">
      <c r="A48" t="str">
        <f t="shared" si="1"/>
        <v>C20.41EU1</v>
      </c>
      <c r="B48" t="s">
        <v>38</v>
      </c>
      <c r="C48" t="s">
        <v>258</v>
      </c>
      <c r="D48" t="s">
        <v>130</v>
      </c>
      <c r="E48">
        <v>2707009.96999999</v>
      </c>
      <c r="F48">
        <v>2707366.5599999898</v>
      </c>
      <c r="G48">
        <v>24380905.940000001</v>
      </c>
      <c r="H48">
        <v>46025903.770000003</v>
      </c>
      <c r="I48">
        <v>102254371.89</v>
      </c>
      <c r="J48">
        <v>1082.245138</v>
      </c>
      <c r="K48">
        <v>219.01594399999999</v>
      </c>
      <c r="L48">
        <v>1735.6099919999999</v>
      </c>
      <c r="M48" t="s">
        <v>15</v>
      </c>
      <c r="N48" s="24">
        <f t="shared" si="2"/>
        <v>2.7070099999999999</v>
      </c>
      <c r="O48" s="24">
        <f t="shared" si="3"/>
        <v>2.7073670000000001</v>
      </c>
      <c r="P48">
        <f t="shared" si="4"/>
        <v>24.380906</v>
      </c>
      <c r="Q48">
        <f t="shared" si="5"/>
        <v>46.025903999999997</v>
      </c>
      <c r="R48">
        <f t="shared" si="6"/>
        <v>102.254372</v>
      </c>
      <c r="S48" s="24">
        <f t="shared" si="7"/>
        <v>1082.25</v>
      </c>
      <c r="T48" s="24">
        <f t="shared" si="8"/>
        <v>219.02</v>
      </c>
      <c r="U48" s="24">
        <f t="shared" si="9"/>
        <v>1735.61</v>
      </c>
      <c r="V48" s="24">
        <f>+VLOOKUP(A48,[1]DQS4_AUX!$A:$M,13,FALSE)</f>
        <v>2.7073670000000001</v>
      </c>
      <c r="W48" s="24">
        <f t="shared" si="10"/>
        <v>0</v>
      </c>
    </row>
    <row r="49" spans="1:23" x14ac:dyDescent="0.25">
      <c r="A49" t="str">
        <f t="shared" si="1"/>
        <v>C30.99EU1</v>
      </c>
      <c r="B49" t="s">
        <v>38</v>
      </c>
      <c r="C49" t="s">
        <v>258</v>
      </c>
      <c r="D49" t="s">
        <v>385</v>
      </c>
      <c r="E49">
        <v>110427.24</v>
      </c>
      <c r="F49">
        <v>110427.24</v>
      </c>
      <c r="G49">
        <v>268361.31</v>
      </c>
      <c r="H49">
        <v>235554.08</v>
      </c>
      <c r="I49">
        <v>1516707.03</v>
      </c>
      <c r="J49">
        <v>10.996971</v>
      </c>
      <c r="K49">
        <v>5.0560020000000003</v>
      </c>
      <c r="L49">
        <v>148.50719100000001</v>
      </c>
      <c r="M49" t="s">
        <v>15</v>
      </c>
      <c r="N49" s="24">
        <f t="shared" si="2"/>
        <v>0.110427</v>
      </c>
      <c r="O49" s="24">
        <f t="shared" si="3"/>
        <v>0.110427</v>
      </c>
      <c r="P49">
        <f t="shared" si="4"/>
        <v>0.26836100000000002</v>
      </c>
      <c r="Q49">
        <f t="shared" si="5"/>
        <v>0.23555400000000001</v>
      </c>
      <c r="R49">
        <f t="shared" si="6"/>
        <v>1.516707</v>
      </c>
      <c r="S49" s="24">
        <f t="shared" si="7"/>
        <v>11</v>
      </c>
      <c r="T49" s="24">
        <f t="shared" si="8"/>
        <v>5.0599999999999996</v>
      </c>
      <c r="U49" s="24">
        <f t="shared" si="9"/>
        <v>148.51</v>
      </c>
      <c r="V49" s="24">
        <f>+VLOOKUP(A49,[1]DQS4_AUX!$A:$M,13,FALSE)</f>
        <v>0.110427</v>
      </c>
      <c r="W49" s="24">
        <f t="shared" si="10"/>
        <v>0</v>
      </c>
    </row>
    <row r="50" spans="1:23" x14ac:dyDescent="0.25">
      <c r="A50" t="str">
        <f t="shared" si="1"/>
        <v>C13.91EU1</v>
      </c>
      <c r="B50" t="s">
        <v>38</v>
      </c>
      <c r="C50" t="s">
        <v>258</v>
      </c>
      <c r="D50" t="s">
        <v>387</v>
      </c>
      <c r="E50">
        <v>6982535.3699999899</v>
      </c>
      <c r="F50">
        <v>6984449.9199999897</v>
      </c>
      <c r="G50">
        <v>44816760.909999996</v>
      </c>
      <c r="H50">
        <v>112113110.43000001</v>
      </c>
      <c r="I50">
        <v>217127811.44</v>
      </c>
      <c r="J50">
        <v>321.48348399999998</v>
      </c>
      <c r="K50">
        <v>594.50076899999999</v>
      </c>
      <c r="L50">
        <v>4108.2196039999999</v>
      </c>
      <c r="M50" t="s">
        <v>15</v>
      </c>
      <c r="N50" s="24">
        <f t="shared" si="2"/>
        <v>6.9825350000000004</v>
      </c>
      <c r="O50" s="24">
        <f t="shared" si="3"/>
        <v>6.9844499999999998</v>
      </c>
      <c r="P50">
        <f t="shared" si="4"/>
        <v>44.816761</v>
      </c>
      <c r="Q50">
        <f t="shared" si="5"/>
        <v>112.11311000000001</v>
      </c>
      <c r="R50">
        <f t="shared" si="6"/>
        <v>217.12781100000001</v>
      </c>
      <c r="S50" s="24">
        <f t="shared" si="7"/>
        <v>321.48</v>
      </c>
      <c r="T50" s="24">
        <f t="shared" si="8"/>
        <v>594.5</v>
      </c>
      <c r="U50" s="24">
        <f t="shared" si="9"/>
        <v>4108.22</v>
      </c>
      <c r="V50" s="24">
        <f>+VLOOKUP(A50,[1]DQS4_AUX!$A:$M,13,FALSE)</f>
        <v>6.9844499999999998</v>
      </c>
      <c r="W50" s="24">
        <f t="shared" si="10"/>
        <v>0</v>
      </c>
    </row>
    <row r="51" spans="1:23" x14ac:dyDescent="0.25">
      <c r="A51" t="str">
        <f t="shared" si="1"/>
        <v>C27.33EU1</v>
      </c>
      <c r="B51" t="s">
        <v>38</v>
      </c>
      <c r="C51" t="s">
        <v>258</v>
      </c>
      <c r="D51" t="s">
        <v>386</v>
      </c>
      <c r="E51">
        <v>2.1800000000000002</v>
      </c>
      <c r="F51">
        <v>2.1800000000000002</v>
      </c>
      <c r="G51">
        <v>200424.8</v>
      </c>
      <c r="H51">
        <v>669084.18999999994</v>
      </c>
      <c r="I51">
        <v>1522980.18</v>
      </c>
      <c r="J51">
        <v>9.5000000000000005E-5</v>
      </c>
      <c r="K51">
        <v>5.1E-5</v>
      </c>
      <c r="L51">
        <v>8.4999999999999995E-4</v>
      </c>
      <c r="M51" t="s">
        <v>15</v>
      </c>
      <c r="N51" s="24">
        <f t="shared" si="2"/>
        <v>1.9999999999999999E-6</v>
      </c>
      <c r="O51" s="24">
        <f t="shared" si="3"/>
        <v>1.9999999999999999E-6</v>
      </c>
      <c r="P51">
        <f t="shared" si="4"/>
        <v>0.20042499999999999</v>
      </c>
      <c r="Q51">
        <f t="shared" si="5"/>
        <v>0.66908400000000001</v>
      </c>
      <c r="R51">
        <f t="shared" si="6"/>
        <v>1.52298</v>
      </c>
      <c r="S51" s="24">
        <f t="shared" si="7"/>
        <v>0</v>
      </c>
      <c r="T51" s="24">
        <f t="shared" si="8"/>
        <v>0</v>
      </c>
      <c r="U51" s="24">
        <f t="shared" si="9"/>
        <v>0</v>
      </c>
      <c r="V51" s="24">
        <f>+VLOOKUP(A51,[1]DQS4_AUX!$A:$M,13,FALSE)</f>
        <v>1.9999999999999999E-6</v>
      </c>
      <c r="W51" s="24">
        <f t="shared" si="10"/>
        <v>0</v>
      </c>
    </row>
    <row r="52" spans="1:23" x14ac:dyDescent="0.25">
      <c r="A52" t="str">
        <f t="shared" si="1"/>
        <v>C28.29EU1</v>
      </c>
      <c r="B52" t="s">
        <v>38</v>
      </c>
      <c r="C52" t="s">
        <v>258</v>
      </c>
      <c r="D52" t="s">
        <v>298</v>
      </c>
      <c r="E52">
        <v>2755227.6899999902</v>
      </c>
      <c r="F52">
        <v>2755676.73999999</v>
      </c>
      <c r="G52">
        <v>18190001.129999999</v>
      </c>
      <c r="H52">
        <v>46747767.079999998</v>
      </c>
      <c r="I52">
        <v>80974505.569999993</v>
      </c>
      <c r="J52">
        <v>135.79559800000001</v>
      </c>
      <c r="K52">
        <v>73.819519</v>
      </c>
      <c r="L52">
        <v>1209.1248639999999</v>
      </c>
      <c r="M52" t="s">
        <v>15</v>
      </c>
      <c r="N52" s="24">
        <f t="shared" si="2"/>
        <v>2.7552279999999998</v>
      </c>
      <c r="O52" s="24">
        <f t="shared" si="3"/>
        <v>2.7556769999999999</v>
      </c>
      <c r="P52">
        <f t="shared" si="4"/>
        <v>18.190000999999999</v>
      </c>
      <c r="Q52">
        <f t="shared" si="5"/>
        <v>46.747767000000003</v>
      </c>
      <c r="R52">
        <f t="shared" si="6"/>
        <v>80.974506000000005</v>
      </c>
      <c r="S52" s="24">
        <f t="shared" si="7"/>
        <v>135.80000000000001</v>
      </c>
      <c r="T52" s="24">
        <f t="shared" si="8"/>
        <v>73.819999999999993</v>
      </c>
      <c r="U52" s="24">
        <f t="shared" si="9"/>
        <v>1209.1199999999999</v>
      </c>
      <c r="V52" s="24">
        <f>+VLOOKUP(A52,[1]DQS4_AUX!$A:$M,13,FALSE)</f>
        <v>2.7556769999999999</v>
      </c>
      <c r="W52" s="24">
        <f t="shared" si="10"/>
        <v>0</v>
      </c>
    </row>
    <row r="53" spans="1:23" x14ac:dyDescent="0.25">
      <c r="A53" t="str">
        <f t="shared" si="1"/>
        <v>C20.52EU1</v>
      </c>
      <c r="B53" t="s">
        <v>38</v>
      </c>
      <c r="C53" t="s">
        <v>258</v>
      </c>
      <c r="D53" t="s">
        <v>299</v>
      </c>
      <c r="E53">
        <v>2608713.1800000002</v>
      </c>
      <c r="F53">
        <v>2608713.1800000002</v>
      </c>
      <c r="G53">
        <v>20922547.68</v>
      </c>
      <c r="H53">
        <v>46702888.829999998</v>
      </c>
      <c r="I53">
        <v>77463613.489999995</v>
      </c>
      <c r="J53">
        <v>929.95613900000001</v>
      </c>
      <c r="K53">
        <v>188.197035</v>
      </c>
      <c r="L53">
        <v>1491.382151</v>
      </c>
      <c r="M53" t="s">
        <v>15</v>
      </c>
      <c r="N53" s="24">
        <f t="shared" si="2"/>
        <v>2.6087129999999998</v>
      </c>
      <c r="O53" s="24">
        <f t="shared" si="3"/>
        <v>2.6087129999999998</v>
      </c>
      <c r="P53">
        <f t="shared" si="4"/>
        <v>20.922547999999999</v>
      </c>
      <c r="Q53">
        <f t="shared" si="5"/>
        <v>46.702888999999999</v>
      </c>
      <c r="R53">
        <f t="shared" si="6"/>
        <v>77.463612999999995</v>
      </c>
      <c r="S53" s="24">
        <f t="shared" si="7"/>
        <v>929.96</v>
      </c>
      <c r="T53" s="24">
        <f t="shared" si="8"/>
        <v>188.2</v>
      </c>
      <c r="U53" s="24">
        <f t="shared" si="9"/>
        <v>1491.38</v>
      </c>
      <c r="V53" s="24">
        <f>+VLOOKUP(A53,[1]DQS4_AUX!$A:$M,13,FALSE)</f>
        <v>2.6087129999999998</v>
      </c>
      <c r="W53" s="24">
        <f t="shared" si="10"/>
        <v>0</v>
      </c>
    </row>
    <row r="54" spans="1:23" x14ac:dyDescent="0.25">
      <c r="A54" t="str">
        <f t="shared" si="1"/>
        <v>C23.42EU1</v>
      </c>
      <c r="B54" t="s">
        <v>38</v>
      </c>
      <c r="C54" t="s">
        <v>258</v>
      </c>
      <c r="D54" t="s">
        <v>300</v>
      </c>
      <c r="E54">
        <v>14492680.810000001</v>
      </c>
      <c r="F54">
        <v>14492680.810000001</v>
      </c>
      <c r="G54">
        <v>23684956.379999999</v>
      </c>
      <c r="H54">
        <v>38138901.270000003</v>
      </c>
      <c r="I54">
        <v>44991557.189999998</v>
      </c>
      <c r="J54">
        <v>2950.6007789999999</v>
      </c>
      <c r="K54">
        <v>597.11884999999995</v>
      </c>
      <c r="L54">
        <v>4731.9149079999997</v>
      </c>
      <c r="M54" t="s">
        <v>15</v>
      </c>
      <c r="N54" s="24">
        <f t="shared" si="2"/>
        <v>14.492680999999999</v>
      </c>
      <c r="O54" s="24">
        <f t="shared" si="3"/>
        <v>14.492680999999999</v>
      </c>
      <c r="P54">
        <f t="shared" si="4"/>
        <v>23.684956</v>
      </c>
      <c r="Q54">
        <f t="shared" si="5"/>
        <v>38.138900999999997</v>
      </c>
      <c r="R54">
        <f t="shared" si="6"/>
        <v>44.991557</v>
      </c>
      <c r="S54" s="24">
        <f t="shared" si="7"/>
        <v>2950.6</v>
      </c>
      <c r="T54" s="24">
        <f t="shared" si="8"/>
        <v>597.12</v>
      </c>
      <c r="U54" s="24">
        <f t="shared" si="9"/>
        <v>4731.91</v>
      </c>
      <c r="V54" s="24">
        <f>+VLOOKUP(A54,[1]DQS4_AUX!$A:$M,13,FALSE)</f>
        <v>14.492680999999999</v>
      </c>
      <c r="W54" s="24">
        <f t="shared" si="10"/>
        <v>0</v>
      </c>
    </row>
    <row r="55" spans="1:23" x14ac:dyDescent="0.25">
      <c r="A55" t="str">
        <f t="shared" si="1"/>
        <v>C26.52EU1</v>
      </c>
      <c r="B55" t="s">
        <v>38</v>
      </c>
      <c r="C55" t="s">
        <v>258</v>
      </c>
      <c r="D55" t="s">
        <v>301</v>
      </c>
      <c r="E55">
        <v>147605.57999999999</v>
      </c>
      <c r="F55">
        <v>147605.57999999999</v>
      </c>
      <c r="G55">
        <v>1607563.83</v>
      </c>
      <c r="H55">
        <v>300195.40999999997</v>
      </c>
      <c r="I55">
        <v>2050573.8</v>
      </c>
      <c r="J55">
        <v>4.9763039999999998</v>
      </c>
      <c r="K55">
        <v>2.7051560000000001</v>
      </c>
      <c r="L55">
        <v>44.309036999999996</v>
      </c>
      <c r="M55" t="s">
        <v>15</v>
      </c>
      <c r="N55" s="24">
        <f t="shared" si="2"/>
        <v>0.14760599999999999</v>
      </c>
      <c r="O55" s="24">
        <f t="shared" si="3"/>
        <v>0.14760599999999999</v>
      </c>
      <c r="P55">
        <f t="shared" si="4"/>
        <v>1.607564</v>
      </c>
      <c r="Q55">
        <f t="shared" si="5"/>
        <v>0.30019499999999999</v>
      </c>
      <c r="R55">
        <f t="shared" si="6"/>
        <v>2.0505740000000001</v>
      </c>
      <c r="S55" s="24">
        <f t="shared" si="7"/>
        <v>4.9800000000000004</v>
      </c>
      <c r="T55" s="24">
        <f t="shared" si="8"/>
        <v>2.71</v>
      </c>
      <c r="U55" s="24">
        <f t="shared" si="9"/>
        <v>44.31</v>
      </c>
      <c r="V55" s="24">
        <f>+VLOOKUP(A55,[1]DQS4_AUX!$A:$M,13,FALSE)</f>
        <v>0.14760599999999999</v>
      </c>
      <c r="W55" s="24">
        <f t="shared" si="10"/>
        <v>0</v>
      </c>
    </row>
    <row r="56" spans="1:23" x14ac:dyDescent="0.25">
      <c r="A56" t="str">
        <f t="shared" si="1"/>
        <v>C11.01EU1</v>
      </c>
      <c r="B56" t="s">
        <v>38</v>
      </c>
      <c r="C56" t="s">
        <v>258</v>
      </c>
      <c r="D56" t="s">
        <v>302</v>
      </c>
      <c r="E56">
        <v>3273705.15</v>
      </c>
      <c r="F56">
        <v>3273705.15</v>
      </c>
      <c r="G56">
        <v>8944210.75</v>
      </c>
      <c r="H56">
        <v>29038358.93</v>
      </c>
      <c r="I56">
        <v>44453938.340000004</v>
      </c>
      <c r="J56">
        <v>186.42910699999999</v>
      </c>
      <c r="K56">
        <v>126.754566</v>
      </c>
      <c r="L56">
        <v>2271.958028</v>
      </c>
      <c r="M56" t="s">
        <v>15</v>
      </c>
      <c r="N56" s="24">
        <f t="shared" si="2"/>
        <v>3.2737050000000001</v>
      </c>
      <c r="O56" s="24">
        <f t="shared" si="3"/>
        <v>3.2737050000000001</v>
      </c>
      <c r="P56">
        <f t="shared" si="4"/>
        <v>8.9442109999999992</v>
      </c>
      <c r="Q56">
        <f t="shared" si="5"/>
        <v>29.038359</v>
      </c>
      <c r="R56">
        <f t="shared" si="6"/>
        <v>44.453938000000001</v>
      </c>
      <c r="S56" s="24">
        <f t="shared" si="7"/>
        <v>186.43</v>
      </c>
      <c r="T56" s="24">
        <f t="shared" si="8"/>
        <v>126.75</v>
      </c>
      <c r="U56" s="24">
        <f t="shared" si="9"/>
        <v>2271.96</v>
      </c>
      <c r="V56" s="24">
        <f>+VLOOKUP(A56,[1]DQS4_AUX!$A:$M,13,FALSE)</f>
        <v>3.2737050000000001</v>
      </c>
      <c r="W56" s="24">
        <f t="shared" si="10"/>
        <v>0</v>
      </c>
    </row>
    <row r="57" spans="1:23" x14ac:dyDescent="0.25">
      <c r="A57" t="str">
        <f t="shared" si="1"/>
        <v>C22.22EU1</v>
      </c>
      <c r="B57" t="s">
        <v>38</v>
      </c>
      <c r="C57" t="s">
        <v>258</v>
      </c>
      <c r="D57" t="s">
        <v>318</v>
      </c>
      <c r="E57">
        <v>13670420.5599999</v>
      </c>
      <c r="F57">
        <v>13670947.349999901</v>
      </c>
      <c r="G57">
        <v>85770692.170000002</v>
      </c>
      <c r="H57">
        <v>252576039.66999999</v>
      </c>
      <c r="I57">
        <v>554016089.88</v>
      </c>
      <c r="J57">
        <v>5958.1270729999997</v>
      </c>
      <c r="K57">
        <v>1205.757793</v>
      </c>
      <c r="L57">
        <v>9555.1219980000005</v>
      </c>
      <c r="M57" t="s">
        <v>15</v>
      </c>
      <c r="N57" s="24">
        <f t="shared" si="2"/>
        <v>13.670420999999999</v>
      </c>
      <c r="O57" s="24">
        <f t="shared" si="3"/>
        <v>13.670947</v>
      </c>
      <c r="P57">
        <f t="shared" si="4"/>
        <v>85.770691999999997</v>
      </c>
      <c r="Q57">
        <f t="shared" si="5"/>
        <v>252.57604000000001</v>
      </c>
      <c r="R57">
        <f t="shared" si="6"/>
        <v>554.01608999999996</v>
      </c>
      <c r="S57" s="24">
        <f t="shared" si="7"/>
        <v>5958.13</v>
      </c>
      <c r="T57" s="24">
        <f t="shared" si="8"/>
        <v>1205.76</v>
      </c>
      <c r="U57" s="24">
        <f t="shared" si="9"/>
        <v>9555.1200000000008</v>
      </c>
      <c r="V57" s="24">
        <f>+VLOOKUP(A57,[1]DQS4_AUX!$A:$M,13,FALSE)</f>
        <v>13.670947</v>
      </c>
      <c r="W57" s="24">
        <f t="shared" si="10"/>
        <v>0</v>
      </c>
    </row>
    <row r="58" spans="1:23" x14ac:dyDescent="0.25">
      <c r="A58" t="str">
        <f t="shared" si="1"/>
        <v>C10.91EU1</v>
      </c>
      <c r="B58" t="s">
        <v>38</v>
      </c>
      <c r="C58" t="s">
        <v>258</v>
      </c>
      <c r="D58" t="s">
        <v>320</v>
      </c>
      <c r="E58">
        <v>18646440.779999901</v>
      </c>
      <c r="F58">
        <v>18646779.559999902</v>
      </c>
      <c r="G58">
        <v>208024815.81</v>
      </c>
      <c r="H58">
        <v>388669769.81</v>
      </c>
      <c r="I58">
        <v>1047122351.8</v>
      </c>
      <c r="J58">
        <v>1700.940419</v>
      </c>
      <c r="K58">
        <v>1156.482393</v>
      </c>
      <c r="L58">
        <v>20728.870365999999</v>
      </c>
      <c r="M58" t="s">
        <v>15</v>
      </c>
      <c r="N58" s="24">
        <f t="shared" si="2"/>
        <v>18.646440999999999</v>
      </c>
      <c r="O58" s="24">
        <f t="shared" si="3"/>
        <v>18.64678</v>
      </c>
      <c r="P58">
        <f t="shared" si="4"/>
        <v>208.02481599999999</v>
      </c>
      <c r="Q58">
        <f t="shared" si="5"/>
        <v>388.66977000000003</v>
      </c>
      <c r="R58">
        <f t="shared" si="6"/>
        <v>1047.1223520000001</v>
      </c>
      <c r="S58" s="24">
        <f t="shared" si="7"/>
        <v>1700.94</v>
      </c>
      <c r="T58" s="24">
        <f t="shared" si="8"/>
        <v>1156.48</v>
      </c>
      <c r="U58" s="24">
        <f t="shared" si="9"/>
        <v>20728.87</v>
      </c>
      <c r="V58" s="24">
        <f>+VLOOKUP(A58,[1]DQS4_AUX!$A:$M,13,FALSE)</f>
        <v>18.64678</v>
      </c>
      <c r="W58" s="24">
        <f t="shared" si="10"/>
        <v>0</v>
      </c>
    </row>
    <row r="59" spans="1:23" x14ac:dyDescent="0.25">
      <c r="A59" t="str">
        <f t="shared" si="1"/>
        <v>C24.33EU1</v>
      </c>
      <c r="B59" t="s">
        <v>38</v>
      </c>
      <c r="C59" t="s">
        <v>258</v>
      </c>
      <c r="D59" t="s">
        <v>319</v>
      </c>
      <c r="E59">
        <v>3717872.5</v>
      </c>
      <c r="F59">
        <v>3717872.5</v>
      </c>
      <c r="G59">
        <v>46179635.590000004</v>
      </c>
      <c r="H59">
        <v>73801078.650000006</v>
      </c>
      <c r="I59">
        <v>114817029.08</v>
      </c>
      <c r="J59">
        <v>571.99506099999996</v>
      </c>
      <c r="K59">
        <v>135.346217</v>
      </c>
      <c r="L59">
        <v>1861.115217</v>
      </c>
      <c r="M59" t="s">
        <v>15</v>
      </c>
      <c r="N59" s="24">
        <f t="shared" si="2"/>
        <v>3.717873</v>
      </c>
      <c r="O59" s="24">
        <f t="shared" si="3"/>
        <v>3.717873</v>
      </c>
      <c r="P59">
        <f t="shared" si="4"/>
        <v>46.179636000000002</v>
      </c>
      <c r="Q59">
        <f t="shared" si="5"/>
        <v>73.801079000000001</v>
      </c>
      <c r="R59">
        <f t="shared" si="6"/>
        <v>114.81702900000001</v>
      </c>
      <c r="S59" s="24">
        <f t="shared" si="7"/>
        <v>572</v>
      </c>
      <c r="T59" s="24">
        <f t="shared" si="8"/>
        <v>135.35</v>
      </c>
      <c r="U59" s="24">
        <f t="shared" si="9"/>
        <v>1861.12</v>
      </c>
      <c r="V59" s="24">
        <f>+VLOOKUP(A59,[1]DQS4_AUX!$A:$M,13,FALSE)</f>
        <v>3.717873</v>
      </c>
      <c r="W59" s="24">
        <f t="shared" si="10"/>
        <v>0</v>
      </c>
    </row>
    <row r="60" spans="1:23" x14ac:dyDescent="0.25">
      <c r="A60" t="str">
        <f t="shared" si="1"/>
        <v>C15.12EU1</v>
      </c>
      <c r="B60" t="s">
        <v>38</v>
      </c>
      <c r="C60" t="s">
        <v>258</v>
      </c>
      <c r="D60" t="s">
        <v>397</v>
      </c>
      <c r="E60">
        <v>1243947.6899999899</v>
      </c>
      <c r="F60">
        <v>1243967.22999999</v>
      </c>
      <c r="G60">
        <v>4181573.88</v>
      </c>
      <c r="H60">
        <v>3175202.31</v>
      </c>
      <c r="I60">
        <v>11134689.34</v>
      </c>
      <c r="J60">
        <v>43.325054999999999</v>
      </c>
      <c r="K60">
        <v>80.118532999999999</v>
      </c>
      <c r="L60">
        <v>553.64876600000002</v>
      </c>
      <c r="M60" t="s">
        <v>15</v>
      </c>
      <c r="N60" s="24">
        <f t="shared" si="2"/>
        <v>1.2439480000000001</v>
      </c>
      <c r="O60" s="24">
        <f t="shared" si="3"/>
        <v>1.243967</v>
      </c>
      <c r="P60">
        <f t="shared" si="4"/>
        <v>4.1815740000000003</v>
      </c>
      <c r="Q60">
        <f t="shared" si="5"/>
        <v>3.1752020000000001</v>
      </c>
      <c r="R60">
        <f t="shared" si="6"/>
        <v>11.134689</v>
      </c>
      <c r="S60" s="24">
        <f t="shared" si="7"/>
        <v>43.33</v>
      </c>
      <c r="T60" s="24">
        <f t="shared" si="8"/>
        <v>80.12</v>
      </c>
      <c r="U60" s="24">
        <f t="shared" si="9"/>
        <v>553.65</v>
      </c>
      <c r="V60" s="24">
        <f>+VLOOKUP(A60,[1]DQS4_AUX!$A:$M,13,FALSE)</f>
        <v>1.243967</v>
      </c>
      <c r="W60" s="24">
        <f t="shared" si="10"/>
        <v>0</v>
      </c>
    </row>
    <row r="61" spans="1:23" x14ac:dyDescent="0.25">
      <c r="A61" t="str">
        <f t="shared" si="1"/>
        <v>C10.51EU1</v>
      </c>
      <c r="B61" t="s">
        <v>38</v>
      </c>
      <c r="C61" t="s">
        <v>258</v>
      </c>
      <c r="D61" t="s">
        <v>100</v>
      </c>
      <c r="E61">
        <v>5626305.23999999</v>
      </c>
      <c r="F61">
        <v>5626320.4099999899</v>
      </c>
      <c r="G61">
        <v>52184892.659999996</v>
      </c>
      <c r="H61">
        <v>110875196.54000001</v>
      </c>
      <c r="I61">
        <v>365055616.13</v>
      </c>
      <c r="J61">
        <v>1175.5486289999999</v>
      </c>
      <c r="K61">
        <v>799.26448200000004</v>
      </c>
      <c r="L61">
        <v>14326.072705</v>
      </c>
      <c r="M61" t="s">
        <v>15</v>
      </c>
      <c r="N61" s="24">
        <f t="shared" si="2"/>
        <v>5.6263050000000003</v>
      </c>
      <c r="O61" s="24">
        <f t="shared" si="3"/>
        <v>5.6263199999999998</v>
      </c>
      <c r="P61">
        <f t="shared" si="4"/>
        <v>52.184893000000002</v>
      </c>
      <c r="Q61">
        <f t="shared" si="5"/>
        <v>110.875197</v>
      </c>
      <c r="R61">
        <f t="shared" si="6"/>
        <v>365.05561599999999</v>
      </c>
      <c r="S61" s="24">
        <f t="shared" si="7"/>
        <v>1175.55</v>
      </c>
      <c r="T61" s="24">
        <f t="shared" si="8"/>
        <v>799.26</v>
      </c>
      <c r="U61" s="24">
        <f t="shared" si="9"/>
        <v>14326.07</v>
      </c>
      <c r="V61" s="24">
        <f>+VLOOKUP(A61,[1]DQS4_AUX!$A:$M,13,FALSE)</f>
        <v>5.6263199999999998</v>
      </c>
      <c r="W61" s="24">
        <f t="shared" si="10"/>
        <v>0</v>
      </c>
    </row>
    <row r="62" spans="1:23" x14ac:dyDescent="0.25">
      <c r="A62" t="str">
        <f t="shared" si="1"/>
        <v>C27.51EU1</v>
      </c>
      <c r="B62" t="s">
        <v>38</v>
      </c>
      <c r="C62" t="s">
        <v>258</v>
      </c>
      <c r="D62" t="s">
        <v>398</v>
      </c>
      <c r="E62">
        <v>681640.66</v>
      </c>
      <c r="F62">
        <v>681640.66</v>
      </c>
      <c r="G62">
        <v>9238196.4100000001</v>
      </c>
      <c r="H62">
        <v>7041588.7999999998</v>
      </c>
      <c r="I62">
        <v>13266264.460000001</v>
      </c>
      <c r="J62">
        <v>20.040866000000001</v>
      </c>
      <c r="K62">
        <v>10.894359</v>
      </c>
      <c r="L62">
        <v>178.444074</v>
      </c>
      <c r="M62" t="s">
        <v>15</v>
      </c>
      <c r="N62" s="24">
        <f t="shared" si="2"/>
        <v>0.68164100000000005</v>
      </c>
      <c r="O62" s="24">
        <f t="shared" si="3"/>
        <v>0.68164100000000005</v>
      </c>
      <c r="P62">
        <f t="shared" si="4"/>
        <v>9.2381960000000003</v>
      </c>
      <c r="Q62">
        <f t="shared" si="5"/>
        <v>7.0415890000000001</v>
      </c>
      <c r="R62">
        <f t="shared" si="6"/>
        <v>13.266264</v>
      </c>
      <c r="S62" s="24">
        <f t="shared" si="7"/>
        <v>20.04</v>
      </c>
      <c r="T62" s="24">
        <f t="shared" si="8"/>
        <v>10.89</v>
      </c>
      <c r="U62" s="24">
        <f t="shared" si="9"/>
        <v>178.44</v>
      </c>
      <c r="V62" s="24">
        <f>+VLOOKUP(A62,[1]DQS4_AUX!$A:$M,13,FALSE)</f>
        <v>0.68164100000000005</v>
      </c>
      <c r="W62" s="24">
        <f t="shared" si="10"/>
        <v>0</v>
      </c>
    </row>
    <row r="63" spans="1:23" x14ac:dyDescent="0.25">
      <c r="A63" t="str">
        <f t="shared" si="1"/>
        <v>C28.30EU1</v>
      </c>
      <c r="B63" t="s">
        <v>38</v>
      </c>
      <c r="C63" t="s">
        <v>258</v>
      </c>
      <c r="D63" t="s">
        <v>399</v>
      </c>
      <c r="E63">
        <v>1575640.03999999</v>
      </c>
      <c r="F63">
        <v>1575702.8899999899</v>
      </c>
      <c r="G63">
        <v>7717947.8600000003</v>
      </c>
      <c r="H63">
        <v>21165652.850000001</v>
      </c>
      <c r="I63">
        <v>37093686.950000003</v>
      </c>
      <c r="J63">
        <v>89.792026000000007</v>
      </c>
      <c r="K63">
        <v>48.811630999999998</v>
      </c>
      <c r="L63">
        <v>799.50869599999999</v>
      </c>
      <c r="M63" t="s">
        <v>15</v>
      </c>
      <c r="N63" s="24">
        <f t="shared" si="2"/>
        <v>1.5756399999999999</v>
      </c>
      <c r="O63" s="24">
        <f t="shared" si="3"/>
        <v>1.5757030000000001</v>
      </c>
      <c r="P63">
        <f t="shared" si="4"/>
        <v>7.7179479999999998</v>
      </c>
      <c r="Q63">
        <f t="shared" si="5"/>
        <v>21.165652999999999</v>
      </c>
      <c r="R63">
        <f t="shared" si="6"/>
        <v>37.093687000000003</v>
      </c>
      <c r="S63" s="24">
        <f t="shared" si="7"/>
        <v>89.79</v>
      </c>
      <c r="T63" s="24">
        <f t="shared" si="8"/>
        <v>48.81</v>
      </c>
      <c r="U63" s="24">
        <f t="shared" si="9"/>
        <v>799.51</v>
      </c>
      <c r="V63" s="24">
        <f>+VLOOKUP(A63,[1]DQS4_AUX!$A:$M,13,FALSE)</f>
        <v>1.5757030000000001</v>
      </c>
      <c r="W63" s="24">
        <f t="shared" si="10"/>
        <v>0</v>
      </c>
    </row>
    <row r="64" spans="1:23" x14ac:dyDescent="0.25">
      <c r="A64" t="str">
        <f t="shared" si="1"/>
        <v>C20.16EU1</v>
      </c>
      <c r="B64" t="s">
        <v>38</v>
      </c>
      <c r="C64" t="s">
        <v>258</v>
      </c>
      <c r="D64" t="s">
        <v>86</v>
      </c>
      <c r="E64">
        <v>3773336.1782159898</v>
      </c>
      <c r="F64">
        <v>3774176.3482159898</v>
      </c>
      <c r="G64">
        <v>34952319.68</v>
      </c>
      <c r="H64">
        <v>84892253.140000001</v>
      </c>
      <c r="I64">
        <v>118473425.91</v>
      </c>
      <c r="J64">
        <v>1541.7374910000001</v>
      </c>
      <c r="K64">
        <v>312.00438400000002</v>
      </c>
      <c r="L64">
        <v>2472.5034930000002</v>
      </c>
      <c r="M64" t="s">
        <v>15</v>
      </c>
      <c r="N64" s="24">
        <f t="shared" si="2"/>
        <v>3.773336</v>
      </c>
      <c r="O64" s="24">
        <f t="shared" si="3"/>
        <v>3.7741760000000002</v>
      </c>
      <c r="P64">
        <f t="shared" si="4"/>
        <v>34.95232</v>
      </c>
      <c r="Q64">
        <f t="shared" si="5"/>
        <v>84.892252999999997</v>
      </c>
      <c r="R64">
        <f t="shared" si="6"/>
        <v>118.473426</v>
      </c>
      <c r="S64" s="24">
        <f t="shared" si="7"/>
        <v>1541.74</v>
      </c>
      <c r="T64" s="24">
        <f t="shared" si="8"/>
        <v>312</v>
      </c>
      <c r="U64" s="24">
        <f t="shared" si="9"/>
        <v>2472.5</v>
      </c>
      <c r="V64" s="24">
        <f>+VLOOKUP(A64,[1]DQS4_AUX!$A:$M,13,FALSE)</f>
        <v>3.7741760000000002</v>
      </c>
      <c r="W64" s="24">
        <f t="shared" si="10"/>
        <v>0</v>
      </c>
    </row>
    <row r="65" spans="1:23" x14ac:dyDescent="0.25">
      <c r="A65" t="str">
        <f t="shared" si="1"/>
        <v>C11.07EU1</v>
      </c>
      <c r="B65" t="s">
        <v>38</v>
      </c>
      <c r="C65" t="s">
        <v>258</v>
      </c>
      <c r="D65" t="s">
        <v>170</v>
      </c>
      <c r="E65">
        <v>42483015.460000001</v>
      </c>
      <c r="F65">
        <v>42483015.460000001</v>
      </c>
      <c r="G65">
        <v>220556967.55000001</v>
      </c>
      <c r="H65">
        <v>378707349.18000001</v>
      </c>
      <c r="I65">
        <v>410495036.47000003</v>
      </c>
      <c r="J65">
        <v>1079.5515789999999</v>
      </c>
      <c r="K65">
        <v>733.99514699999997</v>
      </c>
      <c r="L65">
        <v>13156.19104</v>
      </c>
      <c r="M65" t="s">
        <v>15</v>
      </c>
      <c r="N65" s="24">
        <f t="shared" si="2"/>
        <v>42.483015000000002</v>
      </c>
      <c r="O65" s="24">
        <f t="shared" si="3"/>
        <v>42.483015000000002</v>
      </c>
      <c r="P65">
        <f t="shared" si="4"/>
        <v>220.55696800000001</v>
      </c>
      <c r="Q65">
        <f t="shared" si="5"/>
        <v>378.70734900000002</v>
      </c>
      <c r="R65">
        <f t="shared" si="6"/>
        <v>410.49503600000003</v>
      </c>
      <c r="S65" s="24">
        <f t="shared" si="7"/>
        <v>1079.55</v>
      </c>
      <c r="T65" s="24">
        <f t="shared" si="8"/>
        <v>734</v>
      </c>
      <c r="U65" s="24">
        <f t="shared" si="9"/>
        <v>13156.19</v>
      </c>
      <c r="V65" s="24">
        <f>+VLOOKUP(A65,[1]DQS4_AUX!$A:$M,13,FALSE)</f>
        <v>42.483015000000002</v>
      </c>
      <c r="W65" s="24">
        <f t="shared" si="10"/>
        <v>0</v>
      </c>
    </row>
    <row r="66" spans="1:23" x14ac:dyDescent="0.25">
      <c r="A66" t="str">
        <f t="shared" si="1"/>
        <v>C20.51EU1</v>
      </c>
      <c r="B66" t="s">
        <v>38</v>
      </c>
      <c r="C66" t="s">
        <v>258</v>
      </c>
      <c r="D66" t="s">
        <v>322</v>
      </c>
      <c r="E66">
        <v>221316.78</v>
      </c>
      <c r="F66">
        <v>221316.78</v>
      </c>
      <c r="G66">
        <v>867367.01</v>
      </c>
      <c r="H66">
        <v>4772102.49</v>
      </c>
      <c r="I66">
        <v>5591740.2999999998</v>
      </c>
      <c r="J66">
        <v>50.830534999999998</v>
      </c>
      <c r="K66">
        <v>10.286671999999999</v>
      </c>
      <c r="L66">
        <v>81.517557999999994</v>
      </c>
      <c r="M66" t="s">
        <v>15</v>
      </c>
      <c r="N66" s="24">
        <f t="shared" si="2"/>
        <v>0.22131700000000001</v>
      </c>
      <c r="O66" s="24">
        <f t="shared" si="3"/>
        <v>0.22131700000000001</v>
      </c>
      <c r="P66">
        <f t="shared" si="4"/>
        <v>0.867367</v>
      </c>
      <c r="Q66">
        <f t="shared" si="5"/>
        <v>4.7721020000000003</v>
      </c>
      <c r="R66">
        <f t="shared" si="6"/>
        <v>5.5917399999999997</v>
      </c>
      <c r="S66" s="24">
        <f t="shared" si="7"/>
        <v>50.83</v>
      </c>
      <c r="T66" s="24">
        <f t="shared" si="8"/>
        <v>10.29</v>
      </c>
      <c r="U66" s="24">
        <f t="shared" si="9"/>
        <v>81.52</v>
      </c>
      <c r="V66" s="24">
        <f>+VLOOKUP(A66,[1]DQS4_AUX!$A:$M,13,FALSE)</f>
        <v>0.22131700000000001</v>
      </c>
      <c r="W66" s="24">
        <f t="shared" si="10"/>
        <v>0</v>
      </c>
    </row>
    <row r="67" spans="1:23" x14ac:dyDescent="0.25">
      <c r="A67" t="str">
        <f t="shared" ref="A67:A130" si="11">+B67&amp;D67&amp;C67</f>
        <v>C28.96EU1</v>
      </c>
      <c r="B67" t="s">
        <v>38</v>
      </c>
      <c r="C67" t="s">
        <v>258</v>
      </c>
      <c r="D67" t="s">
        <v>409</v>
      </c>
      <c r="E67">
        <v>219139.24</v>
      </c>
      <c r="F67">
        <v>219139.24</v>
      </c>
      <c r="G67">
        <v>1469413.22</v>
      </c>
      <c r="H67">
        <v>5380809.8600000003</v>
      </c>
      <c r="I67">
        <v>10210015.869999999</v>
      </c>
      <c r="J67">
        <v>10.445774999999999</v>
      </c>
      <c r="K67">
        <v>5.6783989999999998</v>
      </c>
      <c r="L67">
        <v>93.009294999999995</v>
      </c>
      <c r="M67" t="s">
        <v>15</v>
      </c>
      <c r="N67" s="24">
        <f t="shared" ref="N67:N130" si="12">+ROUND(E67,0)/1000000</f>
        <v>0.219139</v>
      </c>
      <c r="O67" s="24">
        <f t="shared" ref="O67:O130" si="13">+ROUND(F67,0)/1000000</f>
        <v>0.219139</v>
      </c>
      <c r="P67">
        <f t="shared" ref="P67:P130" si="14">+ROUND(G67,0)/1000000</f>
        <v>1.4694130000000001</v>
      </c>
      <c r="Q67">
        <f t="shared" ref="Q67:Q130" si="15">+ROUND(H67,0)/1000000</f>
        <v>5.3808100000000003</v>
      </c>
      <c r="R67">
        <f t="shared" ref="R67:R130" si="16">+ROUND(I67,0)/1000000</f>
        <v>10.210016</v>
      </c>
      <c r="S67" s="24">
        <f t="shared" ref="S67:S130" si="17">+ROUND(J67,2)</f>
        <v>10.45</v>
      </c>
      <c r="T67" s="24">
        <f t="shared" ref="T67:T130" si="18">+ROUND(K67,2)</f>
        <v>5.68</v>
      </c>
      <c r="U67" s="24">
        <f t="shared" ref="U67:U130" si="19">+ROUND(L67,2)</f>
        <v>93.01</v>
      </c>
      <c r="V67" s="24">
        <f>+VLOOKUP(A67,[1]DQS4_AUX!$A:$M,13,FALSE)</f>
        <v>0.219139</v>
      </c>
      <c r="W67" s="24">
        <f t="shared" ref="W67:W130" si="20">+V67-O67</f>
        <v>0</v>
      </c>
    </row>
    <row r="68" spans="1:23" x14ac:dyDescent="0.25">
      <c r="A68" t="str">
        <f t="shared" si="11"/>
        <v>C31.01EU1</v>
      </c>
      <c r="B68" t="s">
        <v>38</v>
      </c>
      <c r="C68" t="s">
        <v>258</v>
      </c>
      <c r="D68" t="s">
        <v>323</v>
      </c>
      <c r="E68">
        <v>3798877.79999999</v>
      </c>
      <c r="F68">
        <v>3799314.9399999902</v>
      </c>
      <c r="G68">
        <v>29439887.129999999</v>
      </c>
      <c r="H68">
        <v>60868940.140000001</v>
      </c>
      <c r="I68">
        <v>114724981.06999999</v>
      </c>
      <c r="J68">
        <v>279.21486399999998</v>
      </c>
      <c r="K68">
        <v>101.595157</v>
      </c>
      <c r="L68">
        <v>975.90701799999999</v>
      </c>
      <c r="M68" t="s">
        <v>15</v>
      </c>
      <c r="N68" s="24">
        <f t="shared" si="12"/>
        <v>3.7988780000000002</v>
      </c>
      <c r="O68" s="24">
        <f t="shared" si="13"/>
        <v>3.799315</v>
      </c>
      <c r="P68">
        <f t="shared" si="14"/>
        <v>29.439886999999999</v>
      </c>
      <c r="Q68">
        <f t="shared" si="15"/>
        <v>60.868940000000002</v>
      </c>
      <c r="R68">
        <f t="shared" si="16"/>
        <v>114.724981</v>
      </c>
      <c r="S68" s="24">
        <f t="shared" si="17"/>
        <v>279.20999999999998</v>
      </c>
      <c r="T68" s="24">
        <f t="shared" si="18"/>
        <v>101.6</v>
      </c>
      <c r="U68" s="24">
        <f t="shared" si="19"/>
        <v>975.91</v>
      </c>
      <c r="V68" s="24">
        <f>+VLOOKUP(A68,[1]DQS4_AUX!$A:$M,13,FALSE)</f>
        <v>3.799315</v>
      </c>
      <c r="W68" s="24">
        <f t="shared" si="20"/>
        <v>0</v>
      </c>
    </row>
    <row r="69" spans="1:23" x14ac:dyDescent="0.25">
      <c r="A69" t="str">
        <f t="shared" si="11"/>
        <v>C30.92EU1</v>
      </c>
      <c r="B69" t="s">
        <v>38</v>
      </c>
      <c r="C69" t="s">
        <v>258</v>
      </c>
      <c r="D69" t="s">
        <v>324</v>
      </c>
      <c r="E69">
        <v>1167233.1199999901</v>
      </c>
      <c r="F69">
        <v>1167235.80999999</v>
      </c>
      <c r="G69">
        <v>29985781.899999999</v>
      </c>
      <c r="H69">
        <v>227599482.65000001</v>
      </c>
      <c r="I69">
        <v>229579219.75</v>
      </c>
      <c r="J69">
        <v>90.957497000000004</v>
      </c>
      <c r="K69">
        <v>41.818908</v>
      </c>
      <c r="L69">
        <v>1228.3237300000001</v>
      </c>
      <c r="M69" t="s">
        <v>15</v>
      </c>
      <c r="N69" s="24">
        <f t="shared" si="12"/>
        <v>1.167233</v>
      </c>
      <c r="O69" s="24">
        <f t="shared" si="13"/>
        <v>1.1672359999999999</v>
      </c>
      <c r="P69">
        <f t="shared" si="14"/>
        <v>29.985782</v>
      </c>
      <c r="Q69">
        <f t="shared" si="15"/>
        <v>227.59948299999999</v>
      </c>
      <c r="R69">
        <f t="shared" si="16"/>
        <v>229.57921999999999</v>
      </c>
      <c r="S69" s="24">
        <f t="shared" si="17"/>
        <v>90.96</v>
      </c>
      <c r="T69" s="24">
        <f t="shared" si="18"/>
        <v>41.82</v>
      </c>
      <c r="U69" s="24">
        <f t="shared" si="19"/>
        <v>1228.32</v>
      </c>
      <c r="V69" s="24">
        <f>+VLOOKUP(A69,[1]DQS4_AUX!$A:$M,13,FALSE)</f>
        <v>1.1672359999999999</v>
      </c>
      <c r="W69" s="24">
        <f t="shared" si="20"/>
        <v>0</v>
      </c>
    </row>
    <row r="70" spans="1:23" x14ac:dyDescent="0.25">
      <c r="A70" t="str">
        <f t="shared" si="11"/>
        <v>C32.12EU1</v>
      </c>
      <c r="B70" t="s">
        <v>38</v>
      </c>
      <c r="C70" t="s">
        <v>258</v>
      </c>
      <c r="D70" t="s">
        <v>368</v>
      </c>
      <c r="E70">
        <v>2280363.13</v>
      </c>
      <c r="F70">
        <v>2280363.13</v>
      </c>
      <c r="G70">
        <v>8050363.1399999997</v>
      </c>
      <c r="H70">
        <v>17713197.23</v>
      </c>
      <c r="I70">
        <v>46069299.649999999</v>
      </c>
      <c r="J70">
        <v>169.217679</v>
      </c>
      <c r="K70">
        <v>91.988016000000002</v>
      </c>
      <c r="L70">
        <v>1506.7154149999999</v>
      </c>
      <c r="M70" t="s">
        <v>15</v>
      </c>
      <c r="N70" s="24">
        <f t="shared" si="12"/>
        <v>2.2803629999999999</v>
      </c>
      <c r="O70" s="24">
        <f t="shared" si="13"/>
        <v>2.2803629999999999</v>
      </c>
      <c r="P70">
        <f t="shared" si="14"/>
        <v>8.0503630000000008</v>
      </c>
      <c r="Q70">
        <f t="shared" si="15"/>
        <v>17.713197000000001</v>
      </c>
      <c r="R70">
        <f t="shared" si="16"/>
        <v>46.069299999999998</v>
      </c>
      <c r="S70" s="24">
        <f t="shared" si="17"/>
        <v>169.22</v>
      </c>
      <c r="T70" s="24">
        <f t="shared" si="18"/>
        <v>91.99</v>
      </c>
      <c r="U70" s="24">
        <f t="shared" si="19"/>
        <v>1506.72</v>
      </c>
      <c r="V70" s="24">
        <f>+VLOOKUP(A70,[1]DQS4_AUX!$A:$M,13,FALSE)</f>
        <v>2.2803629999999999</v>
      </c>
      <c r="W70" s="24">
        <f t="shared" si="20"/>
        <v>0</v>
      </c>
    </row>
    <row r="71" spans="1:23" x14ac:dyDescent="0.25">
      <c r="A71" t="str">
        <f t="shared" si="11"/>
        <v>C27.12EU1</v>
      </c>
      <c r="B71" t="s">
        <v>38</v>
      </c>
      <c r="C71" t="s">
        <v>258</v>
      </c>
      <c r="D71" t="s">
        <v>326</v>
      </c>
      <c r="E71">
        <v>1390747.62</v>
      </c>
      <c r="F71">
        <v>1390747.62</v>
      </c>
      <c r="G71">
        <v>13633115.939999999</v>
      </c>
      <c r="H71">
        <v>142463093.69</v>
      </c>
      <c r="I71">
        <v>129357592.62</v>
      </c>
      <c r="J71">
        <v>62.789892000000002</v>
      </c>
      <c r="K71">
        <v>34.133051000000002</v>
      </c>
      <c r="L71">
        <v>559.08170500000006</v>
      </c>
      <c r="M71" t="s">
        <v>15</v>
      </c>
      <c r="N71" s="24">
        <f t="shared" si="12"/>
        <v>1.3907480000000001</v>
      </c>
      <c r="O71" s="24">
        <f t="shared" si="13"/>
        <v>1.3907480000000001</v>
      </c>
      <c r="P71">
        <f t="shared" si="14"/>
        <v>13.633115999999999</v>
      </c>
      <c r="Q71">
        <f t="shared" si="15"/>
        <v>142.46309400000001</v>
      </c>
      <c r="R71">
        <f t="shared" si="16"/>
        <v>129.35759300000001</v>
      </c>
      <c r="S71" s="24">
        <f t="shared" si="17"/>
        <v>62.79</v>
      </c>
      <c r="T71" s="24">
        <f t="shared" si="18"/>
        <v>34.130000000000003</v>
      </c>
      <c r="U71" s="24">
        <f t="shared" si="19"/>
        <v>559.08000000000004</v>
      </c>
      <c r="V71" s="24">
        <f>+VLOOKUP(A71,[1]DQS4_AUX!$A:$M,13,FALSE)</f>
        <v>1.3907480000000001</v>
      </c>
      <c r="W71" s="24">
        <f t="shared" si="20"/>
        <v>0</v>
      </c>
    </row>
    <row r="72" spans="1:23" x14ac:dyDescent="0.25">
      <c r="A72" t="str">
        <f t="shared" si="11"/>
        <v>C25.92EU1</v>
      </c>
      <c r="B72" t="s">
        <v>38</v>
      </c>
      <c r="C72" t="s">
        <v>258</v>
      </c>
      <c r="D72" t="s">
        <v>371</v>
      </c>
      <c r="E72">
        <v>18464372.32</v>
      </c>
      <c r="F72">
        <v>18464372.32</v>
      </c>
      <c r="G72">
        <v>113724403.25</v>
      </c>
      <c r="H72">
        <v>151843396.93000001</v>
      </c>
      <c r="I72">
        <v>221149320.25999999</v>
      </c>
      <c r="J72">
        <v>3692.8250109999999</v>
      </c>
      <c r="K72">
        <v>873.801199</v>
      </c>
      <c r="L72">
        <v>12015.440602999999</v>
      </c>
      <c r="M72" t="s">
        <v>15</v>
      </c>
      <c r="N72" s="24">
        <f t="shared" si="12"/>
        <v>18.464372000000001</v>
      </c>
      <c r="O72" s="24">
        <f t="shared" si="13"/>
        <v>18.464372000000001</v>
      </c>
      <c r="P72">
        <f t="shared" si="14"/>
        <v>113.724403</v>
      </c>
      <c r="Q72">
        <f t="shared" si="15"/>
        <v>151.84339700000001</v>
      </c>
      <c r="R72">
        <f t="shared" si="16"/>
        <v>221.14931999999999</v>
      </c>
      <c r="S72" s="24">
        <f t="shared" si="17"/>
        <v>3692.83</v>
      </c>
      <c r="T72" s="24">
        <f t="shared" si="18"/>
        <v>873.8</v>
      </c>
      <c r="U72" s="24">
        <f t="shared" si="19"/>
        <v>12015.44</v>
      </c>
      <c r="V72" s="24">
        <f>+VLOOKUP(A72,[1]DQS4_AUX!$A:$M,13,FALSE)</f>
        <v>18.464372000000001</v>
      </c>
      <c r="W72" s="24">
        <f t="shared" si="20"/>
        <v>0</v>
      </c>
    </row>
    <row r="73" spans="1:23" x14ac:dyDescent="0.25">
      <c r="A73" t="str">
        <f t="shared" si="11"/>
        <v>C25.72EU1</v>
      </c>
      <c r="B73" t="s">
        <v>38</v>
      </c>
      <c r="C73" t="s">
        <v>258</v>
      </c>
      <c r="D73" t="s">
        <v>306</v>
      </c>
      <c r="E73">
        <v>1423376.61</v>
      </c>
      <c r="F73">
        <v>1423376.61</v>
      </c>
      <c r="G73">
        <v>12388986.800000001</v>
      </c>
      <c r="H73">
        <v>25270909.629999999</v>
      </c>
      <c r="I73">
        <v>48734670.740000002</v>
      </c>
      <c r="J73">
        <v>256.74776600000001</v>
      </c>
      <c r="K73">
        <v>60.751984</v>
      </c>
      <c r="L73">
        <v>835.38690899999995</v>
      </c>
      <c r="M73" t="s">
        <v>15</v>
      </c>
      <c r="N73" s="24">
        <f t="shared" si="12"/>
        <v>1.4233769999999999</v>
      </c>
      <c r="O73" s="24">
        <f t="shared" si="13"/>
        <v>1.4233769999999999</v>
      </c>
      <c r="P73">
        <f t="shared" si="14"/>
        <v>12.388987</v>
      </c>
      <c r="Q73">
        <f t="shared" si="15"/>
        <v>25.270910000000001</v>
      </c>
      <c r="R73">
        <f t="shared" si="16"/>
        <v>48.734670999999999</v>
      </c>
      <c r="S73" s="24">
        <f t="shared" si="17"/>
        <v>256.75</v>
      </c>
      <c r="T73" s="24">
        <f t="shared" si="18"/>
        <v>60.75</v>
      </c>
      <c r="U73" s="24">
        <f t="shared" si="19"/>
        <v>835.39</v>
      </c>
      <c r="V73" s="24">
        <f>+VLOOKUP(A73,[1]DQS4_AUX!$A:$M,13,FALSE)</f>
        <v>1.4233769999999999</v>
      </c>
      <c r="W73" s="24">
        <f t="shared" si="20"/>
        <v>0</v>
      </c>
    </row>
    <row r="74" spans="1:23" x14ac:dyDescent="0.25">
      <c r="A74" t="str">
        <f t="shared" si="11"/>
        <v>C32.40EU1</v>
      </c>
      <c r="B74" t="s">
        <v>38</v>
      </c>
      <c r="C74" t="s">
        <v>258</v>
      </c>
      <c r="D74" t="s">
        <v>307</v>
      </c>
      <c r="E74">
        <v>190628.49999999901</v>
      </c>
      <c r="F74">
        <v>190756.269999999</v>
      </c>
      <c r="G74">
        <v>1237003.17</v>
      </c>
      <c r="H74">
        <v>1178332.97</v>
      </c>
      <c r="I74">
        <v>9336422.0899999999</v>
      </c>
      <c r="J74">
        <v>44.698886999999999</v>
      </c>
      <c r="K74">
        <v>16.264125</v>
      </c>
      <c r="L74">
        <v>156.23084700000001</v>
      </c>
      <c r="M74" t="s">
        <v>15</v>
      </c>
      <c r="N74" s="24">
        <f t="shared" si="12"/>
        <v>0.19062799999999999</v>
      </c>
      <c r="O74" s="24">
        <f t="shared" si="13"/>
        <v>0.19075600000000001</v>
      </c>
      <c r="P74">
        <f t="shared" si="14"/>
        <v>1.2370030000000001</v>
      </c>
      <c r="Q74">
        <f t="shared" si="15"/>
        <v>1.1783330000000001</v>
      </c>
      <c r="R74">
        <f t="shared" si="16"/>
        <v>9.3364220000000007</v>
      </c>
      <c r="S74" s="24">
        <f t="shared" si="17"/>
        <v>44.7</v>
      </c>
      <c r="T74" s="24">
        <f t="shared" si="18"/>
        <v>16.260000000000002</v>
      </c>
      <c r="U74" s="24">
        <f t="shared" si="19"/>
        <v>156.22999999999999</v>
      </c>
      <c r="V74" s="24">
        <f>+VLOOKUP(A74,[1]DQS4_AUX!$A:$M,13,FALSE)</f>
        <v>0.19075600000000001</v>
      </c>
      <c r="W74" s="24">
        <f t="shared" si="20"/>
        <v>0</v>
      </c>
    </row>
    <row r="75" spans="1:23" x14ac:dyDescent="0.25">
      <c r="A75" t="str">
        <f t="shared" si="11"/>
        <v>C28.22EU1</v>
      </c>
      <c r="B75" t="s">
        <v>38</v>
      </c>
      <c r="C75" t="s">
        <v>258</v>
      </c>
      <c r="D75" t="s">
        <v>308</v>
      </c>
      <c r="E75">
        <v>4105527.49</v>
      </c>
      <c r="F75">
        <v>4105527.49</v>
      </c>
      <c r="G75">
        <v>19377262.59</v>
      </c>
      <c r="H75">
        <v>43646722.039999999</v>
      </c>
      <c r="I75">
        <v>67253949.719999999</v>
      </c>
      <c r="J75">
        <v>118.43099100000001</v>
      </c>
      <c r="K75">
        <v>64.379975999999999</v>
      </c>
      <c r="L75">
        <v>1054.5106020000001</v>
      </c>
      <c r="M75" t="s">
        <v>15</v>
      </c>
      <c r="N75" s="24">
        <f t="shared" si="12"/>
        <v>4.1055270000000004</v>
      </c>
      <c r="O75" s="24">
        <f t="shared" si="13"/>
        <v>4.1055270000000004</v>
      </c>
      <c r="P75">
        <f t="shared" si="14"/>
        <v>19.377262999999999</v>
      </c>
      <c r="Q75">
        <f t="shared" si="15"/>
        <v>43.646721999999997</v>
      </c>
      <c r="R75">
        <f t="shared" si="16"/>
        <v>67.253950000000003</v>
      </c>
      <c r="S75" s="24">
        <f t="shared" si="17"/>
        <v>118.43</v>
      </c>
      <c r="T75" s="24">
        <f t="shared" si="18"/>
        <v>64.38</v>
      </c>
      <c r="U75" s="24">
        <f t="shared" si="19"/>
        <v>1054.51</v>
      </c>
      <c r="V75" s="24">
        <f>+VLOOKUP(A75,[1]DQS4_AUX!$A:$M,13,FALSE)</f>
        <v>4.1055270000000004</v>
      </c>
      <c r="W75" s="24">
        <f t="shared" si="20"/>
        <v>0</v>
      </c>
    </row>
    <row r="76" spans="1:23" x14ac:dyDescent="0.25">
      <c r="A76" t="str">
        <f t="shared" si="11"/>
        <v>C23.63EU1</v>
      </c>
      <c r="B76" t="s">
        <v>38</v>
      </c>
      <c r="C76" t="s">
        <v>258</v>
      </c>
      <c r="D76" t="s">
        <v>179</v>
      </c>
      <c r="E76">
        <v>5060391.83</v>
      </c>
      <c r="F76">
        <v>5060391.83</v>
      </c>
      <c r="G76">
        <v>27565511.050000001</v>
      </c>
      <c r="H76">
        <v>82537445.260000005</v>
      </c>
      <c r="I76">
        <v>292861873.50999999</v>
      </c>
      <c r="J76">
        <v>3248.0155169999998</v>
      </c>
      <c r="K76">
        <v>657.30719599999998</v>
      </c>
      <c r="L76">
        <v>5208.8826550000003</v>
      </c>
      <c r="M76" t="s">
        <v>15</v>
      </c>
      <c r="N76" s="24">
        <f t="shared" si="12"/>
        <v>5.0603920000000002</v>
      </c>
      <c r="O76" s="24">
        <f t="shared" si="13"/>
        <v>5.0603920000000002</v>
      </c>
      <c r="P76">
        <f t="shared" si="14"/>
        <v>27.565511000000001</v>
      </c>
      <c r="Q76">
        <f t="shared" si="15"/>
        <v>82.537445000000005</v>
      </c>
      <c r="R76">
        <f t="shared" si="16"/>
        <v>292.861874</v>
      </c>
      <c r="S76" s="24">
        <f t="shared" si="17"/>
        <v>3248.02</v>
      </c>
      <c r="T76" s="24">
        <f t="shared" si="18"/>
        <v>657.31</v>
      </c>
      <c r="U76" s="24">
        <f t="shared" si="19"/>
        <v>5208.88</v>
      </c>
      <c r="V76" s="24">
        <f>+VLOOKUP(A76,[1]DQS4_AUX!$A:$M,13,FALSE)</f>
        <v>5.0603920000000002</v>
      </c>
      <c r="W76" s="24">
        <f t="shared" si="20"/>
        <v>0</v>
      </c>
    </row>
    <row r="77" spans="1:23" x14ac:dyDescent="0.25">
      <c r="A77" t="str">
        <f t="shared" si="11"/>
        <v>C26.20EU1</v>
      </c>
      <c r="B77" t="s">
        <v>38</v>
      </c>
      <c r="C77" t="s">
        <v>258</v>
      </c>
      <c r="D77" t="s">
        <v>309</v>
      </c>
      <c r="E77">
        <v>128717.89</v>
      </c>
      <c r="F77">
        <v>128717.89</v>
      </c>
      <c r="G77">
        <v>1607124.08</v>
      </c>
      <c r="H77">
        <v>2927445.4</v>
      </c>
      <c r="I77">
        <v>2448683.7999999998</v>
      </c>
      <c r="J77">
        <v>2.1796039999999999</v>
      </c>
      <c r="K77">
        <v>1.1848430000000001</v>
      </c>
      <c r="L77">
        <v>19.407337999999999</v>
      </c>
      <c r="M77" t="s">
        <v>15</v>
      </c>
      <c r="N77" s="24">
        <f t="shared" si="12"/>
        <v>0.128718</v>
      </c>
      <c r="O77" s="24">
        <f t="shared" si="13"/>
        <v>0.128718</v>
      </c>
      <c r="P77">
        <f t="shared" si="14"/>
        <v>1.607124</v>
      </c>
      <c r="Q77">
        <f t="shared" si="15"/>
        <v>2.9274450000000001</v>
      </c>
      <c r="R77">
        <f t="shared" si="16"/>
        <v>2.4486840000000001</v>
      </c>
      <c r="S77" s="24">
        <f t="shared" si="17"/>
        <v>2.1800000000000002</v>
      </c>
      <c r="T77" s="24">
        <f t="shared" si="18"/>
        <v>1.18</v>
      </c>
      <c r="U77" s="24">
        <f t="shared" si="19"/>
        <v>19.41</v>
      </c>
      <c r="V77" s="24">
        <f>+VLOOKUP(A77,[1]DQS4_AUX!$A:$M,13,FALSE)</f>
        <v>0.128718</v>
      </c>
      <c r="W77" s="24">
        <f t="shared" si="20"/>
        <v>0</v>
      </c>
    </row>
    <row r="78" spans="1:23" x14ac:dyDescent="0.25">
      <c r="A78" t="str">
        <f t="shared" si="11"/>
        <v>C23.19EU1</v>
      </c>
      <c r="B78" t="s">
        <v>38</v>
      </c>
      <c r="C78" t="s">
        <v>258</v>
      </c>
      <c r="D78" t="s">
        <v>325</v>
      </c>
      <c r="E78">
        <v>133446.30999999901</v>
      </c>
      <c r="F78">
        <v>133464.579999999</v>
      </c>
      <c r="G78">
        <v>5364966.5999999996</v>
      </c>
      <c r="H78">
        <v>19914498.809999999</v>
      </c>
      <c r="I78">
        <v>18224023.850000001</v>
      </c>
      <c r="J78">
        <v>25.017887000000002</v>
      </c>
      <c r="K78">
        <v>5.0629140000000001</v>
      </c>
      <c r="L78">
        <v>40.121496999999998</v>
      </c>
      <c r="M78" t="s">
        <v>15</v>
      </c>
      <c r="N78" s="24">
        <f t="shared" si="12"/>
        <v>0.13344600000000001</v>
      </c>
      <c r="O78" s="24">
        <f t="shared" si="13"/>
        <v>0.133465</v>
      </c>
      <c r="P78">
        <f t="shared" si="14"/>
        <v>5.364967</v>
      </c>
      <c r="Q78">
        <f t="shared" si="15"/>
        <v>19.914498999999999</v>
      </c>
      <c r="R78">
        <f t="shared" si="16"/>
        <v>18.224024</v>
      </c>
      <c r="S78" s="24">
        <f t="shared" si="17"/>
        <v>25.02</v>
      </c>
      <c r="T78" s="24">
        <f t="shared" si="18"/>
        <v>5.0599999999999996</v>
      </c>
      <c r="U78" s="24">
        <f t="shared" si="19"/>
        <v>40.119999999999997</v>
      </c>
      <c r="V78" s="24">
        <f>+VLOOKUP(A78,[1]DQS4_AUX!$A:$M,13,FALSE)</f>
        <v>0.133465</v>
      </c>
      <c r="W78" s="24">
        <f t="shared" si="20"/>
        <v>0</v>
      </c>
    </row>
    <row r="79" spans="1:23" x14ac:dyDescent="0.25">
      <c r="A79" t="str">
        <f t="shared" si="11"/>
        <v>C20.15EU1</v>
      </c>
      <c r="B79" t="s">
        <v>38</v>
      </c>
      <c r="C79" t="s">
        <v>258</v>
      </c>
      <c r="D79" t="s">
        <v>376</v>
      </c>
      <c r="E79">
        <v>995978.49</v>
      </c>
      <c r="F79">
        <v>995978.49</v>
      </c>
      <c r="G79">
        <v>8120885.1100000003</v>
      </c>
      <c r="H79">
        <v>17639650.84</v>
      </c>
      <c r="I79">
        <v>24700637.57</v>
      </c>
      <c r="J79">
        <v>282.05816499999997</v>
      </c>
      <c r="K79">
        <v>57.080661999999997</v>
      </c>
      <c r="L79">
        <v>452.34016200000002</v>
      </c>
      <c r="M79" t="s">
        <v>15</v>
      </c>
      <c r="N79" s="24">
        <f t="shared" si="12"/>
        <v>0.99597800000000003</v>
      </c>
      <c r="O79" s="24">
        <f t="shared" si="13"/>
        <v>0.99597800000000003</v>
      </c>
      <c r="P79">
        <f t="shared" si="14"/>
        <v>8.1208849999999995</v>
      </c>
      <c r="Q79">
        <f t="shared" si="15"/>
        <v>17.639651000000001</v>
      </c>
      <c r="R79">
        <f t="shared" si="16"/>
        <v>24.700638000000001</v>
      </c>
      <c r="S79" s="24">
        <f t="shared" si="17"/>
        <v>282.06</v>
      </c>
      <c r="T79" s="24">
        <f t="shared" si="18"/>
        <v>57.08</v>
      </c>
      <c r="U79" s="24">
        <f t="shared" si="19"/>
        <v>452.34</v>
      </c>
      <c r="V79" s="24">
        <f>+VLOOKUP(A79,[1]DQS4_AUX!$A:$M,13,FALSE)</f>
        <v>0.99597800000000003</v>
      </c>
      <c r="W79" s="24">
        <f t="shared" si="20"/>
        <v>0</v>
      </c>
    </row>
    <row r="80" spans="1:23" x14ac:dyDescent="0.25">
      <c r="A80" t="str">
        <f t="shared" si="11"/>
        <v>C33.13EU1</v>
      </c>
      <c r="B80" t="s">
        <v>38</v>
      </c>
      <c r="C80" t="s">
        <v>258</v>
      </c>
      <c r="D80" t="s">
        <v>180</v>
      </c>
      <c r="E80">
        <v>193617.44</v>
      </c>
      <c r="F80">
        <v>193617.44</v>
      </c>
      <c r="G80">
        <v>572041.28</v>
      </c>
      <c r="H80">
        <v>1239054.04</v>
      </c>
      <c r="I80">
        <v>2159066.79</v>
      </c>
      <c r="J80">
        <v>10.930745999999999</v>
      </c>
      <c r="K80">
        <v>5.942037</v>
      </c>
      <c r="L80">
        <v>97.327530999999993</v>
      </c>
      <c r="M80" t="s">
        <v>15</v>
      </c>
      <c r="N80" s="24">
        <f t="shared" si="12"/>
        <v>0.19361700000000001</v>
      </c>
      <c r="O80" s="24">
        <f t="shared" si="13"/>
        <v>0.19361700000000001</v>
      </c>
      <c r="P80">
        <f t="shared" si="14"/>
        <v>0.57204100000000002</v>
      </c>
      <c r="Q80">
        <f t="shared" si="15"/>
        <v>1.2390540000000001</v>
      </c>
      <c r="R80">
        <f t="shared" si="16"/>
        <v>2.1590669999999998</v>
      </c>
      <c r="S80" s="24">
        <f t="shared" si="17"/>
        <v>10.93</v>
      </c>
      <c r="T80" s="24">
        <f t="shared" si="18"/>
        <v>5.94</v>
      </c>
      <c r="U80" s="24">
        <f t="shared" si="19"/>
        <v>97.33</v>
      </c>
      <c r="V80" s="24">
        <f>+VLOOKUP(A80,[1]DQS4_AUX!$A:$M,13,FALSE)</f>
        <v>0.19361700000000001</v>
      </c>
      <c r="W80" s="24">
        <f t="shared" si="20"/>
        <v>0</v>
      </c>
    </row>
    <row r="81" spans="1:23" x14ac:dyDescent="0.25">
      <c r="A81" t="str">
        <f t="shared" si="11"/>
        <v>C30.12EU1</v>
      </c>
      <c r="B81" t="s">
        <v>38</v>
      </c>
      <c r="C81" t="s">
        <v>258</v>
      </c>
      <c r="D81" t="s">
        <v>377</v>
      </c>
      <c r="E81">
        <v>1031529.28999999</v>
      </c>
      <c r="F81">
        <v>1031558.90999999</v>
      </c>
      <c r="G81">
        <v>12569597.85</v>
      </c>
      <c r="H81">
        <v>8409958.6600000001</v>
      </c>
      <c r="I81">
        <v>11510029.18</v>
      </c>
      <c r="J81">
        <v>13.851948</v>
      </c>
      <c r="K81">
        <v>6.368614</v>
      </c>
      <c r="L81">
        <v>187.06194400000001</v>
      </c>
      <c r="M81" t="s">
        <v>15</v>
      </c>
      <c r="N81" s="24">
        <f t="shared" si="12"/>
        <v>1.0315289999999999</v>
      </c>
      <c r="O81" s="24">
        <f t="shared" si="13"/>
        <v>1.0315589999999999</v>
      </c>
      <c r="P81">
        <f t="shared" si="14"/>
        <v>12.569597999999999</v>
      </c>
      <c r="Q81">
        <f t="shared" si="15"/>
        <v>8.4099590000000006</v>
      </c>
      <c r="R81">
        <f t="shared" si="16"/>
        <v>11.510028999999999</v>
      </c>
      <c r="S81" s="24">
        <f t="shared" si="17"/>
        <v>13.85</v>
      </c>
      <c r="T81" s="24">
        <f t="shared" si="18"/>
        <v>6.37</v>
      </c>
      <c r="U81" s="24">
        <f t="shared" si="19"/>
        <v>187.06</v>
      </c>
      <c r="V81" s="24">
        <f>+VLOOKUP(A81,[1]DQS4_AUX!$A:$M,13,FALSE)</f>
        <v>1.0315589999999999</v>
      </c>
      <c r="W81" s="24">
        <f t="shared" si="20"/>
        <v>0</v>
      </c>
    </row>
    <row r="82" spans="1:23" x14ac:dyDescent="0.25">
      <c r="A82" t="str">
        <f t="shared" si="11"/>
        <v>C25.93EU1</v>
      </c>
      <c r="B82" t="s">
        <v>38</v>
      </c>
      <c r="C82" t="s">
        <v>258</v>
      </c>
      <c r="D82" t="s">
        <v>310</v>
      </c>
      <c r="E82">
        <v>15551565.619999999</v>
      </c>
      <c r="F82">
        <v>15551565.619999999</v>
      </c>
      <c r="G82">
        <v>91256595.439999998</v>
      </c>
      <c r="H82">
        <v>378544178.70999998</v>
      </c>
      <c r="I82">
        <v>425826780.06</v>
      </c>
      <c r="J82">
        <v>2154.0592230000002</v>
      </c>
      <c r="K82">
        <v>509.69633199999998</v>
      </c>
      <c r="L82">
        <v>7008.7185799999997</v>
      </c>
      <c r="M82" t="s">
        <v>15</v>
      </c>
      <c r="N82" s="24">
        <f t="shared" si="12"/>
        <v>15.551565999999999</v>
      </c>
      <c r="O82" s="24">
        <f t="shared" si="13"/>
        <v>15.551565999999999</v>
      </c>
      <c r="P82">
        <f t="shared" si="14"/>
        <v>91.256595000000004</v>
      </c>
      <c r="Q82">
        <f t="shared" si="15"/>
        <v>378.54417899999999</v>
      </c>
      <c r="R82">
        <f t="shared" si="16"/>
        <v>425.82677999999999</v>
      </c>
      <c r="S82" s="24">
        <f t="shared" si="17"/>
        <v>2154.06</v>
      </c>
      <c r="T82" s="24">
        <f t="shared" si="18"/>
        <v>509.7</v>
      </c>
      <c r="U82" s="24">
        <f t="shared" si="19"/>
        <v>7008.72</v>
      </c>
      <c r="V82" s="24">
        <f>+VLOOKUP(A82,[1]DQS4_AUX!$A:$M,13,FALSE)</f>
        <v>15.551565999999999</v>
      </c>
      <c r="W82" s="24">
        <f t="shared" si="20"/>
        <v>0</v>
      </c>
    </row>
    <row r="83" spans="1:23" x14ac:dyDescent="0.25">
      <c r="A83" t="str">
        <f t="shared" si="11"/>
        <v>C22.11EU1</v>
      </c>
      <c r="B83" t="s">
        <v>38</v>
      </c>
      <c r="C83" t="s">
        <v>258</v>
      </c>
      <c r="D83" t="s">
        <v>311</v>
      </c>
      <c r="E83">
        <v>547408.05000000005</v>
      </c>
      <c r="F83">
        <v>547408.05000000005</v>
      </c>
      <c r="G83">
        <v>3172028.89</v>
      </c>
      <c r="H83">
        <v>4004048.84</v>
      </c>
      <c r="I83">
        <v>11153184.640000001</v>
      </c>
      <c r="J83">
        <v>190.75328200000001</v>
      </c>
      <c r="K83">
        <v>38.603105999999997</v>
      </c>
      <c r="L83">
        <v>305.91340300000002</v>
      </c>
      <c r="M83" t="s">
        <v>15</v>
      </c>
      <c r="N83" s="24">
        <f t="shared" si="12"/>
        <v>0.54740800000000001</v>
      </c>
      <c r="O83" s="24">
        <f t="shared" si="13"/>
        <v>0.54740800000000001</v>
      </c>
      <c r="P83">
        <f t="shared" si="14"/>
        <v>3.1720290000000002</v>
      </c>
      <c r="Q83">
        <f t="shared" si="15"/>
        <v>4.0040490000000002</v>
      </c>
      <c r="R83">
        <f t="shared" si="16"/>
        <v>11.153185000000001</v>
      </c>
      <c r="S83" s="24">
        <f t="shared" si="17"/>
        <v>190.75</v>
      </c>
      <c r="T83" s="24">
        <f t="shared" si="18"/>
        <v>38.6</v>
      </c>
      <c r="U83" s="24">
        <f t="shared" si="19"/>
        <v>305.91000000000003</v>
      </c>
      <c r="V83" s="24">
        <f>+VLOOKUP(A83,[1]DQS4_AUX!$A:$M,13,FALSE)</f>
        <v>0.54740800000000001</v>
      </c>
      <c r="W83" s="24">
        <f t="shared" si="20"/>
        <v>0</v>
      </c>
    </row>
    <row r="84" spans="1:23" x14ac:dyDescent="0.25">
      <c r="A84" t="str">
        <f t="shared" si="11"/>
        <v>C27.40EU1</v>
      </c>
      <c r="B84" t="s">
        <v>38</v>
      </c>
      <c r="C84" t="s">
        <v>258</v>
      </c>
      <c r="D84" t="s">
        <v>327</v>
      </c>
      <c r="E84">
        <v>2935439.6399999899</v>
      </c>
      <c r="F84">
        <v>2935667.75999999</v>
      </c>
      <c r="G84">
        <v>13984004.83</v>
      </c>
      <c r="H84">
        <v>24849563.66</v>
      </c>
      <c r="I84">
        <v>44434585</v>
      </c>
      <c r="J84">
        <v>122.412509</v>
      </c>
      <c r="K84">
        <v>66.544370999999998</v>
      </c>
      <c r="L84">
        <v>1089.9618310000001</v>
      </c>
      <c r="M84" t="s">
        <v>15</v>
      </c>
      <c r="N84" s="24">
        <f t="shared" si="12"/>
        <v>2.9354399999999998</v>
      </c>
      <c r="O84" s="24">
        <f t="shared" si="13"/>
        <v>2.9356680000000002</v>
      </c>
      <c r="P84">
        <f t="shared" si="14"/>
        <v>13.984005</v>
      </c>
      <c r="Q84">
        <f t="shared" si="15"/>
        <v>24.849564000000001</v>
      </c>
      <c r="R84">
        <f t="shared" si="16"/>
        <v>44.434584999999998</v>
      </c>
      <c r="S84" s="24">
        <f t="shared" si="17"/>
        <v>122.41</v>
      </c>
      <c r="T84" s="24">
        <f t="shared" si="18"/>
        <v>66.540000000000006</v>
      </c>
      <c r="U84" s="24">
        <f t="shared" si="19"/>
        <v>1089.96</v>
      </c>
      <c r="V84" s="24">
        <f>+VLOOKUP(A84,[1]DQS4_AUX!$A:$M,13,FALSE)</f>
        <v>2.9356680000000002</v>
      </c>
      <c r="W84" s="24">
        <f t="shared" si="20"/>
        <v>0</v>
      </c>
    </row>
    <row r="85" spans="1:23" x14ac:dyDescent="0.25">
      <c r="A85" t="str">
        <f t="shared" si="11"/>
        <v>C12.00EU1</v>
      </c>
      <c r="B85" t="s">
        <v>38</v>
      </c>
      <c r="C85" t="s">
        <v>258</v>
      </c>
      <c r="D85" t="s">
        <v>190</v>
      </c>
      <c r="E85">
        <v>2756518.33</v>
      </c>
      <c r="F85">
        <v>2756518.33</v>
      </c>
      <c r="G85">
        <v>14630482.1</v>
      </c>
      <c r="H85">
        <v>26649967.559999999</v>
      </c>
      <c r="I85">
        <v>186554928.22</v>
      </c>
      <c r="J85">
        <v>617.32090500000004</v>
      </c>
      <c r="K85">
        <v>419.72121099999998</v>
      </c>
      <c r="L85">
        <v>7523.1115579999996</v>
      </c>
      <c r="M85" t="s">
        <v>15</v>
      </c>
      <c r="N85" s="24">
        <f t="shared" si="12"/>
        <v>2.7565179999999998</v>
      </c>
      <c r="O85" s="24">
        <f t="shared" si="13"/>
        <v>2.7565179999999998</v>
      </c>
      <c r="P85">
        <f t="shared" si="14"/>
        <v>14.630482000000001</v>
      </c>
      <c r="Q85">
        <f t="shared" si="15"/>
        <v>26.649968000000001</v>
      </c>
      <c r="R85">
        <f t="shared" si="16"/>
        <v>186.55492799999999</v>
      </c>
      <c r="S85" s="24">
        <f t="shared" si="17"/>
        <v>617.32000000000005</v>
      </c>
      <c r="T85" s="24">
        <f t="shared" si="18"/>
        <v>419.72</v>
      </c>
      <c r="U85" s="24">
        <f t="shared" si="19"/>
        <v>7523.11</v>
      </c>
      <c r="V85" s="24">
        <f>+VLOOKUP(A85,[1]DQS4_AUX!$A:$M,13,FALSE)</f>
        <v>2.7565179999999998</v>
      </c>
      <c r="W85" s="24">
        <f t="shared" si="20"/>
        <v>0</v>
      </c>
    </row>
    <row r="86" spans="1:23" x14ac:dyDescent="0.25">
      <c r="A86" t="str">
        <f t="shared" si="11"/>
        <v>C10.92EU1</v>
      </c>
      <c r="B86" t="s">
        <v>38</v>
      </c>
      <c r="C86" t="s">
        <v>258</v>
      </c>
      <c r="D86" t="s">
        <v>382</v>
      </c>
      <c r="E86">
        <v>859226.63</v>
      </c>
      <c r="F86">
        <v>859226.63</v>
      </c>
      <c r="G86">
        <v>8398006.4399999995</v>
      </c>
      <c r="H86">
        <v>36482081.789999999</v>
      </c>
      <c r="I86">
        <v>113607315.14</v>
      </c>
      <c r="J86">
        <v>135.32016400000001</v>
      </c>
      <c r="K86">
        <v>92.005216000000004</v>
      </c>
      <c r="L86">
        <v>1649.107837</v>
      </c>
      <c r="M86" t="s">
        <v>15</v>
      </c>
      <c r="N86" s="24">
        <f t="shared" si="12"/>
        <v>0.85922699999999996</v>
      </c>
      <c r="O86" s="24">
        <f t="shared" si="13"/>
        <v>0.85922699999999996</v>
      </c>
      <c r="P86">
        <f t="shared" si="14"/>
        <v>8.3980060000000005</v>
      </c>
      <c r="Q86">
        <f t="shared" si="15"/>
        <v>36.482081999999998</v>
      </c>
      <c r="R86">
        <f t="shared" si="16"/>
        <v>113.607315</v>
      </c>
      <c r="S86" s="24">
        <f t="shared" si="17"/>
        <v>135.32</v>
      </c>
      <c r="T86" s="24">
        <f t="shared" si="18"/>
        <v>92.01</v>
      </c>
      <c r="U86" s="24">
        <f t="shared" si="19"/>
        <v>1649.11</v>
      </c>
      <c r="V86" s="24">
        <f>+VLOOKUP(A86,[1]DQS4_AUX!$A:$M,13,FALSE)</f>
        <v>0.85922699999999996</v>
      </c>
      <c r="W86" s="24">
        <f t="shared" si="20"/>
        <v>0</v>
      </c>
    </row>
    <row r="87" spans="1:23" x14ac:dyDescent="0.25">
      <c r="A87" t="str">
        <f t="shared" si="11"/>
        <v>C13.10EU1</v>
      </c>
      <c r="B87" t="s">
        <v>38</v>
      </c>
      <c r="C87" t="s">
        <v>258</v>
      </c>
      <c r="D87" t="s">
        <v>312</v>
      </c>
      <c r="E87">
        <v>1695147.08</v>
      </c>
      <c r="F87">
        <v>1695147.08</v>
      </c>
      <c r="G87">
        <v>12529062.52</v>
      </c>
      <c r="H87">
        <v>27647248.940000001</v>
      </c>
      <c r="I87">
        <v>35611997.939999998</v>
      </c>
      <c r="J87">
        <v>43.114969000000002</v>
      </c>
      <c r="K87">
        <v>79.730086</v>
      </c>
      <c r="L87">
        <v>550.96471599999995</v>
      </c>
      <c r="M87" t="s">
        <v>15</v>
      </c>
      <c r="N87" s="24">
        <f t="shared" si="12"/>
        <v>1.695147</v>
      </c>
      <c r="O87" s="24">
        <f t="shared" si="13"/>
        <v>1.695147</v>
      </c>
      <c r="P87">
        <f t="shared" si="14"/>
        <v>12.529063000000001</v>
      </c>
      <c r="Q87">
        <f t="shared" si="15"/>
        <v>27.647248999999999</v>
      </c>
      <c r="R87">
        <f t="shared" si="16"/>
        <v>35.611998</v>
      </c>
      <c r="S87" s="24">
        <f t="shared" si="17"/>
        <v>43.11</v>
      </c>
      <c r="T87" s="24">
        <f t="shared" si="18"/>
        <v>79.73</v>
      </c>
      <c r="U87" s="24">
        <f t="shared" si="19"/>
        <v>550.96</v>
      </c>
      <c r="V87" s="24">
        <f>+VLOOKUP(A87,[1]DQS4_AUX!$A:$M,13,FALSE)</f>
        <v>1.695147</v>
      </c>
      <c r="W87" s="24">
        <f t="shared" si="20"/>
        <v>0</v>
      </c>
    </row>
    <row r="88" spans="1:23" x14ac:dyDescent="0.25">
      <c r="A88" t="str">
        <f t="shared" si="11"/>
        <v>C20.30EU1</v>
      </c>
      <c r="B88" t="s">
        <v>38</v>
      </c>
      <c r="C88" t="s">
        <v>258</v>
      </c>
      <c r="D88" t="s">
        <v>52</v>
      </c>
      <c r="E88">
        <v>25871829.239999902</v>
      </c>
      <c r="F88">
        <v>25871851.689999901</v>
      </c>
      <c r="G88">
        <v>193916965.28999999</v>
      </c>
      <c r="H88">
        <v>212104513.88999999</v>
      </c>
      <c r="I88">
        <v>342649683.83999997</v>
      </c>
      <c r="J88">
        <v>5464.3045330000004</v>
      </c>
      <c r="K88">
        <v>1105.821909</v>
      </c>
      <c r="L88">
        <v>8763.1727169999995</v>
      </c>
      <c r="M88" t="s">
        <v>15</v>
      </c>
      <c r="N88" s="24">
        <f t="shared" si="12"/>
        <v>25.871829000000002</v>
      </c>
      <c r="O88" s="24">
        <f t="shared" si="13"/>
        <v>25.871852000000001</v>
      </c>
      <c r="P88">
        <f t="shared" si="14"/>
        <v>193.916965</v>
      </c>
      <c r="Q88">
        <f t="shared" si="15"/>
        <v>212.10451399999999</v>
      </c>
      <c r="R88">
        <f t="shared" si="16"/>
        <v>342.64968399999998</v>
      </c>
      <c r="S88" s="24">
        <f t="shared" si="17"/>
        <v>5464.3</v>
      </c>
      <c r="T88" s="24">
        <f t="shared" si="18"/>
        <v>1105.82</v>
      </c>
      <c r="U88" s="24">
        <f t="shared" si="19"/>
        <v>8763.17</v>
      </c>
      <c r="V88" s="24">
        <f>+VLOOKUP(A88,[1]DQS4_AUX!$A:$M,13,FALSE)</f>
        <v>25.871852000000001</v>
      </c>
      <c r="W88" s="24">
        <f t="shared" si="20"/>
        <v>0</v>
      </c>
    </row>
    <row r="89" spans="1:23" x14ac:dyDescent="0.25">
      <c r="A89" t="str">
        <f t="shared" si="11"/>
        <v>C27.11EU1</v>
      </c>
      <c r="B89" t="s">
        <v>38</v>
      </c>
      <c r="C89" t="s">
        <v>258</v>
      </c>
      <c r="D89" t="s">
        <v>107</v>
      </c>
      <c r="E89">
        <v>14723608.17</v>
      </c>
      <c r="F89">
        <v>14723608.17</v>
      </c>
      <c r="G89">
        <v>21487732.170000002</v>
      </c>
      <c r="H89">
        <v>33888888.049999997</v>
      </c>
      <c r="I89">
        <v>74284593.620000005</v>
      </c>
      <c r="J89">
        <v>576.74145299999998</v>
      </c>
      <c r="K89">
        <v>313.52111000000002</v>
      </c>
      <c r="L89">
        <v>5135.3084259999996</v>
      </c>
      <c r="M89" t="s">
        <v>15</v>
      </c>
      <c r="N89" s="24">
        <f t="shared" si="12"/>
        <v>14.723608</v>
      </c>
      <c r="O89" s="24">
        <f t="shared" si="13"/>
        <v>14.723608</v>
      </c>
      <c r="P89">
        <f t="shared" si="14"/>
        <v>21.487732000000001</v>
      </c>
      <c r="Q89">
        <f t="shared" si="15"/>
        <v>33.888888000000001</v>
      </c>
      <c r="R89">
        <f t="shared" si="16"/>
        <v>74.284593999999998</v>
      </c>
      <c r="S89" s="24">
        <f t="shared" si="17"/>
        <v>576.74</v>
      </c>
      <c r="T89" s="24">
        <f t="shared" si="18"/>
        <v>313.52</v>
      </c>
      <c r="U89" s="24">
        <f t="shared" si="19"/>
        <v>5135.3100000000004</v>
      </c>
      <c r="V89" s="24">
        <f>+VLOOKUP(A89,[1]DQS4_AUX!$A:$M,13,FALSE)</f>
        <v>14.723608</v>
      </c>
      <c r="W89" s="24">
        <f t="shared" si="20"/>
        <v>0</v>
      </c>
    </row>
    <row r="90" spans="1:23" x14ac:dyDescent="0.25">
      <c r="A90" t="str">
        <f t="shared" si="11"/>
        <v>C24.43EU1</v>
      </c>
      <c r="B90" t="s">
        <v>38</v>
      </c>
      <c r="C90" t="s">
        <v>258</v>
      </c>
      <c r="D90" t="s">
        <v>313</v>
      </c>
      <c r="E90">
        <v>135700.85</v>
      </c>
      <c r="F90">
        <v>135700.85</v>
      </c>
      <c r="G90">
        <v>223247.61</v>
      </c>
      <c r="H90">
        <v>45831.94</v>
      </c>
      <c r="I90">
        <v>653880.51</v>
      </c>
      <c r="J90">
        <v>47.437980000000003</v>
      </c>
      <c r="K90">
        <v>11.224837000000001</v>
      </c>
      <c r="L90">
        <v>154.350189</v>
      </c>
      <c r="M90" t="s">
        <v>15</v>
      </c>
      <c r="N90" s="24">
        <f t="shared" si="12"/>
        <v>0.13570099999999999</v>
      </c>
      <c r="O90" s="24">
        <f t="shared" si="13"/>
        <v>0.13570099999999999</v>
      </c>
      <c r="P90">
        <f t="shared" si="14"/>
        <v>0.223248</v>
      </c>
      <c r="Q90">
        <f t="shared" si="15"/>
        <v>4.5831999999999998E-2</v>
      </c>
      <c r="R90">
        <f t="shared" si="16"/>
        <v>0.65388100000000005</v>
      </c>
      <c r="S90" s="24">
        <f t="shared" si="17"/>
        <v>47.44</v>
      </c>
      <c r="T90" s="24">
        <f t="shared" si="18"/>
        <v>11.22</v>
      </c>
      <c r="U90" s="24">
        <f t="shared" si="19"/>
        <v>154.35</v>
      </c>
      <c r="V90" s="24">
        <f>+VLOOKUP(A90,[1]DQS4_AUX!$A:$M,13,FALSE)</f>
        <v>0.13570099999999999</v>
      </c>
      <c r="W90" s="24">
        <f t="shared" si="20"/>
        <v>0</v>
      </c>
    </row>
    <row r="91" spans="1:23" x14ac:dyDescent="0.25">
      <c r="A91" t="str">
        <f t="shared" si="11"/>
        <v>C10.32EU1</v>
      </c>
      <c r="B91" t="s">
        <v>38</v>
      </c>
      <c r="C91" t="s">
        <v>258</v>
      </c>
      <c r="D91" t="s">
        <v>427</v>
      </c>
      <c r="E91">
        <v>759759.13</v>
      </c>
      <c r="F91">
        <v>759759.13</v>
      </c>
      <c r="G91">
        <v>5782079.6600000001</v>
      </c>
      <c r="H91">
        <v>8408602.6400000006</v>
      </c>
      <c r="I91">
        <v>8098782.3300000001</v>
      </c>
      <c r="J91">
        <v>21.486982999999999</v>
      </c>
      <c r="K91">
        <v>14.609164</v>
      </c>
      <c r="L91">
        <v>261.85566899999998</v>
      </c>
      <c r="M91" t="s">
        <v>15</v>
      </c>
      <c r="N91" s="24">
        <f t="shared" si="12"/>
        <v>0.75975899999999996</v>
      </c>
      <c r="O91" s="24">
        <f t="shared" si="13"/>
        <v>0.75975899999999996</v>
      </c>
      <c r="P91">
        <f t="shared" si="14"/>
        <v>5.7820799999999997</v>
      </c>
      <c r="Q91">
        <f t="shared" si="15"/>
        <v>8.4086029999999994</v>
      </c>
      <c r="R91">
        <f t="shared" si="16"/>
        <v>8.0987819999999999</v>
      </c>
      <c r="S91" s="24">
        <f t="shared" si="17"/>
        <v>21.49</v>
      </c>
      <c r="T91" s="24">
        <f t="shared" si="18"/>
        <v>14.61</v>
      </c>
      <c r="U91" s="24">
        <f t="shared" si="19"/>
        <v>261.86</v>
      </c>
      <c r="V91" s="24">
        <f>+VLOOKUP(A91,[1]DQS4_AUX!$A:$M,13,FALSE)</f>
        <v>0.75975899999999996</v>
      </c>
      <c r="W91" s="24">
        <f t="shared" si="20"/>
        <v>0</v>
      </c>
    </row>
    <row r="92" spans="1:23" x14ac:dyDescent="0.25">
      <c r="A92" t="str">
        <f t="shared" si="11"/>
        <v>C14.12EU1</v>
      </c>
      <c r="B92" t="s">
        <v>38</v>
      </c>
      <c r="C92" t="s">
        <v>258</v>
      </c>
      <c r="D92" t="s">
        <v>426</v>
      </c>
      <c r="E92">
        <v>628998.46</v>
      </c>
      <c r="F92">
        <v>628998.46</v>
      </c>
      <c r="G92">
        <v>4326397.5599999996</v>
      </c>
      <c r="H92">
        <v>20378508.43</v>
      </c>
      <c r="I92">
        <v>35429011.5</v>
      </c>
      <c r="J92">
        <v>88.852461000000005</v>
      </c>
      <c r="K92">
        <v>164.309721</v>
      </c>
      <c r="L92">
        <v>1135.440846</v>
      </c>
      <c r="M92" t="s">
        <v>15</v>
      </c>
      <c r="N92" s="24">
        <f t="shared" si="12"/>
        <v>0.62899799999999995</v>
      </c>
      <c r="O92" s="24">
        <f t="shared" si="13"/>
        <v>0.62899799999999995</v>
      </c>
      <c r="P92">
        <f t="shared" si="14"/>
        <v>4.3263980000000002</v>
      </c>
      <c r="Q92">
        <f t="shared" si="15"/>
        <v>20.378508</v>
      </c>
      <c r="R92">
        <f t="shared" si="16"/>
        <v>35.429012</v>
      </c>
      <c r="S92" s="24">
        <f t="shared" si="17"/>
        <v>88.85</v>
      </c>
      <c r="T92" s="24">
        <f t="shared" si="18"/>
        <v>164.31</v>
      </c>
      <c r="U92" s="24">
        <f t="shared" si="19"/>
        <v>1135.44</v>
      </c>
      <c r="V92" s="24">
        <f>+VLOOKUP(A92,[1]DQS4_AUX!$A:$M,13,FALSE)</f>
        <v>0.62899799999999995</v>
      </c>
      <c r="W92" s="24">
        <f t="shared" si="20"/>
        <v>0</v>
      </c>
    </row>
    <row r="93" spans="1:23" x14ac:dyDescent="0.25">
      <c r="A93" t="str">
        <f t="shared" si="11"/>
        <v>C20.13EU1</v>
      </c>
      <c r="B93" t="s">
        <v>38</v>
      </c>
      <c r="C93" t="s">
        <v>258</v>
      </c>
      <c r="D93" t="s">
        <v>428</v>
      </c>
      <c r="E93">
        <v>994640.31</v>
      </c>
      <c r="F93">
        <v>994640.31</v>
      </c>
      <c r="G93">
        <v>557655.23</v>
      </c>
      <c r="H93">
        <v>6547057.4400000004</v>
      </c>
      <c r="I93">
        <v>15518790.59</v>
      </c>
      <c r="J93">
        <v>607.81732199999999</v>
      </c>
      <c r="K93">
        <v>123.00518</v>
      </c>
      <c r="L93">
        <v>974.76414599999998</v>
      </c>
      <c r="M93" t="s">
        <v>15</v>
      </c>
      <c r="N93" s="24">
        <f t="shared" si="12"/>
        <v>0.99463999999999997</v>
      </c>
      <c r="O93" s="24">
        <f t="shared" si="13"/>
        <v>0.99463999999999997</v>
      </c>
      <c r="P93">
        <f t="shared" si="14"/>
        <v>0.55765500000000001</v>
      </c>
      <c r="Q93">
        <f t="shared" si="15"/>
        <v>6.5470569999999997</v>
      </c>
      <c r="R93">
        <f t="shared" si="16"/>
        <v>15.518791</v>
      </c>
      <c r="S93" s="24">
        <f t="shared" si="17"/>
        <v>607.82000000000005</v>
      </c>
      <c r="T93" s="24">
        <f t="shared" si="18"/>
        <v>123.01</v>
      </c>
      <c r="U93" s="24">
        <f t="shared" si="19"/>
        <v>974.76</v>
      </c>
      <c r="V93" s="24">
        <f>+VLOOKUP(A93,[1]DQS4_AUX!$A:$M,13,FALSE)</f>
        <v>0.99463999999999997</v>
      </c>
      <c r="W93" s="24">
        <f t="shared" si="20"/>
        <v>0</v>
      </c>
    </row>
    <row r="94" spans="1:23" x14ac:dyDescent="0.25">
      <c r="A94" t="str">
        <f t="shared" si="11"/>
        <v>C25.50EU1</v>
      </c>
      <c r="B94" t="s">
        <v>38</v>
      </c>
      <c r="C94" t="s">
        <v>258</v>
      </c>
      <c r="D94" t="s">
        <v>429</v>
      </c>
      <c r="E94">
        <v>2683540.2299999902</v>
      </c>
      <c r="F94">
        <v>2683847.2499999902</v>
      </c>
      <c r="G94">
        <v>22849298.219999999</v>
      </c>
      <c r="H94">
        <v>23715727.420000002</v>
      </c>
      <c r="I94">
        <v>60531063.729999997</v>
      </c>
      <c r="J94">
        <v>566.602532</v>
      </c>
      <c r="K94">
        <v>134.07022699999999</v>
      </c>
      <c r="L94">
        <v>1843.569442</v>
      </c>
      <c r="M94" t="s">
        <v>15</v>
      </c>
      <c r="N94" s="24">
        <f t="shared" si="12"/>
        <v>2.6835399999999998</v>
      </c>
      <c r="O94" s="24">
        <f t="shared" si="13"/>
        <v>2.6838470000000001</v>
      </c>
      <c r="P94">
        <f t="shared" si="14"/>
        <v>22.849298000000001</v>
      </c>
      <c r="Q94">
        <f t="shared" si="15"/>
        <v>23.715727000000001</v>
      </c>
      <c r="R94">
        <f t="shared" si="16"/>
        <v>60.531064000000001</v>
      </c>
      <c r="S94" s="24">
        <f t="shared" si="17"/>
        <v>566.6</v>
      </c>
      <c r="T94" s="24">
        <f t="shared" si="18"/>
        <v>134.07</v>
      </c>
      <c r="U94" s="24">
        <f t="shared" si="19"/>
        <v>1843.57</v>
      </c>
      <c r="V94" s="24">
        <f>+VLOOKUP(A94,[1]DQS4_AUX!$A:$M,13,FALSE)</f>
        <v>2.6838470000000001</v>
      </c>
      <c r="W94" s="24">
        <f t="shared" si="20"/>
        <v>0</v>
      </c>
    </row>
    <row r="95" spans="1:23" x14ac:dyDescent="0.25">
      <c r="A95" t="str">
        <f t="shared" si="11"/>
        <v>C28.14EU1</v>
      </c>
      <c r="B95" t="s">
        <v>38</v>
      </c>
      <c r="C95" t="s">
        <v>258</v>
      </c>
      <c r="D95" t="s">
        <v>430</v>
      </c>
      <c r="E95">
        <v>1556782.66</v>
      </c>
      <c r="F95">
        <v>1556782.66</v>
      </c>
      <c r="G95">
        <v>7169953.96</v>
      </c>
      <c r="H95">
        <v>52165939.079999998</v>
      </c>
      <c r="I95">
        <v>175988145.58000001</v>
      </c>
      <c r="J95">
        <v>126.036779</v>
      </c>
      <c r="K95">
        <v>68.514555999999999</v>
      </c>
      <c r="L95">
        <v>1122.232141</v>
      </c>
      <c r="M95" t="s">
        <v>15</v>
      </c>
      <c r="N95" s="24">
        <f t="shared" si="12"/>
        <v>1.556783</v>
      </c>
      <c r="O95" s="24">
        <f t="shared" si="13"/>
        <v>1.556783</v>
      </c>
      <c r="P95">
        <f t="shared" si="14"/>
        <v>7.1699539999999997</v>
      </c>
      <c r="Q95">
        <f t="shared" si="15"/>
        <v>52.165939000000002</v>
      </c>
      <c r="R95">
        <f t="shared" si="16"/>
        <v>175.988146</v>
      </c>
      <c r="S95" s="24">
        <f t="shared" si="17"/>
        <v>126.04</v>
      </c>
      <c r="T95" s="24">
        <f t="shared" si="18"/>
        <v>68.510000000000005</v>
      </c>
      <c r="U95" s="24">
        <f t="shared" si="19"/>
        <v>1122.23</v>
      </c>
      <c r="V95" s="24">
        <f>+VLOOKUP(A95,[1]DQS4_AUX!$A:$M,13,FALSE)</f>
        <v>1.556783</v>
      </c>
      <c r="W95" s="24">
        <f t="shared" si="20"/>
        <v>0</v>
      </c>
    </row>
    <row r="96" spans="1:23" x14ac:dyDescent="0.25">
      <c r="A96" t="str">
        <f t="shared" si="11"/>
        <v>C16.24EU1</v>
      </c>
      <c r="B96" t="s">
        <v>38</v>
      </c>
      <c r="C96" t="s">
        <v>258</v>
      </c>
      <c r="D96" t="s">
        <v>314</v>
      </c>
      <c r="E96">
        <v>1048264.23999999</v>
      </c>
      <c r="F96">
        <v>1048264.52999999</v>
      </c>
      <c r="G96">
        <v>15310787.960000001</v>
      </c>
      <c r="H96">
        <v>17897874.27</v>
      </c>
      <c r="I96">
        <v>44445297.810000002</v>
      </c>
      <c r="J96">
        <v>114.85108099999999</v>
      </c>
      <c r="K96">
        <v>103.944444</v>
      </c>
      <c r="L96">
        <v>537.03171399999997</v>
      </c>
      <c r="M96" t="s">
        <v>15</v>
      </c>
      <c r="N96" s="24">
        <f t="shared" si="12"/>
        <v>1.0482640000000001</v>
      </c>
      <c r="O96" s="24">
        <f t="shared" si="13"/>
        <v>1.048265</v>
      </c>
      <c r="P96">
        <f t="shared" si="14"/>
        <v>15.310788000000001</v>
      </c>
      <c r="Q96">
        <f t="shared" si="15"/>
        <v>17.897874000000002</v>
      </c>
      <c r="R96">
        <f t="shared" si="16"/>
        <v>44.445298000000001</v>
      </c>
      <c r="S96" s="24">
        <f t="shared" si="17"/>
        <v>114.85</v>
      </c>
      <c r="T96" s="24">
        <f t="shared" si="18"/>
        <v>103.94</v>
      </c>
      <c r="U96" s="24">
        <f t="shared" si="19"/>
        <v>537.03</v>
      </c>
      <c r="V96" s="24">
        <f>+VLOOKUP(A96,[1]DQS4_AUX!$A:$M,13,FALSE)</f>
        <v>1.048265</v>
      </c>
      <c r="W96" s="24">
        <f t="shared" si="20"/>
        <v>0</v>
      </c>
    </row>
    <row r="97" spans="1:23" x14ac:dyDescent="0.25">
      <c r="A97" t="str">
        <f t="shared" si="11"/>
        <v>C11.05EU1</v>
      </c>
      <c r="B97" t="s">
        <v>38</v>
      </c>
      <c r="C97" t="s">
        <v>258</v>
      </c>
      <c r="D97" t="s">
        <v>175</v>
      </c>
      <c r="E97">
        <v>2133037.98999999</v>
      </c>
      <c r="F97">
        <v>2133038.4499999899</v>
      </c>
      <c r="G97">
        <v>16507550.720000001</v>
      </c>
      <c r="H97">
        <v>221105575.47</v>
      </c>
      <c r="I97">
        <v>753996670.61000001</v>
      </c>
      <c r="J97">
        <v>355.77171199999998</v>
      </c>
      <c r="K97">
        <v>241.89189200000001</v>
      </c>
      <c r="L97">
        <v>4335.6877439999998</v>
      </c>
      <c r="M97" t="s">
        <v>15</v>
      </c>
      <c r="N97" s="24">
        <f t="shared" si="12"/>
        <v>2.133038</v>
      </c>
      <c r="O97" s="24">
        <f t="shared" si="13"/>
        <v>2.133038</v>
      </c>
      <c r="P97">
        <f t="shared" si="14"/>
        <v>16.507550999999999</v>
      </c>
      <c r="Q97">
        <f t="shared" si="15"/>
        <v>221.10557499999999</v>
      </c>
      <c r="R97">
        <f t="shared" si="16"/>
        <v>753.99667099999999</v>
      </c>
      <c r="S97" s="24">
        <f t="shared" si="17"/>
        <v>355.77</v>
      </c>
      <c r="T97" s="24">
        <f t="shared" si="18"/>
        <v>241.89</v>
      </c>
      <c r="U97" s="24">
        <f t="shared" si="19"/>
        <v>4335.6899999999996</v>
      </c>
      <c r="V97" s="24">
        <f>+VLOOKUP(A97,[1]DQS4_AUX!$A:$M,13,FALSE)</f>
        <v>2.133038</v>
      </c>
      <c r="W97" s="24">
        <f t="shared" si="20"/>
        <v>0</v>
      </c>
    </row>
    <row r="98" spans="1:23" x14ac:dyDescent="0.25">
      <c r="A98" t="str">
        <f t="shared" si="11"/>
        <v>C13.95EU1</v>
      </c>
      <c r="B98" t="s">
        <v>38</v>
      </c>
      <c r="C98" t="s">
        <v>258</v>
      </c>
      <c r="D98" t="s">
        <v>459</v>
      </c>
      <c r="E98">
        <v>36493.089999999997</v>
      </c>
      <c r="F98">
        <v>36493.089999999997</v>
      </c>
      <c r="G98">
        <v>52562.84</v>
      </c>
      <c r="H98">
        <v>9677531.2200000007</v>
      </c>
      <c r="I98">
        <v>20719484.41</v>
      </c>
      <c r="J98">
        <v>2.3399869999999998</v>
      </c>
      <c r="K98">
        <v>4.3272060000000003</v>
      </c>
      <c r="L98">
        <v>29.902615999999998</v>
      </c>
      <c r="M98" t="s">
        <v>15</v>
      </c>
      <c r="N98" s="24">
        <f t="shared" si="12"/>
        <v>3.6492999999999998E-2</v>
      </c>
      <c r="O98" s="24">
        <f t="shared" si="13"/>
        <v>3.6492999999999998E-2</v>
      </c>
      <c r="P98">
        <f t="shared" si="14"/>
        <v>5.2562999999999999E-2</v>
      </c>
      <c r="Q98">
        <f t="shared" si="15"/>
        <v>9.6775310000000001</v>
      </c>
      <c r="R98">
        <f t="shared" si="16"/>
        <v>20.719484000000001</v>
      </c>
      <c r="S98" s="24">
        <f t="shared" si="17"/>
        <v>2.34</v>
      </c>
      <c r="T98" s="24">
        <f t="shared" si="18"/>
        <v>4.33</v>
      </c>
      <c r="U98" s="24">
        <f t="shared" si="19"/>
        <v>29.9</v>
      </c>
      <c r="V98" s="24">
        <f>+VLOOKUP(A98,[1]DQS4_AUX!$A:$M,13,FALSE)</f>
        <v>3.6492999999999998E-2</v>
      </c>
      <c r="W98" s="24">
        <f t="shared" si="20"/>
        <v>0</v>
      </c>
    </row>
    <row r="99" spans="1:23" x14ac:dyDescent="0.25">
      <c r="A99" t="str">
        <f t="shared" si="11"/>
        <v>C22.23EU1</v>
      </c>
      <c r="B99" t="s">
        <v>38</v>
      </c>
      <c r="C99" t="s">
        <v>258</v>
      </c>
      <c r="D99" t="s">
        <v>369</v>
      </c>
      <c r="E99">
        <v>2530424.9499999899</v>
      </c>
      <c r="F99">
        <v>2530740.7299999902</v>
      </c>
      <c r="G99">
        <v>36731513.439999998</v>
      </c>
      <c r="H99">
        <v>125934742.38</v>
      </c>
      <c r="I99">
        <v>174346027.03</v>
      </c>
      <c r="J99">
        <v>842.39294700000005</v>
      </c>
      <c r="K99">
        <v>170.47666899999999</v>
      </c>
      <c r="L99">
        <v>1350.955997</v>
      </c>
      <c r="M99" t="s">
        <v>15</v>
      </c>
      <c r="N99" s="24">
        <f t="shared" si="12"/>
        <v>2.5304250000000001</v>
      </c>
      <c r="O99" s="24">
        <f t="shared" si="13"/>
        <v>2.5307409999999999</v>
      </c>
      <c r="P99">
        <f t="shared" si="14"/>
        <v>36.731513</v>
      </c>
      <c r="Q99">
        <f t="shared" si="15"/>
        <v>125.934742</v>
      </c>
      <c r="R99">
        <f t="shared" si="16"/>
        <v>174.34602699999999</v>
      </c>
      <c r="S99" s="24">
        <f t="shared" si="17"/>
        <v>842.39</v>
      </c>
      <c r="T99" s="24">
        <f t="shared" si="18"/>
        <v>170.48</v>
      </c>
      <c r="U99" s="24">
        <f t="shared" si="19"/>
        <v>1350.96</v>
      </c>
      <c r="V99" s="24">
        <f>+VLOOKUP(A99,[1]DQS4_AUX!$A:$M,13,FALSE)</f>
        <v>2.5307409999999999</v>
      </c>
      <c r="W99" s="24">
        <f t="shared" si="20"/>
        <v>0</v>
      </c>
    </row>
    <row r="100" spans="1:23" x14ac:dyDescent="0.25">
      <c r="A100" t="str">
        <f t="shared" si="11"/>
        <v>C27.90EU1</v>
      </c>
      <c r="B100" t="s">
        <v>38</v>
      </c>
      <c r="C100" t="s">
        <v>258</v>
      </c>
      <c r="D100" t="s">
        <v>370</v>
      </c>
      <c r="E100">
        <v>3123845.05</v>
      </c>
      <c r="F100">
        <v>3123845.05</v>
      </c>
      <c r="G100">
        <v>19435312.469999999</v>
      </c>
      <c r="H100">
        <v>41428010.740000002</v>
      </c>
      <c r="I100">
        <v>78433714.510000005</v>
      </c>
      <c r="J100">
        <v>158.648359</v>
      </c>
      <c r="K100">
        <v>86.242438000000007</v>
      </c>
      <c r="L100">
        <v>1412.606301</v>
      </c>
      <c r="M100" t="s">
        <v>15</v>
      </c>
      <c r="N100" s="24">
        <f t="shared" si="12"/>
        <v>3.1238450000000002</v>
      </c>
      <c r="O100" s="24">
        <f t="shared" si="13"/>
        <v>3.1238450000000002</v>
      </c>
      <c r="P100">
        <f t="shared" si="14"/>
        <v>19.435312</v>
      </c>
      <c r="Q100">
        <f t="shared" si="15"/>
        <v>41.428010999999998</v>
      </c>
      <c r="R100">
        <f t="shared" si="16"/>
        <v>78.433715000000007</v>
      </c>
      <c r="S100" s="24">
        <f t="shared" si="17"/>
        <v>158.65</v>
      </c>
      <c r="T100" s="24">
        <f t="shared" si="18"/>
        <v>86.24</v>
      </c>
      <c r="U100" s="24">
        <f t="shared" si="19"/>
        <v>1412.61</v>
      </c>
      <c r="V100" s="24">
        <f>+VLOOKUP(A100,[1]DQS4_AUX!$A:$M,13,FALSE)</f>
        <v>3.1238450000000002</v>
      </c>
      <c r="W100" s="24">
        <f t="shared" si="20"/>
        <v>0</v>
      </c>
    </row>
    <row r="101" spans="1:23" x14ac:dyDescent="0.25">
      <c r="A101" t="str">
        <f t="shared" si="11"/>
        <v>C28.41EU1</v>
      </c>
      <c r="B101" t="s">
        <v>38</v>
      </c>
      <c r="C101" t="s">
        <v>258</v>
      </c>
      <c r="D101" t="s">
        <v>317</v>
      </c>
      <c r="E101">
        <v>1336231.54999999</v>
      </c>
      <c r="F101">
        <v>1336285.80999999</v>
      </c>
      <c r="G101">
        <v>42887142.890000001</v>
      </c>
      <c r="H101">
        <v>66322903.899999999</v>
      </c>
      <c r="I101">
        <v>69227605.819999993</v>
      </c>
      <c r="J101">
        <v>61.796362000000002</v>
      </c>
      <c r="K101">
        <v>33.592970000000001</v>
      </c>
      <c r="L101">
        <v>550.23517100000004</v>
      </c>
      <c r="M101" t="s">
        <v>15</v>
      </c>
      <c r="N101" s="24">
        <f t="shared" si="12"/>
        <v>1.3362320000000001</v>
      </c>
      <c r="O101" s="24">
        <f t="shared" si="13"/>
        <v>1.3362860000000001</v>
      </c>
      <c r="P101">
        <f t="shared" si="14"/>
        <v>42.887143000000002</v>
      </c>
      <c r="Q101">
        <f t="shared" si="15"/>
        <v>66.322903999999994</v>
      </c>
      <c r="R101">
        <f t="shared" si="16"/>
        <v>69.227605999999994</v>
      </c>
      <c r="S101" s="24">
        <f t="shared" si="17"/>
        <v>61.8</v>
      </c>
      <c r="T101" s="24">
        <f t="shared" si="18"/>
        <v>33.590000000000003</v>
      </c>
      <c r="U101" s="24">
        <f t="shared" si="19"/>
        <v>550.24</v>
      </c>
      <c r="V101" s="24">
        <f>+VLOOKUP(A101,[1]DQS4_AUX!$A:$M,13,FALSE)</f>
        <v>1.3362860000000001</v>
      </c>
      <c r="W101" s="24">
        <f t="shared" si="20"/>
        <v>0</v>
      </c>
    </row>
    <row r="102" spans="1:23" x14ac:dyDescent="0.25">
      <c r="A102" t="str">
        <f t="shared" si="11"/>
        <v>C31.09EU1</v>
      </c>
      <c r="B102" t="s">
        <v>38</v>
      </c>
      <c r="C102" t="s">
        <v>258</v>
      </c>
      <c r="D102" t="s">
        <v>315</v>
      </c>
      <c r="E102">
        <v>33744771.519999899</v>
      </c>
      <c r="F102">
        <v>33747796.739999898</v>
      </c>
      <c r="G102">
        <v>230539991.43000001</v>
      </c>
      <c r="H102">
        <v>383174221.27999997</v>
      </c>
      <c r="I102">
        <v>765352716.96000004</v>
      </c>
      <c r="J102">
        <v>3187.6900850000002</v>
      </c>
      <c r="K102">
        <v>1159.873419</v>
      </c>
      <c r="L102">
        <v>11141.558671999999</v>
      </c>
      <c r="M102" t="s">
        <v>15</v>
      </c>
      <c r="N102" s="24">
        <f t="shared" si="12"/>
        <v>33.744771999999998</v>
      </c>
      <c r="O102" s="24">
        <f t="shared" si="13"/>
        <v>33.747796999999998</v>
      </c>
      <c r="P102">
        <f t="shared" si="14"/>
        <v>230.53999099999999</v>
      </c>
      <c r="Q102">
        <f t="shared" si="15"/>
        <v>383.17422099999999</v>
      </c>
      <c r="R102">
        <f t="shared" si="16"/>
        <v>765.35271699999998</v>
      </c>
      <c r="S102" s="24">
        <f t="shared" si="17"/>
        <v>3187.69</v>
      </c>
      <c r="T102" s="24">
        <f t="shared" si="18"/>
        <v>1159.8699999999999</v>
      </c>
      <c r="U102" s="24">
        <f t="shared" si="19"/>
        <v>11141.56</v>
      </c>
      <c r="V102" s="24">
        <f>+VLOOKUP(A102,[1]DQS4_AUX!$A:$M,13,FALSE)</f>
        <v>33.747796999999998</v>
      </c>
      <c r="W102" s="24">
        <f t="shared" si="20"/>
        <v>0</v>
      </c>
    </row>
    <row r="103" spans="1:23" x14ac:dyDescent="0.25">
      <c r="A103" t="str">
        <f t="shared" si="11"/>
        <v>C20.11EU1</v>
      </c>
      <c r="B103" t="s">
        <v>38</v>
      </c>
      <c r="C103" t="s">
        <v>258</v>
      </c>
      <c r="D103" t="s">
        <v>316</v>
      </c>
      <c r="E103">
        <v>93406.38</v>
      </c>
      <c r="F103">
        <v>93406.38</v>
      </c>
      <c r="G103">
        <v>519300.87</v>
      </c>
      <c r="H103">
        <v>59000103.359999999</v>
      </c>
      <c r="I103">
        <v>29009279.530000001</v>
      </c>
      <c r="J103">
        <v>12.587740999999999</v>
      </c>
      <c r="K103">
        <v>2.5473919999999999</v>
      </c>
      <c r="L103">
        <v>20.187121999999999</v>
      </c>
      <c r="M103" t="s">
        <v>15</v>
      </c>
      <c r="N103" s="24">
        <f t="shared" si="12"/>
        <v>9.3406000000000003E-2</v>
      </c>
      <c r="O103" s="24">
        <f t="shared" si="13"/>
        <v>9.3406000000000003E-2</v>
      </c>
      <c r="P103">
        <f t="shared" si="14"/>
        <v>0.51930100000000001</v>
      </c>
      <c r="Q103">
        <f t="shared" si="15"/>
        <v>59.000103000000003</v>
      </c>
      <c r="R103">
        <f t="shared" si="16"/>
        <v>29.00928</v>
      </c>
      <c r="S103" s="24">
        <f t="shared" si="17"/>
        <v>12.59</v>
      </c>
      <c r="T103" s="24">
        <f t="shared" si="18"/>
        <v>2.5499999999999998</v>
      </c>
      <c r="U103" s="24">
        <f t="shared" si="19"/>
        <v>20.190000000000001</v>
      </c>
      <c r="V103" s="24">
        <f>+VLOOKUP(A103,[1]DQS4_AUX!$A:$M,13,FALSE)</f>
        <v>9.3406000000000003E-2</v>
      </c>
      <c r="W103" s="24">
        <f t="shared" si="20"/>
        <v>0</v>
      </c>
    </row>
    <row r="104" spans="1:23" x14ac:dyDescent="0.25">
      <c r="A104" t="str">
        <f t="shared" si="11"/>
        <v>C16.23EU1</v>
      </c>
      <c r="B104" t="s">
        <v>38</v>
      </c>
      <c r="C104" t="s">
        <v>258</v>
      </c>
      <c r="D104" t="s">
        <v>333</v>
      </c>
      <c r="E104">
        <v>14808749.8999999</v>
      </c>
      <c r="F104">
        <v>14810677.509999899</v>
      </c>
      <c r="G104">
        <v>116179049.66</v>
      </c>
      <c r="H104">
        <v>212794890.41</v>
      </c>
      <c r="I104">
        <v>323298609.57999998</v>
      </c>
      <c r="J104">
        <v>1574.4854310000001</v>
      </c>
      <c r="K104">
        <v>1424.967075</v>
      </c>
      <c r="L104">
        <v>7362.1305620000003</v>
      </c>
      <c r="M104" t="s">
        <v>15</v>
      </c>
      <c r="N104" s="24">
        <f t="shared" si="12"/>
        <v>14.80875</v>
      </c>
      <c r="O104" s="24">
        <f t="shared" si="13"/>
        <v>14.810677999999999</v>
      </c>
      <c r="P104">
        <f t="shared" si="14"/>
        <v>116.17905</v>
      </c>
      <c r="Q104">
        <f t="shared" si="15"/>
        <v>212.79489000000001</v>
      </c>
      <c r="R104">
        <f t="shared" si="16"/>
        <v>323.29861</v>
      </c>
      <c r="S104" s="24">
        <f t="shared" si="17"/>
        <v>1574.49</v>
      </c>
      <c r="T104" s="24">
        <f t="shared" si="18"/>
        <v>1424.97</v>
      </c>
      <c r="U104" s="24">
        <f t="shared" si="19"/>
        <v>7362.13</v>
      </c>
      <c r="V104" s="24">
        <f>+VLOOKUP(A104,[1]DQS4_AUX!$A:$M,13,FALSE)</f>
        <v>14.810677999999999</v>
      </c>
      <c r="W104" s="24">
        <f t="shared" si="20"/>
        <v>0</v>
      </c>
    </row>
    <row r="105" spans="1:23" x14ac:dyDescent="0.25">
      <c r="A105" t="str">
        <f t="shared" si="11"/>
        <v>C10.85EU1</v>
      </c>
      <c r="B105" t="s">
        <v>38</v>
      </c>
      <c r="C105" t="s">
        <v>258</v>
      </c>
      <c r="D105" t="s">
        <v>335</v>
      </c>
      <c r="E105">
        <v>2578899.8999999901</v>
      </c>
      <c r="F105">
        <v>2581236.2299999902</v>
      </c>
      <c r="G105">
        <v>25026264.91</v>
      </c>
      <c r="H105">
        <v>32256054.760000002</v>
      </c>
      <c r="I105">
        <v>42539633.590000004</v>
      </c>
      <c r="J105">
        <v>181.95866799999999</v>
      </c>
      <c r="K105">
        <v>123.715074</v>
      </c>
      <c r="L105">
        <v>2217.4784679999998</v>
      </c>
      <c r="M105" t="s">
        <v>15</v>
      </c>
      <c r="N105" s="24">
        <f t="shared" si="12"/>
        <v>2.5789</v>
      </c>
      <c r="O105" s="24">
        <f t="shared" si="13"/>
        <v>2.5812360000000001</v>
      </c>
      <c r="P105">
        <f t="shared" si="14"/>
        <v>25.026264999999999</v>
      </c>
      <c r="Q105">
        <f t="shared" si="15"/>
        <v>32.256055000000003</v>
      </c>
      <c r="R105">
        <f t="shared" si="16"/>
        <v>42.539634</v>
      </c>
      <c r="S105" s="24">
        <f t="shared" si="17"/>
        <v>181.96</v>
      </c>
      <c r="T105" s="24">
        <f t="shared" si="18"/>
        <v>123.72</v>
      </c>
      <c r="U105" s="24">
        <f t="shared" si="19"/>
        <v>2217.48</v>
      </c>
      <c r="V105" s="24">
        <f>+VLOOKUP(A105,[1]DQS4_AUX!$A:$M,13,FALSE)</f>
        <v>2.5812360000000001</v>
      </c>
      <c r="W105" s="24">
        <f t="shared" si="20"/>
        <v>0</v>
      </c>
    </row>
    <row r="106" spans="1:23" x14ac:dyDescent="0.25">
      <c r="A106" t="str">
        <f t="shared" si="11"/>
        <v>C23.12EU1</v>
      </c>
      <c r="B106" t="s">
        <v>38</v>
      </c>
      <c r="C106" t="s">
        <v>258</v>
      </c>
      <c r="D106" t="s">
        <v>334</v>
      </c>
      <c r="E106">
        <v>7887795.8099999903</v>
      </c>
      <c r="F106">
        <v>7888409.6099999901</v>
      </c>
      <c r="G106">
        <v>42332713.369999997</v>
      </c>
      <c r="H106">
        <v>84267521.200000003</v>
      </c>
      <c r="I106">
        <v>124609291.54000001</v>
      </c>
      <c r="J106">
        <v>2527.6111930000002</v>
      </c>
      <c r="K106">
        <v>511.51747699999999</v>
      </c>
      <c r="L106">
        <v>4053.5613969999999</v>
      </c>
      <c r="M106" t="s">
        <v>15</v>
      </c>
      <c r="N106" s="24">
        <f t="shared" si="12"/>
        <v>7.8877959999999998</v>
      </c>
      <c r="O106" s="24">
        <f t="shared" si="13"/>
        <v>7.8884100000000004</v>
      </c>
      <c r="P106">
        <f t="shared" si="14"/>
        <v>42.332712999999998</v>
      </c>
      <c r="Q106">
        <f t="shared" si="15"/>
        <v>84.267521000000002</v>
      </c>
      <c r="R106">
        <f t="shared" si="16"/>
        <v>124.609292</v>
      </c>
      <c r="S106" s="24">
        <f t="shared" si="17"/>
        <v>2527.61</v>
      </c>
      <c r="T106" s="24">
        <f t="shared" si="18"/>
        <v>511.52</v>
      </c>
      <c r="U106" s="24">
        <f t="shared" si="19"/>
        <v>4053.56</v>
      </c>
      <c r="V106" s="24">
        <f>+VLOOKUP(A106,[1]DQS4_AUX!$A:$M,13,FALSE)</f>
        <v>7.8884100000000004</v>
      </c>
      <c r="W106" s="24">
        <f t="shared" si="20"/>
        <v>0</v>
      </c>
    </row>
    <row r="107" spans="1:23" x14ac:dyDescent="0.25">
      <c r="A107" t="str">
        <f t="shared" si="11"/>
        <v>C10.61EU1</v>
      </c>
      <c r="B107" t="s">
        <v>38</v>
      </c>
      <c r="C107" t="s">
        <v>258</v>
      </c>
      <c r="D107" t="s">
        <v>97</v>
      </c>
      <c r="E107">
        <v>23946912.720621899</v>
      </c>
      <c r="F107">
        <v>23946934.390621901</v>
      </c>
      <c r="G107">
        <v>152626100.63999999</v>
      </c>
      <c r="H107">
        <v>188433485.74000001</v>
      </c>
      <c r="I107">
        <v>686297301.59000003</v>
      </c>
      <c r="J107">
        <v>2139.0944509999999</v>
      </c>
      <c r="K107">
        <v>1454.386659</v>
      </c>
      <c r="L107">
        <v>26068.527330000001</v>
      </c>
      <c r="M107" t="s">
        <v>15</v>
      </c>
      <c r="N107" s="24">
        <f t="shared" si="12"/>
        <v>23.946912999999999</v>
      </c>
      <c r="O107" s="24">
        <f t="shared" si="13"/>
        <v>23.946933999999999</v>
      </c>
      <c r="P107">
        <f t="shared" si="14"/>
        <v>152.62610100000001</v>
      </c>
      <c r="Q107">
        <f t="shared" si="15"/>
        <v>188.43348599999999</v>
      </c>
      <c r="R107">
        <f t="shared" si="16"/>
        <v>686.29730199999995</v>
      </c>
      <c r="S107" s="24">
        <f t="shared" si="17"/>
        <v>2139.09</v>
      </c>
      <c r="T107" s="24">
        <f t="shared" si="18"/>
        <v>1454.39</v>
      </c>
      <c r="U107" s="24">
        <f t="shared" si="19"/>
        <v>26068.53</v>
      </c>
      <c r="V107" s="24">
        <f>+VLOOKUP(A107,[1]DQS4_AUX!$A:$M,13,FALSE)</f>
        <v>23.946933999999999</v>
      </c>
      <c r="W107" s="24">
        <f t="shared" si="20"/>
        <v>0</v>
      </c>
    </row>
    <row r="108" spans="1:23" x14ac:dyDescent="0.25">
      <c r="A108" t="str">
        <f t="shared" si="11"/>
        <v>C14.39EU1</v>
      </c>
      <c r="B108" t="s">
        <v>38</v>
      </c>
      <c r="C108" t="s">
        <v>258</v>
      </c>
      <c r="D108" t="s">
        <v>372</v>
      </c>
      <c r="E108">
        <v>8360166.2999999896</v>
      </c>
      <c r="F108">
        <v>8360300.4499999899</v>
      </c>
      <c r="G108">
        <v>50844547.899999999</v>
      </c>
      <c r="H108">
        <v>104678711.48999999</v>
      </c>
      <c r="I108">
        <v>221748866.41999999</v>
      </c>
      <c r="J108">
        <v>289.87854900000002</v>
      </c>
      <c r="K108">
        <v>536.05562799999996</v>
      </c>
      <c r="L108">
        <v>3704.3422970000001</v>
      </c>
      <c r="M108" t="s">
        <v>15</v>
      </c>
      <c r="N108" s="24">
        <f t="shared" si="12"/>
        <v>8.3601659999999995</v>
      </c>
      <c r="O108" s="24">
        <f t="shared" si="13"/>
        <v>8.3603000000000005</v>
      </c>
      <c r="P108">
        <f t="shared" si="14"/>
        <v>50.844548000000003</v>
      </c>
      <c r="Q108">
        <f t="shared" si="15"/>
        <v>104.67871100000001</v>
      </c>
      <c r="R108">
        <f t="shared" si="16"/>
        <v>221.74886599999999</v>
      </c>
      <c r="S108" s="24">
        <f t="shared" si="17"/>
        <v>289.88</v>
      </c>
      <c r="T108" s="24">
        <f t="shared" si="18"/>
        <v>536.05999999999995</v>
      </c>
      <c r="U108" s="24">
        <f t="shared" si="19"/>
        <v>3704.34</v>
      </c>
      <c r="V108" s="24">
        <f>+VLOOKUP(A108,[1]DQS4_AUX!$A:$M,13,FALSE)</f>
        <v>8.3603000000000005</v>
      </c>
      <c r="W108" s="24">
        <f t="shared" si="20"/>
        <v>0</v>
      </c>
    </row>
    <row r="109" spans="1:23" x14ac:dyDescent="0.25">
      <c r="A109" t="str">
        <f t="shared" si="11"/>
        <v>C25.94EU1</v>
      </c>
      <c r="B109" t="s">
        <v>38</v>
      </c>
      <c r="C109" t="s">
        <v>258</v>
      </c>
      <c r="D109" t="s">
        <v>460</v>
      </c>
      <c r="E109">
        <v>3428501.1299999901</v>
      </c>
      <c r="F109">
        <v>3428546.8599999901</v>
      </c>
      <c r="G109">
        <v>12759445.02</v>
      </c>
      <c r="H109">
        <v>29499297.34</v>
      </c>
      <c r="I109">
        <v>49503510.460000001</v>
      </c>
      <c r="J109">
        <v>617.69108300000005</v>
      </c>
      <c r="K109">
        <v>146.15888200000001</v>
      </c>
      <c r="L109">
        <v>2009.7975309999999</v>
      </c>
      <c r="M109" t="s">
        <v>15</v>
      </c>
      <c r="N109" s="24">
        <f t="shared" si="12"/>
        <v>3.4285009999999998</v>
      </c>
      <c r="O109" s="24">
        <f t="shared" si="13"/>
        <v>3.428547</v>
      </c>
      <c r="P109">
        <f t="shared" si="14"/>
        <v>12.759444999999999</v>
      </c>
      <c r="Q109">
        <f t="shared" si="15"/>
        <v>29.499296999999999</v>
      </c>
      <c r="R109">
        <f t="shared" si="16"/>
        <v>49.503509999999999</v>
      </c>
      <c r="S109" s="24">
        <f t="shared" si="17"/>
        <v>617.69000000000005</v>
      </c>
      <c r="T109" s="24">
        <f t="shared" si="18"/>
        <v>146.16</v>
      </c>
      <c r="U109" s="24">
        <f t="shared" si="19"/>
        <v>2009.8</v>
      </c>
      <c r="V109" s="24">
        <f>+VLOOKUP(A109,[1]DQS4_AUX!$A:$M,13,FALSE)</f>
        <v>3.428547</v>
      </c>
      <c r="W109" s="24">
        <f t="shared" si="20"/>
        <v>0</v>
      </c>
    </row>
    <row r="110" spans="1:23" x14ac:dyDescent="0.25">
      <c r="A110" t="str">
        <f t="shared" si="11"/>
        <v>C28.15EU1</v>
      </c>
      <c r="B110" t="s">
        <v>38</v>
      </c>
      <c r="C110" t="s">
        <v>258</v>
      </c>
      <c r="D110" t="s">
        <v>192</v>
      </c>
      <c r="E110">
        <v>452029.69</v>
      </c>
      <c r="F110">
        <v>452029.69</v>
      </c>
      <c r="G110">
        <v>2487417.84</v>
      </c>
      <c r="H110">
        <v>1821283.46</v>
      </c>
      <c r="I110">
        <v>4117435.13</v>
      </c>
      <c r="J110">
        <v>13.530642</v>
      </c>
      <c r="K110">
        <v>7.3552929999999996</v>
      </c>
      <c r="L110">
        <v>120.47799000000001</v>
      </c>
      <c r="M110" t="s">
        <v>15</v>
      </c>
      <c r="N110" s="24">
        <f t="shared" si="12"/>
        <v>0.45202999999999999</v>
      </c>
      <c r="O110" s="24">
        <f t="shared" si="13"/>
        <v>0.45202999999999999</v>
      </c>
      <c r="P110">
        <f t="shared" si="14"/>
        <v>2.4874179999999999</v>
      </c>
      <c r="Q110">
        <f t="shared" si="15"/>
        <v>1.821283</v>
      </c>
      <c r="R110">
        <f t="shared" si="16"/>
        <v>4.1174350000000004</v>
      </c>
      <c r="S110" s="24">
        <f t="shared" si="17"/>
        <v>13.53</v>
      </c>
      <c r="T110" s="24">
        <f t="shared" si="18"/>
        <v>7.36</v>
      </c>
      <c r="U110" s="24">
        <f t="shared" si="19"/>
        <v>120.48</v>
      </c>
      <c r="V110" s="24">
        <f>+VLOOKUP(A110,[1]DQS4_AUX!$A:$M,13,FALSE)</f>
        <v>0.45202999999999999</v>
      </c>
      <c r="W110" s="24">
        <f t="shared" si="20"/>
        <v>0</v>
      </c>
    </row>
    <row r="111" spans="1:23" x14ac:dyDescent="0.25">
      <c r="A111" t="str">
        <f t="shared" si="11"/>
        <v>C32.30EU1</v>
      </c>
      <c r="B111" t="s">
        <v>38</v>
      </c>
      <c r="C111" t="s">
        <v>258</v>
      </c>
      <c r="D111" t="s">
        <v>351</v>
      </c>
      <c r="E111">
        <v>1563138.93</v>
      </c>
      <c r="F111">
        <v>1563138.93</v>
      </c>
      <c r="G111">
        <v>5349544.78</v>
      </c>
      <c r="H111">
        <v>6004265.3899999997</v>
      </c>
      <c r="I111">
        <v>9025696.1099999994</v>
      </c>
      <c r="J111">
        <v>76.791938000000002</v>
      </c>
      <c r="K111">
        <v>27.941531999999999</v>
      </c>
      <c r="L111">
        <v>268.40182399999998</v>
      </c>
      <c r="M111" t="s">
        <v>15</v>
      </c>
      <c r="N111" s="24">
        <f t="shared" si="12"/>
        <v>1.5631390000000001</v>
      </c>
      <c r="O111" s="24">
        <f t="shared" si="13"/>
        <v>1.5631390000000001</v>
      </c>
      <c r="P111">
        <f t="shared" si="14"/>
        <v>5.349545</v>
      </c>
      <c r="Q111">
        <f t="shared" si="15"/>
        <v>6.0042650000000002</v>
      </c>
      <c r="R111">
        <f t="shared" si="16"/>
        <v>9.0256959999999999</v>
      </c>
      <c r="S111" s="24">
        <f t="shared" si="17"/>
        <v>76.790000000000006</v>
      </c>
      <c r="T111" s="24">
        <f t="shared" si="18"/>
        <v>27.94</v>
      </c>
      <c r="U111" s="24">
        <f t="shared" si="19"/>
        <v>268.39999999999998</v>
      </c>
      <c r="V111" s="24">
        <f>+VLOOKUP(A111,[1]DQS4_AUX!$A:$M,13,FALSE)</f>
        <v>1.5631390000000001</v>
      </c>
      <c r="W111" s="24">
        <f t="shared" si="20"/>
        <v>0</v>
      </c>
    </row>
    <row r="112" spans="1:23" x14ac:dyDescent="0.25">
      <c r="A112" t="str">
        <f t="shared" si="11"/>
        <v>C25.29EU1</v>
      </c>
      <c r="B112" t="s">
        <v>38</v>
      </c>
      <c r="C112" t="s">
        <v>258</v>
      </c>
      <c r="D112" t="s">
        <v>337</v>
      </c>
      <c r="E112">
        <v>2901941.2699999898</v>
      </c>
      <c r="F112">
        <v>2901958.3599999901</v>
      </c>
      <c r="G112">
        <v>26226573.719999999</v>
      </c>
      <c r="H112">
        <v>54039044.960000001</v>
      </c>
      <c r="I112">
        <v>72508919.040000007</v>
      </c>
      <c r="J112">
        <v>389.20250900000002</v>
      </c>
      <c r="K112">
        <v>92.093592000000001</v>
      </c>
      <c r="L112">
        <v>1266.358383</v>
      </c>
      <c r="M112" t="s">
        <v>15</v>
      </c>
      <c r="N112" s="24">
        <f t="shared" si="12"/>
        <v>2.9019409999999999</v>
      </c>
      <c r="O112" s="24">
        <f t="shared" si="13"/>
        <v>2.901958</v>
      </c>
      <c r="P112">
        <f t="shared" si="14"/>
        <v>26.226573999999999</v>
      </c>
      <c r="Q112">
        <f t="shared" si="15"/>
        <v>54.039045000000002</v>
      </c>
      <c r="R112">
        <f t="shared" si="16"/>
        <v>72.508919000000006</v>
      </c>
      <c r="S112" s="24">
        <f t="shared" si="17"/>
        <v>389.2</v>
      </c>
      <c r="T112" s="24">
        <f t="shared" si="18"/>
        <v>92.09</v>
      </c>
      <c r="U112" s="24">
        <f t="shared" si="19"/>
        <v>1266.3599999999999</v>
      </c>
      <c r="V112" s="24">
        <f>+VLOOKUP(A112,[1]DQS4_AUX!$A:$M,13,FALSE)</f>
        <v>2.901958</v>
      </c>
      <c r="W112" s="24">
        <f t="shared" si="20"/>
        <v>0</v>
      </c>
    </row>
    <row r="113" spans="1:23" x14ac:dyDescent="0.25">
      <c r="A113" t="str">
        <f t="shared" si="11"/>
        <v>C23.44EU1</v>
      </c>
      <c r="B113" t="s">
        <v>38</v>
      </c>
      <c r="C113" t="s">
        <v>258</v>
      </c>
      <c r="D113" t="s">
        <v>338</v>
      </c>
      <c r="E113">
        <v>507637.47</v>
      </c>
      <c r="F113">
        <v>507637.47</v>
      </c>
      <c r="G113">
        <v>1615259.47</v>
      </c>
      <c r="H113">
        <v>8069185.5099999998</v>
      </c>
      <c r="I113">
        <v>10616534.57</v>
      </c>
      <c r="J113">
        <v>123.770622</v>
      </c>
      <c r="K113">
        <v>25.047701</v>
      </c>
      <c r="L113">
        <v>198.49247600000001</v>
      </c>
      <c r="M113" t="s">
        <v>15</v>
      </c>
      <c r="N113" s="24">
        <f t="shared" si="12"/>
        <v>0.507637</v>
      </c>
      <c r="O113" s="24">
        <f t="shared" si="13"/>
        <v>0.507637</v>
      </c>
      <c r="P113">
        <f t="shared" si="14"/>
        <v>1.615259</v>
      </c>
      <c r="Q113">
        <f t="shared" si="15"/>
        <v>8.0691860000000002</v>
      </c>
      <c r="R113">
        <f t="shared" si="16"/>
        <v>10.616535000000001</v>
      </c>
      <c r="S113" s="24">
        <f t="shared" si="17"/>
        <v>123.77</v>
      </c>
      <c r="T113" s="24">
        <f t="shared" si="18"/>
        <v>25.05</v>
      </c>
      <c r="U113" s="24">
        <f t="shared" si="19"/>
        <v>198.49</v>
      </c>
      <c r="V113" s="24">
        <f>+VLOOKUP(A113,[1]DQS4_AUX!$A:$M,13,FALSE)</f>
        <v>0.507637</v>
      </c>
      <c r="W113" s="24">
        <f t="shared" si="20"/>
        <v>0</v>
      </c>
    </row>
    <row r="114" spans="1:23" x14ac:dyDescent="0.25">
      <c r="A114" t="str">
        <f t="shared" si="11"/>
        <v>C26.40EU1</v>
      </c>
      <c r="B114" t="s">
        <v>38</v>
      </c>
      <c r="C114" t="s">
        <v>258</v>
      </c>
      <c r="D114" t="s">
        <v>339</v>
      </c>
      <c r="E114">
        <v>41613.129999999997</v>
      </c>
      <c r="F114">
        <v>41613.129999999997</v>
      </c>
      <c r="G114">
        <v>186958.07999999999</v>
      </c>
      <c r="H114">
        <v>1819790.68</v>
      </c>
      <c r="I114">
        <v>3937248.77</v>
      </c>
      <c r="J114">
        <v>1.8305499999999999</v>
      </c>
      <c r="K114">
        <v>0.99509999999999998</v>
      </c>
      <c r="L114">
        <v>16.299243000000001</v>
      </c>
      <c r="M114" t="s">
        <v>15</v>
      </c>
      <c r="N114" s="24">
        <f t="shared" si="12"/>
        <v>4.1612999999999997E-2</v>
      </c>
      <c r="O114" s="24">
        <f t="shared" si="13"/>
        <v>4.1612999999999997E-2</v>
      </c>
      <c r="P114">
        <f t="shared" si="14"/>
        <v>0.18695800000000001</v>
      </c>
      <c r="Q114">
        <f t="shared" si="15"/>
        <v>1.8197909999999999</v>
      </c>
      <c r="R114">
        <f t="shared" si="16"/>
        <v>3.937249</v>
      </c>
      <c r="S114" s="24">
        <f t="shared" si="17"/>
        <v>1.83</v>
      </c>
      <c r="T114" s="24">
        <f t="shared" si="18"/>
        <v>1</v>
      </c>
      <c r="U114" s="24">
        <f t="shared" si="19"/>
        <v>16.3</v>
      </c>
      <c r="V114" s="24">
        <f>+VLOOKUP(A114,[1]DQS4_AUX!$A:$M,13,FALSE)</f>
        <v>4.1612999999999997E-2</v>
      </c>
      <c r="W114" s="24">
        <f t="shared" si="20"/>
        <v>0</v>
      </c>
    </row>
    <row r="115" spans="1:23" x14ac:dyDescent="0.25">
      <c r="A115" t="str">
        <f t="shared" si="11"/>
        <v>C28.25EU1</v>
      </c>
      <c r="B115" t="s">
        <v>38</v>
      </c>
      <c r="C115" t="s">
        <v>258</v>
      </c>
      <c r="D115" t="s">
        <v>341</v>
      </c>
      <c r="E115">
        <v>2704430.1299999901</v>
      </c>
      <c r="F115">
        <v>2704894.6599999899</v>
      </c>
      <c r="G115">
        <v>23384026.530000001</v>
      </c>
      <c r="H115">
        <v>36284568.649999999</v>
      </c>
      <c r="I115">
        <v>67029136.460000001</v>
      </c>
      <c r="J115">
        <v>95.922158999999994</v>
      </c>
      <c r="K115">
        <v>52.144008999999997</v>
      </c>
      <c r="L115">
        <v>854.09164199999998</v>
      </c>
      <c r="M115" t="s">
        <v>15</v>
      </c>
      <c r="N115" s="24">
        <f t="shared" si="12"/>
        <v>2.7044299999999999</v>
      </c>
      <c r="O115" s="24">
        <f t="shared" si="13"/>
        <v>2.704895</v>
      </c>
      <c r="P115">
        <f t="shared" si="14"/>
        <v>23.384027</v>
      </c>
      <c r="Q115">
        <f t="shared" si="15"/>
        <v>36.284568999999998</v>
      </c>
      <c r="R115">
        <f t="shared" si="16"/>
        <v>67.029135999999994</v>
      </c>
      <c r="S115" s="24">
        <f t="shared" si="17"/>
        <v>95.92</v>
      </c>
      <c r="T115" s="24">
        <f t="shared" si="18"/>
        <v>52.14</v>
      </c>
      <c r="U115" s="24">
        <f t="shared" si="19"/>
        <v>854.09</v>
      </c>
      <c r="V115" s="24">
        <f>+VLOOKUP(A115,[1]DQS4_AUX!$A:$M,13,FALSE)</f>
        <v>2.704895</v>
      </c>
      <c r="W115" s="24">
        <f t="shared" si="20"/>
        <v>0</v>
      </c>
    </row>
    <row r="116" spans="1:23" x14ac:dyDescent="0.25">
      <c r="A116" t="str">
        <f t="shared" si="11"/>
        <v>C10.71EU1</v>
      </c>
      <c r="B116" t="s">
        <v>38</v>
      </c>
      <c r="C116" t="s">
        <v>258</v>
      </c>
      <c r="D116" t="s">
        <v>182</v>
      </c>
      <c r="E116">
        <v>20570393.3699999</v>
      </c>
      <c r="F116">
        <v>20573518.339999899</v>
      </c>
      <c r="G116">
        <v>94626717.700000003</v>
      </c>
      <c r="H116">
        <v>231470708.16999999</v>
      </c>
      <c r="I116">
        <v>567757753.98000002</v>
      </c>
      <c r="J116">
        <v>3676.2858590000001</v>
      </c>
      <c r="K116">
        <v>2499.5347619999998</v>
      </c>
      <c r="L116">
        <v>44801.839165999998</v>
      </c>
      <c r="M116" t="s">
        <v>15</v>
      </c>
      <c r="N116" s="24">
        <f t="shared" si="12"/>
        <v>20.570392999999999</v>
      </c>
      <c r="O116" s="24">
        <f t="shared" si="13"/>
        <v>20.573518</v>
      </c>
      <c r="P116">
        <f t="shared" si="14"/>
        <v>94.626717999999997</v>
      </c>
      <c r="Q116">
        <f t="shared" si="15"/>
        <v>231.470708</v>
      </c>
      <c r="R116">
        <f t="shared" si="16"/>
        <v>567.75775399999998</v>
      </c>
      <c r="S116" s="24">
        <f t="shared" si="17"/>
        <v>3676.29</v>
      </c>
      <c r="T116" s="24">
        <f t="shared" si="18"/>
        <v>2499.5300000000002</v>
      </c>
      <c r="U116" s="24">
        <f t="shared" si="19"/>
        <v>44801.84</v>
      </c>
      <c r="V116" s="24">
        <f>+VLOOKUP(A116,[1]DQS4_AUX!$A:$M,13,FALSE)</f>
        <v>20.573518</v>
      </c>
      <c r="W116" s="24">
        <f t="shared" si="20"/>
        <v>0</v>
      </c>
    </row>
    <row r="117" spans="1:23" x14ac:dyDescent="0.25">
      <c r="A117" t="str">
        <f t="shared" si="11"/>
        <v>C11.06EU1</v>
      </c>
      <c r="B117" t="s">
        <v>38</v>
      </c>
      <c r="C117" t="s">
        <v>258</v>
      </c>
      <c r="D117" t="s">
        <v>356</v>
      </c>
      <c r="E117">
        <v>1500112.96</v>
      </c>
      <c r="F117">
        <v>1500112.96</v>
      </c>
      <c r="G117">
        <v>1773995</v>
      </c>
      <c r="H117">
        <v>8501419</v>
      </c>
      <c r="I117">
        <v>26805167</v>
      </c>
      <c r="J117">
        <v>193.92564300000001</v>
      </c>
      <c r="K117">
        <v>131.85153</v>
      </c>
      <c r="L117">
        <v>2363.3157930000002</v>
      </c>
      <c r="M117" t="s">
        <v>15</v>
      </c>
      <c r="N117" s="24">
        <f t="shared" si="12"/>
        <v>1.500113</v>
      </c>
      <c r="O117" s="24">
        <f t="shared" si="13"/>
        <v>1.500113</v>
      </c>
      <c r="P117">
        <f t="shared" si="14"/>
        <v>1.773995</v>
      </c>
      <c r="Q117">
        <f t="shared" si="15"/>
        <v>8.5014190000000003</v>
      </c>
      <c r="R117">
        <f t="shared" si="16"/>
        <v>26.805167000000001</v>
      </c>
      <c r="S117" s="24">
        <f t="shared" si="17"/>
        <v>193.93</v>
      </c>
      <c r="T117" s="24">
        <f t="shared" si="18"/>
        <v>131.85</v>
      </c>
      <c r="U117" s="24">
        <f t="shared" si="19"/>
        <v>2363.3200000000002</v>
      </c>
      <c r="V117" s="24">
        <f>+VLOOKUP(A117,[1]DQS4_AUX!$A:$M,13,FALSE)</f>
        <v>1.500113</v>
      </c>
      <c r="W117" s="24">
        <f t="shared" si="20"/>
        <v>0</v>
      </c>
    </row>
    <row r="118" spans="1:23" x14ac:dyDescent="0.25">
      <c r="A118" t="str">
        <f t="shared" si="11"/>
        <v>C16.10EU1</v>
      </c>
      <c r="B118" t="s">
        <v>38</v>
      </c>
      <c r="C118" t="s">
        <v>258</v>
      </c>
      <c r="D118" t="s">
        <v>414</v>
      </c>
      <c r="E118">
        <v>11146112.1199999</v>
      </c>
      <c r="F118">
        <v>11147033.169999899</v>
      </c>
      <c r="G118">
        <v>67123082.980000004</v>
      </c>
      <c r="H118">
        <v>88019763.090000004</v>
      </c>
      <c r="I118">
        <v>189370226.61000001</v>
      </c>
      <c r="J118">
        <v>1097.4545230000001</v>
      </c>
      <c r="K118">
        <v>993.23662200000001</v>
      </c>
      <c r="L118">
        <v>5131.5831360000002</v>
      </c>
      <c r="M118" t="s">
        <v>15</v>
      </c>
      <c r="N118" s="24">
        <f t="shared" si="12"/>
        <v>11.146112</v>
      </c>
      <c r="O118" s="24">
        <f t="shared" si="13"/>
        <v>11.147033</v>
      </c>
      <c r="P118">
        <f t="shared" si="14"/>
        <v>67.123082999999994</v>
      </c>
      <c r="Q118">
        <f t="shared" si="15"/>
        <v>88.019762999999998</v>
      </c>
      <c r="R118">
        <f t="shared" si="16"/>
        <v>189.370227</v>
      </c>
      <c r="S118" s="24">
        <f t="shared" si="17"/>
        <v>1097.45</v>
      </c>
      <c r="T118" s="24">
        <f t="shared" si="18"/>
        <v>993.24</v>
      </c>
      <c r="U118" s="24">
        <f t="shared" si="19"/>
        <v>5131.58</v>
      </c>
      <c r="V118" s="24">
        <f>+VLOOKUP(A118,[1]DQS4_AUX!$A:$M,13,FALSE)</f>
        <v>11.147033</v>
      </c>
      <c r="W118" s="24">
        <f t="shared" si="20"/>
        <v>0</v>
      </c>
    </row>
    <row r="119" spans="1:23" x14ac:dyDescent="0.25">
      <c r="A119" t="str">
        <f t="shared" si="11"/>
        <v>C31.03EU1</v>
      </c>
      <c r="B119" t="s">
        <v>38</v>
      </c>
      <c r="C119" t="s">
        <v>258</v>
      </c>
      <c r="D119" t="s">
        <v>415</v>
      </c>
      <c r="E119">
        <v>4774629.6599999899</v>
      </c>
      <c r="F119">
        <v>4774651.9599999897</v>
      </c>
      <c r="G119">
        <v>47618004.240000002</v>
      </c>
      <c r="H119">
        <v>88671128.829999998</v>
      </c>
      <c r="I119">
        <v>130236750.51000001</v>
      </c>
      <c r="J119">
        <v>258.85642200000001</v>
      </c>
      <c r="K119">
        <v>94.187516000000002</v>
      </c>
      <c r="L119">
        <v>904.75058999999999</v>
      </c>
      <c r="M119" t="s">
        <v>15</v>
      </c>
      <c r="N119" s="24">
        <f t="shared" si="12"/>
        <v>4.7746300000000002</v>
      </c>
      <c r="O119" s="24">
        <f t="shared" si="13"/>
        <v>4.7746519999999997</v>
      </c>
      <c r="P119">
        <f t="shared" si="14"/>
        <v>47.618003999999999</v>
      </c>
      <c r="Q119">
        <f t="shared" si="15"/>
        <v>88.671128999999993</v>
      </c>
      <c r="R119">
        <f t="shared" si="16"/>
        <v>130.236751</v>
      </c>
      <c r="S119" s="24">
        <f t="shared" si="17"/>
        <v>258.86</v>
      </c>
      <c r="T119" s="24">
        <f t="shared" si="18"/>
        <v>94.19</v>
      </c>
      <c r="U119" s="24">
        <f t="shared" si="19"/>
        <v>904.75</v>
      </c>
      <c r="V119" s="24">
        <f>+VLOOKUP(A119,[1]DQS4_AUX!$A:$M,13,FALSE)</f>
        <v>4.7746519999999997</v>
      </c>
      <c r="W119" s="24">
        <f t="shared" si="20"/>
        <v>0</v>
      </c>
    </row>
    <row r="120" spans="1:23" x14ac:dyDescent="0.25">
      <c r="A120" t="str">
        <f t="shared" si="11"/>
        <v>C25.30EU1</v>
      </c>
      <c r="B120" t="s">
        <v>38</v>
      </c>
      <c r="C120" t="s">
        <v>258</v>
      </c>
      <c r="D120" t="s">
        <v>416</v>
      </c>
      <c r="E120">
        <v>125134.82</v>
      </c>
      <c r="F120">
        <v>125134.82</v>
      </c>
      <c r="G120">
        <v>273147.45</v>
      </c>
      <c r="H120">
        <v>4305820.07</v>
      </c>
      <c r="I120">
        <v>7014138.2699999996</v>
      </c>
      <c r="J120">
        <v>112.127852</v>
      </c>
      <c r="K120">
        <v>26.531841</v>
      </c>
      <c r="L120">
        <v>364.83330699999999</v>
      </c>
      <c r="M120" t="s">
        <v>15</v>
      </c>
      <c r="N120" s="24">
        <f t="shared" si="12"/>
        <v>0.125135</v>
      </c>
      <c r="O120" s="24">
        <f t="shared" si="13"/>
        <v>0.125135</v>
      </c>
      <c r="P120">
        <f t="shared" si="14"/>
        <v>0.27314699999999997</v>
      </c>
      <c r="Q120">
        <f t="shared" si="15"/>
        <v>4.3058199999999998</v>
      </c>
      <c r="R120">
        <f t="shared" si="16"/>
        <v>7.014138</v>
      </c>
      <c r="S120" s="24">
        <f t="shared" si="17"/>
        <v>112.13</v>
      </c>
      <c r="T120" s="24">
        <f t="shared" si="18"/>
        <v>26.53</v>
      </c>
      <c r="U120" s="24">
        <f t="shared" si="19"/>
        <v>364.83</v>
      </c>
      <c r="V120" s="24">
        <f>+VLOOKUP(A120,[1]DQS4_AUX!$A:$M,13,FALSE)</f>
        <v>0.125135</v>
      </c>
      <c r="W120" s="24">
        <f t="shared" si="20"/>
        <v>0</v>
      </c>
    </row>
    <row r="121" spans="1:23" x14ac:dyDescent="0.25">
      <c r="A121" t="str">
        <f t="shared" si="11"/>
        <v>C29.10EU1</v>
      </c>
      <c r="B121" t="s">
        <v>38</v>
      </c>
      <c r="C121" t="s">
        <v>258</v>
      </c>
      <c r="D121" t="s">
        <v>342</v>
      </c>
      <c r="E121">
        <v>13309038.9099999</v>
      </c>
      <c r="F121">
        <v>13309351.839999899</v>
      </c>
      <c r="G121">
        <v>42175297.950000003</v>
      </c>
      <c r="H121">
        <v>101974975.5</v>
      </c>
      <c r="I121">
        <v>1065240396.04</v>
      </c>
      <c r="J121">
        <v>1927.6670799999999</v>
      </c>
      <c r="K121">
        <v>886.27031499999998</v>
      </c>
      <c r="L121">
        <v>26031.930795</v>
      </c>
      <c r="M121" t="s">
        <v>15</v>
      </c>
      <c r="N121" s="24">
        <f t="shared" si="12"/>
        <v>13.309039</v>
      </c>
      <c r="O121" s="24">
        <f t="shared" si="13"/>
        <v>13.309352000000001</v>
      </c>
      <c r="P121">
        <f t="shared" si="14"/>
        <v>42.175297999999998</v>
      </c>
      <c r="Q121">
        <f t="shared" si="15"/>
        <v>101.974976</v>
      </c>
      <c r="R121">
        <f t="shared" si="16"/>
        <v>1065.2403959999999</v>
      </c>
      <c r="S121" s="24">
        <f t="shared" si="17"/>
        <v>1927.67</v>
      </c>
      <c r="T121" s="24">
        <f t="shared" si="18"/>
        <v>886.27</v>
      </c>
      <c r="U121" s="24">
        <f t="shared" si="19"/>
        <v>26031.93</v>
      </c>
      <c r="V121" s="24">
        <f>+VLOOKUP(A121,[1]DQS4_AUX!$A:$M,13,FALSE)</f>
        <v>13.309352000000001</v>
      </c>
      <c r="W121" s="24">
        <f t="shared" si="20"/>
        <v>0</v>
      </c>
    </row>
    <row r="122" spans="1:23" x14ac:dyDescent="0.25">
      <c r="A122" t="str">
        <f t="shared" si="11"/>
        <v>C28.24EU1</v>
      </c>
      <c r="B122" t="s">
        <v>38</v>
      </c>
      <c r="C122" t="s">
        <v>258</v>
      </c>
      <c r="D122" t="s">
        <v>359</v>
      </c>
      <c r="E122">
        <v>28907.88</v>
      </c>
      <c r="F122">
        <v>28907.88</v>
      </c>
      <c r="G122">
        <v>93853.06</v>
      </c>
      <c r="H122">
        <v>35022.49</v>
      </c>
      <c r="I122">
        <v>231324.2</v>
      </c>
      <c r="J122">
        <v>1.893602</v>
      </c>
      <c r="K122">
        <v>1.0293749999999999</v>
      </c>
      <c r="L122">
        <v>16.860664</v>
      </c>
      <c r="M122" t="s">
        <v>15</v>
      </c>
      <c r="N122" s="24">
        <f t="shared" si="12"/>
        <v>2.8908E-2</v>
      </c>
      <c r="O122" s="24">
        <f t="shared" si="13"/>
        <v>2.8908E-2</v>
      </c>
      <c r="P122">
        <f t="shared" si="14"/>
        <v>9.3853000000000006E-2</v>
      </c>
      <c r="Q122">
        <f t="shared" si="15"/>
        <v>3.5021999999999998E-2</v>
      </c>
      <c r="R122">
        <f t="shared" si="16"/>
        <v>0.231324</v>
      </c>
      <c r="S122" s="24">
        <f t="shared" si="17"/>
        <v>1.89</v>
      </c>
      <c r="T122" s="24">
        <f t="shared" si="18"/>
        <v>1.03</v>
      </c>
      <c r="U122" s="24">
        <f t="shared" si="19"/>
        <v>16.86</v>
      </c>
      <c r="V122" s="24">
        <f>+VLOOKUP(A122,[1]DQS4_AUX!$A:$M,13,FALSE)</f>
        <v>2.8908E-2</v>
      </c>
      <c r="W122" s="24">
        <f t="shared" si="20"/>
        <v>0</v>
      </c>
    </row>
    <row r="123" spans="1:23" x14ac:dyDescent="0.25">
      <c r="A123" t="str">
        <f t="shared" si="11"/>
        <v>C24.20EU1</v>
      </c>
      <c r="B123" t="s">
        <v>38</v>
      </c>
      <c r="C123" t="s">
        <v>258</v>
      </c>
      <c r="D123" t="s">
        <v>420</v>
      </c>
      <c r="E123">
        <v>1303452.9099999899</v>
      </c>
      <c r="F123">
        <v>1303626.6899999899</v>
      </c>
      <c r="G123">
        <v>13081367.42</v>
      </c>
      <c r="H123">
        <v>239391103.38</v>
      </c>
      <c r="I123">
        <v>381813999.68000001</v>
      </c>
      <c r="J123">
        <v>212.561779</v>
      </c>
      <c r="K123">
        <v>50.296633</v>
      </c>
      <c r="L123">
        <v>691.61785599999996</v>
      </c>
      <c r="M123" t="s">
        <v>15</v>
      </c>
      <c r="N123" s="24">
        <f t="shared" si="12"/>
        <v>1.303453</v>
      </c>
      <c r="O123" s="24">
        <f t="shared" si="13"/>
        <v>1.3036270000000001</v>
      </c>
      <c r="P123">
        <f t="shared" si="14"/>
        <v>13.081367</v>
      </c>
      <c r="Q123">
        <f t="shared" si="15"/>
        <v>239.39110299999999</v>
      </c>
      <c r="R123">
        <f t="shared" si="16"/>
        <v>381.81400000000002</v>
      </c>
      <c r="S123" s="24">
        <f t="shared" si="17"/>
        <v>212.56</v>
      </c>
      <c r="T123" s="24">
        <f t="shared" si="18"/>
        <v>50.3</v>
      </c>
      <c r="U123" s="24">
        <f t="shared" si="19"/>
        <v>691.62</v>
      </c>
      <c r="V123" s="24">
        <f>+VLOOKUP(A123,[1]DQS4_AUX!$A:$M,13,FALSE)</f>
        <v>1.3036270000000001</v>
      </c>
      <c r="W123" s="24">
        <f t="shared" si="20"/>
        <v>0</v>
      </c>
    </row>
    <row r="124" spans="1:23" x14ac:dyDescent="0.25">
      <c r="A124" t="str">
        <f t="shared" si="11"/>
        <v>C24.34EU1</v>
      </c>
      <c r="B124" t="s">
        <v>38</v>
      </c>
      <c r="C124" t="s">
        <v>258</v>
      </c>
      <c r="D124" t="s">
        <v>421</v>
      </c>
      <c r="E124">
        <v>4331520.62</v>
      </c>
      <c r="F124">
        <v>4331520.62</v>
      </c>
      <c r="G124">
        <v>4693892.97</v>
      </c>
      <c r="H124">
        <v>28206506.010000002</v>
      </c>
      <c r="I124">
        <v>74911926.090000004</v>
      </c>
      <c r="J124">
        <v>2620.491113</v>
      </c>
      <c r="K124">
        <v>620.06406400000003</v>
      </c>
      <c r="L124">
        <v>8526.3601130000006</v>
      </c>
      <c r="M124" t="s">
        <v>15</v>
      </c>
      <c r="N124" s="24">
        <f t="shared" si="12"/>
        <v>4.3315210000000004</v>
      </c>
      <c r="O124" s="24">
        <f t="shared" si="13"/>
        <v>4.3315210000000004</v>
      </c>
      <c r="P124">
        <f t="shared" si="14"/>
        <v>4.6938930000000001</v>
      </c>
      <c r="Q124">
        <f t="shared" si="15"/>
        <v>28.206506000000001</v>
      </c>
      <c r="R124">
        <f t="shared" si="16"/>
        <v>74.911925999999994</v>
      </c>
      <c r="S124" s="24">
        <f t="shared" si="17"/>
        <v>2620.4899999999998</v>
      </c>
      <c r="T124" s="24">
        <f t="shared" si="18"/>
        <v>620.05999999999995</v>
      </c>
      <c r="U124" s="24">
        <f t="shared" si="19"/>
        <v>8526.36</v>
      </c>
      <c r="V124" s="24">
        <f>+VLOOKUP(A124,[1]DQS4_AUX!$A:$M,13,FALSE)</f>
        <v>4.3315210000000004</v>
      </c>
      <c r="W124" s="24">
        <f t="shared" si="20"/>
        <v>0</v>
      </c>
    </row>
    <row r="125" spans="1:23" x14ac:dyDescent="0.25">
      <c r="A125" t="str">
        <f t="shared" si="11"/>
        <v>C23.99EU1</v>
      </c>
      <c r="B125" t="s">
        <v>38</v>
      </c>
      <c r="C125" t="s">
        <v>258</v>
      </c>
      <c r="D125" t="s">
        <v>419</v>
      </c>
      <c r="E125">
        <v>3075040.96999999</v>
      </c>
      <c r="F125">
        <v>3075081.9499999899</v>
      </c>
      <c r="G125">
        <v>57751980.700000003</v>
      </c>
      <c r="H125">
        <v>56206833.200000003</v>
      </c>
      <c r="I125">
        <v>83765501.060000002</v>
      </c>
      <c r="J125">
        <v>659.59454800000003</v>
      </c>
      <c r="K125">
        <v>133.48343499999999</v>
      </c>
      <c r="L125">
        <v>1057.7999259999999</v>
      </c>
      <c r="M125" t="s">
        <v>15</v>
      </c>
      <c r="N125" s="24">
        <f t="shared" si="12"/>
        <v>3.0750410000000001</v>
      </c>
      <c r="O125" s="24">
        <f t="shared" si="13"/>
        <v>3.0750820000000001</v>
      </c>
      <c r="P125">
        <f t="shared" si="14"/>
        <v>57.751981000000001</v>
      </c>
      <c r="Q125">
        <f t="shared" si="15"/>
        <v>56.206833000000003</v>
      </c>
      <c r="R125">
        <f t="shared" si="16"/>
        <v>83.765501</v>
      </c>
      <c r="S125" s="24">
        <f t="shared" si="17"/>
        <v>659.59</v>
      </c>
      <c r="T125" s="24">
        <f t="shared" si="18"/>
        <v>133.47999999999999</v>
      </c>
      <c r="U125" s="24">
        <f t="shared" si="19"/>
        <v>1057.8</v>
      </c>
      <c r="V125" s="24">
        <f>+VLOOKUP(A125,[1]DQS4_AUX!$A:$M,13,FALSE)</f>
        <v>3.0750820000000001</v>
      </c>
      <c r="W125" s="24">
        <f t="shared" si="20"/>
        <v>0</v>
      </c>
    </row>
    <row r="126" spans="1:23" x14ac:dyDescent="0.25">
      <c r="A126" t="str">
        <f t="shared" si="11"/>
        <v>C28.95EU1</v>
      </c>
      <c r="B126" t="s">
        <v>38</v>
      </c>
      <c r="C126" t="s">
        <v>258</v>
      </c>
      <c r="D126" t="s">
        <v>328</v>
      </c>
      <c r="E126">
        <v>15292.43</v>
      </c>
      <c r="F126">
        <v>15292.43</v>
      </c>
      <c r="G126">
        <v>411844.63</v>
      </c>
      <c r="H126">
        <v>170856.42</v>
      </c>
      <c r="I126">
        <v>179842.16</v>
      </c>
      <c r="J126">
        <v>7.3445999999999997E-2</v>
      </c>
      <c r="K126">
        <v>3.9926000000000003E-2</v>
      </c>
      <c r="L126">
        <v>0.65398800000000001</v>
      </c>
      <c r="M126" t="s">
        <v>15</v>
      </c>
      <c r="N126" s="24">
        <f t="shared" si="12"/>
        <v>1.5292E-2</v>
      </c>
      <c r="O126" s="24">
        <f t="shared" si="13"/>
        <v>1.5292E-2</v>
      </c>
      <c r="P126">
        <f t="shared" si="14"/>
        <v>0.41184500000000002</v>
      </c>
      <c r="Q126">
        <f t="shared" si="15"/>
        <v>0.17085600000000001</v>
      </c>
      <c r="R126">
        <f t="shared" si="16"/>
        <v>0.179842</v>
      </c>
      <c r="S126" s="24">
        <f t="shared" si="17"/>
        <v>7.0000000000000007E-2</v>
      </c>
      <c r="T126" s="24">
        <f t="shared" si="18"/>
        <v>0.04</v>
      </c>
      <c r="U126" s="24">
        <f t="shared" si="19"/>
        <v>0.65</v>
      </c>
      <c r="V126" s="24">
        <f>+VLOOKUP(A126,[1]DQS4_AUX!$A:$M,13,FALSE)</f>
        <v>1.5292E-2</v>
      </c>
      <c r="W126" s="24">
        <f t="shared" si="20"/>
        <v>0</v>
      </c>
    </row>
    <row r="127" spans="1:23" x14ac:dyDescent="0.25">
      <c r="A127" t="str">
        <f t="shared" si="11"/>
        <v>C25.21EU1</v>
      </c>
      <c r="B127" t="s">
        <v>38</v>
      </c>
      <c r="C127" t="s">
        <v>258</v>
      </c>
      <c r="D127" t="s">
        <v>329</v>
      </c>
      <c r="E127">
        <v>3017932.2099999902</v>
      </c>
      <c r="F127">
        <v>3018245.4299999899</v>
      </c>
      <c r="G127">
        <v>12436142.449999999</v>
      </c>
      <c r="H127">
        <v>20922747.190000001</v>
      </c>
      <c r="I127">
        <v>57194063.960000001</v>
      </c>
      <c r="J127">
        <v>915.87502600000005</v>
      </c>
      <c r="K127">
        <v>216.715565</v>
      </c>
      <c r="L127">
        <v>2980.006378</v>
      </c>
      <c r="M127" t="s">
        <v>15</v>
      </c>
      <c r="N127" s="24">
        <f t="shared" si="12"/>
        <v>3.0179320000000001</v>
      </c>
      <c r="O127" s="24">
        <f t="shared" si="13"/>
        <v>3.0182449999999998</v>
      </c>
      <c r="P127">
        <f t="shared" si="14"/>
        <v>12.436142</v>
      </c>
      <c r="Q127">
        <f t="shared" si="15"/>
        <v>20.922747000000001</v>
      </c>
      <c r="R127">
        <f t="shared" si="16"/>
        <v>57.194063999999997</v>
      </c>
      <c r="S127" s="24">
        <f t="shared" si="17"/>
        <v>915.88</v>
      </c>
      <c r="T127" s="24">
        <f t="shared" si="18"/>
        <v>216.72</v>
      </c>
      <c r="U127" s="24">
        <f t="shared" si="19"/>
        <v>2980.01</v>
      </c>
      <c r="V127" s="24">
        <f>+VLOOKUP(A127,[1]DQS4_AUX!$A:$M,13,FALSE)</f>
        <v>3.0182449999999998</v>
      </c>
      <c r="W127" s="24">
        <f t="shared" si="20"/>
        <v>0</v>
      </c>
    </row>
    <row r="128" spans="1:23" x14ac:dyDescent="0.25">
      <c r="A128" t="str">
        <f t="shared" si="11"/>
        <v>C24.32EU1</v>
      </c>
      <c r="B128" t="s">
        <v>38</v>
      </c>
      <c r="C128" t="s">
        <v>258</v>
      </c>
      <c r="D128" t="s">
        <v>440</v>
      </c>
      <c r="E128">
        <v>2902188.46</v>
      </c>
      <c r="F128">
        <v>2902188.46</v>
      </c>
      <c r="G128">
        <v>29935585</v>
      </c>
      <c r="H128">
        <v>60471719</v>
      </c>
      <c r="I128">
        <v>183678974</v>
      </c>
      <c r="J128">
        <v>848.21507399999996</v>
      </c>
      <c r="K128">
        <v>200.70579000000001</v>
      </c>
      <c r="L128">
        <v>2759.8593980000001</v>
      </c>
      <c r="M128" t="s">
        <v>15</v>
      </c>
      <c r="N128" s="24">
        <f t="shared" si="12"/>
        <v>2.9021880000000002</v>
      </c>
      <c r="O128" s="24">
        <f t="shared" si="13"/>
        <v>2.9021880000000002</v>
      </c>
      <c r="P128">
        <f t="shared" si="14"/>
        <v>29.935585</v>
      </c>
      <c r="Q128">
        <f t="shared" si="15"/>
        <v>60.471719</v>
      </c>
      <c r="R128">
        <f t="shared" si="16"/>
        <v>183.67897400000001</v>
      </c>
      <c r="S128" s="24">
        <f t="shared" si="17"/>
        <v>848.22</v>
      </c>
      <c r="T128" s="24">
        <f t="shared" si="18"/>
        <v>200.71</v>
      </c>
      <c r="U128" s="24">
        <f t="shared" si="19"/>
        <v>2759.86</v>
      </c>
      <c r="V128" s="24">
        <f>+VLOOKUP(A128,[1]DQS4_AUX!$A:$M,13,FALSE)</f>
        <v>2.9021880000000002</v>
      </c>
      <c r="W128" s="24">
        <f t="shared" si="20"/>
        <v>0</v>
      </c>
    </row>
    <row r="129" spans="1:23" x14ac:dyDescent="0.25">
      <c r="A129" t="str">
        <f t="shared" si="11"/>
        <v>C25.71EU1</v>
      </c>
      <c r="B129" t="s">
        <v>38</v>
      </c>
      <c r="C129" t="s">
        <v>258</v>
      </c>
      <c r="D129" t="s">
        <v>365</v>
      </c>
      <c r="E129">
        <v>1797803.6</v>
      </c>
      <c r="F129">
        <v>1797803.6</v>
      </c>
      <c r="G129">
        <v>16188223.5</v>
      </c>
      <c r="H129">
        <v>29821886.649999999</v>
      </c>
      <c r="I129">
        <v>36104640.859999999</v>
      </c>
      <c r="J129">
        <v>260.809258</v>
      </c>
      <c r="K129">
        <v>61.713030000000003</v>
      </c>
      <c r="L129">
        <v>848.60187699999994</v>
      </c>
      <c r="M129" t="s">
        <v>15</v>
      </c>
      <c r="N129" s="24">
        <f t="shared" si="12"/>
        <v>1.797804</v>
      </c>
      <c r="O129" s="24">
        <f t="shared" si="13"/>
        <v>1.797804</v>
      </c>
      <c r="P129">
        <f t="shared" si="14"/>
        <v>16.188224000000002</v>
      </c>
      <c r="Q129">
        <f t="shared" si="15"/>
        <v>29.821887</v>
      </c>
      <c r="R129">
        <f t="shared" si="16"/>
        <v>36.104641000000001</v>
      </c>
      <c r="S129" s="24">
        <f t="shared" si="17"/>
        <v>260.81</v>
      </c>
      <c r="T129" s="24">
        <f t="shared" si="18"/>
        <v>61.71</v>
      </c>
      <c r="U129" s="24">
        <f t="shared" si="19"/>
        <v>848.6</v>
      </c>
      <c r="V129" s="24">
        <f>+VLOOKUP(A129,[1]DQS4_AUX!$A:$M,13,FALSE)</f>
        <v>1.797804</v>
      </c>
      <c r="W129" s="24">
        <f t="shared" si="20"/>
        <v>0</v>
      </c>
    </row>
    <row r="130" spans="1:23" x14ac:dyDescent="0.25">
      <c r="A130" t="str">
        <f t="shared" si="11"/>
        <v>C33.20EU1</v>
      </c>
      <c r="B130" t="s">
        <v>38</v>
      </c>
      <c r="C130" t="s">
        <v>258</v>
      </c>
      <c r="D130" t="s">
        <v>184</v>
      </c>
      <c r="E130">
        <v>6652039.2699999902</v>
      </c>
      <c r="F130">
        <v>6652277.0199999902</v>
      </c>
      <c r="G130">
        <v>25988374.800000001</v>
      </c>
      <c r="H130">
        <v>59706527.090000004</v>
      </c>
      <c r="I130">
        <v>149700072.05000001</v>
      </c>
      <c r="J130">
        <v>428.153052</v>
      </c>
      <c r="K130">
        <v>232.747277</v>
      </c>
      <c r="L130">
        <v>3812.2771320000002</v>
      </c>
      <c r="M130" t="s">
        <v>15</v>
      </c>
      <c r="N130" s="24">
        <f t="shared" si="12"/>
        <v>6.6520390000000003</v>
      </c>
      <c r="O130" s="24">
        <f t="shared" si="13"/>
        <v>6.6522769999999998</v>
      </c>
      <c r="P130">
        <f t="shared" si="14"/>
        <v>25.988375000000001</v>
      </c>
      <c r="Q130">
        <f t="shared" si="15"/>
        <v>59.706527000000001</v>
      </c>
      <c r="R130">
        <f t="shared" si="16"/>
        <v>149.70007200000001</v>
      </c>
      <c r="S130" s="24">
        <f t="shared" si="17"/>
        <v>428.15</v>
      </c>
      <c r="T130" s="24">
        <f t="shared" si="18"/>
        <v>232.75</v>
      </c>
      <c r="U130" s="24">
        <f t="shared" si="19"/>
        <v>3812.28</v>
      </c>
      <c r="V130" s="24">
        <f>+VLOOKUP(A130,[1]DQS4_AUX!$A:$M,13,FALSE)</f>
        <v>6.6522769999999998</v>
      </c>
      <c r="W130" s="24">
        <f t="shared" si="20"/>
        <v>0</v>
      </c>
    </row>
    <row r="131" spans="1:23" x14ac:dyDescent="0.25">
      <c r="A131" t="str">
        <f t="shared" ref="A131:A194" si="21">+B131&amp;D131&amp;C131</f>
        <v>C24.41EU1</v>
      </c>
      <c r="B131" t="s">
        <v>38</v>
      </c>
      <c r="C131" t="s">
        <v>258</v>
      </c>
      <c r="D131" t="s">
        <v>381</v>
      </c>
      <c r="E131">
        <v>47778.93</v>
      </c>
      <c r="F131">
        <v>47778.93</v>
      </c>
      <c r="G131">
        <v>207613.59</v>
      </c>
      <c r="H131">
        <v>835652.69</v>
      </c>
      <c r="I131">
        <v>668157.98</v>
      </c>
      <c r="J131">
        <v>4.4504229999999998</v>
      </c>
      <c r="K131">
        <v>1.053064</v>
      </c>
      <c r="L131">
        <v>14.480464</v>
      </c>
      <c r="M131" t="s">
        <v>15</v>
      </c>
      <c r="N131" s="24">
        <f t="shared" ref="N131:N194" si="22">+ROUND(E131,0)/1000000</f>
        <v>4.7779000000000002E-2</v>
      </c>
      <c r="O131" s="24">
        <f t="shared" ref="O131:O194" si="23">+ROUND(F131,0)/1000000</f>
        <v>4.7779000000000002E-2</v>
      </c>
      <c r="P131">
        <f t="shared" ref="P131:P194" si="24">+ROUND(G131,0)/1000000</f>
        <v>0.20761399999999999</v>
      </c>
      <c r="Q131">
        <f t="shared" ref="Q131:Q194" si="25">+ROUND(H131,0)/1000000</f>
        <v>0.83565299999999998</v>
      </c>
      <c r="R131">
        <f t="shared" ref="R131:R194" si="26">+ROUND(I131,0)/1000000</f>
        <v>0.66815800000000003</v>
      </c>
      <c r="S131" s="24">
        <f t="shared" ref="S131:S194" si="27">+ROUND(J131,2)</f>
        <v>4.45</v>
      </c>
      <c r="T131" s="24">
        <f t="shared" ref="T131:T194" si="28">+ROUND(K131,2)</f>
        <v>1.05</v>
      </c>
      <c r="U131" s="24">
        <f t="shared" ref="U131:U194" si="29">+ROUND(L131,2)</f>
        <v>14.48</v>
      </c>
      <c r="V131" s="24">
        <f>+VLOOKUP(A131,[1]DQS4_AUX!$A:$M,13,FALSE)</f>
        <v>4.7779000000000002E-2</v>
      </c>
      <c r="W131" s="24">
        <f t="shared" ref="W131:W194" si="30">+V131-O131</f>
        <v>0</v>
      </c>
    </row>
    <row r="132" spans="1:23" x14ac:dyDescent="0.25">
      <c r="A132" t="str">
        <f t="shared" si="21"/>
        <v>C29.31EU1</v>
      </c>
      <c r="B132" t="s">
        <v>38</v>
      </c>
      <c r="C132" t="s">
        <v>258</v>
      </c>
      <c r="D132" t="s">
        <v>352</v>
      </c>
      <c r="E132">
        <v>11740408.0499999</v>
      </c>
      <c r="F132">
        <v>11740660.8699999</v>
      </c>
      <c r="G132">
        <v>55575941.579999998</v>
      </c>
      <c r="H132">
        <v>198972468.72999999</v>
      </c>
      <c r="I132">
        <v>1258022520.5599999</v>
      </c>
      <c r="J132">
        <v>1393.2732370000001</v>
      </c>
      <c r="K132">
        <v>757.39404300000001</v>
      </c>
      <c r="L132">
        <v>12405.712041000001</v>
      </c>
      <c r="M132" t="s">
        <v>15</v>
      </c>
      <c r="N132" s="24">
        <f t="shared" si="22"/>
        <v>11.740408</v>
      </c>
      <c r="O132" s="24">
        <f t="shared" si="23"/>
        <v>11.740660999999999</v>
      </c>
      <c r="P132">
        <f t="shared" si="24"/>
        <v>55.575941999999998</v>
      </c>
      <c r="Q132">
        <f t="shared" si="25"/>
        <v>198.97246899999999</v>
      </c>
      <c r="R132">
        <f t="shared" si="26"/>
        <v>1258.0225210000001</v>
      </c>
      <c r="S132" s="24">
        <f t="shared" si="27"/>
        <v>1393.27</v>
      </c>
      <c r="T132" s="24">
        <f t="shared" si="28"/>
        <v>757.39</v>
      </c>
      <c r="U132" s="24">
        <f t="shared" si="29"/>
        <v>12405.71</v>
      </c>
      <c r="V132" s="24">
        <f>+VLOOKUP(A132,[1]DQS4_AUX!$A:$M,13,FALSE)</f>
        <v>11.740660999999999</v>
      </c>
      <c r="W132" s="24">
        <f t="shared" si="30"/>
        <v>0</v>
      </c>
    </row>
    <row r="133" spans="1:23" x14ac:dyDescent="0.25">
      <c r="A133" t="str">
        <f t="shared" si="21"/>
        <v>C11.03EU1</v>
      </c>
      <c r="B133" t="s">
        <v>38</v>
      </c>
      <c r="C133" t="s">
        <v>258</v>
      </c>
      <c r="D133" t="s">
        <v>353</v>
      </c>
      <c r="E133">
        <v>147350.66</v>
      </c>
      <c r="F133">
        <v>147350.66</v>
      </c>
      <c r="G133">
        <v>152613.99</v>
      </c>
      <c r="H133">
        <v>54606.71</v>
      </c>
      <c r="I133">
        <v>335757.93</v>
      </c>
      <c r="J133">
        <v>11.831391999999999</v>
      </c>
      <c r="K133">
        <v>8.0442529999999994</v>
      </c>
      <c r="L133">
        <v>144.18578299999999</v>
      </c>
      <c r="M133" t="s">
        <v>15</v>
      </c>
      <c r="N133" s="24">
        <f t="shared" si="22"/>
        <v>0.14735100000000001</v>
      </c>
      <c r="O133" s="24">
        <f t="shared" si="23"/>
        <v>0.14735100000000001</v>
      </c>
      <c r="P133">
        <f t="shared" si="24"/>
        <v>0.152614</v>
      </c>
      <c r="Q133">
        <f t="shared" si="25"/>
        <v>5.4607000000000003E-2</v>
      </c>
      <c r="R133">
        <f t="shared" si="26"/>
        <v>0.335758</v>
      </c>
      <c r="S133" s="24">
        <f t="shared" si="27"/>
        <v>11.83</v>
      </c>
      <c r="T133" s="24">
        <f t="shared" si="28"/>
        <v>8.0399999999999991</v>
      </c>
      <c r="U133" s="24">
        <f t="shared" si="29"/>
        <v>144.19</v>
      </c>
      <c r="V133" s="24">
        <f>+VLOOKUP(A133,[1]DQS4_AUX!$A:$M,13,FALSE)</f>
        <v>0.14735100000000001</v>
      </c>
      <c r="W133" s="24">
        <f t="shared" si="30"/>
        <v>0</v>
      </c>
    </row>
    <row r="134" spans="1:23" x14ac:dyDescent="0.25">
      <c r="A134" t="str">
        <f t="shared" si="21"/>
        <v>C16.22EU1</v>
      </c>
      <c r="B134" t="s">
        <v>38</v>
      </c>
      <c r="C134" t="s">
        <v>258</v>
      </c>
      <c r="D134" t="s">
        <v>355</v>
      </c>
      <c r="E134">
        <v>1603334.47999999</v>
      </c>
      <c r="F134">
        <v>1603944.8899999899</v>
      </c>
      <c r="G134">
        <v>9985911.1400000006</v>
      </c>
      <c r="H134">
        <v>19520903.469999999</v>
      </c>
      <c r="I134">
        <v>23329078.870000001</v>
      </c>
      <c r="J134">
        <v>90.890373999999994</v>
      </c>
      <c r="K134">
        <v>82.259124</v>
      </c>
      <c r="L134">
        <v>424.993944</v>
      </c>
      <c r="M134" t="s">
        <v>15</v>
      </c>
      <c r="N134" s="24">
        <f t="shared" si="22"/>
        <v>1.603334</v>
      </c>
      <c r="O134" s="24">
        <f t="shared" si="23"/>
        <v>1.603945</v>
      </c>
      <c r="P134">
        <f t="shared" si="24"/>
        <v>9.9859109999999998</v>
      </c>
      <c r="Q134">
        <f t="shared" si="25"/>
        <v>19.520903000000001</v>
      </c>
      <c r="R134">
        <f t="shared" si="26"/>
        <v>23.329079</v>
      </c>
      <c r="S134" s="24">
        <f t="shared" si="27"/>
        <v>90.89</v>
      </c>
      <c r="T134" s="24">
        <f t="shared" si="28"/>
        <v>82.26</v>
      </c>
      <c r="U134" s="24">
        <f t="shared" si="29"/>
        <v>424.99</v>
      </c>
      <c r="V134" s="24">
        <f>+VLOOKUP(A134,[1]DQS4_AUX!$A:$M,13,FALSE)</f>
        <v>1.603945</v>
      </c>
      <c r="W134" s="24">
        <f t="shared" si="30"/>
        <v>0</v>
      </c>
    </row>
    <row r="135" spans="1:23" x14ac:dyDescent="0.25">
      <c r="A135" t="str">
        <f t="shared" si="21"/>
        <v>C33.14EU1</v>
      </c>
      <c r="B135" t="s">
        <v>38</v>
      </c>
      <c r="C135" t="s">
        <v>258</v>
      </c>
      <c r="D135" t="s">
        <v>354</v>
      </c>
      <c r="E135">
        <v>614204.06999999995</v>
      </c>
      <c r="F135">
        <v>614204.06999999995</v>
      </c>
      <c r="G135">
        <v>2500998.91</v>
      </c>
      <c r="H135">
        <v>8692611.8399999999</v>
      </c>
      <c r="I135">
        <v>17472728.870000001</v>
      </c>
      <c r="J135">
        <v>35.235242</v>
      </c>
      <c r="K135">
        <v>19.154139000000001</v>
      </c>
      <c r="L135">
        <v>313.734892</v>
      </c>
      <c r="M135" t="s">
        <v>15</v>
      </c>
      <c r="N135" s="24">
        <f t="shared" si="22"/>
        <v>0.61420399999999997</v>
      </c>
      <c r="O135" s="24">
        <f t="shared" si="23"/>
        <v>0.61420399999999997</v>
      </c>
      <c r="P135">
        <f t="shared" si="24"/>
        <v>2.5009990000000002</v>
      </c>
      <c r="Q135">
        <f t="shared" si="25"/>
        <v>8.6926120000000004</v>
      </c>
      <c r="R135">
        <f t="shared" si="26"/>
        <v>17.472729000000001</v>
      </c>
      <c r="S135" s="24">
        <f t="shared" si="27"/>
        <v>35.24</v>
      </c>
      <c r="T135" s="24">
        <f t="shared" si="28"/>
        <v>19.149999999999999</v>
      </c>
      <c r="U135" s="24">
        <f t="shared" si="29"/>
        <v>313.73</v>
      </c>
      <c r="V135" s="24">
        <f>+VLOOKUP(A135,[1]DQS4_AUX!$A:$M,13,FALSE)</f>
        <v>0.61420399999999997</v>
      </c>
      <c r="W135" s="24">
        <f t="shared" si="30"/>
        <v>0</v>
      </c>
    </row>
    <row r="136" spans="1:23" x14ac:dyDescent="0.25">
      <c r="A136" t="str">
        <f t="shared" si="21"/>
        <v>C23.13EU1</v>
      </c>
      <c r="B136" t="s">
        <v>38</v>
      </c>
      <c r="C136" t="s">
        <v>258</v>
      </c>
      <c r="D136" t="s">
        <v>59</v>
      </c>
      <c r="E136">
        <v>107370226.42</v>
      </c>
      <c r="F136">
        <v>107370226.42</v>
      </c>
      <c r="G136">
        <v>424164940.80000001</v>
      </c>
      <c r="H136">
        <v>469171930.54000002</v>
      </c>
      <c r="I136">
        <v>629810581.80999994</v>
      </c>
      <c r="J136">
        <v>15801.632696000001</v>
      </c>
      <c r="K136">
        <v>3197.8071869999999</v>
      </c>
      <c r="L136">
        <v>25341.273525000001</v>
      </c>
      <c r="M136" t="s">
        <v>15</v>
      </c>
      <c r="N136" s="24">
        <f t="shared" si="22"/>
        <v>107.370226</v>
      </c>
      <c r="O136" s="24">
        <f t="shared" si="23"/>
        <v>107.370226</v>
      </c>
      <c r="P136">
        <f t="shared" si="24"/>
        <v>424.164941</v>
      </c>
      <c r="Q136">
        <f t="shared" si="25"/>
        <v>469.17193099999997</v>
      </c>
      <c r="R136">
        <f t="shared" si="26"/>
        <v>629.81058199999995</v>
      </c>
      <c r="S136" s="24">
        <f t="shared" si="27"/>
        <v>15801.63</v>
      </c>
      <c r="T136" s="24">
        <f t="shared" si="28"/>
        <v>3197.81</v>
      </c>
      <c r="U136" s="24">
        <f t="shared" si="29"/>
        <v>25341.27</v>
      </c>
      <c r="V136" s="24">
        <f>+VLOOKUP(A136,[1]DQS4_AUX!$A:$M,13,FALSE)</f>
        <v>107.370226</v>
      </c>
      <c r="W136" s="24">
        <f t="shared" si="30"/>
        <v>0</v>
      </c>
    </row>
    <row r="137" spans="1:23" x14ac:dyDescent="0.25">
      <c r="A137" t="str">
        <f t="shared" si="21"/>
        <v>C25.73EU1</v>
      </c>
      <c r="B137" t="s">
        <v>38</v>
      </c>
      <c r="C137" t="s">
        <v>258</v>
      </c>
      <c r="D137" t="s">
        <v>336</v>
      </c>
      <c r="E137">
        <v>43195781.2299999</v>
      </c>
      <c r="F137">
        <v>43200277.339999899</v>
      </c>
      <c r="G137">
        <v>340958604.12</v>
      </c>
      <c r="H137">
        <v>436654282.99000001</v>
      </c>
      <c r="I137">
        <v>663707805.87</v>
      </c>
      <c r="J137">
        <v>6474.8072599999996</v>
      </c>
      <c r="K137">
        <v>1532.076517</v>
      </c>
      <c r="L137">
        <v>21067.251106</v>
      </c>
      <c r="M137" t="s">
        <v>15</v>
      </c>
      <c r="N137" s="24">
        <f t="shared" si="22"/>
        <v>43.195780999999997</v>
      </c>
      <c r="O137" s="24">
        <f t="shared" si="23"/>
        <v>43.200277</v>
      </c>
      <c r="P137">
        <f t="shared" si="24"/>
        <v>340.95860399999998</v>
      </c>
      <c r="Q137">
        <f t="shared" si="25"/>
        <v>436.65428300000002</v>
      </c>
      <c r="R137">
        <f t="shared" si="26"/>
        <v>663.70780600000001</v>
      </c>
      <c r="S137" s="24">
        <f t="shared" si="27"/>
        <v>6474.81</v>
      </c>
      <c r="T137" s="24">
        <f t="shared" si="28"/>
        <v>1532.08</v>
      </c>
      <c r="U137" s="24">
        <f t="shared" si="29"/>
        <v>21067.25</v>
      </c>
      <c r="V137" s="24">
        <f>+VLOOKUP(A137,[1]DQS4_AUX!$A:$M,13,FALSE)</f>
        <v>43.200277</v>
      </c>
      <c r="W137" s="24">
        <f t="shared" si="30"/>
        <v>0</v>
      </c>
    </row>
    <row r="138" spans="1:23" x14ac:dyDescent="0.25">
      <c r="A138" t="str">
        <f t="shared" si="21"/>
        <v>C20.20EU1</v>
      </c>
      <c r="B138" t="s">
        <v>38</v>
      </c>
      <c r="C138" t="s">
        <v>258</v>
      </c>
      <c r="D138" t="s">
        <v>330</v>
      </c>
      <c r="E138">
        <v>1003285.64</v>
      </c>
      <c r="F138">
        <v>1003285.64</v>
      </c>
      <c r="G138">
        <v>16802752</v>
      </c>
      <c r="H138">
        <v>62301217</v>
      </c>
      <c r="I138">
        <v>151551094</v>
      </c>
      <c r="J138">
        <v>537.75029600000005</v>
      </c>
      <c r="K138">
        <v>108.825579</v>
      </c>
      <c r="L138">
        <v>862.39679100000001</v>
      </c>
      <c r="M138" t="s">
        <v>15</v>
      </c>
      <c r="N138" s="24">
        <f t="shared" si="22"/>
        <v>1.0032859999999999</v>
      </c>
      <c r="O138" s="24">
        <f t="shared" si="23"/>
        <v>1.0032859999999999</v>
      </c>
      <c r="P138">
        <f t="shared" si="24"/>
        <v>16.802752000000002</v>
      </c>
      <c r="Q138">
        <f t="shared" si="25"/>
        <v>62.301217000000001</v>
      </c>
      <c r="R138">
        <f t="shared" si="26"/>
        <v>151.55109400000001</v>
      </c>
      <c r="S138" s="24">
        <f t="shared" si="27"/>
        <v>537.75</v>
      </c>
      <c r="T138" s="24">
        <f t="shared" si="28"/>
        <v>108.83</v>
      </c>
      <c r="U138" s="24">
        <f t="shared" si="29"/>
        <v>862.4</v>
      </c>
      <c r="V138" s="24">
        <f>+VLOOKUP(A138,[1]DQS4_AUX!$A:$M,13,FALSE)</f>
        <v>1.0032859999999999</v>
      </c>
      <c r="W138" s="24">
        <f t="shared" si="30"/>
        <v>0</v>
      </c>
    </row>
    <row r="139" spans="1:23" x14ac:dyDescent="0.25">
      <c r="A139" t="str">
        <f t="shared" si="21"/>
        <v>C13.94EU1</v>
      </c>
      <c r="B139" t="s">
        <v>38</v>
      </c>
      <c r="C139" t="s">
        <v>258</v>
      </c>
      <c r="D139" t="s">
        <v>443</v>
      </c>
      <c r="E139">
        <v>4275098.66</v>
      </c>
      <c r="F139">
        <v>4275098.66</v>
      </c>
      <c r="G139">
        <v>146164092.43000001</v>
      </c>
      <c r="H139">
        <v>174487112.43000001</v>
      </c>
      <c r="I139">
        <v>280152706.04000002</v>
      </c>
      <c r="J139">
        <v>75.976703000000001</v>
      </c>
      <c r="K139">
        <v>140.49931799999999</v>
      </c>
      <c r="L139">
        <v>970.90212399999996</v>
      </c>
      <c r="M139" t="s">
        <v>15</v>
      </c>
      <c r="N139" s="24">
        <f t="shared" si="22"/>
        <v>4.275099</v>
      </c>
      <c r="O139" s="24">
        <f t="shared" si="23"/>
        <v>4.275099</v>
      </c>
      <c r="P139">
        <f t="shared" si="24"/>
        <v>146.16409200000001</v>
      </c>
      <c r="Q139">
        <f t="shared" si="25"/>
        <v>174.487112</v>
      </c>
      <c r="R139">
        <f t="shared" si="26"/>
        <v>280.15270600000002</v>
      </c>
      <c r="S139" s="24">
        <f t="shared" si="27"/>
        <v>75.98</v>
      </c>
      <c r="T139" s="24">
        <f t="shared" si="28"/>
        <v>140.5</v>
      </c>
      <c r="U139" s="24">
        <f t="shared" si="29"/>
        <v>970.9</v>
      </c>
      <c r="V139" s="24">
        <f>+VLOOKUP(A139,[1]DQS4_AUX!$A:$M,13,FALSE)</f>
        <v>4.275099</v>
      </c>
      <c r="W139" s="24">
        <f t="shared" si="30"/>
        <v>0</v>
      </c>
    </row>
    <row r="140" spans="1:23" x14ac:dyDescent="0.25">
      <c r="A140" t="str">
        <f t="shared" si="21"/>
        <v>C15.20EU1</v>
      </c>
      <c r="B140" t="s">
        <v>38</v>
      </c>
      <c r="C140" t="s">
        <v>258</v>
      </c>
      <c r="D140" t="s">
        <v>423</v>
      </c>
      <c r="E140">
        <v>32933882.339999899</v>
      </c>
      <c r="F140">
        <v>32935003.809999902</v>
      </c>
      <c r="G140">
        <v>213035949.83000001</v>
      </c>
      <c r="H140">
        <v>333852203.64999998</v>
      </c>
      <c r="I140">
        <v>928728742.95000005</v>
      </c>
      <c r="J140">
        <v>1610.228779</v>
      </c>
      <c r="K140">
        <v>2977.7029000000002</v>
      </c>
      <c r="L140">
        <v>20577.027423</v>
      </c>
      <c r="M140" t="s">
        <v>15</v>
      </c>
      <c r="N140" s="24">
        <f t="shared" si="22"/>
        <v>32.933881999999997</v>
      </c>
      <c r="O140" s="24">
        <f t="shared" si="23"/>
        <v>32.935003999999999</v>
      </c>
      <c r="P140">
        <f t="shared" si="24"/>
        <v>213.03595000000001</v>
      </c>
      <c r="Q140">
        <f t="shared" si="25"/>
        <v>333.85220399999997</v>
      </c>
      <c r="R140">
        <f t="shared" si="26"/>
        <v>928.72874300000001</v>
      </c>
      <c r="S140" s="24">
        <f t="shared" si="27"/>
        <v>1610.23</v>
      </c>
      <c r="T140" s="24">
        <f t="shared" si="28"/>
        <v>2977.7</v>
      </c>
      <c r="U140" s="24">
        <f t="shared" si="29"/>
        <v>20577.03</v>
      </c>
      <c r="V140" s="24">
        <f>+VLOOKUP(A140,[1]DQS4_AUX!$A:$M,13,FALSE)</f>
        <v>32.935003999999999</v>
      </c>
      <c r="W140" s="24">
        <f t="shared" si="30"/>
        <v>0</v>
      </c>
    </row>
    <row r="141" spans="1:23" x14ac:dyDescent="0.25">
      <c r="A141" t="str">
        <f t="shared" si="21"/>
        <v>C29.32EU1</v>
      </c>
      <c r="B141" t="s">
        <v>38</v>
      </c>
      <c r="C141" t="s">
        <v>258</v>
      </c>
      <c r="D141" t="s">
        <v>123</v>
      </c>
      <c r="E141">
        <v>43530631.019999899</v>
      </c>
      <c r="F141">
        <v>43531364.269999899</v>
      </c>
      <c r="G141">
        <v>165030649.58000001</v>
      </c>
      <c r="H141">
        <v>275502454.06999999</v>
      </c>
      <c r="I141">
        <v>866569977.63</v>
      </c>
      <c r="J141">
        <v>1695.5478599999999</v>
      </c>
      <c r="K141">
        <v>779.55039599999998</v>
      </c>
      <c r="L141">
        <v>22897.308011000001</v>
      </c>
      <c r="M141" t="s">
        <v>15</v>
      </c>
      <c r="N141" s="24">
        <f t="shared" si="22"/>
        <v>43.530631</v>
      </c>
      <c r="O141" s="24">
        <f t="shared" si="23"/>
        <v>43.531364000000004</v>
      </c>
      <c r="P141">
        <f t="shared" si="24"/>
        <v>165.03065000000001</v>
      </c>
      <c r="Q141">
        <f t="shared" si="25"/>
        <v>275.502454</v>
      </c>
      <c r="R141">
        <f t="shared" si="26"/>
        <v>866.56997799999999</v>
      </c>
      <c r="S141" s="24">
        <f t="shared" si="27"/>
        <v>1695.55</v>
      </c>
      <c r="T141" s="24">
        <f t="shared" si="28"/>
        <v>779.55</v>
      </c>
      <c r="U141" s="24">
        <f t="shared" si="29"/>
        <v>22897.31</v>
      </c>
      <c r="V141" s="24">
        <f>+VLOOKUP(A141,[1]DQS4_AUX!$A:$M,13,FALSE)</f>
        <v>43.531364000000004</v>
      </c>
      <c r="W141" s="24">
        <f t="shared" si="30"/>
        <v>0</v>
      </c>
    </row>
    <row r="142" spans="1:23" x14ac:dyDescent="0.25">
      <c r="A142" t="str">
        <f t="shared" si="21"/>
        <v>C23.51EU1</v>
      </c>
      <c r="B142" t="s">
        <v>38</v>
      </c>
      <c r="C142" t="s">
        <v>258</v>
      </c>
      <c r="D142" t="s">
        <v>128</v>
      </c>
      <c r="E142">
        <v>3383320.21</v>
      </c>
      <c r="F142">
        <v>3383320.21</v>
      </c>
      <c r="G142">
        <v>171779.68</v>
      </c>
      <c r="H142">
        <v>337145954.30000001</v>
      </c>
      <c r="I142">
        <v>345546988.44</v>
      </c>
      <c r="J142">
        <v>966.24996299999998</v>
      </c>
      <c r="K142">
        <v>195.54185200000001</v>
      </c>
      <c r="L142">
        <v>1549.586998</v>
      </c>
      <c r="M142" t="s">
        <v>15</v>
      </c>
      <c r="N142" s="24">
        <f t="shared" si="22"/>
        <v>3.3833199999999999</v>
      </c>
      <c r="O142" s="24">
        <f t="shared" si="23"/>
        <v>3.3833199999999999</v>
      </c>
      <c r="P142">
        <f t="shared" si="24"/>
        <v>0.17177999999999999</v>
      </c>
      <c r="Q142">
        <f t="shared" si="25"/>
        <v>337.14595400000002</v>
      </c>
      <c r="R142">
        <f t="shared" si="26"/>
        <v>345.546988</v>
      </c>
      <c r="S142" s="24">
        <f t="shared" si="27"/>
        <v>966.25</v>
      </c>
      <c r="T142" s="24">
        <f t="shared" si="28"/>
        <v>195.54</v>
      </c>
      <c r="U142" s="24">
        <f t="shared" si="29"/>
        <v>1549.59</v>
      </c>
      <c r="V142" s="24">
        <f>+VLOOKUP(A142,[1]DQS4_AUX!$A:$M,13,FALSE)</f>
        <v>3.3833199999999999</v>
      </c>
      <c r="W142" s="24">
        <f t="shared" si="30"/>
        <v>0</v>
      </c>
    </row>
    <row r="143" spans="1:23" x14ac:dyDescent="0.25">
      <c r="A143" t="str">
        <f t="shared" si="21"/>
        <v>C25.40EU1</v>
      </c>
      <c r="B143" t="s">
        <v>38</v>
      </c>
      <c r="C143" t="s">
        <v>258</v>
      </c>
      <c r="D143" t="s">
        <v>357</v>
      </c>
      <c r="E143">
        <v>494.05</v>
      </c>
      <c r="F143">
        <v>494.05</v>
      </c>
      <c r="G143">
        <v>752208.71</v>
      </c>
      <c r="H143">
        <v>1892701.64</v>
      </c>
      <c r="I143">
        <v>3768330.13</v>
      </c>
      <c r="J143">
        <v>2.2582999999999999E-2</v>
      </c>
      <c r="K143">
        <v>1.2276E-2</v>
      </c>
      <c r="L143">
        <v>0.20109199999999999</v>
      </c>
      <c r="M143" t="s">
        <v>15</v>
      </c>
      <c r="N143" s="24">
        <f t="shared" si="22"/>
        <v>4.9399999999999997E-4</v>
      </c>
      <c r="O143" s="24">
        <f t="shared" si="23"/>
        <v>4.9399999999999997E-4</v>
      </c>
      <c r="P143">
        <f t="shared" si="24"/>
        <v>0.75220900000000002</v>
      </c>
      <c r="Q143">
        <f t="shared" si="25"/>
        <v>1.8927020000000001</v>
      </c>
      <c r="R143">
        <f t="shared" si="26"/>
        <v>3.7683300000000002</v>
      </c>
      <c r="S143" s="24">
        <f t="shared" si="27"/>
        <v>0.02</v>
      </c>
      <c r="T143" s="24">
        <f t="shared" si="28"/>
        <v>0.01</v>
      </c>
      <c r="U143" s="24">
        <f t="shared" si="29"/>
        <v>0.2</v>
      </c>
      <c r="V143" s="24">
        <f>+VLOOKUP(A143,[1]DQS4_AUX!$A:$M,13,FALSE)</f>
        <v>4.9399999999999997E-4</v>
      </c>
      <c r="W143" s="24">
        <f t="shared" si="30"/>
        <v>0</v>
      </c>
    </row>
    <row r="144" spans="1:23" x14ac:dyDescent="0.25">
      <c r="A144" t="str">
        <f t="shared" si="21"/>
        <v>C26.12EU1</v>
      </c>
      <c r="B144" t="s">
        <v>38</v>
      </c>
      <c r="C144" t="s">
        <v>258</v>
      </c>
      <c r="D144" t="s">
        <v>358</v>
      </c>
      <c r="E144">
        <v>23280.85</v>
      </c>
      <c r="F144">
        <v>23280.85</v>
      </c>
      <c r="G144">
        <v>1447845.41</v>
      </c>
      <c r="H144">
        <v>17755297.059999999</v>
      </c>
      <c r="I144">
        <v>21836663.690000001</v>
      </c>
      <c r="J144">
        <v>1.0660480000000001</v>
      </c>
      <c r="K144">
        <v>0.57950999999999997</v>
      </c>
      <c r="L144">
        <v>9.4921109999999995</v>
      </c>
      <c r="M144" t="s">
        <v>15</v>
      </c>
      <c r="N144" s="24">
        <f t="shared" si="22"/>
        <v>2.3281E-2</v>
      </c>
      <c r="O144" s="24">
        <f t="shared" si="23"/>
        <v>2.3281E-2</v>
      </c>
      <c r="P144">
        <f t="shared" si="24"/>
        <v>1.447845</v>
      </c>
      <c r="Q144">
        <f t="shared" si="25"/>
        <v>17.755296999999999</v>
      </c>
      <c r="R144">
        <f t="shared" si="26"/>
        <v>21.836663999999999</v>
      </c>
      <c r="S144" s="24">
        <f t="shared" si="27"/>
        <v>1.07</v>
      </c>
      <c r="T144" s="24">
        <f t="shared" si="28"/>
        <v>0.57999999999999996</v>
      </c>
      <c r="U144" s="24">
        <f t="shared" si="29"/>
        <v>9.49</v>
      </c>
      <c r="V144" s="24">
        <f>+VLOOKUP(A144,[1]DQS4_AUX!$A:$M,13,FALSE)</f>
        <v>2.3281E-2</v>
      </c>
      <c r="W144" s="24">
        <f t="shared" si="30"/>
        <v>0</v>
      </c>
    </row>
    <row r="145" spans="1:23" x14ac:dyDescent="0.25">
      <c r="A145" t="str">
        <f t="shared" si="21"/>
        <v>C23.52EU1</v>
      </c>
      <c r="B145" t="s">
        <v>38</v>
      </c>
      <c r="C145" t="s">
        <v>258</v>
      </c>
      <c r="D145" t="s">
        <v>331</v>
      </c>
      <c r="E145">
        <v>61195.81</v>
      </c>
      <c r="F145">
        <v>61195.81</v>
      </c>
      <c r="G145">
        <v>3617356.14</v>
      </c>
      <c r="H145">
        <v>9278139</v>
      </c>
      <c r="I145">
        <v>15554326.130000001</v>
      </c>
      <c r="J145">
        <v>21.553305999999999</v>
      </c>
      <c r="K145">
        <v>4.3617840000000001</v>
      </c>
      <c r="L145">
        <v>34.565303999999998</v>
      </c>
      <c r="M145" t="s">
        <v>15</v>
      </c>
      <c r="N145" s="24">
        <f t="shared" si="22"/>
        <v>6.1196E-2</v>
      </c>
      <c r="O145" s="24">
        <f t="shared" si="23"/>
        <v>6.1196E-2</v>
      </c>
      <c r="P145">
        <f t="shared" si="24"/>
        <v>3.617356</v>
      </c>
      <c r="Q145">
        <f t="shared" si="25"/>
        <v>9.2781389999999995</v>
      </c>
      <c r="R145">
        <f t="shared" si="26"/>
        <v>15.554326</v>
      </c>
      <c r="S145" s="24">
        <f t="shared" si="27"/>
        <v>21.55</v>
      </c>
      <c r="T145" s="24">
        <f t="shared" si="28"/>
        <v>4.3600000000000003</v>
      </c>
      <c r="U145" s="24">
        <f t="shared" si="29"/>
        <v>34.57</v>
      </c>
      <c r="V145" s="24">
        <f>+VLOOKUP(A145,[1]DQS4_AUX!$A:$M,13,FALSE)</f>
        <v>6.1196E-2</v>
      </c>
      <c r="W145" s="24">
        <f t="shared" si="30"/>
        <v>0</v>
      </c>
    </row>
    <row r="146" spans="1:23" x14ac:dyDescent="0.25">
      <c r="A146" t="str">
        <f t="shared" si="21"/>
        <v>C28.13EU1</v>
      </c>
      <c r="B146" t="s">
        <v>38</v>
      </c>
      <c r="C146" t="s">
        <v>258</v>
      </c>
      <c r="D146" t="s">
        <v>332</v>
      </c>
      <c r="E146">
        <v>2777006.4499999899</v>
      </c>
      <c r="F146">
        <v>2777060.6199999899</v>
      </c>
      <c r="G146">
        <v>22191983.02</v>
      </c>
      <c r="H146">
        <v>25211817.210000001</v>
      </c>
      <c r="I146">
        <v>57898961.950000003</v>
      </c>
      <c r="J146">
        <v>108.443366</v>
      </c>
      <c r="K146">
        <v>58.950636000000003</v>
      </c>
      <c r="L146">
        <v>965.58058800000003</v>
      </c>
      <c r="M146" t="s">
        <v>15</v>
      </c>
      <c r="N146" s="24">
        <f t="shared" si="22"/>
        <v>2.7770060000000001</v>
      </c>
      <c r="O146" s="24">
        <f t="shared" si="23"/>
        <v>2.7770609999999998</v>
      </c>
      <c r="P146">
        <f t="shared" si="24"/>
        <v>22.191983</v>
      </c>
      <c r="Q146">
        <f t="shared" si="25"/>
        <v>25.211817</v>
      </c>
      <c r="R146">
        <f t="shared" si="26"/>
        <v>57.898961999999997</v>
      </c>
      <c r="S146" s="24">
        <f t="shared" si="27"/>
        <v>108.44</v>
      </c>
      <c r="T146" s="24">
        <f t="shared" si="28"/>
        <v>58.95</v>
      </c>
      <c r="U146" s="24">
        <f t="shared" si="29"/>
        <v>965.58</v>
      </c>
      <c r="V146" s="24">
        <f>+VLOOKUP(A146,[1]DQS4_AUX!$A:$M,13,FALSE)</f>
        <v>2.7770609999999998</v>
      </c>
      <c r="W146" s="24">
        <f t="shared" si="30"/>
        <v>0</v>
      </c>
    </row>
    <row r="147" spans="1:23" x14ac:dyDescent="0.25">
      <c r="A147" t="str">
        <f t="shared" si="21"/>
        <v>C17.23EU1</v>
      </c>
      <c r="B147" t="s">
        <v>38</v>
      </c>
      <c r="C147" t="s">
        <v>258</v>
      </c>
      <c r="D147" t="s">
        <v>445</v>
      </c>
      <c r="E147">
        <v>74308.97</v>
      </c>
      <c r="F147">
        <v>74308.97</v>
      </c>
      <c r="G147">
        <v>3877634.47</v>
      </c>
      <c r="H147">
        <v>7682554.1100000003</v>
      </c>
      <c r="I147">
        <v>28302214.210000001</v>
      </c>
      <c r="J147">
        <v>8.6951169999999998</v>
      </c>
      <c r="K147">
        <v>7.8694009999999999</v>
      </c>
      <c r="L147">
        <v>40.657477</v>
      </c>
      <c r="M147" t="s">
        <v>15</v>
      </c>
      <c r="N147" s="24">
        <f t="shared" si="22"/>
        <v>7.4309E-2</v>
      </c>
      <c r="O147" s="24">
        <f t="shared" si="23"/>
        <v>7.4309E-2</v>
      </c>
      <c r="P147">
        <f t="shared" si="24"/>
        <v>3.877634</v>
      </c>
      <c r="Q147">
        <f t="shared" si="25"/>
        <v>7.6825539999999997</v>
      </c>
      <c r="R147">
        <f t="shared" si="26"/>
        <v>28.302213999999999</v>
      </c>
      <c r="S147" s="24">
        <f t="shared" si="27"/>
        <v>8.6999999999999993</v>
      </c>
      <c r="T147" s="24">
        <f t="shared" si="28"/>
        <v>7.87</v>
      </c>
      <c r="U147" s="24">
        <f t="shared" si="29"/>
        <v>40.659999999999997</v>
      </c>
      <c r="V147" s="24">
        <f>+VLOOKUP(A147,[1]DQS4_AUX!$A:$M,13,FALSE)</f>
        <v>7.4309E-2</v>
      </c>
      <c r="W147" s="24">
        <f t="shared" si="30"/>
        <v>0</v>
      </c>
    </row>
    <row r="148" spans="1:23" x14ac:dyDescent="0.25">
      <c r="A148" t="str">
        <f t="shared" si="21"/>
        <v>C32.50EU1</v>
      </c>
      <c r="B148" t="s">
        <v>38</v>
      </c>
      <c r="C148" t="s">
        <v>258</v>
      </c>
      <c r="D148" t="s">
        <v>143</v>
      </c>
      <c r="E148">
        <v>4706705.7299999902</v>
      </c>
      <c r="F148">
        <v>4708298.7899999898</v>
      </c>
      <c r="G148">
        <v>18779649.530000001</v>
      </c>
      <c r="H148">
        <v>35711543.859999999</v>
      </c>
      <c r="I148">
        <v>73752043.030000001</v>
      </c>
      <c r="J148">
        <v>218.55094500000001</v>
      </c>
      <c r="K148">
        <v>118.805927</v>
      </c>
      <c r="L148">
        <v>1945.979503</v>
      </c>
      <c r="M148" t="s">
        <v>15</v>
      </c>
      <c r="N148" s="24">
        <f t="shared" si="22"/>
        <v>4.7067059999999996</v>
      </c>
      <c r="O148" s="24">
        <f t="shared" si="23"/>
        <v>4.7082990000000002</v>
      </c>
      <c r="P148">
        <f t="shared" si="24"/>
        <v>18.77965</v>
      </c>
      <c r="Q148">
        <f t="shared" si="25"/>
        <v>35.711544000000004</v>
      </c>
      <c r="R148">
        <f t="shared" si="26"/>
        <v>73.752043</v>
      </c>
      <c r="S148" s="24">
        <f t="shared" si="27"/>
        <v>218.55</v>
      </c>
      <c r="T148" s="24">
        <f t="shared" si="28"/>
        <v>118.81</v>
      </c>
      <c r="U148" s="24">
        <f t="shared" si="29"/>
        <v>1945.98</v>
      </c>
      <c r="V148" s="24">
        <f>+VLOOKUP(A148,[1]DQS4_AUX!$A:$M,13,FALSE)</f>
        <v>4.7082990000000002</v>
      </c>
      <c r="W148" s="24">
        <f t="shared" si="30"/>
        <v>0</v>
      </c>
    </row>
    <row r="149" spans="1:23" x14ac:dyDescent="0.25">
      <c r="A149" t="str">
        <f t="shared" si="21"/>
        <v>C25.11EU1</v>
      </c>
      <c r="B149" t="s">
        <v>38</v>
      </c>
      <c r="C149" t="s">
        <v>258</v>
      </c>
      <c r="D149" t="s">
        <v>194</v>
      </c>
      <c r="E149">
        <v>59959492.075521901</v>
      </c>
      <c r="F149">
        <v>59961667.2255219</v>
      </c>
      <c r="G149">
        <v>387298556.06999999</v>
      </c>
      <c r="H149">
        <v>507306789.48000002</v>
      </c>
      <c r="I149">
        <v>1250373495.0699999</v>
      </c>
      <c r="J149">
        <v>14412.728431</v>
      </c>
      <c r="K149">
        <v>3410.3588249999998</v>
      </c>
      <c r="L149">
        <v>46895.069470000002</v>
      </c>
      <c r="M149" t="s">
        <v>15</v>
      </c>
      <c r="N149" s="24">
        <f t="shared" si="22"/>
        <v>59.959491999999997</v>
      </c>
      <c r="O149" s="24">
        <f t="shared" si="23"/>
        <v>59.961666999999998</v>
      </c>
      <c r="P149">
        <f t="shared" si="24"/>
        <v>387.29855600000002</v>
      </c>
      <c r="Q149">
        <f t="shared" si="25"/>
        <v>507.30678899999998</v>
      </c>
      <c r="R149">
        <f t="shared" si="26"/>
        <v>1250.373495</v>
      </c>
      <c r="S149" s="24">
        <f t="shared" si="27"/>
        <v>14412.73</v>
      </c>
      <c r="T149" s="24">
        <f t="shared" si="28"/>
        <v>3410.36</v>
      </c>
      <c r="U149" s="24">
        <f t="shared" si="29"/>
        <v>46895.07</v>
      </c>
      <c r="V149" s="24">
        <f>+VLOOKUP(A149,[1]DQS4_AUX!$A:$M,13,FALSE)</f>
        <v>59.961666999999998</v>
      </c>
      <c r="W149" s="24">
        <f t="shared" si="30"/>
        <v>0</v>
      </c>
    </row>
    <row r="150" spans="1:23" x14ac:dyDescent="0.25">
      <c r="A150" t="str">
        <f t="shared" si="21"/>
        <v>C32.99EU1</v>
      </c>
      <c r="B150" t="s">
        <v>38</v>
      </c>
      <c r="C150" t="s">
        <v>258</v>
      </c>
      <c r="D150" t="s">
        <v>360</v>
      </c>
      <c r="E150">
        <v>10617418.483150899</v>
      </c>
      <c r="F150">
        <v>10617801.7831509</v>
      </c>
      <c r="G150">
        <v>63234445.829999998</v>
      </c>
      <c r="H150">
        <v>94031887.730000004</v>
      </c>
      <c r="I150">
        <v>190099553.50999999</v>
      </c>
      <c r="J150">
        <v>814.74134500000002</v>
      </c>
      <c r="K150">
        <v>296.451887</v>
      </c>
      <c r="L150">
        <v>2847.6697570000001</v>
      </c>
      <c r="M150" t="s">
        <v>15</v>
      </c>
      <c r="N150" s="24">
        <f t="shared" si="22"/>
        <v>10.617418000000001</v>
      </c>
      <c r="O150" s="24">
        <f t="shared" si="23"/>
        <v>10.617801999999999</v>
      </c>
      <c r="P150">
        <f t="shared" si="24"/>
        <v>63.234445999999998</v>
      </c>
      <c r="Q150">
        <f t="shared" si="25"/>
        <v>94.031887999999995</v>
      </c>
      <c r="R150">
        <f t="shared" si="26"/>
        <v>190.09955400000001</v>
      </c>
      <c r="S150" s="24">
        <f t="shared" si="27"/>
        <v>814.74</v>
      </c>
      <c r="T150" s="24">
        <f t="shared" si="28"/>
        <v>296.45</v>
      </c>
      <c r="U150" s="24">
        <f t="shared" si="29"/>
        <v>2847.67</v>
      </c>
      <c r="V150" s="24">
        <f>+VLOOKUP(A150,[1]DQS4_AUX!$A:$M,13,FALSE)</f>
        <v>10.617801999999999</v>
      </c>
      <c r="W150" s="24">
        <f t="shared" si="30"/>
        <v>0</v>
      </c>
    </row>
    <row r="151" spans="1:23" x14ac:dyDescent="0.25">
      <c r="A151" t="str">
        <f t="shared" si="21"/>
        <v>C22.29EU1</v>
      </c>
      <c r="B151" t="s">
        <v>38</v>
      </c>
      <c r="C151" t="s">
        <v>258</v>
      </c>
      <c r="D151" t="s">
        <v>80</v>
      </c>
      <c r="E151">
        <v>37720157.949999899</v>
      </c>
      <c r="F151">
        <v>37724371.2299999</v>
      </c>
      <c r="G151">
        <v>331018925.98000002</v>
      </c>
      <c r="H151">
        <v>535289157.73000002</v>
      </c>
      <c r="I151">
        <v>1055655791.66</v>
      </c>
      <c r="J151">
        <v>13379.570223000001</v>
      </c>
      <c r="K151">
        <v>2707.6492400000002</v>
      </c>
      <c r="L151">
        <v>21456.98243</v>
      </c>
      <c r="M151" t="s">
        <v>15</v>
      </c>
      <c r="N151" s="24">
        <f t="shared" si="22"/>
        <v>37.720157999999998</v>
      </c>
      <c r="O151" s="24">
        <f t="shared" si="23"/>
        <v>37.724370999999998</v>
      </c>
      <c r="P151">
        <f t="shared" si="24"/>
        <v>331.01892600000002</v>
      </c>
      <c r="Q151">
        <f t="shared" si="25"/>
        <v>535.28915800000004</v>
      </c>
      <c r="R151">
        <f t="shared" si="26"/>
        <v>1055.655792</v>
      </c>
      <c r="S151" s="24">
        <f t="shared" si="27"/>
        <v>13379.57</v>
      </c>
      <c r="T151" s="24">
        <f t="shared" si="28"/>
        <v>2707.65</v>
      </c>
      <c r="U151" s="24">
        <f t="shared" si="29"/>
        <v>21456.98</v>
      </c>
      <c r="V151" s="24">
        <f>+VLOOKUP(A151,[1]DQS4_AUX!$A:$M,13,FALSE)</f>
        <v>37.724370999999998</v>
      </c>
      <c r="W151" s="24">
        <f t="shared" si="30"/>
        <v>0</v>
      </c>
    </row>
    <row r="152" spans="1:23" x14ac:dyDescent="0.25">
      <c r="A152" t="str">
        <f t="shared" si="21"/>
        <v>C18.11EU1</v>
      </c>
      <c r="B152" t="s">
        <v>38</v>
      </c>
      <c r="C152" t="s">
        <v>258</v>
      </c>
      <c r="D152" t="s">
        <v>362</v>
      </c>
      <c r="E152">
        <v>57819.57</v>
      </c>
      <c r="F152">
        <v>57819.57</v>
      </c>
      <c r="G152">
        <v>607076.05000000005</v>
      </c>
      <c r="H152">
        <v>2331468.36</v>
      </c>
      <c r="I152">
        <v>4138486.23</v>
      </c>
      <c r="J152">
        <v>5.3081259999999997</v>
      </c>
      <c r="K152">
        <v>4.804049</v>
      </c>
      <c r="L152">
        <v>24.820246000000001</v>
      </c>
      <c r="M152" t="s">
        <v>15</v>
      </c>
      <c r="N152" s="24">
        <f t="shared" si="22"/>
        <v>5.7820000000000003E-2</v>
      </c>
      <c r="O152" s="24">
        <f t="shared" si="23"/>
        <v>5.7820000000000003E-2</v>
      </c>
      <c r="P152">
        <f t="shared" si="24"/>
        <v>0.60707599999999995</v>
      </c>
      <c r="Q152">
        <f t="shared" si="25"/>
        <v>2.3314680000000001</v>
      </c>
      <c r="R152">
        <f t="shared" si="26"/>
        <v>4.1384860000000003</v>
      </c>
      <c r="S152" s="24">
        <f t="shared" si="27"/>
        <v>5.31</v>
      </c>
      <c r="T152" s="24">
        <f t="shared" si="28"/>
        <v>4.8</v>
      </c>
      <c r="U152" s="24">
        <f t="shared" si="29"/>
        <v>24.82</v>
      </c>
      <c r="V152" s="24">
        <f>+VLOOKUP(A152,[1]DQS4_AUX!$A:$M,13,FALSE)</f>
        <v>5.7820000000000003E-2</v>
      </c>
      <c r="W152" s="24">
        <f t="shared" si="30"/>
        <v>0</v>
      </c>
    </row>
    <row r="153" spans="1:23" x14ac:dyDescent="0.25">
      <c r="A153" t="str">
        <f t="shared" si="21"/>
        <v>C28.93EU1</v>
      </c>
      <c r="B153" t="s">
        <v>38</v>
      </c>
      <c r="C153" t="s">
        <v>258</v>
      </c>
      <c r="D153" t="s">
        <v>361</v>
      </c>
      <c r="E153">
        <v>2052668.78999999</v>
      </c>
      <c r="F153">
        <v>2052813.4099999899</v>
      </c>
      <c r="G153">
        <v>25409587.800000001</v>
      </c>
      <c r="H153">
        <v>86657552.140000001</v>
      </c>
      <c r="I153">
        <v>119668153.48999999</v>
      </c>
      <c r="J153">
        <v>95.991163</v>
      </c>
      <c r="K153">
        <v>52.181517999999997</v>
      </c>
      <c r="L153">
        <v>854.70608500000003</v>
      </c>
      <c r="M153" t="s">
        <v>15</v>
      </c>
      <c r="N153" s="24">
        <f t="shared" si="22"/>
        <v>2.0526689999999999</v>
      </c>
      <c r="O153" s="24">
        <f t="shared" si="23"/>
        <v>2.052813</v>
      </c>
      <c r="P153">
        <f t="shared" si="24"/>
        <v>25.409587999999999</v>
      </c>
      <c r="Q153">
        <f t="shared" si="25"/>
        <v>86.657551999999995</v>
      </c>
      <c r="R153">
        <f t="shared" si="26"/>
        <v>119.668153</v>
      </c>
      <c r="S153" s="24">
        <f t="shared" si="27"/>
        <v>95.99</v>
      </c>
      <c r="T153" s="24">
        <f t="shared" si="28"/>
        <v>52.18</v>
      </c>
      <c r="U153" s="24">
        <f t="shared" si="29"/>
        <v>854.71</v>
      </c>
      <c r="V153" s="24">
        <f>+VLOOKUP(A153,[1]DQS4_AUX!$A:$M,13,FALSE)</f>
        <v>2.052813</v>
      </c>
      <c r="W153" s="24">
        <f t="shared" si="30"/>
        <v>0</v>
      </c>
    </row>
    <row r="154" spans="1:23" x14ac:dyDescent="0.25">
      <c r="A154" t="str">
        <f t="shared" si="21"/>
        <v>C28.49EU1</v>
      </c>
      <c r="B154" t="s">
        <v>38</v>
      </c>
      <c r="C154" t="s">
        <v>258</v>
      </c>
      <c r="D154" t="s">
        <v>447</v>
      </c>
      <c r="E154">
        <v>423966.40999999898</v>
      </c>
      <c r="F154">
        <v>423979.51999999897</v>
      </c>
      <c r="G154">
        <v>7666404.1200000001</v>
      </c>
      <c r="H154">
        <v>11569445.710000001</v>
      </c>
      <c r="I154">
        <v>14073591.529999999</v>
      </c>
      <c r="J154">
        <v>22.091290000000001</v>
      </c>
      <c r="K154">
        <v>12.008986999999999</v>
      </c>
      <c r="L154">
        <v>196.701086</v>
      </c>
      <c r="M154" t="s">
        <v>15</v>
      </c>
      <c r="N154" s="24">
        <f t="shared" si="22"/>
        <v>0.42396600000000001</v>
      </c>
      <c r="O154" s="24">
        <f t="shared" si="23"/>
        <v>0.42398000000000002</v>
      </c>
      <c r="P154">
        <f t="shared" si="24"/>
        <v>7.666404</v>
      </c>
      <c r="Q154">
        <f t="shared" si="25"/>
        <v>11.569445999999999</v>
      </c>
      <c r="R154">
        <f t="shared" si="26"/>
        <v>14.073592</v>
      </c>
      <c r="S154" s="24">
        <f t="shared" si="27"/>
        <v>22.09</v>
      </c>
      <c r="T154" s="24">
        <f t="shared" si="28"/>
        <v>12.01</v>
      </c>
      <c r="U154" s="24">
        <f t="shared" si="29"/>
        <v>196.7</v>
      </c>
      <c r="V154" s="24">
        <f>+VLOOKUP(A154,[1]DQS4_AUX!$A:$M,13,FALSE)</f>
        <v>0.42398000000000002</v>
      </c>
      <c r="W154" s="24">
        <f t="shared" si="30"/>
        <v>0</v>
      </c>
    </row>
    <row r="155" spans="1:23" x14ac:dyDescent="0.25">
      <c r="A155" t="str">
        <f t="shared" si="21"/>
        <v>C10.13EU1</v>
      </c>
      <c r="B155" t="s">
        <v>38</v>
      </c>
      <c r="C155" t="s">
        <v>258</v>
      </c>
      <c r="D155" t="s">
        <v>448</v>
      </c>
      <c r="E155">
        <v>16959569.949999899</v>
      </c>
      <c r="F155">
        <v>16960378.189999901</v>
      </c>
      <c r="G155">
        <v>116257639.41</v>
      </c>
      <c r="H155">
        <v>180754767.28</v>
      </c>
      <c r="I155">
        <v>677826333.95000005</v>
      </c>
      <c r="J155">
        <v>2038.699742</v>
      </c>
      <c r="K155">
        <v>1386.1273659999999</v>
      </c>
      <c r="L155">
        <v>24845.051230000001</v>
      </c>
      <c r="M155" t="s">
        <v>15</v>
      </c>
      <c r="N155" s="24">
        <f t="shared" si="22"/>
        <v>16.959569999999999</v>
      </c>
      <c r="O155" s="24">
        <f t="shared" si="23"/>
        <v>16.960377999999999</v>
      </c>
      <c r="P155">
        <f t="shared" si="24"/>
        <v>116.257639</v>
      </c>
      <c r="Q155">
        <f t="shared" si="25"/>
        <v>180.75476699999999</v>
      </c>
      <c r="R155">
        <f t="shared" si="26"/>
        <v>677.82633399999997</v>
      </c>
      <c r="S155" s="24">
        <f t="shared" si="27"/>
        <v>2038.7</v>
      </c>
      <c r="T155" s="24">
        <f t="shared" si="28"/>
        <v>1386.13</v>
      </c>
      <c r="U155" s="24">
        <f t="shared" si="29"/>
        <v>24845.05</v>
      </c>
      <c r="V155" s="24">
        <f>+VLOOKUP(A155,[1]DQS4_AUX!$A:$M,13,FALSE)</f>
        <v>16.960377999999999</v>
      </c>
      <c r="W155" s="24">
        <f t="shared" si="30"/>
        <v>0</v>
      </c>
    </row>
    <row r="156" spans="1:23" x14ac:dyDescent="0.25">
      <c r="A156" t="str">
        <f t="shared" si="21"/>
        <v>C28.21EU1</v>
      </c>
      <c r="B156" t="s">
        <v>38</v>
      </c>
      <c r="C156" t="s">
        <v>258</v>
      </c>
      <c r="D156" t="s">
        <v>449</v>
      </c>
      <c r="E156">
        <v>30708.12</v>
      </c>
      <c r="F156">
        <v>30708.12</v>
      </c>
      <c r="G156">
        <v>729350.16</v>
      </c>
      <c r="H156">
        <v>1361383.43</v>
      </c>
      <c r="I156">
        <v>3408427.9</v>
      </c>
      <c r="J156">
        <v>1.5536730000000001</v>
      </c>
      <c r="K156">
        <v>0.84458699999999998</v>
      </c>
      <c r="L156">
        <v>13.833926999999999</v>
      </c>
      <c r="M156" t="s">
        <v>15</v>
      </c>
      <c r="N156" s="24">
        <f t="shared" si="22"/>
        <v>3.0707999999999999E-2</v>
      </c>
      <c r="O156" s="24">
        <f t="shared" si="23"/>
        <v>3.0707999999999999E-2</v>
      </c>
      <c r="P156">
        <f t="shared" si="24"/>
        <v>0.72935000000000005</v>
      </c>
      <c r="Q156">
        <f t="shared" si="25"/>
        <v>1.361383</v>
      </c>
      <c r="R156">
        <f t="shared" si="26"/>
        <v>3.4084279999999998</v>
      </c>
      <c r="S156" s="24">
        <f t="shared" si="27"/>
        <v>1.55</v>
      </c>
      <c r="T156" s="24">
        <f t="shared" si="28"/>
        <v>0.84</v>
      </c>
      <c r="U156" s="24">
        <f t="shared" si="29"/>
        <v>13.83</v>
      </c>
      <c r="V156" s="24">
        <f>+VLOOKUP(A156,[1]DQS4_AUX!$A:$M,13,FALSE)</f>
        <v>3.0707999999999999E-2</v>
      </c>
      <c r="W156" s="24">
        <f t="shared" si="30"/>
        <v>0</v>
      </c>
    </row>
    <row r="157" spans="1:23" x14ac:dyDescent="0.25">
      <c r="A157" t="str">
        <f t="shared" si="21"/>
        <v>C10.73EU1</v>
      </c>
      <c r="B157" t="s">
        <v>38</v>
      </c>
      <c r="C157" t="s">
        <v>258</v>
      </c>
      <c r="D157" t="s">
        <v>363</v>
      </c>
      <c r="E157">
        <v>4472648.0799999898</v>
      </c>
      <c r="F157">
        <v>4472713.1599999899</v>
      </c>
      <c r="G157">
        <v>13194167.710000001</v>
      </c>
      <c r="H157">
        <v>59792312.560000002</v>
      </c>
      <c r="I157">
        <v>195860807.56</v>
      </c>
      <c r="J157">
        <v>654.16346899999996</v>
      </c>
      <c r="K157">
        <v>444.77074299999998</v>
      </c>
      <c r="L157">
        <v>7972.1015669999997</v>
      </c>
      <c r="M157" t="s">
        <v>15</v>
      </c>
      <c r="N157" s="24">
        <f t="shared" si="22"/>
        <v>4.4726480000000004</v>
      </c>
      <c r="O157" s="24">
        <f t="shared" si="23"/>
        <v>4.4727129999999997</v>
      </c>
      <c r="P157">
        <f t="shared" si="24"/>
        <v>13.194167999999999</v>
      </c>
      <c r="Q157">
        <f t="shared" si="25"/>
        <v>59.792313</v>
      </c>
      <c r="R157">
        <f t="shared" si="26"/>
        <v>195.86080799999999</v>
      </c>
      <c r="S157" s="24">
        <f t="shared" si="27"/>
        <v>654.16</v>
      </c>
      <c r="T157" s="24">
        <f t="shared" si="28"/>
        <v>444.77</v>
      </c>
      <c r="U157" s="24">
        <f t="shared" si="29"/>
        <v>7972.1</v>
      </c>
      <c r="V157" s="24">
        <f>+VLOOKUP(A157,[1]DQS4_AUX!$A:$M,13,FALSE)</f>
        <v>4.4727129999999997</v>
      </c>
      <c r="W157" s="24">
        <f t="shared" si="30"/>
        <v>0</v>
      </c>
    </row>
    <row r="158" spans="1:23" x14ac:dyDescent="0.25">
      <c r="A158" t="str">
        <f t="shared" si="21"/>
        <v>C28.12EU1</v>
      </c>
      <c r="B158" t="s">
        <v>38</v>
      </c>
      <c r="C158" t="s">
        <v>258</v>
      </c>
      <c r="D158" t="s">
        <v>364</v>
      </c>
      <c r="E158">
        <v>77536.490000000005</v>
      </c>
      <c r="F158">
        <v>77536.490000000005</v>
      </c>
      <c r="G158">
        <v>4289664.74</v>
      </c>
      <c r="H158">
        <v>4225976.54</v>
      </c>
      <c r="I158">
        <v>10633505.82</v>
      </c>
      <c r="J158">
        <v>3.9054319999999998</v>
      </c>
      <c r="K158">
        <v>2.123021</v>
      </c>
      <c r="L158">
        <v>34.774030000000003</v>
      </c>
      <c r="M158" t="s">
        <v>15</v>
      </c>
      <c r="N158" s="24">
        <f t="shared" si="22"/>
        <v>7.7535999999999994E-2</v>
      </c>
      <c r="O158" s="24">
        <f t="shared" si="23"/>
        <v>7.7535999999999994E-2</v>
      </c>
      <c r="P158">
        <f t="shared" si="24"/>
        <v>4.2896650000000003</v>
      </c>
      <c r="Q158">
        <f t="shared" si="25"/>
        <v>4.2259770000000003</v>
      </c>
      <c r="R158">
        <f t="shared" si="26"/>
        <v>10.633506000000001</v>
      </c>
      <c r="S158" s="24">
        <f t="shared" si="27"/>
        <v>3.91</v>
      </c>
      <c r="T158" s="24">
        <f t="shared" si="28"/>
        <v>2.12</v>
      </c>
      <c r="U158" s="24">
        <f t="shared" si="29"/>
        <v>34.770000000000003</v>
      </c>
      <c r="V158" s="24">
        <f>+VLOOKUP(A158,[1]DQS4_AUX!$A:$M,13,FALSE)</f>
        <v>7.7535999999999994E-2</v>
      </c>
      <c r="W158" s="24">
        <f t="shared" si="30"/>
        <v>0</v>
      </c>
    </row>
    <row r="159" spans="1:23" x14ac:dyDescent="0.25">
      <c r="A159" t="str">
        <f t="shared" si="21"/>
        <v>C10.83EU1</v>
      </c>
      <c r="B159" t="s">
        <v>38</v>
      </c>
      <c r="C159" t="s">
        <v>258</v>
      </c>
      <c r="D159" t="s">
        <v>120</v>
      </c>
      <c r="E159">
        <v>6974814.2599999998</v>
      </c>
      <c r="F159">
        <v>6974814.2599999998</v>
      </c>
      <c r="G159">
        <v>34720726.869999997</v>
      </c>
      <c r="H159">
        <v>46249217.479999997</v>
      </c>
      <c r="I159">
        <v>96303584.480000004</v>
      </c>
      <c r="J159">
        <v>681.61999800000001</v>
      </c>
      <c r="K159">
        <v>463.43865199999999</v>
      </c>
      <c r="L159">
        <v>8306.7061670000003</v>
      </c>
      <c r="M159" t="s">
        <v>15</v>
      </c>
      <c r="N159" s="24">
        <f t="shared" si="22"/>
        <v>6.9748140000000003</v>
      </c>
      <c r="O159" s="24">
        <f t="shared" si="23"/>
        <v>6.9748140000000003</v>
      </c>
      <c r="P159">
        <f t="shared" si="24"/>
        <v>34.720726999999997</v>
      </c>
      <c r="Q159">
        <f t="shared" si="25"/>
        <v>46.249217000000002</v>
      </c>
      <c r="R159">
        <f t="shared" si="26"/>
        <v>96.303584000000001</v>
      </c>
      <c r="S159" s="24">
        <f t="shared" si="27"/>
        <v>681.62</v>
      </c>
      <c r="T159" s="24">
        <f t="shared" si="28"/>
        <v>463.44</v>
      </c>
      <c r="U159" s="24">
        <f t="shared" si="29"/>
        <v>8306.7099999999991</v>
      </c>
      <c r="V159" s="24">
        <f>+VLOOKUP(A159,[1]DQS4_AUX!$A:$M,13,FALSE)</f>
        <v>6.9748140000000003</v>
      </c>
      <c r="W159" s="24">
        <f t="shared" si="30"/>
        <v>0</v>
      </c>
    </row>
    <row r="160" spans="1:23" x14ac:dyDescent="0.25">
      <c r="A160" t="str">
        <f t="shared" si="21"/>
        <v>C10.62EU1</v>
      </c>
      <c r="B160" t="s">
        <v>38</v>
      </c>
      <c r="C160" t="s">
        <v>258</v>
      </c>
      <c r="D160" t="s">
        <v>347</v>
      </c>
      <c r="E160">
        <v>3198615.52</v>
      </c>
      <c r="F160">
        <v>3198615.52</v>
      </c>
      <c r="G160">
        <v>16063197.560000001</v>
      </c>
      <c r="H160">
        <v>77369193.920000002</v>
      </c>
      <c r="I160">
        <v>74917207.629999995</v>
      </c>
      <c r="J160">
        <v>294.18188500000002</v>
      </c>
      <c r="K160">
        <v>200.016515</v>
      </c>
      <c r="L160">
        <v>3585.1097799999998</v>
      </c>
      <c r="M160" t="s">
        <v>15</v>
      </c>
      <c r="N160" s="24">
        <f t="shared" si="22"/>
        <v>3.1986159999999999</v>
      </c>
      <c r="O160" s="24">
        <f t="shared" si="23"/>
        <v>3.1986159999999999</v>
      </c>
      <c r="P160">
        <f t="shared" si="24"/>
        <v>16.063198</v>
      </c>
      <c r="Q160">
        <f t="shared" si="25"/>
        <v>77.369193999999993</v>
      </c>
      <c r="R160">
        <f t="shared" si="26"/>
        <v>74.917208000000002</v>
      </c>
      <c r="S160" s="24">
        <f t="shared" si="27"/>
        <v>294.18</v>
      </c>
      <c r="T160" s="24">
        <f t="shared" si="28"/>
        <v>200.02</v>
      </c>
      <c r="U160" s="24">
        <f t="shared" si="29"/>
        <v>3585.11</v>
      </c>
      <c r="V160" s="24">
        <f>+VLOOKUP(A160,[1]DQS4_AUX!$A:$M,13,FALSE)</f>
        <v>3.1986159999999999</v>
      </c>
      <c r="W160" s="24">
        <f t="shared" si="30"/>
        <v>0</v>
      </c>
    </row>
    <row r="161" spans="1:23" x14ac:dyDescent="0.25">
      <c r="A161" t="str">
        <f t="shared" si="21"/>
        <v>C33.16EU1</v>
      </c>
      <c r="B161" t="s">
        <v>38</v>
      </c>
      <c r="C161" t="s">
        <v>258</v>
      </c>
      <c r="D161" t="s">
        <v>89</v>
      </c>
      <c r="E161">
        <v>18581.060000000001</v>
      </c>
      <c r="F161">
        <v>18581.060000000001</v>
      </c>
      <c r="G161">
        <v>82374.240000000005</v>
      </c>
      <c r="H161">
        <v>629263.97</v>
      </c>
      <c r="I161">
        <v>1971271.15</v>
      </c>
      <c r="J161">
        <v>1.6487989999999999</v>
      </c>
      <c r="K161">
        <v>0.75805400000000001</v>
      </c>
      <c r="L161">
        <v>22.266036</v>
      </c>
      <c r="M161" t="s">
        <v>15</v>
      </c>
      <c r="N161" s="24">
        <f t="shared" si="22"/>
        <v>1.8581E-2</v>
      </c>
      <c r="O161" s="24">
        <f t="shared" si="23"/>
        <v>1.8581E-2</v>
      </c>
      <c r="P161">
        <f t="shared" si="24"/>
        <v>8.2374000000000003E-2</v>
      </c>
      <c r="Q161">
        <f t="shared" si="25"/>
        <v>0.62926400000000005</v>
      </c>
      <c r="R161">
        <f t="shared" si="26"/>
        <v>1.971271</v>
      </c>
      <c r="S161" s="24">
        <f t="shared" si="27"/>
        <v>1.65</v>
      </c>
      <c r="T161" s="24">
        <f t="shared" si="28"/>
        <v>0.76</v>
      </c>
      <c r="U161" s="24">
        <f t="shared" si="29"/>
        <v>22.27</v>
      </c>
      <c r="V161" s="24">
        <f>+VLOOKUP(A161,[1]DQS4_AUX!$A:$M,13,FALSE)</f>
        <v>1.8581E-2</v>
      </c>
      <c r="W161" s="24">
        <f t="shared" si="30"/>
        <v>0</v>
      </c>
    </row>
    <row r="162" spans="1:23" x14ac:dyDescent="0.25">
      <c r="A162" t="str">
        <f t="shared" si="21"/>
        <v>C14.11EU1</v>
      </c>
      <c r="B162" t="s">
        <v>38</v>
      </c>
      <c r="C162" t="s">
        <v>258</v>
      </c>
      <c r="D162" t="s">
        <v>348</v>
      </c>
      <c r="E162">
        <v>107534.92</v>
      </c>
      <c r="F162">
        <v>107534.92</v>
      </c>
      <c r="G162">
        <v>613189.88</v>
      </c>
      <c r="H162">
        <v>584544.47</v>
      </c>
      <c r="I162">
        <v>1878676.49</v>
      </c>
      <c r="J162">
        <v>3.9307050000000001</v>
      </c>
      <c r="K162">
        <v>7.2688249999999996</v>
      </c>
      <c r="L162">
        <v>50.230255999999997</v>
      </c>
      <c r="M162" t="s">
        <v>15</v>
      </c>
      <c r="N162" s="24">
        <f t="shared" si="22"/>
        <v>0.10753500000000001</v>
      </c>
      <c r="O162" s="24">
        <f t="shared" si="23"/>
        <v>0.10753500000000001</v>
      </c>
      <c r="P162">
        <f t="shared" si="24"/>
        <v>0.61319000000000001</v>
      </c>
      <c r="Q162">
        <f t="shared" si="25"/>
        <v>0.58454399999999995</v>
      </c>
      <c r="R162">
        <f t="shared" si="26"/>
        <v>1.878676</v>
      </c>
      <c r="S162" s="24">
        <f t="shared" si="27"/>
        <v>3.93</v>
      </c>
      <c r="T162" s="24">
        <f t="shared" si="28"/>
        <v>7.27</v>
      </c>
      <c r="U162" s="24">
        <f t="shared" si="29"/>
        <v>50.23</v>
      </c>
      <c r="V162" s="24">
        <f>+VLOOKUP(A162,[1]DQS4_AUX!$A:$M,13,FALSE)</f>
        <v>0.10753500000000001</v>
      </c>
      <c r="W162" s="24">
        <f t="shared" si="30"/>
        <v>0</v>
      </c>
    </row>
    <row r="163" spans="1:23" x14ac:dyDescent="0.25">
      <c r="A163" t="str">
        <f t="shared" si="21"/>
        <v>C14.31EU1</v>
      </c>
      <c r="B163" t="s">
        <v>38</v>
      </c>
      <c r="C163" t="s">
        <v>258</v>
      </c>
      <c r="D163" t="s">
        <v>403</v>
      </c>
      <c r="E163">
        <v>4415893.6599999899</v>
      </c>
      <c r="F163">
        <v>4416554.9099999899</v>
      </c>
      <c r="G163">
        <v>33001154.359999999</v>
      </c>
      <c r="H163">
        <v>35276130.210000001</v>
      </c>
      <c r="I163">
        <v>99659480.659999996</v>
      </c>
      <c r="J163">
        <v>196.16592499999999</v>
      </c>
      <c r="K163">
        <v>362.75829099999999</v>
      </c>
      <c r="L163">
        <v>2506.7937360000001</v>
      </c>
      <c r="M163" t="s">
        <v>15</v>
      </c>
      <c r="N163" s="24">
        <f t="shared" si="22"/>
        <v>4.4158939999999998</v>
      </c>
      <c r="O163" s="24">
        <f t="shared" si="23"/>
        <v>4.4165549999999998</v>
      </c>
      <c r="P163">
        <f t="shared" si="24"/>
        <v>33.001154</v>
      </c>
      <c r="Q163">
        <f t="shared" si="25"/>
        <v>35.276130000000002</v>
      </c>
      <c r="R163">
        <f t="shared" si="26"/>
        <v>99.659481</v>
      </c>
      <c r="S163" s="24">
        <f t="shared" si="27"/>
        <v>196.17</v>
      </c>
      <c r="T163" s="24">
        <f t="shared" si="28"/>
        <v>362.76</v>
      </c>
      <c r="U163" s="24">
        <f t="shared" si="29"/>
        <v>2506.79</v>
      </c>
      <c r="V163" s="24">
        <f>+VLOOKUP(A163,[1]DQS4_AUX!$A:$M,13,FALSE)</f>
        <v>4.4165549999999998</v>
      </c>
      <c r="W163" s="24">
        <f t="shared" si="30"/>
        <v>0</v>
      </c>
    </row>
    <row r="164" spans="1:23" x14ac:dyDescent="0.25">
      <c r="A164" t="str">
        <f t="shared" si="21"/>
        <v>C23.31EU1</v>
      </c>
      <c r="B164" t="s">
        <v>38</v>
      </c>
      <c r="C164" t="s">
        <v>258</v>
      </c>
      <c r="D164" t="s">
        <v>404</v>
      </c>
      <c r="E164">
        <v>12307947.1399999</v>
      </c>
      <c r="F164">
        <v>12308739.2299999</v>
      </c>
      <c r="G164">
        <v>71043949.480000004</v>
      </c>
      <c r="H164">
        <v>231582860</v>
      </c>
      <c r="I164">
        <v>275899422.25</v>
      </c>
      <c r="J164">
        <v>3356.6914160000001</v>
      </c>
      <c r="K164">
        <v>679.30016499999999</v>
      </c>
      <c r="L164">
        <v>5383.1674990000001</v>
      </c>
      <c r="M164" t="s">
        <v>15</v>
      </c>
      <c r="N164" s="24">
        <f t="shared" si="22"/>
        <v>12.307947</v>
      </c>
      <c r="O164" s="24">
        <f t="shared" si="23"/>
        <v>12.308738999999999</v>
      </c>
      <c r="P164">
        <f t="shared" si="24"/>
        <v>71.043948999999998</v>
      </c>
      <c r="Q164">
        <f t="shared" si="25"/>
        <v>231.58286000000001</v>
      </c>
      <c r="R164">
        <f t="shared" si="26"/>
        <v>275.89942200000002</v>
      </c>
      <c r="S164" s="24">
        <f t="shared" si="27"/>
        <v>3356.69</v>
      </c>
      <c r="T164" s="24">
        <f t="shared" si="28"/>
        <v>679.3</v>
      </c>
      <c r="U164" s="24">
        <f t="shared" si="29"/>
        <v>5383.17</v>
      </c>
      <c r="V164" s="24">
        <f>+VLOOKUP(A164,[1]DQS4_AUX!$A:$M,13,FALSE)</f>
        <v>12.308738999999999</v>
      </c>
      <c r="W164" s="24">
        <f t="shared" si="30"/>
        <v>0</v>
      </c>
    </row>
    <row r="165" spans="1:23" x14ac:dyDescent="0.25">
      <c r="A165" t="str">
        <f t="shared" si="21"/>
        <v>C24.10EU1</v>
      </c>
      <c r="B165" t="s">
        <v>38</v>
      </c>
      <c r="C165" t="s">
        <v>258</v>
      </c>
      <c r="D165" t="s">
        <v>405</v>
      </c>
      <c r="E165">
        <v>4022021.69</v>
      </c>
      <c r="F165">
        <v>4022021.69</v>
      </c>
      <c r="G165">
        <v>13793207.16</v>
      </c>
      <c r="H165">
        <v>33021697.75</v>
      </c>
      <c r="I165">
        <v>95690858.629999995</v>
      </c>
      <c r="J165">
        <v>1181.7892830000001</v>
      </c>
      <c r="K165">
        <v>279.63656500000002</v>
      </c>
      <c r="L165">
        <v>3845.2184579999998</v>
      </c>
      <c r="M165" t="s">
        <v>15</v>
      </c>
      <c r="N165" s="24">
        <f t="shared" si="22"/>
        <v>4.0220219999999998</v>
      </c>
      <c r="O165" s="24">
        <f t="shared" si="23"/>
        <v>4.0220219999999998</v>
      </c>
      <c r="P165">
        <f t="shared" si="24"/>
        <v>13.793207000000001</v>
      </c>
      <c r="Q165">
        <f t="shared" si="25"/>
        <v>33.021698000000001</v>
      </c>
      <c r="R165">
        <f t="shared" si="26"/>
        <v>95.690859000000003</v>
      </c>
      <c r="S165" s="24">
        <f t="shared" si="27"/>
        <v>1181.79</v>
      </c>
      <c r="T165" s="24">
        <f t="shared" si="28"/>
        <v>279.64</v>
      </c>
      <c r="U165" s="24">
        <f t="shared" si="29"/>
        <v>3845.22</v>
      </c>
      <c r="V165" s="24">
        <f>+VLOOKUP(A165,[1]DQS4_AUX!$A:$M,13,FALSE)</f>
        <v>4.0220219999999998</v>
      </c>
      <c r="W165" s="24">
        <f t="shared" si="30"/>
        <v>0</v>
      </c>
    </row>
    <row r="166" spans="1:23" x14ac:dyDescent="0.25">
      <c r="A166" t="str">
        <f t="shared" si="21"/>
        <v>C23.62EU1</v>
      </c>
      <c r="B166" t="s">
        <v>38</v>
      </c>
      <c r="C166" t="s">
        <v>258</v>
      </c>
      <c r="D166" t="s">
        <v>406</v>
      </c>
      <c r="E166">
        <v>37158.449999999903</v>
      </c>
      <c r="F166">
        <v>37179.479999999901</v>
      </c>
      <c r="G166">
        <v>1799249.84</v>
      </c>
      <c r="H166">
        <v>1620242.78</v>
      </c>
      <c r="I166">
        <v>3775686.04</v>
      </c>
      <c r="J166">
        <v>11.476915</v>
      </c>
      <c r="K166">
        <v>2.3226049999999998</v>
      </c>
      <c r="L166">
        <v>18.405671000000002</v>
      </c>
      <c r="M166" t="s">
        <v>15</v>
      </c>
      <c r="N166" s="24">
        <f t="shared" si="22"/>
        <v>3.7157999999999997E-2</v>
      </c>
      <c r="O166" s="24">
        <f t="shared" si="23"/>
        <v>3.7178999999999997E-2</v>
      </c>
      <c r="P166">
        <f t="shared" si="24"/>
        <v>1.79925</v>
      </c>
      <c r="Q166">
        <f t="shared" si="25"/>
        <v>1.6202430000000001</v>
      </c>
      <c r="R166">
        <f t="shared" si="26"/>
        <v>3.7756859999999999</v>
      </c>
      <c r="S166" s="24">
        <f t="shared" si="27"/>
        <v>11.48</v>
      </c>
      <c r="T166" s="24">
        <f t="shared" si="28"/>
        <v>2.3199999999999998</v>
      </c>
      <c r="U166" s="24">
        <f t="shared" si="29"/>
        <v>18.41</v>
      </c>
      <c r="V166" s="24">
        <f>+VLOOKUP(A166,[1]DQS4_AUX!$A:$M,13,FALSE)</f>
        <v>3.7178999999999997E-2</v>
      </c>
      <c r="W166" s="24">
        <f t="shared" si="30"/>
        <v>0</v>
      </c>
    </row>
    <row r="167" spans="1:23" x14ac:dyDescent="0.25">
      <c r="A167" t="str">
        <f t="shared" si="21"/>
        <v>C10.89EU1</v>
      </c>
      <c r="B167" t="s">
        <v>38</v>
      </c>
      <c r="C167" t="s">
        <v>258</v>
      </c>
      <c r="D167" t="s">
        <v>340</v>
      </c>
      <c r="E167">
        <v>1742952.1499999899</v>
      </c>
      <c r="F167">
        <v>1742972.76999999</v>
      </c>
      <c r="G167">
        <v>24659840.059999999</v>
      </c>
      <c r="H167">
        <v>40012607.060000002</v>
      </c>
      <c r="I167">
        <v>110094171.73999999</v>
      </c>
      <c r="J167">
        <v>172.41291000000001</v>
      </c>
      <c r="K167">
        <v>117.224852</v>
      </c>
      <c r="L167">
        <v>2101.1467389999998</v>
      </c>
      <c r="M167" t="s">
        <v>15</v>
      </c>
      <c r="N167" s="24">
        <f t="shared" si="22"/>
        <v>1.7429520000000001</v>
      </c>
      <c r="O167" s="24">
        <f t="shared" si="23"/>
        <v>1.7429730000000001</v>
      </c>
      <c r="P167">
        <f t="shared" si="24"/>
        <v>24.659839999999999</v>
      </c>
      <c r="Q167">
        <f t="shared" si="25"/>
        <v>40.012607000000003</v>
      </c>
      <c r="R167">
        <f t="shared" si="26"/>
        <v>110.094172</v>
      </c>
      <c r="S167" s="24">
        <f t="shared" si="27"/>
        <v>172.41</v>
      </c>
      <c r="T167" s="24">
        <f t="shared" si="28"/>
        <v>117.22</v>
      </c>
      <c r="U167" s="24">
        <f t="shared" si="29"/>
        <v>2101.15</v>
      </c>
      <c r="V167" s="24">
        <f>+VLOOKUP(A167,[1]DQS4_AUX!$A:$M,13,FALSE)</f>
        <v>1.7429730000000001</v>
      </c>
      <c r="W167" s="24">
        <f t="shared" si="30"/>
        <v>0</v>
      </c>
    </row>
    <row r="168" spans="1:23" x14ac:dyDescent="0.25">
      <c r="A168" t="str">
        <f t="shared" si="21"/>
        <v>C13.93EU1</v>
      </c>
      <c r="B168" t="s">
        <v>38</v>
      </c>
      <c r="C168" t="s">
        <v>258</v>
      </c>
      <c r="D168" t="s">
        <v>367</v>
      </c>
      <c r="E168">
        <v>12571052.42</v>
      </c>
      <c r="F168">
        <v>12571052.42</v>
      </c>
      <c r="G168">
        <v>49466607.350000001</v>
      </c>
      <c r="H168">
        <v>80749985.530000001</v>
      </c>
      <c r="I168">
        <v>71738249.879999995</v>
      </c>
      <c r="J168">
        <v>109.918209</v>
      </c>
      <c r="K168">
        <v>203.26534599999999</v>
      </c>
      <c r="L168">
        <v>1404.638406</v>
      </c>
      <c r="M168" t="s">
        <v>15</v>
      </c>
      <c r="N168" s="24">
        <f t="shared" si="22"/>
        <v>12.571052</v>
      </c>
      <c r="O168" s="24">
        <f t="shared" si="23"/>
        <v>12.571052</v>
      </c>
      <c r="P168">
        <f t="shared" si="24"/>
        <v>49.466607000000003</v>
      </c>
      <c r="Q168">
        <f t="shared" si="25"/>
        <v>80.749986000000007</v>
      </c>
      <c r="R168">
        <f t="shared" si="26"/>
        <v>71.738249999999994</v>
      </c>
      <c r="S168" s="24">
        <f t="shared" si="27"/>
        <v>109.92</v>
      </c>
      <c r="T168" s="24">
        <f t="shared" si="28"/>
        <v>203.27</v>
      </c>
      <c r="U168" s="24">
        <f t="shared" si="29"/>
        <v>1404.64</v>
      </c>
      <c r="V168" s="24">
        <f>+VLOOKUP(A168,[1]DQS4_AUX!$A:$M,13,FALSE)</f>
        <v>12.571052</v>
      </c>
      <c r="W168" s="24">
        <f t="shared" si="30"/>
        <v>0</v>
      </c>
    </row>
    <row r="169" spans="1:23" x14ac:dyDescent="0.25">
      <c r="A169" t="str">
        <f t="shared" si="21"/>
        <v>C32.91EU1</v>
      </c>
      <c r="B169" t="s">
        <v>38</v>
      </c>
      <c r="C169" t="s">
        <v>258</v>
      </c>
      <c r="D169" t="s">
        <v>366</v>
      </c>
      <c r="E169">
        <v>919397.76</v>
      </c>
      <c r="F169">
        <v>919397.76</v>
      </c>
      <c r="G169">
        <v>12703144.119999999</v>
      </c>
      <c r="H169">
        <v>9300112.5600000005</v>
      </c>
      <c r="I169">
        <v>31399349.920000002</v>
      </c>
      <c r="J169">
        <v>83.275469000000001</v>
      </c>
      <c r="K169">
        <v>30.300633999999999</v>
      </c>
      <c r="L169">
        <v>291.06293299999999</v>
      </c>
      <c r="M169" t="s">
        <v>15</v>
      </c>
      <c r="N169" s="24">
        <f t="shared" si="22"/>
        <v>0.91939800000000005</v>
      </c>
      <c r="O169" s="24">
        <f t="shared" si="23"/>
        <v>0.91939800000000005</v>
      </c>
      <c r="P169">
        <f t="shared" si="24"/>
        <v>12.703144</v>
      </c>
      <c r="Q169">
        <f t="shared" si="25"/>
        <v>9.3001129999999996</v>
      </c>
      <c r="R169">
        <f t="shared" si="26"/>
        <v>31.399349999999998</v>
      </c>
      <c r="S169" s="24">
        <f t="shared" si="27"/>
        <v>83.28</v>
      </c>
      <c r="T169" s="24">
        <f t="shared" si="28"/>
        <v>30.3</v>
      </c>
      <c r="U169" s="24">
        <f t="shared" si="29"/>
        <v>291.06</v>
      </c>
      <c r="V169" s="24">
        <f>+VLOOKUP(A169,[1]DQS4_AUX!$A:$M,13,FALSE)</f>
        <v>0.91939800000000005</v>
      </c>
      <c r="W169" s="24">
        <f t="shared" si="30"/>
        <v>0</v>
      </c>
    </row>
    <row r="170" spans="1:23" x14ac:dyDescent="0.25">
      <c r="A170" t="str">
        <f t="shared" si="21"/>
        <v>C21.20EU1</v>
      </c>
      <c r="B170" t="s">
        <v>38</v>
      </c>
      <c r="C170" t="s">
        <v>258</v>
      </c>
      <c r="D170" t="s">
        <v>112</v>
      </c>
      <c r="E170">
        <v>15101873.2999999</v>
      </c>
      <c r="F170">
        <v>15103133.6399999</v>
      </c>
      <c r="G170">
        <v>334717002.33999997</v>
      </c>
      <c r="H170">
        <v>1001795043.79</v>
      </c>
      <c r="I170">
        <v>1165552817.6500001</v>
      </c>
      <c r="J170">
        <v>5705.9958130000005</v>
      </c>
      <c r="K170">
        <v>1154.733444</v>
      </c>
      <c r="L170">
        <v>9150.7760870000002</v>
      </c>
      <c r="M170" t="s">
        <v>15</v>
      </c>
      <c r="N170" s="24">
        <f t="shared" si="22"/>
        <v>15.101872999999999</v>
      </c>
      <c r="O170" s="24">
        <f t="shared" si="23"/>
        <v>15.103134000000001</v>
      </c>
      <c r="P170">
        <f t="shared" si="24"/>
        <v>334.71700199999998</v>
      </c>
      <c r="Q170">
        <f t="shared" si="25"/>
        <v>1001.795044</v>
      </c>
      <c r="R170">
        <f t="shared" si="26"/>
        <v>1165.5528179999999</v>
      </c>
      <c r="S170" s="24">
        <f t="shared" si="27"/>
        <v>5706</v>
      </c>
      <c r="T170" s="24">
        <f t="shared" si="28"/>
        <v>1154.73</v>
      </c>
      <c r="U170" s="24">
        <f t="shared" si="29"/>
        <v>9150.7800000000007</v>
      </c>
      <c r="V170" s="24">
        <f>+VLOOKUP(A170,[1]DQS4_AUX!$A:$M,13,FALSE)</f>
        <v>15.103134000000001</v>
      </c>
      <c r="W170" s="24">
        <f t="shared" si="30"/>
        <v>0</v>
      </c>
    </row>
    <row r="171" spans="1:23" x14ac:dyDescent="0.25">
      <c r="A171" t="str">
        <f t="shared" si="21"/>
        <v>C33.15EU1</v>
      </c>
      <c r="B171" t="s">
        <v>38</v>
      </c>
      <c r="C171" t="s">
        <v>258</v>
      </c>
      <c r="D171" t="s">
        <v>407</v>
      </c>
      <c r="E171">
        <v>1439072.8</v>
      </c>
      <c r="F171">
        <v>1439072.8</v>
      </c>
      <c r="G171">
        <v>6469967.0999999996</v>
      </c>
      <c r="H171">
        <v>5808677.7300000004</v>
      </c>
      <c r="I171">
        <v>27852096.379999999</v>
      </c>
      <c r="J171">
        <v>103.03621699999999</v>
      </c>
      <c r="K171">
        <v>47.372256</v>
      </c>
      <c r="L171">
        <v>1391.439261</v>
      </c>
      <c r="M171" t="s">
        <v>15</v>
      </c>
      <c r="N171" s="24">
        <f t="shared" si="22"/>
        <v>1.439073</v>
      </c>
      <c r="O171" s="24">
        <f t="shared" si="23"/>
        <v>1.439073</v>
      </c>
      <c r="P171">
        <f t="shared" si="24"/>
        <v>6.4699669999999996</v>
      </c>
      <c r="Q171">
        <f t="shared" si="25"/>
        <v>5.8086779999999996</v>
      </c>
      <c r="R171">
        <f t="shared" si="26"/>
        <v>27.852096</v>
      </c>
      <c r="S171" s="24">
        <f t="shared" si="27"/>
        <v>103.04</v>
      </c>
      <c r="T171" s="24">
        <f t="shared" si="28"/>
        <v>47.37</v>
      </c>
      <c r="U171" s="24">
        <f t="shared" si="29"/>
        <v>1391.44</v>
      </c>
      <c r="V171" s="24">
        <f>+VLOOKUP(A171,[1]DQS4_AUX!$A:$M,13,FALSE)</f>
        <v>1.439073</v>
      </c>
      <c r="W171" s="24">
        <f t="shared" si="30"/>
        <v>0</v>
      </c>
    </row>
    <row r="172" spans="1:23" x14ac:dyDescent="0.25">
      <c r="A172" t="str">
        <f t="shared" si="21"/>
        <v>C27.32EU1</v>
      </c>
      <c r="B172" t="s">
        <v>38</v>
      </c>
      <c r="C172" t="s">
        <v>258</v>
      </c>
      <c r="D172" t="s">
        <v>408</v>
      </c>
      <c r="E172">
        <v>6553611.2699999996</v>
      </c>
      <c r="F172">
        <v>6553611.2699999996</v>
      </c>
      <c r="G172">
        <v>130620639.18000001</v>
      </c>
      <c r="H172">
        <v>447524390.08999997</v>
      </c>
      <c r="I172">
        <v>1172862580.05</v>
      </c>
      <c r="J172">
        <v>667.41981599999997</v>
      </c>
      <c r="K172">
        <v>362.81449099999998</v>
      </c>
      <c r="L172">
        <v>5942.7100710000004</v>
      </c>
      <c r="M172" t="s">
        <v>15</v>
      </c>
      <c r="N172" s="24">
        <f t="shared" si="22"/>
        <v>6.5536110000000001</v>
      </c>
      <c r="O172" s="24">
        <f t="shared" si="23"/>
        <v>6.5536110000000001</v>
      </c>
      <c r="P172">
        <f t="shared" si="24"/>
        <v>130.62063900000001</v>
      </c>
      <c r="Q172">
        <f t="shared" si="25"/>
        <v>447.52438999999998</v>
      </c>
      <c r="R172">
        <f t="shared" si="26"/>
        <v>1172.86258</v>
      </c>
      <c r="S172" s="24">
        <f t="shared" si="27"/>
        <v>667.42</v>
      </c>
      <c r="T172" s="24">
        <f t="shared" si="28"/>
        <v>362.81</v>
      </c>
      <c r="U172" s="24">
        <f t="shared" si="29"/>
        <v>5942.71</v>
      </c>
      <c r="V172" s="24">
        <f>+VLOOKUP(A172,[1]DQS4_AUX!$A:$M,13,FALSE)</f>
        <v>6.5536110000000001</v>
      </c>
      <c r="W172" s="24">
        <f t="shared" si="30"/>
        <v>0</v>
      </c>
    </row>
    <row r="173" spans="1:23" x14ac:dyDescent="0.25">
      <c r="A173" t="str">
        <f t="shared" si="21"/>
        <v>C22.21EU1</v>
      </c>
      <c r="B173" t="s">
        <v>38</v>
      </c>
      <c r="C173" t="s">
        <v>258</v>
      </c>
      <c r="D173" t="s">
        <v>438</v>
      </c>
      <c r="E173">
        <v>7657260.7299999902</v>
      </c>
      <c r="F173">
        <v>7658329.0999999903</v>
      </c>
      <c r="G173">
        <v>75205235.760000005</v>
      </c>
      <c r="H173">
        <v>286851314.76999998</v>
      </c>
      <c r="I173">
        <v>402441270.27999997</v>
      </c>
      <c r="J173">
        <v>1661.9751080000001</v>
      </c>
      <c r="K173">
        <v>336.33709900000002</v>
      </c>
      <c r="L173">
        <v>2665.3300429999999</v>
      </c>
      <c r="M173" t="s">
        <v>15</v>
      </c>
      <c r="N173" s="24">
        <f t="shared" si="22"/>
        <v>7.6572610000000001</v>
      </c>
      <c r="O173" s="24">
        <f t="shared" si="23"/>
        <v>7.6583290000000002</v>
      </c>
      <c r="P173">
        <f t="shared" si="24"/>
        <v>75.205235999999999</v>
      </c>
      <c r="Q173">
        <f t="shared" si="25"/>
        <v>286.851315</v>
      </c>
      <c r="R173">
        <f t="shared" si="26"/>
        <v>402.44126999999997</v>
      </c>
      <c r="S173" s="24">
        <f t="shared" si="27"/>
        <v>1661.98</v>
      </c>
      <c r="T173" s="24">
        <f t="shared" si="28"/>
        <v>336.34</v>
      </c>
      <c r="U173" s="24">
        <f t="shared" si="29"/>
        <v>2665.33</v>
      </c>
      <c r="V173" s="24">
        <f>+VLOOKUP(A173,[1]DQS4_AUX!$A:$M,13,FALSE)</f>
        <v>7.6583290000000002</v>
      </c>
      <c r="W173" s="24">
        <f t="shared" si="30"/>
        <v>0</v>
      </c>
    </row>
    <row r="174" spans="1:23" x14ac:dyDescent="0.25">
      <c r="A174" t="str">
        <f t="shared" si="21"/>
        <v>C13.30EU1</v>
      </c>
      <c r="B174" t="s">
        <v>38</v>
      </c>
      <c r="C174" t="s">
        <v>258</v>
      </c>
      <c r="D174" t="s">
        <v>439</v>
      </c>
      <c r="E174">
        <v>20950836.589999899</v>
      </c>
      <c r="F174">
        <v>20953172.629999898</v>
      </c>
      <c r="G174">
        <v>199011416.80000001</v>
      </c>
      <c r="H174">
        <v>183209731.97999999</v>
      </c>
      <c r="I174">
        <v>335754032.04000002</v>
      </c>
      <c r="J174">
        <v>470.30669799999998</v>
      </c>
      <c r="K174">
        <v>869.71095500000001</v>
      </c>
      <c r="L174">
        <v>6010.0238479999998</v>
      </c>
      <c r="M174" t="s">
        <v>15</v>
      </c>
      <c r="N174" s="24">
        <f t="shared" si="22"/>
        <v>20.950837</v>
      </c>
      <c r="O174" s="24">
        <f t="shared" si="23"/>
        <v>20.953173</v>
      </c>
      <c r="P174">
        <f t="shared" si="24"/>
        <v>199.01141699999999</v>
      </c>
      <c r="Q174">
        <f t="shared" si="25"/>
        <v>183.209732</v>
      </c>
      <c r="R174">
        <f t="shared" si="26"/>
        <v>335.754032</v>
      </c>
      <c r="S174" s="24">
        <f t="shared" si="27"/>
        <v>470.31</v>
      </c>
      <c r="T174" s="24">
        <f t="shared" si="28"/>
        <v>869.71</v>
      </c>
      <c r="U174" s="24">
        <f t="shared" si="29"/>
        <v>6010.02</v>
      </c>
      <c r="V174" s="24">
        <f>+VLOOKUP(A174,[1]DQS4_AUX!$A:$M,13,FALSE)</f>
        <v>20.953173</v>
      </c>
      <c r="W174" s="24">
        <f t="shared" si="30"/>
        <v>0</v>
      </c>
    </row>
    <row r="175" spans="1:23" x14ac:dyDescent="0.25">
      <c r="A175" t="str">
        <f t="shared" si="21"/>
        <v>C28.92EU1</v>
      </c>
      <c r="B175" t="s">
        <v>38</v>
      </c>
      <c r="C175" t="s">
        <v>258</v>
      </c>
      <c r="D175" t="s">
        <v>390</v>
      </c>
      <c r="E175">
        <v>1621939.8299999901</v>
      </c>
      <c r="F175">
        <v>1621976.03999999</v>
      </c>
      <c r="G175">
        <v>28981520.91</v>
      </c>
      <c r="H175">
        <v>61328457.189999998</v>
      </c>
      <c r="I175">
        <v>60164108.390000001</v>
      </c>
      <c r="J175">
        <v>43.062649999999998</v>
      </c>
      <c r="K175">
        <v>23.409168000000001</v>
      </c>
      <c r="L175">
        <v>383.430476</v>
      </c>
      <c r="M175" t="s">
        <v>15</v>
      </c>
      <c r="N175" s="24">
        <f t="shared" si="22"/>
        <v>1.6219399999999999</v>
      </c>
      <c r="O175" s="24">
        <f t="shared" si="23"/>
        <v>1.6219760000000001</v>
      </c>
      <c r="P175">
        <f t="shared" si="24"/>
        <v>28.981521000000001</v>
      </c>
      <c r="Q175">
        <f t="shared" si="25"/>
        <v>61.328457</v>
      </c>
      <c r="R175">
        <f t="shared" si="26"/>
        <v>60.164107999999999</v>
      </c>
      <c r="S175" s="24">
        <f t="shared" si="27"/>
        <v>43.06</v>
      </c>
      <c r="T175" s="24">
        <f t="shared" si="28"/>
        <v>23.41</v>
      </c>
      <c r="U175" s="24">
        <f t="shared" si="29"/>
        <v>383.43</v>
      </c>
      <c r="V175" s="24">
        <f>+VLOOKUP(A175,[1]DQS4_AUX!$A:$M,13,FALSE)</f>
        <v>1.6219760000000001</v>
      </c>
      <c r="W175" s="24">
        <f t="shared" si="30"/>
        <v>0</v>
      </c>
    </row>
    <row r="176" spans="1:23" x14ac:dyDescent="0.25">
      <c r="A176" t="str">
        <f t="shared" si="21"/>
        <v>C23.70EU1</v>
      </c>
      <c r="B176" t="s">
        <v>38</v>
      </c>
      <c r="C176" t="s">
        <v>258</v>
      </c>
      <c r="D176" t="s">
        <v>391</v>
      </c>
      <c r="E176">
        <v>12757497.449999901</v>
      </c>
      <c r="F176">
        <v>12760120.2299999</v>
      </c>
      <c r="G176">
        <v>74775776.969999999</v>
      </c>
      <c r="H176">
        <v>154756262.47999999</v>
      </c>
      <c r="I176">
        <v>232882243.24000001</v>
      </c>
      <c r="J176">
        <v>4821.1312070000004</v>
      </c>
      <c r="K176">
        <v>975.661428</v>
      </c>
      <c r="L176">
        <v>7731.7078600000004</v>
      </c>
      <c r="M176" t="s">
        <v>15</v>
      </c>
      <c r="N176" s="24">
        <f t="shared" si="22"/>
        <v>12.757497000000001</v>
      </c>
      <c r="O176" s="24">
        <f t="shared" si="23"/>
        <v>12.760120000000001</v>
      </c>
      <c r="P176">
        <f t="shared" si="24"/>
        <v>74.775777000000005</v>
      </c>
      <c r="Q176">
        <f t="shared" si="25"/>
        <v>154.75626199999999</v>
      </c>
      <c r="R176">
        <f t="shared" si="26"/>
        <v>232.88224299999999</v>
      </c>
      <c r="S176" s="24">
        <f t="shared" si="27"/>
        <v>4821.13</v>
      </c>
      <c r="T176" s="24">
        <f t="shared" si="28"/>
        <v>975.66</v>
      </c>
      <c r="U176" s="24">
        <f t="shared" si="29"/>
        <v>7731.71</v>
      </c>
      <c r="V176" s="24">
        <f>+VLOOKUP(A176,[1]DQS4_AUX!$A:$M,13,FALSE)</f>
        <v>12.760120000000001</v>
      </c>
      <c r="W176" s="24">
        <f t="shared" si="30"/>
        <v>0</v>
      </c>
    </row>
    <row r="177" spans="1:23" x14ac:dyDescent="0.25">
      <c r="A177" t="str">
        <f t="shared" si="21"/>
        <v>C25.91EU1</v>
      </c>
      <c r="B177" t="s">
        <v>38</v>
      </c>
      <c r="C177" t="s">
        <v>258</v>
      </c>
      <c r="D177" t="s">
        <v>392</v>
      </c>
      <c r="E177">
        <v>716921</v>
      </c>
      <c r="F177">
        <v>716921</v>
      </c>
      <c r="G177">
        <v>599456.59</v>
      </c>
      <c r="H177">
        <v>1878145.28</v>
      </c>
      <c r="I177">
        <v>3056790.23</v>
      </c>
      <c r="J177">
        <v>127.24246599999999</v>
      </c>
      <c r="K177">
        <v>30.108283</v>
      </c>
      <c r="L177">
        <v>414.01211499999999</v>
      </c>
      <c r="M177" t="s">
        <v>15</v>
      </c>
      <c r="N177" s="24">
        <f t="shared" si="22"/>
        <v>0.71692100000000003</v>
      </c>
      <c r="O177" s="24">
        <f t="shared" si="23"/>
        <v>0.71692100000000003</v>
      </c>
      <c r="P177">
        <f t="shared" si="24"/>
        <v>0.59945700000000002</v>
      </c>
      <c r="Q177">
        <f t="shared" si="25"/>
        <v>1.878145</v>
      </c>
      <c r="R177">
        <f t="shared" si="26"/>
        <v>3.0567899999999999</v>
      </c>
      <c r="S177" s="24">
        <f t="shared" si="27"/>
        <v>127.24</v>
      </c>
      <c r="T177" s="24">
        <f t="shared" si="28"/>
        <v>30.11</v>
      </c>
      <c r="U177" s="24">
        <f t="shared" si="29"/>
        <v>414.01</v>
      </c>
      <c r="V177" s="24">
        <f>+VLOOKUP(A177,[1]DQS4_AUX!$A:$M,13,FALSE)</f>
        <v>0.71692100000000003</v>
      </c>
      <c r="W177" s="24">
        <f t="shared" si="30"/>
        <v>0</v>
      </c>
    </row>
    <row r="178" spans="1:23" x14ac:dyDescent="0.25">
      <c r="A178" t="str">
        <f t="shared" si="21"/>
        <v>C25.61EU1</v>
      </c>
      <c r="B178" t="s">
        <v>38</v>
      </c>
      <c r="C178" t="s">
        <v>258</v>
      </c>
      <c r="D178" t="s">
        <v>188</v>
      </c>
      <c r="E178">
        <v>27942945.699999899</v>
      </c>
      <c r="F178">
        <v>27944405.419999901</v>
      </c>
      <c r="G178">
        <v>154503756.08000001</v>
      </c>
      <c r="H178">
        <v>284774101.29000002</v>
      </c>
      <c r="I178">
        <v>450606032.38</v>
      </c>
      <c r="J178">
        <v>5104.5064709999997</v>
      </c>
      <c r="K178">
        <v>1207.8349089999999</v>
      </c>
      <c r="L178">
        <v>16608.665899</v>
      </c>
      <c r="M178" t="s">
        <v>15</v>
      </c>
      <c r="N178" s="24">
        <f t="shared" si="22"/>
        <v>27.942945999999999</v>
      </c>
      <c r="O178" s="24">
        <f t="shared" si="23"/>
        <v>27.944405</v>
      </c>
      <c r="P178">
        <f t="shared" si="24"/>
        <v>154.50375600000001</v>
      </c>
      <c r="Q178">
        <f t="shared" si="25"/>
        <v>284.77410099999997</v>
      </c>
      <c r="R178">
        <f t="shared" si="26"/>
        <v>450.60603200000003</v>
      </c>
      <c r="S178" s="24">
        <f t="shared" si="27"/>
        <v>5104.51</v>
      </c>
      <c r="T178" s="24">
        <f t="shared" si="28"/>
        <v>1207.83</v>
      </c>
      <c r="U178" s="24">
        <f t="shared" si="29"/>
        <v>16608.669999999998</v>
      </c>
      <c r="V178" s="24">
        <f>+VLOOKUP(A178,[1]DQS4_AUX!$A:$M,13,FALSE)</f>
        <v>27.944405</v>
      </c>
      <c r="W178" s="24">
        <f t="shared" si="30"/>
        <v>0</v>
      </c>
    </row>
    <row r="179" spans="1:23" x14ac:dyDescent="0.25">
      <c r="A179" t="str">
        <f t="shared" si="21"/>
        <v>C23.64EU1</v>
      </c>
      <c r="B179" t="s">
        <v>38</v>
      </c>
      <c r="C179" t="s">
        <v>258</v>
      </c>
      <c r="D179" t="s">
        <v>154</v>
      </c>
      <c r="E179">
        <v>262019.73</v>
      </c>
      <c r="F179">
        <v>262019.73</v>
      </c>
      <c r="G179">
        <v>9911123.2599999998</v>
      </c>
      <c r="H179">
        <v>23822845.649999999</v>
      </c>
      <c r="I179">
        <v>58037716.619999997</v>
      </c>
      <c r="J179">
        <v>206.19065800000001</v>
      </c>
      <c r="K179">
        <v>41.727201999999998</v>
      </c>
      <c r="L179">
        <v>330.67050999999998</v>
      </c>
      <c r="M179" t="s">
        <v>15</v>
      </c>
      <c r="N179" s="24">
        <f t="shared" si="22"/>
        <v>0.26201999999999998</v>
      </c>
      <c r="O179" s="24">
        <f t="shared" si="23"/>
        <v>0.26201999999999998</v>
      </c>
      <c r="P179">
        <f t="shared" si="24"/>
        <v>9.9111229999999999</v>
      </c>
      <c r="Q179">
        <f t="shared" si="25"/>
        <v>23.822845999999998</v>
      </c>
      <c r="R179">
        <f t="shared" si="26"/>
        <v>58.037717000000001</v>
      </c>
      <c r="S179" s="24">
        <f t="shared" si="27"/>
        <v>206.19</v>
      </c>
      <c r="T179" s="24">
        <f t="shared" si="28"/>
        <v>41.73</v>
      </c>
      <c r="U179" s="24">
        <f t="shared" si="29"/>
        <v>330.67</v>
      </c>
      <c r="V179" s="24">
        <f>+VLOOKUP(A179,[1]DQS4_AUX!$A:$M,13,FALSE)</f>
        <v>0.26201999999999998</v>
      </c>
      <c r="W179" s="24">
        <f t="shared" si="30"/>
        <v>0</v>
      </c>
    </row>
    <row r="180" spans="1:23" x14ac:dyDescent="0.25">
      <c r="A180" t="str">
        <f t="shared" si="21"/>
        <v>C16.29EU1</v>
      </c>
      <c r="B180" t="s">
        <v>38</v>
      </c>
      <c r="C180" t="s">
        <v>258</v>
      </c>
      <c r="D180" t="s">
        <v>93</v>
      </c>
      <c r="E180">
        <v>48219497.199999899</v>
      </c>
      <c r="F180">
        <v>48220574.029999897</v>
      </c>
      <c r="G180">
        <v>301310529.89999998</v>
      </c>
      <c r="H180">
        <v>343485789.16000003</v>
      </c>
      <c r="I180">
        <v>734538207.37</v>
      </c>
      <c r="J180">
        <v>3885.75999</v>
      </c>
      <c r="K180">
        <v>3516.7554220000002</v>
      </c>
      <c r="L180">
        <v>18169.408901999999</v>
      </c>
      <c r="M180" t="s">
        <v>15</v>
      </c>
      <c r="N180" s="24">
        <f t="shared" si="22"/>
        <v>48.219496999999997</v>
      </c>
      <c r="O180" s="24">
        <f t="shared" si="23"/>
        <v>48.220573999999999</v>
      </c>
      <c r="P180">
        <f t="shared" si="24"/>
        <v>301.31053000000003</v>
      </c>
      <c r="Q180">
        <f t="shared" si="25"/>
        <v>343.48578900000001</v>
      </c>
      <c r="R180">
        <f t="shared" si="26"/>
        <v>734.53820700000006</v>
      </c>
      <c r="S180" s="24">
        <f t="shared" si="27"/>
        <v>3885.76</v>
      </c>
      <c r="T180" s="24">
        <f t="shared" si="28"/>
        <v>3516.76</v>
      </c>
      <c r="U180" s="24">
        <f t="shared" si="29"/>
        <v>18169.41</v>
      </c>
      <c r="V180" s="24">
        <f>+VLOOKUP(A180,[1]DQS4_AUX!$A:$M,13,FALSE)</f>
        <v>48.220573999999999</v>
      </c>
      <c r="W180" s="24">
        <f t="shared" si="30"/>
        <v>0</v>
      </c>
    </row>
    <row r="181" spans="1:23" x14ac:dyDescent="0.25">
      <c r="A181" t="str">
        <f t="shared" si="21"/>
        <v>C28.99EU1</v>
      </c>
      <c r="B181" t="s">
        <v>38</v>
      </c>
      <c r="C181" t="s">
        <v>258</v>
      </c>
      <c r="D181" t="s">
        <v>422</v>
      </c>
      <c r="E181">
        <v>12827752.880140901</v>
      </c>
      <c r="F181">
        <v>12827944.020140899</v>
      </c>
      <c r="G181">
        <v>53961376.259999998</v>
      </c>
      <c r="H181">
        <v>175740942.06999999</v>
      </c>
      <c r="I181">
        <v>208306116.74000001</v>
      </c>
      <c r="J181">
        <v>551.01917400000002</v>
      </c>
      <c r="K181">
        <v>299.53824300000002</v>
      </c>
      <c r="L181">
        <v>4906.277744</v>
      </c>
      <c r="M181" t="s">
        <v>15</v>
      </c>
      <c r="N181" s="24">
        <f t="shared" si="22"/>
        <v>12.827753</v>
      </c>
      <c r="O181" s="24">
        <f t="shared" si="23"/>
        <v>12.827944</v>
      </c>
      <c r="P181">
        <f t="shared" si="24"/>
        <v>53.961376000000001</v>
      </c>
      <c r="Q181">
        <f t="shared" si="25"/>
        <v>175.74094199999999</v>
      </c>
      <c r="R181">
        <f t="shared" si="26"/>
        <v>208.306117</v>
      </c>
      <c r="S181" s="24">
        <f t="shared" si="27"/>
        <v>551.02</v>
      </c>
      <c r="T181" s="24">
        <f t="shared" si="28"/>
        <v>299.54000000000002</v>
      </c>
      <c r="U181" s="24">
        <f t="shared" si="29"/>
        <v>4906.28</v>
      </c>
      <c r="V181" s="24">
        <f>+VLOOKUP(A181,[1]DQS4_AUX!$A:$M,13,FALSE)</f>
        <v>12.827944</v>
      </c>
      <c r="W181" s="24">
        <f t="shared" si="30"/>
        <v>0</v>
      </c>
    </row>
    <row r="182" spans="1:23" x14ac:dyDescent="0.25">
      <c r="A182" t="str">
        <f t="shared" si="21"/>
        <v>C10.84EU1</v>
      </c>
      <c r="B182" t="s">
        <v>38</v>
      </c>
      <c r="C182" t="s">
        <v>258</v>
      </c>
      <c r="D182" t="s">
        <v>131</v>
      </c>
      <c r="E182">
        <v>5857439.4199999897</v>
      </c>
      <c r="F182">
        <v>5857475.9599999897</v>
      </c>
      <c r="G182">
        <v>41003676.399999999</v>
      </c>
      <c r="H182">
        <v>34337441.240000002</v>
      </c>
      <c r="I182">
        <v>69778067.25</v>
      </c>
      <c r="J182">
        <v>351.57251600000001</v>
      </c>
      <c r="K182">
        <v>239.03684100000001</v>
      </c>
      <c r="L182">
        <v>4284.5128789999999</v>
      </c>
      <c r="M182" t="s">
        <v>15</v>
      </c>
      <c r="N182" s="24">
        <f t="shared" si="22"/>
        <v>5.8574390000000003</v>
      </c>
      <c r="O182" s="24">
        <f t="shared" si="23"/>
        <v>5.8574760000000001</v>
      </c>
      <c r="P182">
        <f t="shared" si="24"/>
        <v>41.003675999999999</v>
      </c>
      <c r="Q182">
        <f t="shared" si="25"/>
        <v>34.337440999999998</v>
      </c>
      <c r="R182">
        <f t="shared" si="26"/>
        <v>69.778066999999993</v>
      </c>
      <c r="S182" s="24">
        <f t="shared" si="27"/>
        <v>351.57</v>
      </c>
      <c r="T182" s="24">
        <f t="shared" si="28"/>
        <v>239.04</v>
      </c>
      <c r="U182" s="24">
        <f t="shared" si="29"/>
        <v>4284.51</v>
      </c>
      <c r="V182" s="24">
        <f>+VLOOKUP(A182,[1]DQS4_AUX!$A:$M,13,FALSE)</f>
        <v>5.8574760000000001</v>
      </c>
      <c r="W182" s="24">
        <f t="shared" si="30"/>
        <v>0</v>
      </c>
    </row>
    <row r="183" spans="1:23" x14ac:dyDescent="0.25">
      <c r="A183" t="str">
        <f t="shared" si="21"/>
        <v>C26.51EU1</v>
      </c>
      <c r="B183" t="s">
        <v>38</v>
      </c>
      <c r="C183" t="s">
        <v>258</v>
      </c>
      <c r="D183" t="s">
        <v>453</v>
      </c>
      <c r="E183">
        <v>1151963.5899999901</v>
      </c>
      <c r="F183">
        <v>1152102.8799999901</v>
      </c>
      <c r="G183">
        <v>20519642.07</v>
      </c>
      <c r="H183">
        <v>44892392.640000001</v>
      </c>
      <c r="I183">
        <v>61896998.329999998</v>
      </c>
      <c r="J183">
        <v>31.731741</v>
      </c>
      <c r="K183">
        <v>17.249614999999999</v>
      </c>
      <c r="L183">
        <v>282.539626</v>
      </c>
      <c r="M183" t="s">
        <v>15</v>
      </c>
      <c r="N183" s="24">
        <f t="shared" si="22"/>
        <v>1.151964</v>
      </c>
      <c r="O183" s="24">
        <f t="shared" si="23"/>
        <v>1.1521030000000001</v>
      </c>
      <c r="P183">
        <f t="shared" si="24"/>
        <v>20.519642000000001</v>
      </c>
      <c r="Q183">
        <f t="shared" si="25"/>
        <v>44.892392999999998</v>
      </c>
      <c r="R183">
        <f t="shared" si="26"/>
        <v>61.896998000000004</v>
      </c>
      <c r="S183" s="24">
        <f t="shared" si="27"/>
        <v>31.73</v>
      </c>
      <c r="T183" s="24">
        <f t="shared" si="28"/>
        <v>17.25</v>
      </c>
      <c r="U183" s="24">
        <f t="shared" si="29"/>
        <v>282.54000000000002</v>
      </c>
      <c r="V183" s="24">
        <f>+VLOOKUP(A183,[1]DQS4_AUX!$A:$M,13,FALSE)</f>
        <v>1.1521030000000001</v>
      </c>
      <c r="W183" s="24">
        <f t="shared" si="30"/>
        <v>0</v>
      </c>
    </row>
    <row r="184" spans="1:23" x14ac:dyDescent="0.25">
      <c r="A184" t="str">
        <f t="shared" si="21"/>
        <v>C23.41EU1</v>
      </c>
      <c r="B184" t="s">
        <v>38</v>
      </c>
      <c r="C184" t="s">
        <v>258</v>
      </c>
      <c r="D184" t="s">
        <v>454</v>
      </c>
      <c r="E184">
        <v>7630367.0999999903</v>
      </c>
      <c r="F184">
        <v>7630572.5599999903</v>
      </c>
      <c r="G184">
        <v>78061945.480000004</v>
      </c>
      <c r="H184">
        <v>148206877.27000001</v>
      </c>
      <c r="I184">
        <v>249056511.31</v>
      </c>
      <c r="J184">
        <v>2704.3932570000002</v>
      </c>
      <c r="K184">
        <v>547.29311800000005</v>
      </c>
      <c r="L184">
        <v>4337.0690720000002</v>
      </c>
      <c r="M184" t="s">
        <v>15</v>
      </c>
      <c r="N184" s="24">
        <f t="shared" si="22"/>
        <v>7.6303669999999997</v>
      </c>
      <c r="O184" s="24">
        <f t="shared" si="23"/>
        <v>7.6305730000000001</v>
      </c>
      <c r="P184">
        <f t="shared" si="24"/>
        <v>78.061944999999994</v>
      </c>
      <c r="Q184">
        <f t="shared" si="25"/>
        <v>148.20687699999999</v>
      </c>
      <c r="R184">
        <f t="shared" si="26"/>
        <v>249.056511</v>
      </c>
      <c r="S184" s="24">
        <f t="shared" si="27"/>
        <v>2704.39</v>
      </c>
      <c r="T184" s="24">
        <f t="shared" si="28"/>
        <v>547.29</v>
      </c>
      <c r="U184" s="24">
        <f t="shared" si="29"/>
        <v>4337.07</v>
      </c>
      <c r="V184" s="24">
        <f>+VLOOKUP(A184,[1]DQS4_AUX!$A:$M,13,FALSE)</f>
        <v>7.6305730000000001</v>
      </c>
      <c r="W184" s="24">
        <f t="shared" si="30"/>
        <v>0</v>
      </c>
    </row>
    <row r="185" spans="1:23" x14ac:dyDescent="0.25">
      <c r="A185" t="str">
        <f t="shared" si="21"/>
        <v>C23.32EU1</v>
      </c>
      <c r="B185" t="s">
        <v>38</v>
      </c>
      <c r="C185" t="s">
        <v>258</v>
      </c>
      <c r="D185" t="s">
        <v>395</v>
      </c>
      <c r="E185">
        <v>1344487.27</v>
      </c>
      <c r="F185">
        <v>1344487.27</v>
      </c>
      <c r="G185">
        <v>11235253.27</v>
      </c>
      <c r="H185">
        <v>65509370.829999998</v>
      </c>
      <c r="I185">
        <v>53381533.640000001</v>
      </c>
      <c r="J185">
        <v>215.1575</v>
      </c>
      <c r="K185">
        <v>43.541843</v>
      </c>
      <c r="L185">
        <v>345.05074200000001</v>
      </c>
      <c r="M185" t="s">
        <v>15</v>
      </c>
      <c r="N185" s="24">
        <f t="shared" si="22"/>
        <v>1.344487</v>
      </c>
      <c r="O185" s="24">
        <f t="shared" si="23"/>
        <v>1.344487</v>
      </c>
      <c r="P185">
        <f t="shared" si="24"/>
        <v>11.235253</v>
      </c>
      <c r="Q185">
        <f t="shared" si="25"/>
        <v>65.509371000000002</v>
      </c>
      <c r="R185">
        <f t="shared" si="26"/>
        <v>53.381534000000002</v>
      </c>
      <c r="S185" s="24">
        <f t="shared" si="27"/>
        <v>215.16</v>
      </c>
      <c r="T185" s="24">
        <f t="shared" si="28"/>
        <v>43.54</v>
      </c>
      <c r="U185" s="24">
        <f t="shared" si="29"/>
        <v>345.05</v>
      </c>
      <c r="V185" s="24">
        <f>+VLOOKUP(A185,[1]DQS4_AUX!$A:$M,13,FALSE)</f>
        <v>1.344487</v>
      </c>
      <c r="W185" s="24">
        <f t="shared" si="30"/>
        <v>0</v>
      </c>
    </row>
    <row r="186" spans="1:23" x14ac:dyDescent="0.25">
      <c r="A186" t="str">
        <f t="shared" si="21"/>
        <v>C29.20EU1</v>
      </c>
      <c r="B186" t="s">
        <v>38</v>
      </c>
      <c r="C186" t="s">
        <v>258</v>
      </c>
      <c r="D186" t="s">
        <v>424</v>
      </c>
      <c r="E186">
        <v>2176350.7699999898</v>
      </c>
      <c r="F186">
        <v>2176854.21999999</v>
      </c>
      <c r="G186">
        <v>23889059.48</v>
      </c>
      <c r="H186">
        <v>34376418.329999998</v>
      </c>
      <c r="I186">
        <v>124968497.55</v>
      </c>
      <c r="J186">
        <v>141.59186399999999</v>
      </c>
      <c r="K186">
        <v>65.098720999999998</v>
      </c>
      <c r="L186">
        <v>1912.1090489999999</v>
      </c>
      <c r="M186" t="s">
        <v>15</v>
      </c>
      <c r="N186" s="24">
        <f t="shared" si="22"/>
        <v>2.1763509999999999</v>
      </c>
      <c r="O186" s="24">
        <f t="shared" si="23"/>
        <v>2.1768540000000001</v>
      </c>
      <c r="P186">
        <f t="shared" si="24"/>
        <v>23.889059</v>
      </c>
      <c r="Q186">
        <f t="shared" si="25"/>
        <v>34.376418000000001</v>
      </c>
      <c r="R186">
        <f t="shared" si="26"/>
        <v>124.968498</v>
      </c>
      <c r="S186" s="24">
        <f t="shared" si="27"/>
        <v>141.59</v>
      </c>
      <c r="T186" s="24">
        <f t="shared" si="28"/>
        <v>65.099999999999994</v>
      </c>
      <c r="U186" s="24">
        <f t="shared" si="29"/>
        <v>1912.11</v>
      </c>
      <c r="V186" s="24">
        <f>+VLOOKUP(A186,[1]DQS4_AUX!$A:$M,13,FALSE)</f>
        <v>2.1768540000000001</v>
      </c>
      <c r="W186" s="24">
        <f t="shared" si="30"/>
        <v>0</v>
      </c>
    </row>
    <row r="187" spans="1:23" x14ac:dyDescent="0.25">
      <c r="A187" t="str">
        <f t="shared" si="21"/>
        <v>C33.11EU1</v>
      </c>
      <c r="B187" t="s">
        <v>38</v>
      </c>
      <c r="C187" t="s">
        <v>258</v>
      </c>
      <c r="D187" t="s">
        <v>425</v>
      </c>
      <c r="E187">
        <v>1622435.2</v>
      </c>
      <c r="F187">
        <v>1622435.2</v>
      </c>
      <c r="G187">
        <v>6740713.8499999996</v>
      </c>
      <c r="H187">
        <v>10227054.300000001</v>
      </c>
      <c r="I187">
        <v>24087065.940000001</v>
      </c>
      <c r="J187">
        <v>441.08813900000001</v>
      </c>
      <c r="K187">
        <v>239.778908</v>
      </c>
      <c r="L187">
        <v>3927.450844</v>
      </c>
      <c r="M187" t="s">
        <v>15</v>
      </c>
      <c r="N187" s="24">
        <f t="shared" si="22"/>
        <v>1.6224350000000001</v>
      </c>
      <c r="O187" s="24">
        <f t="shared" si="23"/>
        <v>1.6224350000000001</v>
      </c>
      <c r="P187">
        <f t="shared" si="24"/>
        <v>6.7407139999999997</v>
      </c>
      <c r="Q187">
        <f t="shared" si="25"/>
        <v>10.227054000000001</v>
      </c>
      <c r="R187">
        <f t="shared" si="26"/>
        <v>24.087066</v>
      </c>
      <c r="S187" s="24">
        <f t="shared" si="27"/>
        <v>441.09</v>
      </c>
      <c r="T187" s="24">
        <f t="shared" si="28"/>
        <v>239.78</v>
      </c>
      <c r="U187" s="24">
        <f t="shared" si="29"/>
        <v>3927.45</v>
      </c>
      <c r="V187" s="24">
        <f>+VLOOKUP(A187,[1]DQS4_AUX!$A:$M,13,FALSE)</f>
        <v>1.6224350000000001</v>
      </c>
      <c r="W187" s="24">
        <f t="shared" si="30"/>
        <v>0</v>
      </c>
    </row>
    <row r="188" spans="1:23" x14ac:dyDescent="0.25">
      <c r="A188" t="str">
        <f t="shared" si="21"/>
        <v>C24.42EU1</v>
      </c>
      <c r="B188" t="s">
        <v>38</v>
      </c>
      <c r="C188" t="s">
        <v>258</v>
      </c>
      <c r="D188" t="s">
        <v>384</v>
      </c>
      <c r="E188">
        <v>1323721.8999999999</v>
      </c>
      <c r="F188">
        <v>1323721.8999999999</v>
      </c>
      <c r="G188">
        <v>30334089.699999999</v>
      </c>
      <c r="H188">
        <v>84637925.900000006</v>
      </c>
      <c r="I188">
        <v>180773520.22999999</v>
      </c>
      <c r="J188">
        <v>269.78237100000001</v>
      </c>
      <c r="K188">
        <v>63.836258000000001</v>
      </c>
      <c r="L188">
        <v>877.79792399999997</v>
      </c>
      <c r="M188" t="s">
        <v>15</v>
      </c>
      <c r="N188" s="24">
        <f t="shared" si="22"/>
        <v>1.3237220000000001</v>
      </c>
      <c r="O188" s="24">
        <f t="shared" si="23"/>
        <v>1.3237220000000001</v>
      </c>
      <c r="P188">
        <f t="shared" si="24"/>
        <v>30.33409</v>
      </c>
      <c r="Q188">
        <f t="shared" si="25"/>
        <v>84.637925999999993</v>
      </c>
      <c r="R188">
        <f t="shared" si="26"/>
        <v>180.77351999999999</v>
      </c>
      <c r="S188" s="24">
        <f t="shared" si="27"/>
        <v>269.77999999999997</v>
      </c>
      <c r="T188" s="24">
        <f t="shared" si="28"/>
        <v>63.84</v>
      </c>
      <c r="U188" s="24">
        <f t="shared" si="29"/>
        <v>877.8</v>
      </c>
      <c r="V188" s="24">
        <f>+VLOOKUP(A188,[1]DQS4_AUX!$A:$M,13,FALSE)</f>
        <v>1.3237220000000001</v>
      </c>
      <c r="W188" s="24">
        <f t="shared" si="30"/>
        <v>0</v>
      </c>
    </row>
    <row r="189" spans="1:23" x14ac:dyDescent="0.25">
      <c r="A189" t="str">
        <f t="shared" si="21"/>
        <v>C10.39EU1</v>
      </c>
      <c r="B189" t="s">
        <v>38</v>
      </c>
      <c r="C189" t="s">
        <v>258</v>
      </c>
      <c r="D189" t="s">
        <v>432</v>
      </c>
      <c r="E189">
        <v>20431084.239999902</v>
      </c>
      <c r="F189">
        <v>20431732.509999901</v>
      </c>
      <c r="G189">
        <v>306314641.32999998</v>
      </c>
      <c r="H189">
        <v>289901418.07999998</v>
      </c>
      <c r="I189">
        <v>893110874.87</v>
      </c>
      <c r="J189">
        <v>2359.9721100000002</v>
      </c>
      <c r="K189">
        <v>1604.563079</v>
      </c>
      <c r="L189">
        <v>28760.299712</v>
      </c>
      <c r="M189" t="s">
        <v>15</v>
      </c>
      <c r="N189" s="24">
        <f t="shared" si="22"/>
        <v>20.431083999999998</v>
      </c>
      <c r="O189" s="24">
        <f t="shared" si="23"/>
        <v>20.431733000000001</v>
      </c>
      <c r="P189">
        <f t="shared" si="24"/>
        <v>306.31464099999999</v>
      </c>
      <c r="Q189">
        <f t="shared" si="25"/>
        <v>289.90141799999998</v>
      </c>
      <c r="R189">
        <f t="shared" si="26"/>
        <v>893.11087499999996</v>
      </c>
      <c r="S189" s="24">
        <f t="shared" si="27"/>
        <v>2359.9699999999998</v>
      </c>
      <c r="T189" s="24">
        <f t="shared" si="28"/>
        <v>1604.56</v>
      </c>
      <c r="U189" s="24">
        <f t="shared" si="29"/>
        <v>28760.3</v>
      </c>
      <c r="V189" s="24">
        <f>+VLOOKUP(A189,[1]DQS4_AUX!$A:$M,13,FALSE)</f>
        <v>20.431733000000001</v>
      </c>
      <c r="W189" s="24">
        <f t="shared" si="30"/>
        <v>0</v>
      </c>
    </row>
    <row r="190" spans="1:23" x14ac:dyDescent="0.25">
      <c r="A190" t="str">
        <f t="shared" si="21"/>
        <v>C14.19EU1</v>
      </c>
      <c r="B190" t="s">
        <v>38</v>
      </c>
      <c r="C190" t="s">
        <v>258</v>
      </c>
      <c r="D190" t="s">
        <v>431</v>
      </c>
      <c r="E190">
        <v>2663177.27999999</v>
      </c>
      <c r="F190">
        <v>2663197.7299999902</v>
      </c>
      <c r="G190">
        <v>11404051.58</v>
      </c>
      <c r="H190">
        <v>15228820.199999999</v>
      </c>
      <c r="I190">
        <v>54343541.149999999</v>
      </c>
      <c r="J190">
        <v>319.872612</v>
      </c>
      <c r="K190">
        <v>591.52186099999994</v>
      </c>
      <c r="L190">
        <v>4087.634235</v>
      </c>
      <c r="M190" t="s">
        <v>15</v>
      </c>
      <c r="N190" s="24">
        <f t="shared" si="22"/>
        <v>2.6631770000000001</v>
      </c>
      <c r="O190" s="24">
        <f t="shared" si="23"/>
        <v>2.663198</v>
      </c>
      <c r="P190">
        <f t="shared" si="24"/>
        <v>11.404052</v>
      </c>
      <c r="Q190">
        <f t="shared" si="25"/>
        <v>15.228820000000001</v>
      </c>
      <c r="R190">
        <f t="shared" si="26"/>
        <v>54.343541000000002</v>
      </c>
      <c r="S190" s="24">
        <f t="shared" si="27"/>
        <v>319.87</v>
      </c>
      <c r="T190" s="24">
        <f t="shared" si="28"/>
        <v>591.52</v>
      </c>
      <c r="U190" s="24">
        <f t="shared" si="29"/>
        <v>4087.63</v>
      </c>
      <c r="V190" s="24">
        <f>+VLOOKUP(A190,[1]DQS4_AUX!$A:$M,13,FALSE)</f>
        <v>2.663198</v>
      </c>
      <c r="W190" s="24">
        <f t="shared" si="30"/>
        <v>0</v>
      </c>
    </row>
    <row r="191" spans="1:23" x14ac:dyDescent="0.25">
      <c r="A191" t="str">
        <f t="shared" si="21"/>
        <v>C30.30EU1</v>
      </c>
      <c r="B191" t="s">
        <v>38</v>
      </c>
      <c r="C191" t="s">
        <v>258</v>
      </c>
      <c r="D191" t="s">
        <v>433</v>
      </c>
      <c r="E191">
        <v>20954.09</v>
      </c>
      <c r="F191">
        <v>20954.09</v>
      </c>
      <c r="G191">
        <v>11340218.140000001</v>
      </c>
      <c r="H191">
        <v>149278233.94999999</v>
      </c>
      <c r="I191">
        <v>153164598.22999999</v>
      </c>
      <c r="J191">
        <v>0.94965100000000002</v>
      </c>
      <c r="K191">
        <v>0.51623699999999995</v>
      </c>
      <c r="L191">
        <v>8.4557169999999999</v>
      </c>
      <c r="M191" t="s">
        <v>15</v>
      </c>
      <c r="N191" s="24">
        <f t="shared" si="22"/>
        <v>2.0954E-2</v>
      </c>
      <c r="O191" s="24">
        <f t="shared" si="23"/>
        <v>2.0954E-2</v>
      </c>
      <c r="P191">
        <f t="shared" si="24"/>
        <v>11.340218</v>
      </c>
      <c r="Q191">
        <f t="shared" si="25"/>
        <v>149.278234</v>
      </c>
      <c r="R191">
        <f t="shared" si="26"/>
        <v>153.16459800000001</v>
      </c>
      <c r="S191" s="24">
        <f t="shared" si="27"/>
        <v>0.95</v>
      </c>
      <c r="T191" s="24">
        <f t="shared" si="28"/>
        <v>0.52</v>
      </c>
      <c r="U191" s="24">
        <f t="shared" si="29"/>
        <v>8.4600000000000009</v>
      </c>
      <c r="V191" s="24">
        <f>+VLOOKUP(A191,[1]DQS4_AUX!$A:$M,13,FALSE)</f>
        <v>2.0954E-2</v>
      </c>
      <c r="W191" s="24">
        <f t="shared" si="30"/>
        <v>0</v>
      </c>
    </row>
    <row r="192" spans="1:23" x14ac:dyDescent="0.25">
      <c r="A192" t="str">
        <f t="shared" si="21"/>
        <v>C24.51EU1</v>
      </c>
      <c r="B192" t="s">
        <v>38</v>
      </c>
      <c r="C192" t="s">
        <v>258</v>
      </c>
      <c r="D192" t="s">
        <v>455</v>
      </c>
      <c r="E192">
        <v>1437.32</v>
      </c>
      <c r="F192">
        <v>1437.32</v>
      </c>
      <c r="G192">
        <v>22402763.52</v>
      </c>
      <c r="H192">
        <v>27742216.57</v>
      </c>
      <c r="I192">
        <v>102092946.42</v>
      </c>
      <c r="J192">
        <v>0.31157400000000002</v>
      </c>
      <c r="K192">
        <v>7.3724999999999999E-2</v>
      </c>
      <c r="L192">
        <v>1.0137769999999999</v>
      </c>
      <c r="M192" t="s">
        <v>15</v>
      </c>
      <c r="N192" s="24">
        <f t="shared" si="22"/>
        <v>1.4369999999999999E-3</v>
      </c>
      <c r="O192" s="24">
        <f t="shared" si="23"/>
        <v>1.4369999999999999E-3</v>
      </c>
      <c r="P192">
        <f t="shared" si="24"/>
        <v>22.402764000000001</v>
      </c>
      <c r="Q192">
        <f t="shared" si="25"/>
        <v>27.742217</v>
      </c>
      <c r="R192">
        <f t="shared" si="26"/>
        <v>102.092946</v>
      </c>
      <c r="S192" s="24">
        <f t="shared" si="27"/>
        <v>0.31</v>
      </c>
      <c r="T192" s="24">
        <f t="shared" si="28"/>
        <v>7.0000000000000007E-2</v>
      </c>
      <c r="U192" s="24">
        <f t="shared" si="29"/>
        <v>1.01</v>
      </c>
      <c r="V192" s="24">
        <f>+VLOOKUP(A192,[1]DQS4_AUX!$A:$M,13,FALSE)</f>
        <v>1.4369999999999999E-3</v>
      </c>
      <c r="W192" s="24">
        <f t="shared" si="30"/>
        <v>0</v>
      </c>
    </row>
    <row r="193" spans="1:23" x14ac:dyDescent="0.25">
      <c r="A193" t="str">
        <f t="shared" si="21"/>
        <v>C23.20EU1</v>
      </c>
      <c r="B193" t="s">
        <v>38</v>
      </c>
      <c r="C193" t="s">
        <v>258</v>
      </c>
      <c r="D193" t="s">
        <v>343</v>
      </c>
      <c r="E193">
        <v>281079.239999999</v>
      </c>
      <c r="F193">
        <v>281083.049999999</v>
      </c>
      <c r="G193">
        <v>1275445.8899999999</v>
      </c>
      <c r="H193">
        <v>1975968.07</v>
      </c>
      <c r="I193">
        <v>3148262.25</v>
      </c>
      <c r="J193">
        <v>82.939138</v>
      </c>
      <c r="K193">
        <v>16.784552999999999</v>
      </c>
      <c r="L193">
        <v>133.01052300000001</v>
      </c>
      <c r="M193" t="s">
        <v>15</v>
      </c>
      <c r="N193" s="24">
        <f t="shared" si="22"/>
        <v>0.28107900000000002</v>
      </c>
      <c r="O193" s="24">
        <f t="shared" si="23"/>
        <v>0.28108300000000003</v>
      </c>
      <c r="P193">
        <f t="shared" si="24"/>
        <v>1.2754460000000001</v>
      </c>
      <c r="Q193">
        <f t="shared" si="25"/>
        <v>1.9759679999999999</v>
      </c>
      <c r="R193">
        <f t="shared" si="26"/>
        <v>3.1482619999999999</v>
      </c>
      <c r="S193" s="24">
        <f t="shared" si="27"/>
        <v>82.94</v>
      </c>
      <c r="T193" s="24">
        <f t="shared" si="28"/>
        <v>16.78</v>
      </c>
      <c r="U193" s="24">
        <f t="shared" si="29"/>
        <v>133.01</v>
      </c>
      <c r="V193" s="24">
        <f>+VLOOKUP(A193,[1]DQS4_AUX!$A:$M,13,FALSE)</f>
        <v>0.28108300000000003</v>
      </c>
      <c r="W193" s="24">
        <f t="shared" si="30"/>
        <v>0</v>
      </c>
    </row>
    <row r="194" spans="1:23" x14ac:dyDescent="0.25">
      <c r="A194" t="str">
        <f t="shared" si="21"/>
        <v>C18.14EU1</v>
      </c>
      <c r="B194" t="s">
        <v>38</v>
      </c>
      <c r="C194" t="s">
        <v>258</v>
      </c>
      <c r="D194" t="s">
        <v>434</v>
      </c>
      <c r="E194">
        <v>1395427.47999999</v>
      </c>
      <c r="F194">
        <v>1396400.0899999901</v>
      </c>
      <c r="G194">
        <v>4298009.07</v>
      </c>
      <c r="H194">
        <v>4154921.07</v>
      </c>
      <c r="I194">
        <v>9398159.75</v>
      </c>
      <c r="J194">
        <v>108.443107</v>
      </c>
      <c r="K194">
        <v>98.144994999999994</v>
      </c>
      <c r="L194">
        <v>507.06868500000002</v>
      </c>
      <c r="M194" t="s">
        <v>15</v>
      </c>
      <c r="N194" s="24">
        <f t="shared" si="22"/>
        <v>1.395427</v>
      </c>
      <c r="O194" s="24">
        <f t="shared" si="23"/>
        <v>1.3964000000000001</v>
      </c>
      <c r="P194">
        <f t="shared" si="24"/>
        <v>4.2980090000000004</v>
      </c>
      <c r="Q194">
        <f t="shared" si="25"/>
        <v>4.1549209999999999</v>
      </c>
      <c r="R194">
        <f t="shared" si="26"/>
        <v>9.3981600000000007</v>
      </c>
      <c r="S194" s="24">
        <f t="shared" si="27"/>
        <v>108.44</v>
      </c>
      <c r="T194" s="24">
        <f t="shared" si="28"/>
        <v>98.14</v>
      </c>
      <c r="U194" s="24">
        <f t="shared" si="29"/>
        <v>507.07</v>
      </c>
      <c r="V194" s="24">
        <f>+VLOOKUP(A194,[1]DQS4_AUX!$A:$M,13,FALSE)</f>
        <v>1.3964000000000001</v>
      </c>
      <c r="W194" s="24">
        <f t="shared" si="30"/>
        <v>0</v>
      </c>
    </row>
    <row r="195" spans="1:23" x14ac:dyDescent="0.25">
      <c r="A195" t="str">
        <f t="shared" ref="A195:A258" si="31">+B195&amp;D195&amp;C195</f>
        <v>C27.52EU1</v>
      </c>
      <c r="B195" t="s">
        <v>38</v>
      </c>
      <c r="C195" t="s">
        <v>258</v>
      </c>
      <c r="D195" t="s">
        <v>177</v>
      </c>
      <c r="E195">
        <v>1304923.95999999</v>
      </c>
      <c r="F195">
        <v>1305339.3399999901</v>
      </c>
      <c r="G195">
        <v>19186000.600000001</v>
      </c>
      <c r="H195">
        <v>28580405.5</v>
      </c>
      <c r="I195">
        <v>32543131.940000001</v>
      </c>
      <c r="J195">
        <v>16.187329999999999</v>
      </c>
      <c r="K195">
        <v>8.7995529999999995</v>
      </c>
      <c r="L195">
        <v>144.132136</v>
      </c>
      <c r="M195" t="s">
        <v>15</v>
      </c>
      <c r="N195" s="24">
        <f t="shared" ref="N195:N258" si="32">+ROUND(E195,0)/1000000</f>
        <v>1.304924</v>
      </c>
      <c r="O195" s="24">
        <f t="shared" ref="O195:O258" si="33">+ROUND(F195,0)/1000000</f>
        <v>1.305339</v>
      </c>
      <c r="P195">
        <f t="shared" ref="P195:P258" si="34">+ROUND(G195,0)/1000000</f>
        <v>19.186001000000001</v>
      </c>
      <c r="Q195">
        <f t="shared" ref="Q195:Q258" si="35">+ROUND(H195,0)/1000000</f>
        <v>28.580406</v>
      </c>
      <c r="R195">
        <f t="shared" ref="R195:R258" si="36">+ROUND(I195,0)/1000000</f>
        <v>32.543132</v>
      </c>
      <c r="S195" s="24">
        <f t="shared" ref="S195:S258" si="37">+ROUND(J195,2)</f>
        <v>16.190000000000001</v>
      </c>
      <c r="T195" s="24">
        <f t="shared" ref="T195:T258" si="38">+ROUND(K195,2)</f>
        <v>8.8000000000000007</v>
      </c>
      <c r="U195" s="24">
        <f t="shared" ref="U195:U258" si="39">+ROUND(L195,2)</f>
        <v>144.13</v>
      </c>
      <c r="V195" s="24">
        <f>+VLOOKUP(A195,[1]DQS4_AUX!$A:$M,13,FALSE)</f>
        <v>1.305339</v>
      </c>
      <c r="W195" s="24">
        <f t="shared" ref="W195:W258" si="40">+V195-O195</f>
        <v>0</v>
      </c>
    </row>
    <row r="196" spans="1:23" x14ac:dyDescent="0.25">
      <c r="A196" t="str">
        <f t="shared" si="31"/>
        <v>C18.12EU1</v>
      </c>
      <c r="B196" t="s">
        <v>38</v>
      </c>
      <c r="C196" t="s">
        <v>258</v>
      </c>
      <c r="D196" t="s">
        <v>389</v>
      </c>
      <c r="E196">
        <v>15495755.279999901</v>
      </c>
      <c r="F196">
        <v>15500959.7099999</v>
      </c>
      <c r="G196">
        <v>113517451.54000001</v>
      </c>
      <c r="H196">
        <v>136418718.91999999</v>
      </c>
      <c r="I196">
        <v>275806065.11000001</v>
      </c>
      <c r="J196">
        <v>1464.5389319999999</v>
      </c>
      <c r="K196">
        <v>1325.461499</v>
      </c>
      <c r="L196">
        <v>6848.0318779999998</v>
      </c>
      <c r="M196" t="s">
        <v>15</v>
      </c>
      <c r="N196" s="24">
        <f t="shared" si="32"/>
        <v>15.495755000000001</v>
      </c>
      <c r="O196" s="24">
        <f t="shared" si="33"/>
        <v>15.500959999999999</v>
      </c>
      <c r="P196">
        <f t="shared" si="34"/>
        <v>113.51745200000001</v>
      </c>
      <c r="Q196">
        <f t="shared" si="35"/>
        <v>136.41871900000001</v>
      </c>
      <c r="R196">
        <f t="shared" si="36"/>
        <v>275.80606499999999</v>
      </c>
      <c r="S196" s="24">
        <f t="shared" si="37"/>
        <v>1464.54</v>
      </c>
      <c r="T196" s="24">
        <f t="shared" si="38"/>
        <v>1325.46</v>
      </c>
      <c r="U196" s="24">
        <f t="shared" si="39"/>
        <v>6848.03</v>
      </c>
      <c r="V196" s="24">
        <f>+VLOOKUP(A196,[1]DQS4_AUX!$A:$M,13,FALSE)</f>
        <v>15.500959999999999</v>
      </c>
      <c r="W196" s="24">
        <f t="shared" si="40"/>
        <v>0</v>
      </c>
    </row>
    <row r="197" spans="1:23" x14ac:dyDescent="0.25">
      <c r="A197" t="str">
        <f t="shared" si="31"/>
        <v>C33.19EU1</v>
      </c>
      <c r="B197" t="s">
        <v>38</v>
      </c>
      <c r="C197" t="s">
        <v>258</v>
      </c>
      <c r="D197" t="s">
        <v>400</v>
      </c>
      <c r="E197">
        <v>926609.64</v>
      </c>
      <c r="F197">
        <v>926609.64</v>
      </c>
      <c r="G197">
        <v>2348511.73</v>
      </c>
      <c r="H197">
        <v>5348041.42</v>
      </c>
      <c r="I197">
        <v>12360538.5</v>
      </c>
      <c r="J197">
        <v>43.796716000000004</v>
      </c>
      <c r="K197">
        <v>23.808226999999999</v>
      </c>
      <c r="L197">
        <v>389.96628099999998</v>
      </c>
      <c r="M197" t="s">
        <v>15</v>
      </c>
      <c r="N197" s="24">
        <f t="shared" si="32"/>
        <v>0.92661000000000004</v>
      </c>
      <c r="O197" s="24">
        <f t="shared" si="33"/>
        <v>0.92661000000000004</v>
      </c>
      <c r="P197">
        <f t="shared" si="34"/>
        <v>2.3485119999999999</v>
      </c>
      <c r="Q197">
        <f t="shared" si="35"/>
        <v>5.3480410000000003</v>
      </c>
      <c r="R197">
        <f t="shared" si="36"/>
        <v>12.360538999999999</v>
      </c>
      <c r="S197" s="24">
        <f t="shared" si="37"/>
        <v>43.8</v>
      </c>
      <c r="T197" s="24">
        <f t="shared" si="38"/>
        <v>23.81</v>
      </c>
      <c r="U197" s="24">
        <f t="shared" si="39"/>
        <v>389.97</v>
      </c>
      <c r="V197" s="24">
        <f>+VLOOKUP(A197,[1]DQS4_AUX!$A:$M,13,FALSE)</f>
        <v>0.92661000000000004</v>
      </c>
      <c r="W197" s="24">
        <f t="shared" si="40"/>
        <v>0</v>
      </c>
    </row>
    <row r="198" spans="1:23" x14ac:dyDescent="0.25">
      <c r="A198" t="str">
        <f t="shared" si="31"/>
        <v>C10.11EU1</v>
      </c>
      <c r="B198" t="s">
        <v>38</v>
      </c>
      <c r="C198" t="s">
        <v>258</v>
      </c>
      <c r="D198" t="s">
        <v>401</v>
      </c>
      <c r="E198">
        <v>11446712.7329149</v>
      </c>
      <c r="F198">
        <v>11447438.882914901</v>
      </c>
      <c r="G198">
        <v>76341796.489999995</v>
      </c>
      <c r="H198">
        <v>144829454.61000001</v>
      </c>
      <c r="I198">
        <v>569911996.86000001</v>
      </c>
      <c r="J198">
        <v>1790.5881569999999</v>
      </c>
      <c r="K198">
        <v>1217.434563</v>
      </c>
      <c r="L198">
        <v>21821.381641</v>
      </c>
      <c r="M198" t="s">
        <v>15</v>
      </c>
      <c r="N198" s="24">
        <f t="shared" si="32"/>
        <v>11.446713000000001</v>
      </c>
      <c r="O198" s="24">
        <f t="shared" si="33"/>
        <v>11.447438999999999</v>
      </c>
      <c r="P198">
        <f t="shared" si="34"/>
        <v>76.341796000000002</v>
      </c>
      <c r="Q198">
        <f t="shared" si="35"/>
        <v>144.829455</v>
      </c>
      <c r="R198">
        <f t="shared" si="36"/>
        <v>569.91199700000004</v>
      </c>
      <c r="S198" s="24">
        <f t="shared" si="37"/>
        <v>1790.59</v>
      </c>
      <c r="T198" s="24">
        <f t="shared" si="38"/>
        <v>1217.43</v>
      </c>
      <c r="U198" s="24">
        <f t="shared" si="39"/>
        <v>21821.38</v>
      </c>
      <c r="V198" s="24">
        <f>+VLOOKUP(A198,[1]DQS4_AUX!$A:$M,13,FALSE)</f>
        <v>11.447438999999999</v>
      </c>
      <c r="W198" s="24">
        <f t="shared" si="40"/>
        <v>0</v>
      </c>
    </row>
    <row r="199" spans="1:23" x14ac:dyDescent="0.25">
      <c r="A199" t="str">
        <f t="shared" si="31"/>
        <v>C10.42EU1</v>
      </c>
      <c r="B199" t="s">
        <v>38</v>
      </c>
      <c r="C199" t="s">
        <v>258</v>
      </c>
      <c r="D199" t="s">
        <v>402</v>
      </c>
      <c r="E199">
        <v>1334884.9099999899</v>
      </c>
      <c r="F199">
        <v>1335770.0899999901</v>
      </c>
      <c r="G199">
        <v>12393497.91</v>
      </c>
      <c r="H199">
        <v>19060943.98</v>
      </c>
      <c r="I199">
        <v>15432860.890000001</v>
      </c>
      <c r="J199">
        <v>32.451402999999999</v>
      </c>
      <c r="K199">
        <v>22.063955</v>
      </c>
      <c r="L199">
        <v>395.47592100000003</v>
      </c>
      <c r="M199" t="s">
        <v>15</v>
      </c>
      <c r="N199" s="24">
        <f t="shared" si="32"/>
        <v>1.3348850000000001</v>
      </c>
      <c r="O199" s="24">
        <f t="shared" si="33"/>
        <v>1.3357699999999999</v>
      </c>
      <c r="P199">
        <f t="shared" si="34"/>
        <v>12.393497999999999</v>
      </c>
      <c r="Q199">
        <f t="shared" si="35"/>
        <v>19.060943999999999</v>
      </c>
      <c r="R199">
        <f t="shared" si="36"/>
        <v>15.432861000000001</v>
      </c>
      <c r="S199" s="24">
        <f t="shared" si="37"/>
        <v>32.450000000000003</v>
      </c>
      <c r="T199" s="24">
        <f t="shared" si="38"/>
        <v>22.06</v>
      </c>
      <c r="U199" s="24">
        <f t="shared" si="39"/>
        <v>395.48</v>
      </c>
      <c r="V199" s="24">
        <f>+VLOOKUP(A199,[1]DQS4_AUX!$A:$M,13,FALSE)</f>
        <v>1.3357699999999999</v>
      </c>
      <c r="W199" s="24">
        <f t="shared" si="40"/>
        <v>0</v>
      </c>
    </row>
    <row r="200" spans="1:23" x14ac:dyDescent="0.25">
      <c r="A200" t="str">
        <f t="shared" si="31"/>
        <v>C13.20EU1</v>
      </c>
      <c r="B200" t="s">
        <v>38</v>
      </c>
      <c r="C200" t="s">
        <v>258</v>
      </c>
      <c r="D200" t="s">
        <v>393</v>
      </c>
      <c r="E200">
        <v>11437159.6525569</v>
      </c>
      <c r="F200">
        <v>11438151.852556899</v>
      </c>
      <c r="G200">
        <v>176157921.94</v>
      </c>
      <c r="H200">
        <v>237603930.31999999</v>
      </c>
      <c r="I200">
        <v>342253538.75999999</v>
      </c>
      <c r="J200">
        <v>255.28121300000001</v>
      </c>
      <c r="K200">
        <v>472.07676800000002</v>
      </c>
      <c r="L200">
        <v>3262.2247130000001</v>
      </c>
      <c r="M200" t="s">
        <v>15</v>
      </c>
      <c r="N200" s="24">
        <f t="shared" si="32"/>
        <v>11.43716</v>
      </c>
      <c r="O200" s="24">
        <f t="shared" si="33"/>
        <v>11.438152000000001</v>
      </c>
      <c r="P200">
        <f t="shared" si="34"/>
        <v>176.15792200000001</v>
      </c>
      <c r="Q200">
        <f t="shared" si="35"/>
        <v>237.60392999999999</v>
      </c>
      <c r="R200">
        <f t="shared" si="36"/>
        <v>342.25353899999999</v>
      </c>
      <c r="S200" s="24">
        <f t="shared" si="37"/>
        <v>255.28</v>
      </c>
      <c r="T200" s="24">
        <f t="shared" si="38"/>
        <v>472.08</v>
      </c>
      <c r="U200" s="24">
        <f t="shared" si="39"/>
        <v>3262.22</v>
      </c>
      <c r="V200" s="24">
        <f>+VLOOKUP(A200,[1]DQS4_AUX!$A:$M,13,FALSE)</f>
        <v>11.438152000000001</v>
      </c>
      <c r="W200" s="24">
        <f t="shared" si="40"/>
        <v>0</v>
      </c>
    </row>
    <row r="201" spans="1:23" x14ac:dyDescent="0.25">
      <c r="A201" t="str">
        <f t="shared" si="31"/>
        <v>C23.69EU1</v>
      </c>
      <c r="B201" t="s">
        <v>38</v>
      </c>
      <c r="C201" t="s">
        <v>258</v>
      </c>
      <c r="D201" t="s">
        <v>394</v>
      </c>
      <c r="E201">
        <v>2902669.28</v>
      </c>
      <c r="F201">
        <v>2902669.28</v>
      </c>
      <c r="G201">
        <v>25214654.16</v>
      </c>
      <c r="H201">
        <v>34312906.899999999</v>
      </c>
      <c r="I201">
        <v>91534583.480000004</v>
      </c>
      <c r="J201">
        <v>1166.1167840000001</v>
      </c>
      <c r="K201">
        <v>235.98931099999999</v>
      </c>
      <c r="L201">
        <v>1870.1159050000001</v>
      </c>
      <c r="M201" t="s">
        <v>15</v>
      </c>
      <c r="N201" s="24">
        <f t="shared" si="32"/>
        <v>2.9026689999999999</v>
      </c>
      <c r="O201" s="24">
        <f t="shared" si="33"/>
        <v>2.9026689999999999</v>
      </c>
      <c r="P201">
        <f t="shared" si="34"/>
        <v>25.214653999999999</v>
      </c>
      <c r="Q201">
        <f t="shared" si="35"/>
        <v>34.312907000000003</v>
      </c>
      <c r="R201">
        <f t="shared" si="36"/>
        <v>91.534582999999998</v>
      </c>
      <c r="S201" s="24">
        <f t="shared" si="37"/>
        <v>1166.1199999999999</v>
      </c>
      <c r="T201" s="24">
        <f t="shared" si="38"/>
        <v>235.99</v>
      </c>
      <c r="U201" s="24">
        <f t="shared" si="39"/>
        <v>1870.12</v>
      </c>
      <c r="V201" s="24">
        <f>+VLOOKUP(A201,[1]DQS4_AUX!$A:$M,13,FALSE)</f>
        <v>2.9026689999999999</v>
      </c>
      <c r="W201" s="24">
        <f t="shared" si="40"/>
        <v>0</v>
      </c>
    </row>
    <row r="202" spans="1:23" x14ac:dyDescent="0.25">
      <c r="A202" t="str">
        <f t="shared" si="31"/>
        <v>C26.11EU1</v>
      </c>
      <c r="B202" t="s">
        <v>38</v>
      </c>
      <c r="C202" t="s">
        <v>258</v>
      </c>
      <c r="D202" t="s">
        <v>373</v>
      </c>
      <c r="E202">
        <v>460911.68</v>
      </c>
      <c r="F202">
        <v>460911.68</v>
      </c>
      <c r="G202">
        <v>5515970.7400000002</v>
      </c>
      <c r="H202">
        <v>3446093.74</v>
      </c>
      <c r="I202">
        <v>8687937.2400000002</v>
      </c>
      <c r="J202">
        <v>14.340750999999999</v>
      </c>
      <c r="K202">
        <v>7.7957400000000003</v>
      </c>
      <c r="L202">
        <v>127.690195</v>
      </c>
      <c r="M202" t="s">
        <v>15</v>
      </c>
      <c r="N202" s="24">
        <f t="shared" si="32"/>
        <v>0.46091199999999999</v>
      </c>
      <c r="O202" s="24">
        <f t="shared" si="33"/>
        <v>0.46091199999999999</v>
      </c>
      <c r="P202">
        <f t="shared" si="34"/>
        <v>5.5159710000000004</v>
      </c>
      <c r="Q202">
        <f t="shared" si="35"/>
        <v>3.446094</v>
      </c>
      <c r="R202">
        <f t="shared" si="36"/>
        <v>8.6879369999999998</v>
      </c>
      <c r="S202" s="24">
        <f t="shared" si="37"/>
        <v>14.34</v>
      </c>
      <c r="T202" s="24">
        <f t="shared" si="38"/>
        <v>7.8</v>
      </c>
      <c r="U202" s="24">
        <f t="shared" si="39"/>
        <v>127.69</v>
      </c>
      <c r="V202" s="24">
        <f>+VLOOKUP(A202,[1]DQS4_AUX!$A:$M,13,FALSE)</f>
        <v>0.46091199999999999</v>
      </c>
      <c r="W202" s="24">
        <f t="shared" si="40"/>
        <v>0</v>
      </c>
    </row>
    <row r="203" spans="1:23" x14ac:dyDescent="0.25">
      <c r="A203" t="str">
        <f t="shared" si="31"/>
        <v>C20.14EU1</v>
      </c>
      <c r="B203" t="s">
        <v>38</v>
      </c>
      <c r="C203" t="s">
        <v>258</v>
      </c>
      <c r="D203" t="s">
        <v>186</v>
      </c>
      <c r="E203">
        <v>78936489.919999897</v>
      </c>
      <c r="F203">
        <v>78937875.899999902</v>
      </c>
      <c r="G203">
        <v>322709362.54000002</v>
      </c>
      <c r="H203">
        <v>506948184.31999999</v>
      </c>
      <c r="I203">
        <v>1282835398.0799999</v>
      </c>
      <c r="J203">
        <v>33432.704853000003</v>
      </c>
      <c r="K203">
        <v>6765.8417840000002</v>
      </c>
      <c r="L203">
        <v>53616.441759000001</v>
      </c>
      <c r="M203" t="s">
        <v>15</v>
      </c>
      <c r="N203" s="24">
        <f t="shared" si="32"/>
        <v>78.936490000000006</v>
      </c>
      <c r="O203" s="24">
        <f t="shared" si="33"/>
        <v>78.937876000000003</v>
      </c>
      <c r="P203">
        <f t="shared" si="34"/>
        <v>322.709363</v>
      </c>
      <c r="Q203">
        <f t="shared" si="35"/>
        <v>506.94818400000003</v>
      </c>
      <c r="R203">
        <f t="shared" si="36"/>
        <v>1282.8353979999999</v>
      </c>
      <c r="S203" s="24">
        <f t="shared" si="37"/>
        <v>33432.699999999997</v>
      </c>
      <c r="T203" s="24">
        <f t="shared" si="38"/>
        <v>6765.84</v>
      </c>
      <c r="U203" s="24">
        <f t="shared" si="39"/>
        <v>53616.44</v>
      </c>
      <c r="V203" s="24">
        <f>+VLOOKUP(A203,[1]DQS4_AUX!$A:$M,13,FALSE)</f>
        <v>78.937876000000003</v>
      </c>
      <c r="W203" s="24">
        <f t="shared" si="40"/>
        <v>0</v>
      </c>
    </row>
    <row r="204" spans="1:23" x14ac:dyDescent="0.25">
      <c r="A204" t="str">
        <f t="shared" si="31"/>
        <v>C33.12EU1</v>
      </c>
      <c r="B204" t="s">
        <v>38</v>
      </c>
      <c r="C204" t="s">
        <v>258</v>
      </c>
      <c r="D204" t="s">
        <v>374</v>
      </c>
      <c r="E204">
        <v>9413541.9799999893</v>
      </c>
      <c r="F204">
        <v>9417974.1599999908</v>
      </c>
      <c r="G204">
        <v>79965858.219999999</v>
      </c>
      <c r="H204">
        <v>102424649.06</v>
      </c>
      <c r="I204">
        <v>365320060.36000001</v>
      </c>
      <c r="J204">
        <v>875.18253000000004</v>
      </c>
      <c r="K204">
        <v>475.75588399999998</v>
      </c>
      <c r="L204">
        <v>7792.6308680000002</v>
      </c>
      <c r="M204" t="s">
        <v>15</v>
      </c>
      <c r="N204" s="24">
        <f t="shared" si="32"/>
        <v>9.4135419999999996</v>
      </c>
      <c r="O204" s="24">
        <f t="shared" si="33"/>
        <v>9.4179739999999992</v>
      </c>
      <c r="P204">
        <f t="shared" si="34"/>
        <v>79.965857999999997</v>
      </c>
      <c r="Q204">
        <f t="shared" si="35"/>
        <v>102.424649</v>
      </c>
      <c r="R204">
        <f t="shared" si="36"/>
        <v>365.32006000000001</v>
      </c>
      <c r="S204" s="24">
        <f t="shared" si="37"/>
        <v>875.18</v>
      </c>
      <c r="T204" s="24">
        <f t="shared" si="38"/>
        <v>475.76</v>
      </c>
      <c r="U204" s="24">
        <f t="shared" si="39"/>
        <v>7792.63</v>
      </c>
      <c r="V204" s="24">
        <f>+VLOOKUP(A204,[1]DQS4_AUX!$A:$M,13,FALSE)</f>
        <v>9.4179739999999992</v>
      </c>
      <c r="W204" s="24">
        <f t="shared" si="40"/>
        <v>0</v>
      </c>
    </row>
    <row r="205" spans="1:23" x14ac:dyDescent="0.25">
      <c r="A205" t="str">
        <f t="shared" si="31"/>
        <v>C10.72EU1</v>
      </c>
      <c r="B205" t="s">
        <v>38</v>
      </c>
      <c r="C205" t="s">
        <v>258</v>
      </c>
      <c r="D205" t="s">
        <v>375</v>
      </c>
      <c r="E205">
        <v>1245598.05999999</v>
      </c>
      <c r="F205">
        <v>1245643.3799999901</v>
      </c>
      <c r="G205">
        <v>10091634.35</v>
      </c>
      <c r="H205">
        <v>28694722.48</v>
      </c>
      <c r="I205">
        <v>65345715.329999998</v>
      </c>
      <c r="J205">
        <v>107.946046</v>
      </c>
      <c r="K205">
        <v>73.393339999999995</v>
      </c>
      <c r="L205">
        <v>1315.50747</v>
      </c>
      <c r="M205" t="s">
        <v>15</v>
      </c>
      <c r="N205" s="24">
        <f t="shared" si="32"/>
        <v>1.245598</v>
      </c>
      <c r="O205" s="24">
        <f t="shared" si="33"/>
        <v>1.2456430000000001</v>
      </c>
      <c r="P205">
        <f t="shared" si="34"/>
        <v>10.091634000000001</v>
      </c>
      <c r="Q205">
        <f t="shared" si="35"/>
        <v>28.694721999999999</v>
      </c>
      <c r="R205">
        <f t="shared" si="36"/>
        <v>65.345714999999998</v>
      </c>
      <c r="S205" s="24">
        <f t="shared" si="37"/>
        <v>107.95</v>
      </c>
      <c r="T205" s="24">
        <f t="shared" si="38"/>
        <v>73.39</v>
      </c>
      <c r="U205" s="24">
        <f t="shared" si="39"/>
        <v>1315.51</v>
      </c>
      <c r="V205" s="24">
        <f>+VLOOKUP(A205,[1]DQS4_AUX!$A:$M,13,FALSE)</f>
        <v>1.2456430000000001</v>
      </c>
      <c r="W205" s="24">
        <f t="shared" si="40"/>
        <v>0</v>
      </c>
    </row>
    <row r="206" spans="1:23" x14ac:dyDescent="0.25">
      <c r="A206" t="str">
        <f t="shared" si="31"/>
        <v>C20.60EU1</v>
      </c>
      <c r="B206" t="s">
        <v>38</v>
      </c>
      <c r="C206" t="s">
        <v>258</v>
      </c>
      <c r="D206" t="s">
        <v>458</v>
      </c>
      <c r="E206">
        <v>1719370.32</v>
      </c>
      <c r="F206">
        <v>1719370.32</v>
      </c>
      <c r="G206">
        <v>13607112.16</v>
      </c>
      <c r="H206">
        <v>71755570.129999995</v>
      </c>
      <c r="I206">
        <v>115196276.84</v>
      </c>
      <c r="J206">
        <v>502.79934100000003</v>
      </c>
      <c r="K206">
        <v>101.75247400000001</v>
      </c>
      <c r="L206">
        <v>806.34551799999997</v>
      </c>
      <c r="M206" t="s">
        <v>15</v>
      </c>
      <c r="N206" s="24">
        <f t="shared" si="32"/>
        <v>1.7193700000000001</v>
      </c>
      <c r="O206" s="24">
        <f t="shared" si="33"/>
        <v>1.7193700000000001</v>
      </c>
      <c r="P206">
        <f t="shared" si="34"/>
        <v>13.607112000000001</v>
      </c>
      <c r="Q206">
        <f t="shared" si="35"/>
        <v>71.755570000000006</v>
      </c>
      <c r="R206">
        <f t="shared" si="36"/>
        <v>115.19627699999999</v>
      </c>
      <c r="S206" s="24">
        <f t="shared" si="37"/>
        <v>502.8</v>
      </c>
      <c r="T206" s="24">
        <f t="shared" si="38"/>
        <v>101.75</v>
      </c>
      <c r="U206" s="24">
        <f t="shared" si="39"/>
        <v>806.35</v>
      </c>
      <c r="V206" s="24">
        <f>+VLOOKUP(A206,[1]DQS4_AUX!$A:$M,13,FALSE)</f>
        <v>1.7193700000000001</v>
      </c>
      <c r="W206" s="24">
        <f t="shared" si="40"/>
        <v>0</v>
      </c>
    </row>
    <row r="207" spans="1:23" x14ac:dyDescent="0.25">
      <c r="A207" t="str">
        <f t="shared" si="31"/>
        <v>C24.54EU1</v>
      </c>
      <c r="B207" t="s">
        <v>38</v>
      </c>
      <c r="C207" t="s">
        <v>258</v>
      </c>
      <c r="D207" t="s">
        <v>457</v>
      </c>
      <c r="E207">
        <v>3378881.1599999899</v>
      </c>
      <c r="F207">
        <v>3379059.54999999</v>
      </c>
      <c r="G207">
        <v>22829034.149999999</v>
      </c>
      <c r="H207">
        <v>33933262.609999999</v>
      </c>
      <c r="I207">
        <v>165649863.36000001</v>
      </c>
      <c r="J207">
        <v>1934.0618910000001</v>
      </c>
      <c r="K207">
        <v>457.64030700000001</v>
      </c>
      <c r="L207">
        <v>6292.9074179999998</v>
      </c>
      <c r="M207" t="s">
        <v>15</v>
      </c>
      <c r="N207" s="24">
        <f t="shared" si="32"/>
        <v>3.3788809999999998</v>
      </c>
      <c r="O207" s="24">
        <f t="shared" si="33"/>
        <v>3.37906</v>
      </c>
      <c r="P207">
        <f t="shared" si="34"/>
        <v>22.829034</v>
      </c>
      <c r="Q207">
        <f t="shared" si="35"/>
        <v>33.933262999999997</v>
      </c>
      <c r="R207">
        <f t="shared" si="36"/>
        <v>165.64986300000001</v>
      </c>
      <c r="S207" s="24">
        <f t="shared" si="37"/>
        <v>1934.06</v>
      </c>
      <c r="T207" s="24">
        <f t="shared" si="38"/>
        <v>457.64</v>
      </c>
      <c r="U207" s="24">
        <f t="shared" si="39"/>
        <v>6292.91</v>
      </c>
      <c r="V207" s="24">
        <f>+VLOOKUP(A207,[1]DQS4_AUX!$A:$M,13,FALSE)</f>
        <v>3.37906</v>
      </c>
      <c r="W207" s="24">
        <f t="shared" si="40"/>
        <v>0</v>
      </c>
    </row>
    <row r="208" spans="1:23" x14ac:dyDescent="0.25">
      <c r="A208" t="str">
        <f t="shared" si="31"/>
        <v>C23.61EU1</v>
      </c>
      <c r="B208" t="s">
        <v>38</v>
      </c>
      <c r="C208" t="s">
        <v>258</v>
      </c>
      <c r="D208" t="s">
        <v>456</v>
      </c>
      <c r="E208">
        <v>1975281.8699999901</v>
      </c>
      <c r="F208">
        <v>1975531.95999999</v>
      </c>
      <c r="G208">
        <v>12545885.9</v>
      </c>
      <c r="H208">
        <v>81910155.049999997</v>
      </c>
      <c r="I208">
        <v>124710689.09</v>
      </c>
      <c r="J208">
        <v>715.53333399999997</v>
      </c>
      <c r="K208">
        <v>144.803864</v>
      </c>
      <c r="L208">
        <v>1147.5096530000001</v>
      </c>
      <c r="M208" t="s">
        <v>15</v>
      </c>
      <c r="N208" s="24">
        <f t="shared" si="32"/>
        <v>1.975282</v>
      </c>
      <c r="O208" s="24">
        <f t="shared" si="33"/>
        <v>1.9755320000000001</v>
      </c>
      <c r="P208">
        <f t="shared" si="34"/>
        <v>12.545885999999999</v>
      </c>
      <c r="Q208">
        <f t="shared" si="35"/>
        <v>81.910155000000003</v>
      </c>
      <c r="R208">
        <f t="shared" si="36"/>
        <v>124.710689</v>
      </c>
      <c r="S208" s="24">
        <f t="shared" si="37"/>
        <v>715.53</v>
      </c>
      <c r="T208" s="24">
        <f t="shared" si="38"/>
        <v>144.80000000000001</v>
      </c>
      <c r="U208" s="24">
        <f t="shared" si="39"/>
        <v>1147.51</v>
      </c>
      <c r="V208" s="24">
        <f>+VLOOKUP(A208,[1]DQS4_AUX!$A:$M,13,FALSE)</f>
        <v>1.9755320000000001</v>
      </c>
      <c r="W208" s="24">
        <f t="shared" si="40"/>
        <v>0</v>
      </c>
    </row>
    <row r="209" spans="1:23" x14ac:dyDescent="0.25">
      <c r="A209" t="str">
        <f t="shared" si="31"/>
        <v>C10.41EU1</v>
      </c>
      <c r="B209" t="s">
        <v>38</v>
      </c>
      <c r="C209" t="s">
        <v>258</v>
      </c>
      <c r="D209" t="s">
        <v>151</v>
      </c>
      <c r="E209">
        <v>34192753.078133903</v>
      </c>
      <c r="F209">
        <v>34193001.8081339</v>
      </c>
      <c r="G209">
        <v>296724944.94999999</v>
      </c>
      <c r="H209">
        <v>489971268</v>
      </c>
      <c r="I209">
        <v>1284982474.23</v>
      </c>
      <c r="J209">
        <v>3399.033293</v>
      </c>
      <c r="K209">
        <v>2311.0287499999999</v>
      </c>
      <c r="L209">
        <v>41423.037467000002</v>
      </c>
      <c r="M209" t="s">
        <v>15</v>
      </c>
      <c r="N209" s="24">
        <f t="shared" si="32"/>
        <v>34.192753000000003</v>
      </c>
      <c r="O209" s="24">
        <f t="shared" si="33"/>
        <v>34.193002</v>
      </c>
      <c r="P209">
        <f t="shared" si="34"/>
        <v>296.72494499999999</v>
      </c>
      <c r="Q209">
        <f t="shared" si="35"/>
        <v>489.97126800000001</v>
      </c>
      <c r="R209">
        <f t="shared" si="36"/>
        <v>1284.9824739999999</v>
      </c>
      <c r="S209" s="24">
        <f t="shared" si="37"/>
        <v>3399.03</v>
      </c>
      <c r="T209" s="24">
        <f t="shared" si="38"/>
        <v>2311.0300000000002</v>
      </c>
      <c r="U209" s="24">
        <f t="shared" si="39"/>
        <v>41423.040000000001</v>
      </c>
      <c r="V209" s="24">
        <f>+VLOOKUP(A209,[1]DQS4_AUX!$A:$M,13,FALSE)</f>
        <v>34.193002</v>
      </c>
      <c r="W209" s="24">
        <f t="shared" si="40"/>
        <v>0</v>
      </c>
    </row>
    <row r="210" spans="1:23" x14ac:dyDescent="0.25">
      <c r="A210" t="str">
        <f t="shared" si="31"/>
        <v>C10.20EU1</v>
      </c>
      <c r="B210" t="s">
        <v>38</v>
      </c>
      <c r="C210" t="s">
        <v>258</v>
      </c>
      <c r="D210" t="s">
        <v>344</v>
      </c>
      <c r="E210">
        <v>37920949.101483896</v>
      </c>
      <c r="F210">
        <v>37921105.701483898</v>
      </c>
      <c r="G210">
        <v>266906565.33000001</v>
      </c>
      <c r="H210">
        <v>352825593.05000001</v>
      </c>
      <c r="I210">
        <v>1095679135.9000001</v>
      </c>
      <c r="J210">
        <v>3394.1890370000001</v>
      </c>
      <c r="K210">
        <v>2307.7350510000001</v>
      </c>
      <c r="L210">
        <v>41364.003024999998</v>
      </c>
      <c r="M210" t="s">
        <v>15</v>
      </c>
      <c r="N210" s="24">
        <f t="shared" si="32"/>
        <v>37.920949</v>
      </c>
      <c r="O210" s="24">
        <f t="shared" si="33"/>
        <v>37.921106000000002</v>
      </c>
      <c r="P210">
        <f t="shared" si="34"/>
        <v>266.906565</v>
      </c>
      <c r="Q210">
        <f t="shared" si="35"/>
        <v>352.82559300000003</v>
      </c>
      <c r="R210">
        <f t="shared" si="36"/>
        <v>1095.679136</v>
      </c>
      <c r="S210" s="24">
        <f t="shared" si="37"/>
        <v>3394.19</v>
      </c>
      <c r="T210" s="24">
        <f t="shared" si="38"/>
        <v>2307.7399999999998</v>
      </c>
      <c r="U210" s="24">
        <f t="shared" si="39"/>
        <v>41364</v>
      </c>
      <c r="V210" s="24">
        <f>+VLOOKUP(A210,[1]DQS4_AUX!$A:$M,13,FALSE)</f>
        <v>37.921106000000002</v>
      </c>
      <c r="W210" s="24">
        <f t="shared" si="40"/>
        <v>0</v>
      </c>
    </row>
    <row r="211" spans="1:23" x14ac:dyDescent="0.25">
      <c r="A211" t="str">
        <f t="shared" si="31"/>
        <v>C23.14EU1</v>
      </c>
      <c r="B211" t="s">
        <v>38</v>
      </c>
      <c r="C211" t="s">
        <v>258</v>
      </c>
      <c r="D211" t="s">
        <v>346</v>
      </c>
      <c r="E211">
        <v>4.37</v>
      </c>
      <c r="F211">
        <v>4.37</v>
      </c>
      <c r="G211">
        <v>139619.98000000001</v>
      </c>
      <c r="H211">
        <v>2080368.35</v>
      </c>
      <c r="I211">
        <v>911735.14</v>
      </c>
      <c r="J211">
        <v>2.5500000000000002E-4</v>
      </c>
      <c r="K211">
        <v>5.1E-5</v>
      </c>
      <c r="L211">
        <v>4.0900000000000002E-4</v>
      </c>
      <c r="M211" t="s">
        <v>15</v>
      </c>
      <c r="N211" s="24">
        <f t="shared" si="32"/>
        <v>3.9999999999999998E-6</v>
      </c>
      <c r="O211" s="24">
        <f t="shared" si="33"/>
        <v>3.9999999999999998E-6</v>
      </c>
      <c r="P211">
        <f t="shared" si="34"/>
        <v>0.13961999999999999</v>
      </c>
      <c r="Q211">
        <f t="shared" si="35"/>
        <v>2.080368</v>
      </c>
      <c r="R211">
        <f t="shared" si="36"/>
        <v>0.91173499999999996</v>
      </c>
      <c r="S211" s="24">
        <f t="shared" si="37"/>
        <v>0</v>
      </c>
      <c r="T211" s="24">
        <f t="shared" si="38"/>
        <v>0</v>
      </c>
      <c r="U211" s="24">
        <f t="shared" si="39"/>
        <v>0</v>
      </c>
      <c r="V211" s="24">
        <f>+VLOOKUP(A211,[1]DQS4_AUX!$A:$M,13,FALSE)</f>
        <v>3.9999999999999998E-6</v>
      </c>
      <c r="W211" s="24">
        <f t="shared" si="40"/>
        <v>0</v>
      </c>
    </row>
    <row r="212" spans="1:23" x14ac:dyDescent="0.25">
      <c r="A212" t="str">
        <f t="shared" si="31"/>
        <v>C13.96EU1</v>
      </c>
      <c r="B212" t="s">
        <v>38</v>
      </c>
      <c r="C212" t="s">
        <v>258</v>
      </c>
      <c r="D212" t="s">
        <v>345</v>
      </c>
      <c r="E212">
        <v>7957000.8199999901</v>
      </c>
      <c r="F212">
        <v>7957125.7299999902</v>
      </c>
      <c r="G212">
        <v>90617730.200000003</v>
      </c>
      <c r="H212">
        <v>90324753.349999994</v>
      </c>
      <c r="I212">
        <v>178609453.75999999</v>
      </c>
      <c r="J212">
        <v>195.17434900000001</v>
      </c>
      <c r="K212">
        <v>360.92461100000003</v>
      </c>
      <c r="L212">
        <v>2494.1223100000002</v>
      </c>
      <c r="M212" t="s">
        <v>15</v>
      </c>
      <c r="N212" s="24">
        <f t="shared" si="32"/>
        <v>7.957001</v>
      </c>
      <c r="O212" s="24">
        <f t="shared" si="33"/>
        <v>7.9571259999999997</v>
      </c>
      <c r="P212">
        <f t="shared" si="34"/>
        <v>90.617729999999995</v>
      </c>
      <c r="Q212">
        <f t="shared" si="35"/>
        <v>90.324753000000001</v>
      </c>
      <c r="R212">
        <f t="shared" si="36"/>
        <v>178.609454</v>
      </c>
      <c r="S212" s="24">
        <f t="shared" si="37"/>
        <v>195.17</v>
      </c>
      <c r="T212" s="24">
        <f t="shared" si="38"/>
        <v>360.92</v>
      </c>
      <c r="U212" s="24">
        <f t="shared" si="39"/>
        <v>2494.12</v>
      </c>
      <c r="V212" s="24">
        <f>+VLOOKUP(A212,[1]DQS4_AUX!$A:$M,13,FALSE)</f>
        <v>7.9571259999999997</v>
      </c>
      <c r="W212" s="24">
        <f t="shared" si="40"/>
        <v>0</v>
      </c>
    </row>
    <row r="213" spans="1:23" x14ac:dyDescent="0.25">
      <c r="A213" t="str">
        <f t="shared" si="31"/>
        <v>C17.21EU1</v>
      </c>
      <c r="B213" t="s">
        <v>38</v>
      </c>
      <c r="C213" t="s">
        <v>258</v>
      </c>
      <c r="D213" t="s">
        <v>139</v>
      </c>
      <c r="E213">
        <v>14998263.7299999</v>
      </c>
      <c r="F213">
        <v>14998536.9099999</v>
      </c>
      <c r="G213">
        <v>110240452.26000001</v>
      </c>
      <c r="H213">
        <v>153761465.87</v>
      </c>
      <c r="I213">
        <v>340584904.00999999</v>
      </c>
      <c r="J213">
        <v>1387.9427579999999</v>
      </c>
      <c r="K213">
        <v>1256.1391470000001</v>
      </c>
      <c r="L213">
        <v>6489.8757260000002</v>
      </c>
      <c r="M213" t="s">
        <v>15</v>
      </c>
      <c r="N213" s="24">
        <f t="shared" si="32"/>
        <v>14.998264000000001</v>
      </c>
      <c r="O213" s="24">
        <f t="shared" si="33"/>
        <v>14.998537000000001</v>
      </c>
      <c r="P213">
        <f t="shared" si="34"/>
        <v>110.240452</v>
      </c>
      <c r="Q213">
        <f t="shared" si="35"/>
        <v>153.76146600000001</v>
      </c>
      <c r="R213">
        <f t="shared" si="36"/>
        <v>340.58490399999999</v>
      </c>
      <c r="S213" s="24">
        <f t="shared" si="37"/>
        <v>1387.94</v>
      </c>
      <c r="T213" s="24">
        <f t="shared" si="38"/>
        <v>1256.1400000000001</v>
      </c>
      <c r="U213" s="24">
        <f t="shared" si="39"/>
        <v>6489.88</v>
      </c>
      <c r="V213" s="24">
        <f>+VLOOKUP(A213,[1]DQS4_AUX!$A:$M,13,FALSE)</f>
        <v>14.998537000000001</v>
      </c>
      <c r="W213" s="24">
        <f t="shared" si="40"/>
        <v>0</v>
      </c>
    </row>
    <row r="214" spans="1:23" x14ac:dyDescent="0.25">
      <c r="A214" t="str">
        <f t="shared" si="31"/>
        <v>C30.91EU1</v>
      </c>
      <c r="B214" t="s">
        <v>38</v>
      </c>
      <c r="C214" t="s">
        <v>258</v>
      </c>
      <c r="D214" t="s">
        <v>410</v>
      </c>
      <c r="E214">
        <v>531589.799999999</v>
      </c>
      <c r="F214">
        <v>531960.52999999898</v>
      </c>
      <c r="G214">
        <v>4883000.4400000004</v>
      </c>
      <c r="H214">
        <v>8434007.8699999992</v>
      </c>
      <c r="I214">
        <v>8950879.3100000005</v>
      </c>
      <c r="J214">
        <v>8.8337400000000006</v>
      </c>
      <c r="K214">
        <v>4.0614239999999997</v>
      </c>
      <c r="L214">
        <v>119.29412499999999</v>
      </c>
      <c r="M214" t="s">
        <v>15</v>
      </c>
      <c r="N214" s="24">
        <f t="shared" si="32"/>
        <v>0.53159000000000001</v>
      </c>
      <c r="O214" s="24">
        <f t="shared" si="33"/>
        <v>0.53196100000000002</v>
      </c>
      <c r="P214">
        <f t="shared" si="34"/>
        <v>4.883</v>
      </c>
      <c r="Q214">
        <f t="shared" si="35"/>
        <v>8.4340080000000004</v>
      </c>
      <c r="R214">
        <f t="shared" si="36"/>
        <v>8.9508790000000005</v>
      </c>
      <c r="S214" s="24">
        <f t="shared" si="37"/>
        <v>8.83</v>
      </c>
      <c r="T214" s="24">
        <f t="shared" si="38"/>
        <v>4.0599999999999996</v>
      </c>
      <c r="U214" s="24">
        <f t="shared" si="39"/>
        <v>119.29</v>
      </c>
      <c r="V214" s="24">
        <f>+VLOOKUP(A214,[1]DQS4_AUX!$A:$M,13,FALSE)</f>
        <v>0.53196100000000002</v>
      </c>
      <c r="W214" s="24">
        <f t="shared" si="40"/>
        <v>0</v>
      </c>
    </row>
    <row r="215" spans="1:23" x14ac:dyDescent="0.25">
      <c r="A215" t="str">
        <f t="shared" si="31"/>
        <v>C26.30EU1</v>
      </c>
      <c r="B215" t="s">
        <v>38</v>
      </c>
      <c r="C215" t="s">
        <v>258</v>
      </c>
      <c r="D215" t="s">
        <v>189</v>
      </c>
      <c r="E215">
        <v>1788960.79</v>
      </c>
      <c r="F215">
        <v>1788960.79</v>
      </c>
      <c r="G215">
        <v>23485885.920000002</v>
      </c>
      <c r="H215">
        <v>40064628.509999998</v>
      </c>
      <c r="I215">
        <v>106518866.18000001</v>
      </c>
      <c r="J215">
        <v>100.1823</v>
      </c>
      <c r="K215">
        <v>54.459871</v>
      </c>
      <c r="L215">
        <v>892.02365599999996</v>
      </c>
      <c r="M215" t="s">
        <v>15</v>
      </c>
      <c r="N215" s="24">
        <f t="shared" si="32"/>
        <v>1.788961</v>
      </c>
      <c r="O215" s="24">
        <f t="shared" si="33"/>
        <v>1.788961</v>
      </c>
      <c r="P215">
        <f t="shared" si="34"/>
        <v>23.485886000000001</v>
      </c>
      <c r="Q215">
        <f t="shared" si="35"/>
        <v>40.064628999999996</v>
      </c>
      <c r="R215">
        <f t="shared" si="36"/>
        <v>106.518866</v>
      </c>
      <c r="S215" s="24">
        <f t="shared" si="37"/>
        <v>100.18</v>
      </c>
      <c r="T215" s="24">
        <f t="shared" si="38"/>
        <v>54.46</v>
      </c>
      <c r="U215" s="24">
        <f t="shared" si="39"/>
        <v>892.02</v>
      </c>
      <c r="V215" s="24">
        <f>+VLOOKUP(A215,[1]DQS4_AUX!$A:$M,13,FALSE)</f>
        <v>1.788961</v>
      </c>
      <c r="W215" s="24">
        <f t="shared" si="40"/>
        <v>0</v>
      </c>
    </row>
    <row r="216" spans="1:23" x14ac:dyDescent="0.25">
      <c r="A216" t="str">
        <f t="shared" si="31"/>
        <v>C28.91EU1</v>
      </c>
      <c r="B216" t="s">
        <v>38</v>
      </c>
      <c r="C216" t="s">
        <v>258</v>
      </c>
      <c r="D216" t="s">
        <v>412</v>
      </c>
      <c r="E216">
        <v>366453.35</v>
      </c>
      <c r="F216">
        <v>366453.35</v>
      </c>
      <c r="G216">
        <v>1647502.38</v>
      </c>
      <c r="H216">
        <v>8066814.0700000003</v>
      </c>
      <c r="I216">
        <v>10833128.220000001</v>
      </c>
      <c r="J216">
        <v>11.100504000000001</v>
      </c>
      <c r="K216">
        <v>6.0343179999999998</v>
      </c>
      <c r="L216">
        <v>98.838953000000004</v>
      </c>
      <c r="M216" t="s">
        <v>15</v>
      </c>
      <c r="N216" s="24">
        <f t="shared" si="32"/>
        <v>0.36645299999999997</v>
      </c>
      <c r="O216" s="24">
        <f t="shared" si="33"/>
        <v>0.36645299999999997</v>
      </c>
      <c r="P216">
        <f t="shared" si="34"/>
        <v>1.647502</v>
      </c>
      <c r="Q216">
        <f t="shared" si="35"/>
        <v>8.0668140000000008</v>
      </c>
      <c r="R216">
        <f t="shared" si="36"/>
        <v>10.833128</v>
      </c>
      <c r="S216" s="24">
        <f t="shared" si="37"/>
        <v>11.1</v>
      </c>
      <c r="T216" s="24">
        <f t="shared" si="38"/>
        <v>6.03</v>
      </c>
      <c r="U216" s="24">
        <f t="shared" si="39"/>
        <v>98.84</v>
      </c>
      <c r="V216" s="24">
        <f>+VLOOKUP(A216,[1]DQS4_AUX!$A:$M,13,FALSE)</f>
        <v>0.36645299999999997</v>
      </c>
      <c r="W216" s="24">
        <f t="shared" si="40"/>
        <v>0</v>
      </c>
    </row>
    <row r="217" spans="1:23" x14ac:dyDescent="0.25">
      <c r="A217" t="str">
        <f t="shared" si="31"/>
        <v>C18.13EU1</v>
      </c>
      <c r="B217" t="s">
        <v>38</v>
      </c>
      <c r="C217" t="s">
        <v>258</v>
      </c>
      <c r="D217" t="s">
        <v>411</v>
      </c>
      <c r="E217">
        <v>4799329.9799999902</v>
      </c>
      <c r="F217">
        <v>4799495.3799999896</v>
      </c>
      <c r="G217">
        <v>31315351.84</v>
      </c>
      <c r="H217">
        <v>48038914.350000001</v>
      </c>
      <c r="I217">
        <v>72274974.689999998</v>
      </c>
      <c r="J217">
        <v>377.83970099999999</v>
      </c>
      <c r="K217">
        <v>341.95880699999998</v>
      </c>
      <c r="L217">
        <v>1766.73927</v>
      </c>
      <c r="M217" t="s">
        <v>15</v>
      </c>
      <c r="N217" s="24">
        <f t="shared" si="32"/>
        <v>4.7993300000000003</v>
      </c>
      <c r="O217" s="24">
        <f t="shared" si="33"/>
        <v>4.7994950000000003</v>
      </c>
      <c r="P217">
        <f t="shared" si="34"/>
        <v>31.315352000000001</v>
      </c>
      <c r="Q217">
        <f t="shared" si="35"/>
        <v>48.038913999999998</v>
      </c>
      <c r="R217">
        <f t="shared" si="36"/>
        <v>72.274974999999998</v>
      </c>
      <c r="S217" s="24">
        <f t="shared" si="37"/>
        <v>377.84</v>
      </c>
      <c r="T217" s="24">
        <f t="shared" si="38"/>
        <v>341.96</v>
      </c>
      <c r="U217" s="24">
        <f t="shared" si="39"/>
        <v>1766.74</v>
      </c>
      <c r="V217" s="24">
        <f>+VLOOKUP(A217,[1]DQS4_AUX!$A:$M,13,FALSE)</f>
        <v>4.7994950000000003</v>
      </c>
      <c r="W217" s="24">
        <f t="shared" si="40"/>
        <v>0</v>
      </c>
    </row>
    <row r="218" spans="1:23" x14ac:dyDescent="0.25">
      <c r="A218" t="str">
        <f t="shared" si="31"/>
        <v>C20.42EU1</v>
      </c>
      <c r="B218" t="s">
        <v>38</v>
      </c>
      <c r="C218" t="s">
        <v>258</v>
      </c>
      <c r="D218" t="s">
        <v>396</v>
      </c>
      <c r="E218">
        <v>1486377.03999999</v>
      </c>
      <c r="F218">
        <v>1486405.8699999901</v>
      </c>
      <c r="G218">
        <v>28416213.120000001</v>
      </c>
      <c r="H218">
        <v>37967258.130000003</v>
      </c>
      <c r="I218">
        <v>39573859.649999999</v>
      </c>
      <c r="J218">
        <v>413.54202700000002</v>
      </c>
      <c r="K218">
        <v>83.689272000000003</v>
      </c>
      <c r="L218">
        <v>663.20247800000004</v>
      </c>
      <c r="M218" t="s">
        <v>15</v>
      </c>
      <c r="N218" s="24">
        <f t="shared" si="32"/>
        <v>1.4863770000000001</v>
      </c>
      <c r="O218" s="24">
        <f t="shared" si="33"/>
        <v>1.4864059999999999</v>
      </c>
      <c r="P218">
        <f t="shared" si="34"/>
        <v>28.416212999999999</v>
      </c>
      <c r="Q218">
        <f t="shared" si="35"/>
        <v>37.967258000000001</v>
      </c>
      <c r="R218">
        <f t="shared" si="36"/>
        <v>39.573860000000003</v>
      </c>
      <c r="S218" s="24">
        <f t="shared" si="37"/>
        <v>413.54</v>
      </c>
      <c r="T218" s="24">
        <f t="shared" si="38"/>
        <v>83.69</v>
      </c>
      <c r="U218" s="24">
        <f t="shared" si="39"/>
        <v>663.2</v>
      </c>
      <c r="V218" s="24">
        <f>+VLOOKUP(A218,[1]DQS4_AUX!$A:$M,13,FALSE)</f>
        <v>1.4864059999999999</v>
      </c>
      <c r="W218" s="24">
        <f t="shared" si="40"/>
        <v>0</v>
      </c>
    </row>
    <row r="219" spans="1:23" x14ac:dyDescent="0.25">
      <c r="A219" t="str">
        <f t="shared" si="31"/>
        <v>C27.31EU1</v>
      </c>
      <c r="B219" t="s">
        <v>38</v>
      </c>
      <c r="C219" t="s">
        <v>258</v>
      </c>
      <c r="D219" t="s">
        <v>349</v>
      </c>
      <c r="E219">
        <v>570733.69999999902</v>
      </c>
      <c r="F219">
        <v>571202.32999999903</v>
      </c>
      <c r="G219">
        <v>1304801.1399999999</v>
      </c>
      <c r="H219">
        <v>2416804.9300000002</v>
      </c>
      <c r="I219">
        <v>4612040.07</v>
      </c>
      <c r="J219">
        <v>22.184524</v>
      </c>
      <c r="K219">
        <v>12.059678</v>
      </c>
      <c r="L219">
        <v>197.53110799999999</v>
      </c>
      <c r="M219" t="s">
        <v>15</v>
      </c>
      <c r="N219" s="24">
        <f t="shared" si="32"/>
        <v>0.57073399999999996</v>
      </c>
      <c r="O219" s="24">
        <f t="shared" si="33"/>
        <v>0.57120199999999999</v>
      </c>
      <c r="P219">
        <f t="shared" si="34"/>
        <v>1.3048010000000001</v>
      </c>
      <c r="Q219">
        <f t="shared" si="35"/>
        <v>2.4168050000000001</v>
      </c>
      <c r="R219">
        <f t="shared" si="36"/>
        <v>4.6120400000000004</v>
      </c>
      <c r="S219" s="24">
        <f t="shared" si="37"/>
        <v>22.18</v>
      </c>
      <c r="T219" s="24">
        <f t="shared" si="38"/>
        <v>12.06</v>
      </c>
      <c r="U219" s="24">
        <f t="shared" si="39"/>
        <v>197.53</v>
      </c>
      <c r="V219" s="24">
        <f>+VLOOKUP(A219,[1]DQS4_AUX!$A:$M,13,FALSE)</f>
        <v>0.57120199999999999</v>
      </c>
      <c r="W219" s="24">
        <f t="shared" si="40"/>
        <v>0</v>
      </c>
    </row>
    <row r="220" spans="1:23" x14ac:dyDescent="0.25">
      <c r="A220" t="str">
        <f t="shared" si="31"/>
        <v>C10.86EU1</v>
      </c>
      <c r="B220" t="s">
        <v>38</v>
      </c>
      <c r="C220" t="s">
        <v>258</v>
      </c>
      <c r="D220" t="s">
        <v>350</v>
      </c>
      <c r="E220">
        <v>810012.91999999899</v>
      </c>
      <c r="F220">
        <v>810089.70999999903</v>
      </c>
      <c r="G220">
        <v>5108567.54</v>
      </c>
      <c r="H220">
        <v>13664793.300000001</v>
      </c>
      <c r="I220">
        <v>36510711.299999997</v>
      </c>
      <c r="J220">
        <v>49.134622</v>
      </c>
      <c r="K220">
        <v>33.406992000000002</v>
      </c>
      <c r="L220">
        <v>598.78989100000001</v>
      </c>
      <c r="M220" t="s">
        <v>15</v>
      </c>
      <c r="N220" s="24">
        <f t="shared" si="32"/>
        <v>0.81001299999999998</v>
      </c>
      <c r="O220" s="24">
        <f t="shared" si="33"/>
        <v>0.81008999999999998</v>
      </c>
      <c r="P220">
        <f t="shared" si="34"/>
        <v>5.108568</v>
      </c>
      <c r="Q220">
        <f t="shared" si="35"/>
        <v>13.664793</v>
      </c>
      <c r="R220">
        <f t="shared" si="36"/>
        <v>36.510711000000001</v>
      </c>
      <c r="S220" s="24">
        <f t="shared" si="37"/>
        <v>49.13</v>
      </c>
      <c r="T220" s="24">
        <f t="shared" si="38"/>
        <v>33.409999999999997</v>
      </c>
      <c r="U220" s="24">
        <f t="shared" si="39"/>
        <v>598.79</v>
      </c>
      <c r="V220" s="24">
        <f>+VLOOKUP(A220,[1]DQS4_AUX!$A:$M,13,FALSE)</f>
        <v>0.81008999999999998</v>
      </c>
      <c r="W220" s="24">
        <f t="shared" si="40"/>
        <v>0</v>
      </c>
    </row>
    <row r="221" spans="1:23" x14ac:dyDescent="0.25">
      <c r="A221" t="str">
        <f t="shared" si="31"/>
        <v>C14.14EU1</v>
      </c>
      <c r="B221" t="s">
        <v>38</v>
      </c>
      <c r="C221" t="s">
        <v>258</v>
      </c>
      <c r="D221" t="s">
        <v>413</v>
      </c>
      <c r="E221">
        <v>4825302.77999999</v>
      </c>
      <c r="F221">
        <v>4825353.1899999902</v>
      </c>
      <c r="G221">
        <v>24963655.140000001</v>
      </c>
      <c r="H221">
        <v>75179670.489999995</v>
      </c>
      <c r="I221">
        <v>154764090.77000001</v>
      </c>
      <c r="J221">
        <v>218.83824100000001</v>
      </c>
      <c r="K221">
        <v>404.684865</v>
      </c>
      <c r="L221">
        <v>2796.5217080000002</v>
      </c>
      <c r="M221" t="s">
        <v>15</v>
      </c>
      <c r="N221" s="24">
        <f t="shared" si="32"/>
        <v>4.8253029999999999</v>
      </c>
      <c r="O221" s="24">
        <f t="shared" si="33"/>
        <v>4.8253529999999998</v>
      </c>
      <c r="P221">
        <f t="shared" si="34"/>
        <v>24.963654999999999</v>
      </c>
      <c r="Q221">
        <f t="shared" si="35"/>
        <v>75.179670000000002</v>
      </c>
      <c r="R221">
        <f t="shared" si="36"/>
        <v>154.76409100000001</v>
      </c>
      <c r="S221" s="24">
        <f t="shared" si="37"/>
        <v>218.84</v>
      </c>
      <c r="T221" s="24">
        <f t="shared" si="38"/>
        <v>404.68</v>
      </c>
      <c r="U221" s="24">
        <f t="shared" si="39"/>
        <v>2796.52</v>
      </c>
      <c r="V221" s="24">
        <f>+VLOOKUP(A221,[1]DQS4_AUX!$A:$M,13,FALSE)</f>
        <v>4.8253529999999998</v>
      </c>
      <c r="W221" s="24">
        <f t="shared" si="40"/>
        <v>0</v>
      </c>
    </row>
    <row r="222" spans="1:23" x14ac:dyDescent="0.25">
      <c r="A222" t="str">
        <f t="shared" si="31"/>
        <v>C15.11EU1</v>
      </c>
      <c r="B222" t="s">
        <v>38</v>
      </c>
      <c r="C222" t="s">
        <v>258</v>
      </c>
      <c r="D222" t="s">
        <v>450</v>
      </c>
      <c r="E222">
        <v>7944029.98999999</v>
      </c>
      <c r="F222">
        <v>7944034.48999999</v>
      </c>
      <c r="G222">
        <v>48822632.710000001</v>
      </c>
      <c r="H222">
        <v>123247081.59</v>
      </c>
      <c r="I222">
        <v>172881991.05000001</v>
      </c>
      <c r="J222">
        <v>171.54186899999999</v>
      </c>
      <c r="K222">
        <v>317.22246100000001</v>
      </c>
      <c r="L222">
        <v>2192.1244849999998</v>
      </c>
      <c r="M222" t="s">
        <v>15</v>
      </c>
      <c r="N222" s="24">
        <f t="shared" si="32"/>
        <v>7.9440299999999997</v>
      </c>
      <c r="O222" s="24">
        <f t="shared" si="33"/>
        <v>7.9440340000000003</v>
      </c>
      <c r="P222">
        <f t="shared" si="34"/>
        <v>48.822633000000003</v>
      </c>
      <c r="Q222">
        <f t="shared" si="35"/>
        <v>123.24708200000001</v>
      </c>
      <c r="R222">
        <f t="shared" si="36"/>
        <v>172.881991</v>
      </c>
      <c r="S222" s="24">
        <f t="shared" si="37"/>
        <v>171.54</v>
      </c>
      <c r="T222" s="24">
        <f t="shared" si="38"/>
        <v>317.22000000000003</v>
      </c>
      <c r="U222" s="24">
        <f t="shared" si="39"/>
        <v>2192.12</v>
      </c>
      <c r="V222" s="24">
        <f>+VLOOKUP(A222,[1]DQS4_AUX!$A:$M,13,FALSE)</f>
        <v>7.9440340000000003</v>
      </c>
      <c r="W222" s="24">
        <f t="shared" si="40"/>
        <v>0</v>
      </c>
    </row>
    <row r="223" spans="1:23" x14ac:dyDescent="0.25">
      <c r="A223" t="str">
        <f t="shared" si="31"/>
        <v>C13.92EU1</v>
      </c>
      <c r="B223" t="s">
        <v>38</v>
      </c>
      <c r="C223" t="s">
        <v>258</v>
      </c>
      <c r="D223" t="s">
        <v>378</v>
      </c>
      <c r="E223">
        <v>16099213.3718319</v>
      </c>
      <c r="F223">
        <v>16100202.1218319</v>
      </c>
      <c r="G223">
        <v>76001821.140000001</v>
      </c>
      <c r="H223">
        <v>230155209.38999999</v>
      </c>
      <c r="I223">
        <v>259168145.44999999</v>
      </c>
      <c r="J223">
        <v>486.81392699999998</v>
      </c>
      <c r="K223">
        <v>900.23684700000001</v>
      </c>
      <c r="L223">
        <v>6220.9699199999995</v>
      </c>
      <c r="M223" t="s">
        <v>15</v>
      </c>
      <c r="N223" s="24">
        <f t="shared" si="32"/>
        <v>16.099212999999999</v>
      </c>
      <c r="O223" s="24">
        <f t="shared" si="33"/>
        <v>16.100201999999999</v>
      </c>
      <c r="P223">
        <f t="shared" si="34"/>
        <v>76.001821000000007</v>
      </c>
      <c r="Q223">
        <f t="shared" si="35"/>
        <v>230.15520900000001</v>
      </c>
      <c r="R223">
        <f t="shared" si="36"/>
        <v>259.16814499999998</v>
      </c>
      <c r="S223" s="24">
        <f t="shared" si="37"/>
        <v>486.81</v>
      </c>
      <c r="T223" s="24">
        <f t="shared" si="38"/>
        <v>900.24</v>
      </c>
      <c r="U223" s="24">
        <f t="shared" si="39"/>
        <v>6220.97</v>
      </c>
      <c r="V223" s="24">
        <f>+VLOOKUP(A223,[1]DQS4_AUX!$A:$M,13,FALSE)</f>
        <v>16.100201999999999</v>
      </c>
      <c r="W223" s="24">
        <f t="shared" si="40"/>
        <v>0</v>
      </c>
    </row>
    <row r="224" spans="1:23" x14ac:dyDescent="0.25">
      <c r="A224" t="str">
        <f t="shared" si="31"/>
        <v>C22.19EU1</v>
      </c>
      <c r="B224" t="s">
        <v>38</v>
      </c>
      <c r="C224" t="s">
        <v>258</v>
      </c>
      <c r="D224" t="s">
        <v>379</v>
      </c>
      <c r="E224">
        <v>2026817.72</v>
      </c>
      <c r="F224">
        <v>2026817.72</v>
      </c>
      <c r="G224">
        <v>17162108.969999999</v>
      </c>
      <c r="H224">
        <v>136419376.53999999</v>
      </c>
      <c r="I224">
        <v>52211686.729999997</v>
      </c>
      <c r="J224">
        <v>559.653907</v>
      </c>
      <c r="K224">
        <v>113.258245</v>
      </c>
      <c r="L224">
        <v>897.52389000000005</v>
      </c>
      <c r="M224" t="s">
        <v>15</v>
      </c>
      <c r="N224" s="24">
        <f t="shared" si="32"/>
        <v>2.026818</v>
      </c>
      <c r="O224" s="24">
        <f t="shared" si="33"/>
        <v>2.026818</v>
      </c>
      <c r="P224">
        <f t="shared" si="34"/>
        <v>17.162109000000001</v>
      </c>
      <c r="Q224">
        <f t="shared" si="35"/>
        <v>136.419377</v>
      </c>
      <c r="R224">
        <f t="shared" si="36"/>
        <v>52.211686999999998</v>
      </c>
      <c r="S224" s="24">
        <f t="shared" si="37"/>
        <v>559.65</v>
      </c>
      <c r="T224" s="24">
        <f t="shared" si="38"/>
        <v>113.26</v>
      </c>
      <c r="U224" s="24">
        <f t="shared" si="39"/>
        <v>897.52</v>
      </c>
      <c r="V224" s="24">
        <f>+VLOOKUP(A224,[1]DQS4_AUX!$A:$M,13,FALSE)</f>
        <v>2.026818</v>
      </c>
      <c r="W224" s="24">
        <f t="shared" si="40"/>
        <v>0</v>
      </c>
    </row>
    <row r="225" spans="1:23" x14ac:dyDescent="0.25">
      <c r="A225" t="str">
        <f t="shared" si="31"/>
        <v>C11.02EU1</v>
      </c>
      <c r="B225" t="s">
        <v>38</v>
      </c>
      <c r="C225" t="s">
        <v>258</v>
      </c>
      <c r="D225" t="s">
        <v>380</v>
      </c>
      <c r="E225">
        <v>98992222.909999907</v>
      </c>
      <c r="F225">
        <v>98992780.739999905</v>
      </c>
      <c r="G225">
        <v>648251927.08000004</v>
      </c>
      <c r="H225">
        <v>1494123909.6500001</v>
      </c>
      <c r="I225">
        <v>1158231974.26</v>
      </c>
      <c r="J225">
        <v>3142.6932379999998</v>
      </c>
      <c r="K225">
        <v>2136.7409680000001</v>
      </c>
      <c r="L225">
        <v>38299.102218</v>
      </c>
      <c r="M225" t="s">
        <v>15</v>
      </c>
      <c r="N225" s="24">
        <f t="shared" si="32"/>
        <v>98.992222999999996</v>
      </c>
      <c r="O225" s="24">
        <f t="shared" si="33"/>
        <v>98.992780999999994</v>
      </c>
      <c r="P225">
        <f t="shared" si="34"/>
        <v>648.25192700000002</v>
      </c>
      <c r="Q225">
        <f t="shared" si="35"/>
        <v>1494.12391</v>
      </c>
      <c r="R225">
        <f t="shared" si="36"/>
        <v>1158.231974</v>
      </c>
      <c r="S225" s="24">
        <f t="shared" si="37"/>
        <v>3142.69</v>
      </c>
      <c r="T225" s="24">
        <f t="shared" si="38"/>
        <v>2136.7399999999998</v>
      </c>
      <c r="U225" s="24">
        <f t="shared" si="39"/>
        <v>38299.1</v>
      </c>
      <c r="V225" s="24">
        <f>+VLOOKUP(A225,[1]DQS4_AUX!$A:$M,13,FALSE)</f>
        <v>98.992780999999994</v>
      </c>
      <c r="W225" s="24">
        <f t="shared" si="40"/>
        <v>0</v>
      </c>
    </row>
    <row r="226" spans="1:23" x14ac:dyDescent="0.25">
      <c r="A226" t="str">
        <f t="shared" si="31"/>
        <v>C23.11EU1</v>
      </c>
      <c r="B226" t="s">
        <v>38</v>
      </c>
      <c r="C226" t="s">
        <v>258</v>
      </c>
      <c r="D226" t="s">
        <v>417</v>
      </c>
      <c r="E226">
        <v>41794.959999999999</v>
      </c>
      <c r="F226">
        <v>41794.959999999999</v>
      </c>
      <c r="G226">
        <v>4101193.45</v>
      </c>
      <c r="H226">
        <v>28464240.190000001</v>
      </c>
      <c r="I226">
        <v>64486346.619999997</v>
      </c>
      <c r="J226">
        <v>23.056749</v>
      </c>
      <c r="K226">
        <v>4.6660329999999997</v>
      </c>
      <c r="L226">
        <v>36.976398000000003</v>
      </c>
      <c r="M226" t="s">
        <v>15</v>
      </c>
      <c r="N226" s="24">
        <f t="shared" si="32"/>
        <v>4.1794999999999999E-2</v>
      </c>
      <c r="O226" s="24">
        <f t="shared" si="33"/>
        <v>4.1794999999999999E-2</v>
      </c>
      <c r="P226">
        <f t="shared" si="34"/>
        <v>4.1011930000000003</v>
      </c>
      <c r="Q226">
        <f t="shared" si="35"/>
        <v>28.46424</v>
      </c>
      <c r="R226">
        <f t="shared" si="36"/>
        <v>64.486346999999995</v>
      </c>
      <c r="S226" s="24">
        <f t="shared" si="37"/>
        <v>23.06</v>
      </c>
      <c r="T226" s="24">
        <f t="shared" si="38"/>
        <v>4.67</v>
      </c>
      <c r="U226" s="24">
        <f t="shared" si="39"/>
        <v>36.979999999999997</v>
      </c>
      <c r="V226" s="24">
        <f>+VLOOKUP(A226,[1]DQS4_AUX!$A:$M,13,FALSE)</f>
        <v>4.1794999999999999E-2</v>
      </c>
      <c r="W226" s="24">
        <f t="shared" si="40"/>
        <v>0</v>
      </c>
    </row>
    <row r="227" spans="1:23" x14ac:dyDescent="0.25">
      <c r="A227" t="str">
        <f t="shared" si="31"/>
        <v>C10.31EU1</v>
      </c>
      <c r="B227" t="s">
        <v>38</v>
      </c>
      <c r="C227" t="s">
        <v>258</v>
      </c>
      <c r="D227" t="s">
        <v>418</v>
      </c>
      <c r="E227">
        <v>1720916.09</v>
      </c>
      <c r="F227">
        <v>1720916.09</v>
      </c>
      <c r="G227">
        <v>11912473.720000001</v>
      </c>
      <c r="H227">
        <v>24410728.030000001</v>
      </c>
      <c r="I227">
        <v>85636950.989999995</v>
      </c>
      <c r="J227">
        <v>214.51862199999999</v>
      </c>
      <c r="K227">
        <v>145.85284899999999</v>
      </c>
      <c r="L227">
        <v>2614.276801</v>
      </c>
      <c r="M227" t="s">
        <v>15</v>
      </c>
      <c r="N227" s="24">
        <f t="shared" si="32"/>
        <v>1.7209159999999999</v>
      </c>
      <c r="O227" s="24">
        <f t="shared" si="33"/>
        <v>1.7209159999999999</v>
      </c>
      <c r="P227">
        <f t="shared" si="34"/>
        <v>11.912474</v>
      </c>
      <c r="Q227">
        <f t="shared" si="35"/>
        <v>24.410727999999999</v>
      </c>
      <c r="R227">
        <f t="shared" si="36"/>
        <v>85.636950999999996</v>
      </c>
      <c r="S227" s="24">
        <f t="shared" si="37"/>
        <v>214.52</v>
      </c>
      <c r="T227" s="24">
        <f t="shared" si="38"/>
        <v>145.85</v>
      </c>
      <c r="U227" s="24">
        <f t="shared" si="39"/>
        <v>2614.2800000000002</v>
      </c>
      <c r="V227" s="24">
        <f>+VLOOKUP(A227,[1]DQS4_AUX!$A:$M,13,FALSE)</f>
        <v>1.7209159999999999</v>
      </c>
      <c r="W227" s="24">
        <f t="shared" si="40"/>
        <v>0</v>
      </c>
    </row>
    <row r="228" spans="1:23" x14ac:dyDescent="0.25">
      <c r="A228" t="str">
        <f t="shared" si="31"/>
        <v>C10.82EU1</v>
      </c>
      <c r="B228" t="s">
        <v>38</v>
      </c>
      <c r="C228" t="s">
        <v>258</v>
      </c>
      <c r="D228" t="s">
        <v>451</v>
      </c>
      <c r="E228">
        <v>3207033.3999999901</v>
      </c>
      <c r="F228">
        <v>3207037.3999999901</v>
      </c>
      <c r="G228">
        <v>9840454.9199999999</v>
      </c>
      <c r="H228">
        <v>24682655</v>
      </c>
      <c r="I228">
        <v>70498540.890000001</v>
      </c>
      <c r="J228">
        <v>309.09278499999999</v>
      </c>
      <c r="K228">
        <v>210.15455</v>
      </c>
      <c r="L228">
        <v>3766.8245879999999</v>
      </c>
      <c r="M228" t="s">
        <v>15</v>
      </c>
      <c r="N228" s="24">
        <f t="shared" si="32"/>
        <v>3.207033</v>
      </c>
      <c r="O228" s="24">
        <f t="shared" si="33"/>
        <v>3.2070370000000001</v>
      </c>
      <c r="P228">
        <f t="shared" si="34"/>
        <v>9.8404550000000004</v>
      </c>
      <c r="Q228">
        <f t="shared" si="35"/>
        <v>24.682655</v>
      </c>
      <c r="R228">
        <f t="shared" si="36"/>
        <v>70.498541000000003</v>
      </c>
      <c r="S228" s="24">
        <f t="shared" si="37"/>
        <v>309.08999999999997</v>
      </c>
      <c r="T228" s="24">
        <f t="shared" si="38"/>
        <v>210.15</v>
      </c>
      <c r="U228" s="24">
        <f t="shared" si="39"/>
        <v>3766.82</v>
      </c>
      <c r="V228" s="24">
        <f>+VLOOKUP(A228,[1]DQS4_AUX!$A:$M,13,FALSE)</f>
        <v>3.2070370000000001</v>
      </c>
      <c r="W228" s="24">
        <f t="shared" si="40"/>
        <v>0</v>
      </c>
    </row>
    <row r="229" spans="1:23" x14ac:dyDescent="0.25">
      <c r="A229" t="str">
        <f t="shared" si="31"/>
        <v>C32.20EU1</v>
      </c>
      <c r="B229" t="s">
        <v>38</v>
      </c>
      <c r="C229" t="s">
        <v>258</v>
      </c>
      <c r="D229" t="s">
        <v>383</v>
      </c>
      <c r="E229">
        <v>2627.52</v>
      </c>
      <c r="F229">
        <v>2627.52</v>
      </c>
      <c r="G229">
        <v>566139.13</v>
      </c>
      <c r="H229">
        <v>992856.39</v>
      </c>
      <c r="I229">
        <v>1755363.79</v>
      </c>
      <c r="J229">
        <v>0.18509</v>
      </c>
      <c r="K229">
        <v>6.7347000000000004E-2</v>
      </c>
      <c r="L229">
        <v>0.64692799999999995</v>
      </c>
      <c r="M229" t="s">
        <v>15</v>
      </c>
      <c r="N229" s="24">
        <f t="shared" si="32"/>
        <v>2.6280000000000001E-3</v>
      </c>
      <c r="O229" s="24">
        <f t="shared" si="33"/>
        <v>2.6280000000000001E-3</v>
      </c>
      <c r="P229">
        <f t="shared" si="34"/>
        <v>0.56613899999999995</v>
      </c>
      <c r="Q229">
        <f t="shared" si="35"/>
        <v>0.99285599999999996</v>
      </c>
      <c r="R229">
        <f t="shared" si="36"/>
        <v>1.7553639999999999</v>
      </c>
      <c r="S229" s="24">
        <f t="shared" si="37"/>
        <v>0.19</v>
      </c>
      <c r="T229" s="24">
        <f t="shared" si="38"/>
        <v>7.0000000000000007E-2</v>
      </c>
      <c r="U229" s="24">
        <f t="shared" si="39"/>
        <v>0.65</v>
      </c>
      <c r="V229" s="24">
        <f>+VLOOKUP(A229,[1]DQS4_AUX!$A:$M,13,FALSE)</f>
        <v>2.6280000000000001E-3</v>
      </c>
      <c r="W229" s="24">
        <f t="shared" si="40"/>
        <v>0</v>
      </c>
    </row>
    <row r="230" spans="1:23" x14ac:dyDescent="0.25">
      <c r="A230" t="str">
        <f t="shared" si="31"/>
        <v>C25.99EU1</v>
      </c>
      <c r="B230" t="s">
        <v>38</v>
      </c>
      <c r="C230" t="s">
        <v>258</v>
      </c>
      <c r="D230" t="s">
        <v>452</v>
      </c>
      <c r="E230">
        <v>20701345.3199999</v>
      </c>
      <c r="F230">
        <v>20705320.309999902</v>
      </c>
      <c r="G230">
        <v>147710609.66</v>
      </c>
      <c r="H230">
        <v>341371526.01999998</v>
      </c>
      <c r="I230">
        <v>571209455.69000006</v>
      </c>
      <c r="J230">
        <v>4809.9934720000001</v>
      </c>
      <c r="K230">
        <v>1138.146943</v>
      </c>
      <c r="L230">
        <v>15650.401077</v>
      </c>
      <c r="M230" t="s">
        <v>15</v>
      </c>
      <c r="N230" s="24">
        <f t="shared" si="32"/>
        <v>20.701345</v>
      </c>
      <c r="O230" s="24">
        <f t="shared" si="33"/>
        <v>20.70532</v>
      </c>
      <c r="P230">
        <f t="shared" si="34"/>
        <v>147.71061</v>
      </c>
      <c r="Q230">
        <f t="shared" si="35"/>
        <v>341.37152600000002</v>
      </c>
      <c r="R230">
        <f t="shared" si="36"/>
        <v>571.20945600000005</v>
      </c>
      <c r="S230" s="24">
        <f t="shared" si="37"/>
        <v>4809.99</v>
      </c>
      <c r="T230" s="24">
        <f t="shared" si="38"/>
        <v>1138.1500000000001</v>
      </c>
      <c r="U230" s="24">
        <f t="shared" si="39"/>
        <v>15650.4</v>
      </c>
      <c r="V230" s="24">
        <f>+VLOOKUP(A230,[1]DQS4_AUX!$A:$M,13,FALSE)</f>
        <v>20.70532</v>
      </c>
      <c r="W230" s="24">
        <f t="shared" si="40"/>
        <v>0</v>
      </c>
    </row>
    <row r="231" spans="1:23" x14ac:dyDescent="0.25">
      <c r="A231" t="str">
        <f t="shared" si="31"/>
        <v>C17.11EU1</v>
      </c>
      <c r="B231" t="s">
        <v>38</v>
      </c>
      <c r="C231" t="s">
        <v>258</v>
      </c>
      <c r="D231" t="s">
        <v>119</v>
      </c>
      <c r="E231">
        <v>55785287.619999997</v>
      </c>
      <c r="F231">
        <v>55785287.619999997</v>
      </c>
      <c r="G231">
        <v>466887524</v>
      </c>
      <c r="H231">
        <v>459185361</v>
      </c>
      <c r="I231">
        <v>689549716</v>
      </c>
      <c r="J231">
        <v>2572.3420310000001</v>
      </c>
      <c r="K231">
        <v>2328.063987</v>
      </c>
      <c r="L231">
        <v>12028.002473</v>
      </c>
      <c r="M231" t="s">
        <v>15</v>
      </c>
      <c r="N231" s="24">
        <f t="shared" si="32"/>
        <v>55.785288000000001</v>
      </c>
      <c r="O231" s="24">
        <f t="shared" si="33"/>
        <v>55.785288000000001</v>
      </c>
      <c r="P231">
        <f t="shared" si="34"/>
        <v>466.88752399999998</v>
      </c>
      <c r="Q231">
        <f t="shared" si="35"/>
        <v>459.185361</v>
      </c>
      <c r="R231">
        <f t="shared" si="36"/>
        <v>689.54971599999999</v>
      </c>
      <c r="S231" s="24">
        <f t="shared" si="37"/>
        <v>2572.34</v>
      </c>
      <c r="T231" s="24">
        <f t="shared" si="38"/>
        <v>2328.06</v>
      </c>
      <c r="U231" s="24">
        <f t="shared" si="39"/>
        <v>12028</v>
      </c>
      <c r="V231" s="24">
        <f>+VLOOKUP(A231,[1]DQS4_AUX!$A:$M,13,FALSE)</f>
        <v>55.785288000000001</v>
      </c>
      <c r="W231" s="24">
        <f t="shared" si="40"/>
        <v>0</v>
      </c>
    </row>
    <row r="232" spans="1:23" x14ac:dyDescent="0.25">
      <c r="A232" t="str">
        <f t="shared" si="31"/>
        <v>C19.20EU1</v>
      </c>
      <c r="B232" t="s">
        <v>38</v>
      </c>
      <c r="C232" t="s">
        <v>258</v>
      </c>
      <c r="D232" t="s">
        <v>388</v>
      </c>
      <c r="E232">
        <v>451632.92</v>
      </c>
      <c r="F232">
        <v>451632.92</v>
      </c>
      <c r="G232">
        <v>672325584.85000002</v>
      </c>
      <c r="H232">
        <v>3051495892.3499999</v>
      </c>
      <c r="I232">
        <v>12035905694.700001</v>
      </c>
      <c r="J232">
        <v>249.29655099999999</v>
      </c>
      <c r="K232">
        <v>50.450628000000002</v>
      </c>
      <c r="L232">
        <v>399.799958</v>
      </c>
      <c r="M232" t="s">
        <v>15</v>
      </c>
      <c r="N232" s="24">
        <f t="shared" si="32"/>
        <v>0.45163300000000001</v>
      </c>
      <c r="O232" s="24">
        <f t="shared" si="33"/>
        <v>0.45163300000000001</v>
      </c>
      <c r="P232">
        <f t="shared" si="34"/>
        <v>672.32558500000005</v>
      </c>
      <c r="Q232">
        <f t="shared" si="35"/>
        <v>3051.4958919999999</v>
      </c>
      <c r="R232">
        <f t="shared" si="36"/>
        <v>12035.905694999999</v>
      </c>
      <c r="S232" s="24">
        <f t="shared" si="37"/>
        <v>249.3</v>
      </c>
      <c r="T232" s="24">
        <f t="shared" si="38"/>
        <v>50.45</v>
      </c>
      <c r="U232" s="24">
        <f t="shared" si="39"/>
        <v>399.8</v>
      </c>
      <c r="V232" s="24">
        <f>+VLOOKUP(A232,[1]DQS4_AUX!$A:$M,13,FALSE)</f>
        <v>0.45163300000000001</v>
      </c>
      <c r="W232" s="24">
        <f t="shared" si="40"/>
        <v>0</v>
      </c>
    </row>
    <row r="233" spans="1:23" x14ac:dyDescent="0.25">
      <c r="A233" t="str">
        <f t="shared" si="31"/>
        <v>C30.11EU1</v>
      </c>
      <c r="B233" t="s">
        <v>38</v>
      </c>
      <c r="C233" t="s">
        <v>258</v>
      </c>
      <c r="D233" t="s">
        <v>441</v>
      </c>
      <c r="E233">
        <v>1183248.47</v>
      </c>
      <c r="F233">
        <v>1183248.47</v>
      </c>
      <c r="G233">
        <v>3411032.58</v>
      </c>
      <c r="H233">
        <v>6436390.29</v>
      </c>
      <c r="I233">
        <v>21598393.850000001</v>
      </c>
      <c r="J233">
        <v>25.321435999999999</v>
      </c>
      <c r="K233">
        <v>11.641857</v>
      </c>
      <c r="L233">
        <v>341.95021200000002</v>
      </c>
      <c r="M233" t="s">
        <v>15</v>
      </c>
      <c r="N233" s="24">
        <f t="shared" si="32"/>
        <v>1.1832480000000001</v>
      </c>
      <c r="O233" s="24">
        <f t="shared" si="33"/>
        <v>1.1832480000000001</v>
      </c>
      <c r="P233">
        <f t="shared" si="34"/>
        <v>3.4110330000000002</v>
      </c>
      <c r="Q233">
        <f t="shared" si="35"/>
        <v>6.4363900000000003</v>
      </c>
      <c r="R233">
        <f t="shared" si="36"/>
        <v>21.598393999999999</v>
      </c>
      <c r="S233" s="24">
        <f t="shared" si="37"/>
        <v>25.32</v>
      </c>
      <c r="T233" s="24">
        <f t="shared" si="38"/>
        <v>11.64</v>
      </c>
      <c r="U233" s="24">
        <f t="shared" si="39"/>
        <v>341.95</v>
      </c>
      <c r="V233" s="24">
        <f>+VLOOKUP(A233,[1]DQS4_AUX!$A:$M,13,FALSE)</f>
        <v>1.1832480000000001</v>
      </c>
      <c r="W233" s="24">
        <f t="shared" si="40"/>
        <v>0</v>
      </c>
    </row>
    <row r="234" spans="1:23" x14ac:dyDescent="0.25">
      <c r="A234" t="str">
        <f t="shared" si="31"/>
        <v>C25.12EU1</v>
      </c>
      <c r="B234" t="s">
        <v>38</v>
      </c>
      <c r="C234" t="s">
        <v>258</v>
      </c>
      <c r="D234" t="s">
        <v>442</v>
      </c>
      <c r="E234">
        <v>28274114.874791902</v>
      </c>
      <c r="F234">
        <v>28276518.534791902</v>
      </c>
      <c r="G234">
        <v>181448090.71000001</v>
      </c>
      <c r="H234">
        <v>261592818.21000001</v>
      </c>
      <c r="I234">
        <v>654196295.75999999</v>
      </c>
      <c r="J234">
        <v>7942.7574960000002</v>
      </c>
      <c r="K234">
        <v>1879.425438</v>
      </c>
      <c r="L234">
        <v>25843.557560000001</v>
      </c>
      <c r="M234" t="s">
        <v>15</v>
      </c>
      <c r="N234" s="24">
        <f t="shared" si="32"/>
        <v>28.274114999999998</v>
      </c>
      <c r="O234" s="24">
        <f t="shared" si="33"/>
        <v>28.276519</v>
      </c>
      <c r="P234">
        <f t="shared" si="34"/>
        <v>181.44809100000001</v>
      </c>
      <c r="Q234">
        <f t="shared" si="35"/>
        <v>261.59281800000002</v>
      </c>
      <c r="R234">
        <f t="shared" si="36"/>
        <v>654.19629599999996</v>
      </c>
      <c r="S234" s="24">
        <f t="shared" si="37"/>
        <v>7942.76</v>
      </c>
      <c r="T234" s="24">
        <f t="shared" si="38"/>
        <v>1879.43</v>
      </c>
      <c r="U234" s="24">
        <f t="shared" si="39"/>
        <v>25843.56</v>
      </c>
      <c r="V234" s="24">
        <f>+VLOOKUP(A234,[1]DQS4_AUX!$A:$M,13,FALSE)</f>
        <v>28.276519</v>
      </c>
      <c r="W234" s="24">
        <f t="shared" si="40"/>
        <v>0</v>
      </c>
    </row>
    <row r="235" spans="1:23" x14ac:dyDescent="0.25">
      <c r="A235" t="str">
        <f t="shared" si="31"/>
        <v>C23.91EU1</v>
      </c>
      <c r="B235" t="s">
        <v>38</v>
      </c>
      <c r="C235" t="s">
        <v>258</v>
      </c>
      <c r="D235" t="s">
        <v>103</v>
      </c>
      <c r="E235">
        <v>1095410.0999999901</v>
      </c>
      <c r="F235">
        <v>1095528.99999999</v>
      </c>
      <c r="G235">
        <v>6533218.8799999999</v>
      </c>
      <c r="H235">
        <v>157402527.16</v>
      </c>
      <c r="I235">
        <v>77336884.700000003</v>
      </c>
      <c r="J235">
        <v>619.007206</v>
      </c>
      <c r="K235">
        <v>125.269672</v>
      </c>
      <c r="L235">
        <v>992.70953899999995</v>
      </c>
      <c r="M235" t="s">
        <v>15</v>
      </c>
      <c r="N235" s="24">
        <f t="shared" si="32"/>
        <v>1.09541</v>
      </c>
      <c r="O235" s="24">
        <f t="shared" si="33"/>
        <v>1.095529</v>
      </c>
      <c r="P235">
        <f t="shared" si="34"/>
        <v>6.5332189999999999</v>
      </c>
      <c r="Q235">
        <f t="shared" si="35"/>
        <v>157.40252699999999</v>
      </c>
      <c r="R235">
        <f t="shared" si="36"/>
        <v>77.336884999999995</v>
      </c>
      <c r="S235" s="24">
        <f t="shared" si="37"/>
        <v>619.01</v>
      </c>
      <c r="T235" s="24">
        <f t="shared" si="38"/>
        <v>125.27</v>
      </c>
      <c r="U235" s="24">
        <f t="shared" si="39"/>
        <v>992.71</v>
      </c>
      <c r="V235" s="24">
        <f>+VLOOKUP(A235,[1]DQS4_AUX!$A:$M,13,FALSE)</f>
        <v>1.095529</v>
      </c>
      <c r="W235" s="24">
        <f t="shared" si="40"/>
        <v>0</v>
      </c>
    </row>
    <row r="236" spans="1:23" x14ac:dyDescent="0.25">
      <c r="A236" t="str">
        <f t="shared" si="31"/>
        <v>C17.22EU1</v>
      </c>
      <c r="B236" t="s">
        <v>38</v>
      </c>
      <c r="C236" t="s">
        <v>258</v>
      </c>
      <c r="D236" t="s">
        <v>444</v>
      </c>
      <c r="E236">
        <v>4958999.23999999</v>
      </c>
      <c r="F236">
        <v>4959081.5699999901</v>
      </c>
      <c r="G236">
        <v>58844924.219999999</v>
      </c>
      <c r="H236">
        <v>109763706.43000001</v>
      </c>
      <c r="I236">
        <v>302108937.91000003</v>
      </c>
      <c r="J236">
        <v>446.35583500000001</v>
      </c>
      <c r="K236">
        <v>403.96841999999998</v>
      </c>
      <c r="L236">
        <v>2087.1132779999998</v>
      </c>
      <c r="M236" t="s">
        <v>15</v>
      </c>
      <c r="N236" s="24">
        <f t="shared" si="32"/>
        <v>4.9589990000000004</v>
      </c>
      <c r="O236" s="24">
        <f t="shared" si="33"/>
        <v>4.9590820000000004</v>
      </c>
      <c r="P236">
        <f t="shared" si="34"/>
        <v>58.844923999999999</v>
      </c>
      <c r="Q236">
        <f t="shared" si="35"/>
        <v>109.763706</v>
      </c>
      <c r="R236">
        <f t="shared" si="36"/>
        <v>302.10893800000002</v>
      </c>
      <c r="S236" s="24">
        <f t="shared" si="37"/>
        <v>446.36</v>
      </c>
      <c r="T236" s="24">
        <f t="shared" si="38"/>
        <v>403.97</v>
      </c>
      <c r="U236" s="24">
        <f t="shared" si="39"/>
        <v>2087.11</v>
      </c>
      <c r="V236" s="24">
        <f>+VLOOKUP(A236,[1]DQS4_AUX!$A:$M,13,FALSE)</f>
        <v>4.9590820000000004</v>
      </c>
      <c r="W236" s="24">
        <f t="shared" si="40"/>
        <v>0</v>
      </c>
    </row>
    <row r="237" spans="1:23" x14ac:dyDescent="0.25">
      <c r="A237" t="str">
        <f t="shared" si="31"/>
        <v>C32.13EU1</v>
      </c>
      <c r="B237" t="s">
        <v>38</v>
      </c>
      <c r="C237" t="s">
        <v>258</v>
      </c>
      <c r="D237" t="s">
        <v>39</v>
      </c>
      <c r="E237">
        <v>16456.1499999999</v>
      </c>
      <c r="F237">
        <v>16487.159999999902</v>
      </c>
      <c r="G237">
        <v>69976.92</v>
      </c>
      <c r="H237">
        <v>362586.4</v>
      </c>
      <c r="I237">
        <v>139906.97</v>
      </c>
      <c r="J237">
        <v>0.166938</v>
      </c>
      <c r="K237">
        <v>9.0747999999999995E-2</v>
      </c>
      <c r="L237">
        <v>1.4864280000000001</v>
      </c>
      <c r="M237" t="s">
        <v>15</v>
      </c>
      <c r="N237" s="24">
        <f t="shared" si="32"/>
        <v>1.6455999999999998E-2</v>
      </c>
      <c r="O237" s="24">
        <f t="shared" si="33"/>
        <v>1.6487000000000002E-2</v>
      </c>
      <c r="P237">
        <f t="shared" si="34"/>
        <v>6.9976999999999998E-2</v>
      </c>
      <c r="Q237">
        <f t="shared" si="35"/>
        <v>0.36258600000000002</v>
      </c>
      <c r="R237">
        <f t="shared" si="36"/>
        <v>0.139907</v>
      </c>
      <c r="S237" s="24">
        <f t="shared" si="37"/>
        <v>0.17</v>
      </c>
      <c r="T237" s="24">
        <f t="shared" si="38"/>
        <v>0.09</v>
      </c>
      <c r="U237" s="24">
        <f t="shared" si="39"/>
        <v>1.49</v>
      </c>
      <c r="V237" s="24">
        <f>+VLOOKUP(A237,[1]DQS4_AUX!$A:$M,13,FALSE)</f>
        <v>1.6487000000000002E-2</v>
      </c>
      <c r="W237" s="24">
        <f t="shared" si="40"/>
        <v>0</v>
      </c>
    </row>
    <row r="238" spans="1:23" x14ac:dyDescent="0.25">
      <c r="A238" t="str">
        <f t="shared" si="31"/>
        <v>C10.12EU1</v>
      </c>
      <c r="B238" t="s">
        <v>38</v>
      </c>
      <c r="C238" t="s">
        <v>258</v>
      </c>
      <c r="D238" t="s">
        <v>446</v>
      </c>
      <c r="E238">
        <v>2268795.5299999998</v>
      </c>
      <c r="F238">
        <v>2268795.5299999998</v>
      </c>
      <c r="G238">
        <v>15201290.07</v>
      </c>
      <c r="H238">
        <v>124272958.25</v>
      </c>
      <c r="I238">
        <v>571484705.82000005</v>
      </c>
      <c r="J238">
        <v>437.51568300000002</v>
      </c>
      <c r="K238">
        <v>297.47026499999998</v>
      </c>
      <c r="L238">
        <v>5331.8773160000001</v>
      </c>
      <c r="M238" t="s">
        <v>15</v>
      </c>
      <c r="N238" s="24">
        <f t="shared" si="32"/>
        <v>2.268796</v>
      </c>
      <c r="O238" s="24">
        <f t="shared" si="33"/>
        <v>2.268796</v>
      </c>
      <c r="P238">
        <f t="shared" si="34"/>
        <v>15.20129</v>
      </c>
      <c r="Q238">
        <f t="shared" si="35"/>
        <v>124.272958</v>
      </c>
      <c r="R238">
        <f t="shared" si="36"/>
        <v>571.48470599999996</v>
      </c>
      <c r="S238" s="24">
        <f t="shared" si="37"/>
        <v>437.52</v>
      </c>
      <c r="T238" s="24">
        <f t="shared" si="38"/>
        <v>297.47000000000003</v>
      </c>
      <c r="U238" s="24">
        <f t="shared" si="39"/>
        <v>5331.88</v>
      </c>
      <c r="V238" s="24">
        <f>+VLOOKUP(A238,[1]DQS4_AUX!$A:$M,13,FALSE)</f>
        <v>2.268796</v>
      </c>
      <c r="W238" s="24">
        <f t="shared" si="40"/>
        <v>0</v>
      </c>
    </row>
    <row r="239" spans="1:23" x14ac:dyDescent="0.25">
      <c r="A239" t="str">
        <f t="shared" si="31"/>
        <v>C20.59EU1</v>
      </c>
      <c r="B239" t="s">
        <v>38</v>
      </c>
      <c r="C239" t="s">
        <v>258</v>
      </c>
      <c r="D239" t="s">
        <v>435</v>
      </c>
      <c r="E239">
        <v>2989289.31</v>
      </c>
      <c r="F239">
        <v>2989289.31</v>
      </c>
      <c r="G239">
        <v>14974250.5</v>
      </c>
      <c r="H239">
        <v>22147827.210000001</v>
      </c>
      <c r="I239">
        <v>73861746.739999995</v>
      </c>
      <c r="J239">
        <v>1807.5193280000001</v>
      </c>
      <c r="K239">
        <v>365.79120899999998</v>
      </c>
      <c r="L239">
        <v>2898.7410759999998</v>
      </c>
      <c r="M239" t="s">
        <v>15</v>
      </c>
      <c r="N239" s="24">
        <f t="shared" si="32"/>
        <v>2.9892889999999999</v>
      </c>
      <c r="O239" s="24">
        <f t="shared" si="33"/>
        <v>2.9892889999999999</v>
      </c>
      <c r="P239">
        <f t="shared" si="34"/>
        <v>14.974251000000001</v>
      </c>
      <c r="Q239">
        <f t="shared" si="35"/>
        <v>22.147826999999999</v>
      </c>
      <c r="R239">
        <f t="shared" si="36"/>
        <v>73.861746999999994</v>
      </c>
      <c r="S239" s="24">
        <f t="shared" si="37"/>
        <v>1807.52</v>
      </c>
      <c r="T239" s="24">
        <f t="shared" si="38"/>
        <v>365.79</v>
      </c>
      <c r="U239" s="24">
        <f t="shared" si="39"/>
        <v>2898.74</v>
      </c>
      <c r="V239" s="24">
        <f>+VLOOKUP(A239,[1]DQS4_AUX!$A:$M,13,FALSE)</f>
        <v>2.9892889999999999</v>
      </c>
      <c r="W239" s="24">
        <f t="shared" si="40"/>
        <v>0</v>
      </c>
    </row>
    <row r="240" spans="1:23" x14ac:dyDescent="0.25">
      <c r="A240" t="str">
        <f t="shared" si="31"/>
        <v>C10.52EU1</v>
      </c>
      <c r="B240" t="s">
        <v>38</v>
      </c>
      <c r="C240" t="s">
        <v>258</v>
      </c>
      <c r="D240" t="s">
        <v>147</v>
      </c>
      <c r="E240">
        <v>441891.33999999898</v>
      </c>
      <c r="F240">
        <v>441999.69999999902</v>
      </c>
      <c r="G240">
        <v>4766669.4400000004</v>
      </c>
      <c r="H240">
        <v>2472745.58</v>
      </c>
      <c r="I240">
        <v>8098028.4699999997</v>
      </c>
      <c r="J240">
        <v>51.820574999999998</v>
      </c>
      <c r="K240">
        <v>35.233196999999997</v>
      </c>
      <c r="L240">
        <v>631.52269699999999</v>
      </c>
      <c r="M240" t="s">
        <v>15</v>
      </c>
      <c r="N240" s="24">
        <f t="shared" si="32"/>
        <v>0.44189099999999998</v>
      </c>
      <c r="O240" s="24">
        <f t="shared" si="33"/>
        <v>0.442</v>
      </c>
      <c r="P240">
        <f t="shared" si="34"/>
        <v>4.7666690000000003</v>
      </c>
      <c r="Q240">
        <f t="shared" si="35"/>
        <v>2.4727459999999999</v>
      </c>
      <c r="R240">
        <f t="shared" si="36"/>
        <v>8.0980279999999993</v>
      </c>
      <c r="S240" s="24">
        <f t="shared" si="37"/>
        <v>51.82</v>
      </c>
      <c r="T240" s="24">
        <f t="shared" si="38"/>
        <v>35.229999999999997</v>
      </c>
      <c r="U240" s="24">
        <f t="shared" si="39"/>
        <v>631.52</v>
      </c>
      <c r="V240" s="24">
        <f>+VLOOKUP(A240,[1]DQS4_AUX!$A:$M,13,FALSE)</f>
        <v>0.442</v>
      </c>
      <c r="W240" s="24">
        <f t="shared" si="40"/>
        <v>0</v>
      </c>
    </row>
    <row r="241" spans="1:23" x14ac:dyDescent="0.25">
      <c r="A241" t="str">
        <f t="shared" si="31"/>
        <v>C21.10EU1</v>
      </c>
      <c r="B241" t="s">
        <v>38</v>
      </c>
      <c r="C241" t="s">
        <v>258</v>
      </c>
      <c r="D241" t="s">
        <v>436</v>
      </c>
      <c r="E241">
        <v>20726149.763397899</v>
      </c>
      <c r="F241">
        <v>20726181.783397902</v>
      </c>
      <c r="G241">
        <v>246174070.99000001</v>
      </c>
      <c r="H241">
        <v>262051550.06999999</v>
      </c>
      <c r="I241">
        <v>317506018.12</v>
      </c>
      <c r="J241">
        <v>3662.6677209999998</v>
      </c>
      <c r="K241">
        <v>741.22123099999999</v>
      </c>
      <c r="L241">
        <v>5873.8654569999999</v>
      </c>
      <c r="M241" t="s">
        <v>15</v>
      </c>
      <c r="N241" s="24">
        <f t="shared" si="32"/>
        <v>20.726150000000001</v>
      </c>
      <c r="O241" s="24">
        <f t="shared" si="33"/>
        <v>20.726182000000001</v>
      </c>
      <c r="P241">
        <f t="shared" si="34"/>
        <v>246.174071</v>
      </c>
      <c r="Q241">
        <f t="shared" si="35"/>
        <v>262.05155000000002</v>
      </c>
      <c r="R241">
        <f t="shared" si="36"/>
        <v>317.50601799999998</v>
      </c>
      <c r="S241" s="24">
        <f t="shared" si="37"/>
        <v>3662.67</v>
      </c>
      <c r="T241" s="24">
        <f t="shared" si="38"/>
        <v>741.22</v>
      </c>
      <c r="U241" s="24">
        <f t="shared" si="39"/>
        <v>5873.87</v>
      </c>
      <c r="V241" s="24">
        <f>+VLOOKUP(A241,[1]DQS4_AUX!$A:$M,13,FALSE)</f>
        <v>20.726182000000001</v>
      </c>
      <c r="W241" s="24">
        <f t="shared" si="40"/>
        <v>0</v>
      </c>
    </row>
    <row r="242" spans="1:23" x14ac:dyDescent="0.25">
      <c r="A242" t="str">
        <f t="shared" si="31"/>
        <v>C16.21EU1</v>
      </c>
      <c r="B242" t="s">
        <v>38</v>
      </c>
      <c r="C242" t="s">
        <v>258</v>
      </c>
      <c r="D242" t="s">
        <v>57</v>
      </c>
      <c r="E242">
        <v>1339541.4099999899</v>
      </c>
      <c r="F242">
        <v>1340209.96999999</v>
      </c>
      <c r="G242">
        <v>7113175.4299999997</v>
      </c>
      <c r="H242">
        <v>171861939.00999999</v>
      </c>
      <c r="I242">
        <v>312578104.02999997</v>
      </c>
      <c r="J242">
        <v>311.680183</v>
      </c>
      <c r="K242">
        <v>282.08201600000001</v>
      </c>
      <c r="L242">
        <v>1457.3840680000001</v>
      </c>
      <c r="M242" t="s">
        <v>15</v>
      </c>
      <c r="N242" s="24">
        <f t="shared" si="32"/>
        <v>1.3395410000000001</v>
      </c>
      <c r="O242" s="24">
        <f t="shared" si="33"/>
        <v>1.3402099999999999</v>
      </c>
      <c r="P242">
        <f t="shared" si="34"/>
        <v>7.113175</v>
      </c>
      <c r="Q242">
        <f t="shared" si="35"/>
        <v>171.86193900000001</v>
      </c>
      <c r="R242">
        <f t="shared" si="36"/>
        <v>312.578104</v>
      </c>
      <c r="S242" s="24">
        <f t="shared" si="37"/>
        <v>311.68</v>
      </c>
      <c r="T242" s="24">
        <f t="shared" si="38"/>
        <v>282.08</v>
      </c>
      <c r="U242" s="24">
        <f t="shared" si="39"/>
        <v>1457.38</v>
      </c>
      <c r="V242" s="24">
        <f>+VLOOKUP(A242,[1]DQS4_AUX!$A:$M,13,FALSE)</f>
        <v>1.3402099999999999</v>
      </c>
      <c r="W242" s="24">
        <f t="shared" si="40"/>
        <v>0</v>
      </c>
    </row>
    <row r="243" spans="1:23" x14ac:dyDescent="0.25">
      <c r="A243" t="str">
        <f t="shared" si="31"/>
        <v>C33.17EU1</v>
      </c>
      <c r="B243" t="s">
        <v>38</v>
      </c>
      <c r="C243" t="s">
        <v>258</v>
      </c>
      <c r="D243" t="s">
        <v>437</v>
      </c>
      <c r="E243">
        <v>9717.1</v>
      </c>
      <c r="F243">
        <v>9717.1</v>
      </c>
      <c r="G243">
        <v>3642654.46</v>
      </c>
      <c r="H243">
        <v>2120059.69</v>
      </c>
      <c r="I243">
        <v>18133874.760000002</v>
      </c>
      <c r="J243">
        <v>1.143089</v>
      </c>
      <c r="K243">
        <v>0.52554900000000004</v>
      </c>
      <c r="L243">
        <v>15.436712</v>
      </c>
      <c r="M243" t="s">
        <v>15</v>
      </c>
      <c r="N243" s="24">
        <f t="shared" si="32"/>
        <v>9.7169999999999999E-3</v>
      </c>
      <c r="O243" s="24">
        <f t="shared" si="33"/>
        <v>9.7169999999999999E-3</v>
      </c>
      <c r="P243">
        <f t="shared" si="34"/>
        <v>3.6426539999999998</v>
      </c>
      <c r="Q243">
        <f t="shared" si="35"/>
        <v>2.1200600000000001</v>
      </c>
      <c r="R243">
        <f t="shared" si="36"/>
        <v>18.133875</v>
      </c>
      <c r="S243" s="24">
        <f t="shared" si="37"/>
        <v>1.1399999999999999</v>
      </c>
      <c r="T243" s="24">
        <f t="shared" si="38"/>
        <v>0.53</v>
      </c>
      <c r="U243" s="24">
        <f t="shared" si="39"/>
        <v>15.44</v>
      </c>
      <c r="V243" s="24">
        <f>+VLOOKUP(A243,[1]DQS4_AUX!$A:$M,13,FALSE)</f>
        <v>9.7169999999999999E-3</v>
      </c>
      <c r="W243" s="24">
        <f t="shared" si="40"/>
        <v>0</v>
      </c>
    </row>
    <row r="244" spans="1:23" x14ac:dyDescent="0.25">
      <c r="A244" t="str">
        <f t="shared" si="31"/>
        <v>D35.11EU1</v>
      </c>
      <c r="B244" t="s">
        <v>47</v>
      </c>
      <c r="C244" t="s">
        <v>258</v>
      </c>
      <c r="D244" t="s">
        <v>18</v>
      </c>
      <c r="E244">
        <v>177424092.72999901</v>
      </c>
      <c r="F244">
        <v>177424791.92999899</v>
      </c>
      <c r="G244">
        <v>2817973980.3899999</v>
      </c>
      <c r="H244">
        <v>3042726055.6599998</v>
      </c>
      <c r="I244">
        <v>1668251532.1800001</v>
      </c>
      <c r="J244">
        <v>39506.669446</v>
      </c>
      <c r="K244">
        <v>1466.6821179999999</v>
      </c>
      <c r="L244">
        <v>12265.629086000001</v>
      </c>
      <c r="M244" t="s">
        <v>15</v>
      </c>
      <c r="N244" s="24">
        <f t="shared" si="32"/>
        <v>177.424093</v>
      </c>
      <c r="O244" s="24">
        <f t="shared" si="33"/>
        <v>177.424792</v>
      </c>
      <c r="P244">
        <f t="shared" si="34"/>
        <v>2817.9739800000002</v>
      </c>
      <c r="Q244">
        <f t="shared" si="35"/>
        <v>3042.726056</v>
      </c>
      <c r="R244">
        <f t="shared" si="36"/>
        <v>1668.251532</v>
      </c>
      <c r="S244" s="24">
        <f t="shared" si="37"/>
        <v>39506.67</v>
      </c>
      <c r="T244" s="24">
        <f t="shared" si="38"/>
        <v>1466.68</v>
      </c>
      <c r="U244" s="24">
        <f t="shared" si="39"/>
        <v>12265.63</v>
      </c>
      <c r="V244" s="24">
        <f>+VLOOKUP(A244,[1]DQS4_AUX!$A:$M,13,FALSE)</f>
        <v>177.424792</v>
      </c>
      <c r="W244" s="24">
        <f t="shared" si="40"/>
        <v>0</v>
      </c>
    </row>
    <row r="245" spans="1:23" x14ac:dyDescent="0.25">
      <c r="A245" t="str">
        <f t="shared" si="31"/>
        <v>D35.14EU1</v>
      </c>
      <c r="B245" t="s">
        <v>47</v>
      </c>
      <c r="C245" t="s">
        <v>258</v>
      </c>
      <c r="D245" t="s">
        <v>92</v>
      </c>
      <c r="E245">
        <v>903201.48</v>
      </c>
      <c r="F245">
        <v>903201.48</v>
      </c>
      <c r="G245">
        <v>5134291.87</v>
      </c>
      <c r="H245">
        <v>19438645.84</v>
      </c>
      <c r="I245">
        <v>114609768.93000001</v>
      </c>
      <c r="J245">
        <v>1844.275144</v>
      </c>
      <c r="K245">
        <v>68.468566999999993</v>
      </c>
      <c r="L245">
        <v>572.59179099999994</v>
      </c>
      <c r="M245" t="s">
        <v>15</v>
      </c>
      <c r="N245" s="24">
        <f t="shared" si="32"/>
        <v>0.90320100000000003</v>
      </c>
      <c r="O245" s="24">
        <f t="shared" si="33"/>
        <v>0.90320100000000003</v>
      </c>
      <c r="P245">
        <f t="shared" si="34"/>
        <v>5.1342920000000003</v>
      </c>
      <c r="Q245">
        <f t="shared" si="35"/>
        <v>19.438645999999999</v>
      </c>
      <c r="R245">
        <f t="shared" si="36"/>
        <v>114.609769</v>
      </c>
      <c r="S245" s="24">
        <f t="shared" si="37"/>
        <v>1844.28</v>
      </c>
      <c r="T245" s="24">
        <f t="shared" si="38"/>
        <v>68.47</v>
      </c>
      <c r="U245" s="24">
        <f t="shared" si="39"/>
        <v>572.59</v>
      </c>
      <c r="V245" s="24">
        <f>+VLOOKUP(A245,[1]DQS4_AUX!$A:$M,13,FALSE)</f>
        <v>0.90320100000000003</v>
      </c>
      <c r="W245" s="24">
        <f t="shared" si="40"/>
        <v>0</v>
      </c>
    </row>
    <row r="246" spans="1:23" x14ac:dyDescent="0.25">
      <c r="A246" t="str">
        <f t="shared" si="31"/>
        <v>D35.22EU1</v>
      </c>
      <c r="B246" t="s">
        <v>47</v>
      </c>
      <c r="C246" t="s">
        <v>258</v>
      </c>
      <c r="D246" t="s">
        <v>94</v>
      </c>
      <c r="E246">
        <v>412.32</v>
      </c>
      <c r="F246">
        <v>412.32</v>
      </c>
      <c r="G246">
        <v>11428</v>
      </c>
      <c r="H246">
        <v>16146564</v>
      </c>
      <c r="I246">
        <v>25806779</v>
      </c>
      <c r="J246">
        <v>0.59601700000000002</v>
      </c>
      <c r="K246">
        <v>2.2127000000000001E-2</v>
      </c>
      <c r="L246">
        <v>0.18504499999999999</v>
      </c>
      <c r="M246" t="s">
        <v>15</v>
      </c>
      <c r="N246" s="24">
        <f t="shared" si="32"/>
        <v>4.1199999999999999E-4</v>
      </c>
      <c r="O246" s="24">
        <f t="shared" si="33"/>
        <v>4.1199999999999999E-4</v>
      </c>
      <c r="P246">
        <f t="shared" si="34"/>
        <v>1.1428000000000001E-2</v>
      </c>
      <c r="Q246">
        <f t="shared" si="35"/>
        <v>16.146564000000001</v>
      </c>
      <c r="R246">
        <f t="shared" si="36"/>
        <v>25.806778999999999</v>
      </c>
      <c r="S246" s="24">
        <f t="shared" si="37"/>
        <v>0.6</v>
      </c>
      <c r="T246" s="24">
        <f t="shared" si="38"/>
        <v>0.02</v>
      </c>
      <c r="U246" s="24">
        <f t="shared" si="39"/>
        <v>0.19</v>
      </c>
      <c r="V246" s="24">
        <f>+VLOOKUP(A246,[1]DQS4_AUX!$A:$M,13,FALSE)</f>
        <v>4.1199999999999999E-4</v>
      </c>
      <c r="W246" s="24">
        <f t="shared" si="40"/>
        <v>0</v>
      </c>
    </row>
    <row r="247" spans="1:23" x14ac:dyDescent="0.25">
      <c r="A247" t="str">
        <f t="shared" si="31"/>
        <v>D35.23EU1</v>
      </c>
      <c r="B247" t="s">
        <v>47</v>
      </c>
      <c r="C247" t="s">
        <v>258</v>
      </c>
      <c r="D247" t="s">
        <v>461</v>
      </c>
      <c r="E247">
        <v>174545.15</v>
      </c>
      <c r="F247">
        <v>174545.15</v>
      </c>
      <c r="G247">
        <v>1109698.8</v>
      </c>
      <c r="H247">
        <v>725326.28</v>
      </c>
      <c r="I247">
        <v>3144574.85</v>
      </c>
      <c r="J247">
        <v>276.31852900000001</v>
      </c>
      <c r="K247">
        <v>10.258303</v>
      </c>
      <c r="L247">
        <v>85.788567</v>
      </c>
      <c r="M247" t="s">
        <v>15</v>
      </c>
      <c r="N247" s="24">
        <f t="shared" si="32"/>
        <v>0.17454500000000001</v>
      </c>
      <c r="O247" s="24">
        <f t="shared" si="33"/>
        <v>0.17454500000000001</v>
      </c>
      <c r="P247">
        <f t="shared" si="34"/>
        <v>1.109699</v>
      </c>
      <c r="Q247">
        <f t="shared" si="35"/>
        <v>0.72532600000000003</v>
      </c>
      <c r="R247">
        <f t="shared" si="36"/>
        <v>3.1445750000000001</v>
      </c>
      <c r="S247" s="24">
        <f t="shared" si="37"/>
        <v>276.32</v>
      </c>
      <c r="T247" s="24">
        <f t="shared" si="38"/>
        <v>10.26</v>
      </c>
      <c r="U247" s="24">
        <f t="shared" si="39"/>
        <v>85.79</v>
      </c>
      <c r="V247" s="24">
        <f>+VLOOKUP(A247,[1]DQS4_AUX!$A:$M,13,FALSE)</f>
        <v>0.17454500000000001</v>
      </c>
      <c r="W247" s="24">
        <f t="shared" si="40"/>
        <v>0</v>
      </c>
    </row>
    <row r="248" spans="1:23" x14ac:dyDescent="0.25">
      <c r="A248" t="str">
        <f t="shared" si="31"/>
        <v>D35.30EU1</v>
      </c>
      <c r="B248" t="s">
        <v>47</v>
      </c>
      <c r="C248" t="s">
        <v>258</v>
      </c>
      <c r="D248" t="s">
        <v>462</v>
      </c>
      <c r="E248">
        <v>165918.78</v>
      </c>
      <c r="F248">
        <v>165918.78</v>
      </c>
      <c r="G248">
        <v>3173211.27</v>
      </c>
      <c r="H248">
        <v>2199191.16</v>
      </c>
      <c r="I248">
        <v>8680224.1199999992</v>
      </c>
      <c r="J248">
        <v>175.66898399999999</v>
      </c>
      <c r="K248">
        <v>6.5216960000000004</v>
      </c>
      <c r="L248">
        <v>54.539918999999998</v>
      </c>
      <c r="M248" t="s">
        <v>15</v>
      </c>
      <c r="N248" s="24">
        <f t="shared" si="32"/>
        <v>0.16591900000000001</v>
      </c>
      <c r="O248" s="24">
        <f t="shared" si="33"/>
        <v>0.16591900000000001</v>
      </c>
      <c r="P248">
        <f t="shared" si="34"/>
        <v>3.1732109999999998</v>
      </c>
      <c r="Q248">
        <f t="shared" si="35"/>
        <v>2.1991909999999999</v>
      </c>
      <c r="R248">
        <f t="shared" si="36"/>
        <v>8.6802240000000008</v>
      </c>
      <c r="S248" s="24">
        <f t="shared" si="37"/>
        <v>175.67</v>
      </c>
      <c r="T248" s="24">
        <f t="shared" si="38"/>
        <v>6.52</v>
      </c>
      <c r="U248" s="24">
        <f t="shared" si="39"/>
        <v>54.54</v>
      </c>
      <c r="V248" s="24">
        <f>+VLOOKUP(A248,[1]DQS4_AUX!$A:$M,13,FALSE)</f>
        <v>0.16591900000000001</v>
      </c>
      <c r="W248" s="24">
        <f t="shared" si="40"/>
        <v>0</v>
      </c>
    </row>
    <row r="249" spans="1:23" x14ac:dyDescent="0.25">
      <c r="A249" t="str">
        <f t="shared" si="31"/>
        <v>E38.32EU1</v>
      </c>
      <c r="B249" t="s">
        <v>148</v>
      </c>
      <c r="C249" t="s">
        <v>258</v>
      </c>
      <c r="D249" t="s">
        <v>466</v>
      </c>
      <c r="E249">
        <v>8930973.2599999905</v>
      </c>
      <c r="F249">
        <v>8931296.5199999902</v>
      </c>
      <c r="G249">
        <v>63880459.039999999</v>
      </c>
      <c r="H249">
        <v>133533883.92</v>
      </c>
      <c r="I249">
        <v>424064432.07999998</v>
      </c>
      <c r="J249">
        <v>1351.1771570000001</v>
      </c>
      <c r="K249">
        <v>491.63967300000002</v>
      </c>
      <c r="L249">
        <v>4722.610248</v>
      </c>
      <c r="M249" t="s">
        <v>15</v>
      </c>
      <c r="N249" s="24">
        <f t="shared" si="32"/>
        <v>8.9309729999999998</v>
      </c>
      <c r="O249" s="24">
        <f t="shared" si="33"/>
        <v>8.9312970000000007</v>
      </c>
      <c r="P249">
        <f t="shared" si="34"/>
        <v>63.880459000000002</v>
      </c>
      <c r="Q249">
        <f t="shared" si="35"/>
        <v>133.533884</v>
      </c>
      <c r="R249">
        <f t="shared" si="36"/>
        <v>424.06443200000001</v>
      </c>
      <c r="S249" s="24">
        <f t="shared" si="37"/>
        <v>1351.18</v>
      </c>
      <c r="T249" s="24">
        <f t="shared" si="38"/>
        <v>491.64</v>
      </c>
      <c r="U249" s="24">
        <f t="shared" si="39"/>
        <v>4722.6099999999997</v>
      </c>
      <c r="V249" s="24">
        <f>+VLOOKUP(A249,[1]DQS4_AUX!$A:$M,13,FALSE)</f>
        <v>8.9312970000000007</v>
      </c>
      <c r="W249" s="24">
        <f t="shared" si="40"/>
        <v>0</v>
      </c>
    </row>
    <row r="250" spans="1:23" x14ac:dyDescent="0.25">
      <c r="A250" t="str">
        <f t="shared" si="31"/>
        <v>E38.11EU1</v>
      </c>
      <c r="B250" t="s">
        <v>148</v>
      </c>
      <c r="C250" t="s">
        <v>258</v>
      </c>
      <c r="D250" t="s">
        <v>463</v>
      </c>
      <c r="E250">
        <v>63465322.059999898</v>
      </c>
      <c r="F250">
        <v>63465829.009999901</v>
      </c>
      <c r="G250">
        <v>227952688.28999999</v>
      </c>
      <c r="H250">
        <v>590723659.48000002</v>
      </c>
      <c r="I250">
        <v>306265345.29000002</v>
      </c>
      <c r="J250">
        <v>1137.2095690000001</v>
      </c>
      <c r="K250">
        <v>190.099749</v>
      </c>
      <c r="L250">
        <v>2080.8007980000002</v>
      </c>
      <c r="M250" t="s">
        <v>15</v>
      </c>
      <c r="N250" s="24">
        <f t="shared" si="32"/>
        <v>63.465322</v>
      </c>
      <c r="O250" s="24">
        <f t="shared" si="33"/>
        <v>63.465828999999999</v>
      </c>
      <c r="P250">
        <f t="shared" si="34"/>
        <v>227.95268799999999</v>
      </c>
      <c r="Q250">
        <f t="shared" si="35"/>
        <v>590.723659</v>
      </c>
      <c r="R250">
        <f t="shared" si="36"/>
        <v>306.26534500000002</v>
      </c>
      <c r="S250" s="24">
        <f t="shared" si="37"/>
        <v>1137.21</v>
      </c>
      <c r="T250" s="24">
        <f t="shared" si="38"/>
        <v>190.1</v>
      </c>
      <c r="U250" s="24">
        <f t="shared" si="39"/>
        <v>2080.8000000000002</v>
      </c>
      <c r="V250" s="24">
        <f>+VLOOKUP(A250,[1]DQS4_AUX!$A:$M,13,FALSE)</f>
        <v>63.465828999999999</v>
      </c>
      <c r="W250" s="24">
        <f t="shared" si="40"/>
        <v>0</v>
      </c>
    </row>
    <row r="251" spans="1:23" x14ac:dyDescent="0.25">
      <c r="A251" t="str">
        <f t="shared" si="31"/>
        <v>E37.00EU1</v>
      </c>
      <c r="B251" t="s">
        <v>148</v>
      </c>
      <c r="C251" t="s">
        <v>258</v>
      </c>
      <c r="D251" t="s">
        <v>149</v>
      </c>
      <c r="E251">
        <v>881017.26999999897</v>
      </c>
      <c r="F251">
        <v>881383.19999999902</v>
      </c>
      <c r="G251">
        <v>2716309.12</v>
      </c>
      <c r="H251">
        <v>5649449.6100000003</v>
      </c>
      <c r="I251">
        <v>16444590.029999999</v>
      </c>
      <c r="J251">
        <v>106.526951</v>
      </c>
      <c r="K251">
        <v>17.807403000000001</v>
      </c>
      <c r="L251">
        <v>194.916901</v>
      </c>
      <c r="M251" t="s">
        <v>15</v>
      </c>
      <c r="N251" s="24">
        <f t="shared" si="32"/>
        <v>0.88101700000000005</v>
      </c>
      <c r="O251" s="24">
        <f t="shared" si="33"/>
        <v>0.88138300000000003</v>
      </c>
      <c r="P251">
        <f t="shared" si="34"/>
        <v>2.7163089999999999</v>
      </c>
      <c r="Q251">
        <f t="shared" si="35"/>
        <v>5.6494499999999999</v>
      </c>
      <c r="R251">
        <f t="shared" si="36"/>
        <v>16.444590000000002</v>
      </c>
      <c r="S251" s="24">
        <f t="shared" si="37"/>
        <v>106.53</v>
      </c>
      <c r="T251" s="24">
        <f t="shared" si="38"/>
        <v>17.809999999999999</v>
      </c>
      <c r="U251" s="24">
        <f t="shared" si="39"/>
        <v>194.92</v>
      </c>
      <c r="V251" s="24">
        <f>+VLOOKUP(A251,[1]DQS4_AUX!$A:$M,13,FALSE)</f>
        <v>0.88138300000000003</v>
      </c>
      <c r="W251" s="24">
        <f t="shared" si="40"/>
        <v>0</v>
      </c>
    </row>
    <row r="252" spans="1:23" x14ac:dyDescent="0.25">
      <c r="A252" t="str">
        <f t="shared" si="31"/>
        <v>E38.31EU1</v>
      </c>
      <c r="B252" t="s">
        <v>148</v>
      </c>
      <c r="C252" t="s">
        <v>258</v>
      </c>
      <c r="D252" t="s">
        <v>464</v>
      </c>
      <c r="E252">
        <v>1191190.46999999</v>
      </c>
      <c r="F252">
        <v>1191199.6299999901</v>
      </c>
      <c r="G252">
        <v>6504002.4299999997</v>
      </c>
      <c r="H252">
        <v>22464541.27</v>
      </c>
      <c r="I252">
        <v>50941727.079999998</v>
      </c>
      <c r="J252">
        <v>157.45137600000001</v>
      </c>
      <c r="K252">
        <v>57.290281999999998</v>
      </c>
      <c r="L252">
        <v>550.32128799999998</v>
      </c>
      <c r="M252" t="s">
        <v>15</v>
      </c>
      <c r="N252" s="24">
        <f t="shared" si="32"/>
        <v>1.19119</v>
      </c>
      <c r="O252" s="24">
        <f t="shared" si="33"/>
        <v>1.1912</v>
      </c>
      <c r="P252">
        <f t="shared" si="34"/>
        <v>6.5040019999999998</v>
      </c>
      <c r="Q252">
        <f t="shared" si="35"/>
        <v>22.464541000000001</v>
      </c>
      <c r="R252">
        <f t="shared" si="36"/>
        <v>50.941727</v>
      </c>
      <c r="S252" s="24">
        <f t="shared" si="37"/>
        <v>157.44999999999999</v>
      </c>
      <c r="T252" s="24">
        <f t="shared" si="38"/>
        <v>57.29</v>
      </c>
      <c r="U252" s="24">
        <f t="shared" si="39"/>
        <v>550.32000000000005</v>
      </c>
      <c r="V252" s="24">
        <f>+VLOOKUP(A252,[1]DQS4_AUX!$A:$M,13,FALSE)</f>
        <v>1.1912</v>
      </c>
      <c r="W252" s="24">
        <f t="shared" si="40"/>
        <v>0</v>
      </c>
    </row>
    <row r="253" spans="1:23" x14ac:dyDescent="0.25">
      <c r="A253" t="str">
        <f t="shared" si="31"/>
        <v>E38.12EU1</v>
      </c>
      <c r="B253" t="s">
        <v>148</v>
      </c>
      <c r="C253" t="s">
        <v>258</v>
      </c>
      <c r="D253" t="s">
        <v>468</v>
      </c>
      <c r="E253">
        <v>117689.07</v>
      </c>
      <c r="F253">
        <v>117689.07</v>
      </c>
      <c r="G253">
        <v>1010740.99</v>
      </c>
      <c r="H253">
        <v>7753958.6399999997</v>
      </c>
      <c r="I253">
        <v>534760.39</v>
      </c>
      <c r="J253">
        <v>0.43575599999999998</v>
      </c>
      <c r="K253">
        <v>0.158554</v>
      </c>
      <c r="L253">
        <v>1.523047</v>
      </c>
      <c r="M253" t="s">
        <v>15</v>
      </c>
      <c r="N253" s="24">
        <f t="shared" si="32"/>
        <v>0.117689</v>
      </c>
      <c r="O253" s="24">
        <f t="shared" si="33"/>
        <v>0.117689</v>
      </c>
      <c r="P253">
        <f t="shared" si="34"/>
        <v>1.0107409999999999</v>
      </c>
      <c r="Q253">
        <f t="shared" si="35"/>
        <v>7.753959</v>
      </c>
      <c r="R253">
        <f t="shared" si="36"/>
        <v>0.53476000000000001</v>
      </c>
      <c r="S253" s="24">
        <f t="shared" si="37"/>
        <v>0.44</v>
      </c>
      <c r="T253" s="24">
        <f t="shared" si="38"/>
        <v>0.16</v>
      </c>
      <c r="U253" s="24">
        <f t="shared" si="39"/>
        <v>1.52</v>
      </c>
      <c r="V253" s="24">
        <f>+VLOOKUP(A253,[1]DQS4_AUX!$A:$M,13,FALSE)</f>
        <v>0.117689</v>
      </c>
      <c r="W253" s="24">
        <f t="shared" si="40"/>
        <v>0</v>
      </c>
    </row>
    <row r="254" spans="1:23" x14ac:dyDescent="0.25">
      <c r="A254" t="str">
        <f t="shared" si="31"/>
        <v>E39.00EU1</v>
      </c>
      <c r="B254" t="s">
        <v>148</v>
      </c>
      <c r="C254" t="s">
        <v>258</v>
      </c>
      <c r="D254" t="s">
        <v>465</v>
      </c>
      <c r="E254">
        <v>432.56</v>
      </c>
      <c r="F254">
        <v>432.56</v>
      </c>
      <c r="G254">
        <v>120132.32</v>
      </c>
      <c r="H254">
        <v>114404.4</v>
      </c>
      <c r="I254">
        <v>29000</v>
      </c>
      <c r="J254">
        <v>3.7209999999999999E-3</v>
      </c>
      <c r="K254">
        <v>6.2200000000000005E-4</v>
      </c>
      <c r="L254">
        <v>6.8079999999999998E-3</v>
      </c>
      <c r="M254" t="s">
        <v>15</v>
      </c>
      <c r="N254" s="24">
        <f t="shared" si="32"/>
        <v>4.3300000000000001E-4</v>
      </c>
      <c r="O254" s="24">
        <f t="shared" si="33"/>
        <v>4.3300000000000001E-4</v>
      </c>
      <c r="P254">
        <f t="shared" si="34"/>
        <v>0.120132</v>
      </c>
      <c r="Q254">
        <f t="shared" si="35"/>
        <v>0.11440400000000001</v>
      </c>
      <c r="R254">
        <f t="shared" si="36"/>
        <v>2.9000000000000001E-2</v>
      </c>
      <c r="S254" s="24">
        <f t="shared" si="37"/>
        <v>0</v>
      </c>
      <c r="T254" s="24">
        <f t="shared" si="38"/>
        <v>0</v>
      </c>
      <c r="U254" s="24">
        <f t="shared" si="39"/>
        <v>0.01</v>
      </c>
      <c r="V254" s="24">
        <f>+VLOOKUP(A254,[1]DQS4_AUX!$A:$M,13,FALSE)</f>
        <v>4.3300000000000001E-4</v>
      </c>
      <c r="W254" s="24">
        <f t="shared" si="40"/>
        <v>0</v>
      </c>
    </row>
    <row r="255" spans="1:23" x14ac:dyDescent="0.25">
      <c r="A255" t="str">
        <f t="shared" si="31"/>
        <v>E38.21EU1</v>
      </c>
      <c r="B255" t="s">
        <v>148</v>
      </c>
      <c r="C255" t="s">
        <v>258</v>
      </c>
      <c r="D255" t="s">
        <v>196</v>
      </c>
      <c r="E255">
        <v>1208906.3400000001</v>
      </c>
      <c r="F255">
        <v>1208906.3400000001</v>
      </c>
      <c r="G255">
        <v>43652668.82</v>
      </c>
      <c r="H255">
        <v>144598382.90000001</v>
      </c>
      <c r="I255">
        <v>144901077.46000001</v>
      </c>
      <c r="J255">
        <v>2520.1433539999998</v>
      </c>
      <c r="K255">
        <v>305.18489</v>
      </c>
      <c r="L255">
        <v>1621.9297389999999</v>
      </c>
      <c r="M255" t="s">
        <v>15</v>
      </c>
      <c r="N255" s="24">
        <f t="shared" si="32"/>
        <v>1.208906</v>
      </c>
      <c r="O255" s="24">
        <f t="shared" si="33"/>
        <v>1.208906</v>
      </c>
      <c r="P255">
        <f t="shared" si="34"/>
        <v>43.652669000000003</v>
      </c>
      <c r="Q255">
        <f t="shared" si="35"/>
        <v>144.59838300000001</v>
      </c>
      <c r="R255">
        <f t="shared" si="36"/>
        <v>144.90107699999999</v>
      </c>
      <c r="S255" s="24">
        <f t="shared" si="37"/>
        <v>2520.14</v>
      </c>
      <c r="T255" s="24">
        <f t="shared" si="38"/>
        <v>305.18</v>
      </c>
      <c r="U255" s="24">
        <f t="shared" si="39"/>
        <v>1621.93</v>
      </c>
      <c r="V255" s="24">
        <f>+VLOOKUP(A255,[1]DQS4_AUX!$A:$M,13,FALSE)</f>
        <v>1.208906</v>
      </c>
      <c r="W255" s="24">
        <f t="shared" si="40"/>
        <v>0</v>
      </c>
    </row>
    <row r="256" spans="1:23" x14ac:dyDescent="0.25">
      <c r="A256" t="str">
        <f t="shared" si="31"/>
        <v>E36.00EU1</v>
      </c>
      <c r="B256" t="s">
        <v>148</v>
      </c>
      <c r="C256" t="s">
        <v>258</v>
      </c>
      <c r="D256" t="s">
        <v>467</v>
      </c>
      <c r="E256">
        <v>6688694.2300000004</v>
      </c>
      <c r="F256">
        <v>6688694.2300000004</v>
      </c>
      <c r="G256">
        <v>450429994.26999998</v>
      </c>
      <c r="H256">
        <v>1279673977.23</v>
      </c>
      <c r="I256">
        <v>469217476.55000001</v>
      </c>
      <c r="J256">
        <v>4591.7013720000004</v>
      </c>
      <c r="K256">
        <v>170.46655699999999</v>
      </c>
      <c r="L256">
        <v>1425.584752</v>
      </c>
      <c r="M256" t="s">
        <v>15</v>
      </c>
      <c r="N256" s="24">
        <f t="shared" si="32"/>
        <v>6.6886939999999999</v>
      </c>
      <c r="O256" s="24">
        <f t="shared" si="33"/>
        <v>6.6886939999999999</v>
      </c>
      <c r="P256">
        <f t="shared" si="34"/>
        <v>450.42999400000002</v>
      </c>
      <c r="Q256">
        <f t="shared" si="35"/>
        <v>1279.6739769999999</v>
      </c>
      <c r="R256">
        <f t="shared" si="36"/>
        <v>469.21747699999997</v>
      </c>
      <c r="S256" s="24">
        <f t="shared" si="37"/>
        <v>4591.7</v>
      </c>
      <c r="T256" s="24">
        <f t="shared" si="38"/>
        <v>170.47</v>
      </c>
      <c r="U256" s="24">
        <f t="shared" si="39"/>
        <v>1425.58</v>
      </c>
      <c r="V256" s="24">
        <f>+VLOOKUP(A256,[1]DQS4_AUX!$A:$M,13,FALSE)</f>
        <v>6.6886939999999999</v>
      </c>
      <c r="W256" s="24">
        <f t="shared" si="40"/>
        <v>0</v>
      </c>
    </row>
    <row r="257" spans="1:23" x14ac:dyDescent="0.25">
      <c r="A257" t="str">
        <f t="shared" si="31"/>
        <v>F42.13EU1</v>
      </c>
      <c r="B257" t="s">
        <v>73</v>
      </c>
      <c r="C257" t="s">
        <v>258</v>
      </c>
      <c r="D257" t="s">
        <v>198</v>
      </c>
      <c r="E257">
        <v>3399476.5599999898</v>
      </c>
      <c r="F257">
        <v>3399592.79999999</v>
      </c>
      <c r="G257">
        <v>105506028.09999999</v>
      </c>
      <c r="H257">
        <v>151283758.75</v>
      </c>
      <c r="I257">
        <v>138327987.03</v>
      </c>
      <c r="J257">
        <v>71.895825000000002</v>
      </c>
      <c r="K257">
        <v>10.102325</v>
      </c>
      <c r="L257">
        <v>559.095147</v>
      </c>
      <c r="M257" t="s">
        <v>15</v>
      </c>
      <c r="N257" s="24">
        <f t="shared" si="32"/>
        <v>3.3994770000000001</v>
      </c>
      <c r="O257" s="24">
        <f t="shared" si="33"/>
        <v>3.3995929999999999</v>
      </c>
      <c r="P257">
        <f t="shared" si="34"/>
        <v>105.506028</v>
      </c>
      <c r="Q257">
        <f t="shared" si="35"/>
        <v>151.283759</v>
      </c>
      <c r="R257">
        <f t="shared" si="36"/>
        <v>138.32798700000001</v>
      </c>
      <c r="S257" s="24">
        <f t="shared" si="37"/>
        <v>71.900000000000006</v>
      </c>
      <c r="T257" s="24">
        <f t="shared" si="38"/>
        <v>10.1</v>
      </c>
      <c r="U257" s="24">
        <f t="shared" si="39"/>
        <v>559.1</v>
      </c>
      <c r="V257" s="24">
        <f>+VLOOKUP(A257,[1]DQS4_AUX!$A:$M,13,FALSE)</f>
        <v>3.3995929999999999</v>
      </c>
      <c r="W257" s="24">
        <f t="shared" si="40"/>
        <v>0</v>
      </c>
    </row>
    <row r="258" spans="1:23" x14ac:dyDescent="0.25">
      <c r="A258" t="str">
        <f t="shared" si="31"/>
        <v>F42.12EU1</v>
      </c>
      <c r="B258" t="s">
        <v>73</v>
      </c>
      <c r="C258" t="s">
        <v>258</v>
      </c>
      <c r="D258" t="s">
        <v>118</v>
      </c>
      <c r="E258">
        <v>3695931.62</v>
      </c>
      <c r="F258">
        <v>3695931.62</v>
      </c>
      <c r="G258">
        <v>20089135.550000001</v>
      </c>
      <c r="H258">
        <v>20785129.57</v>
      </c>
      <c r="I258">
        <v>49671987.729999997</v>
      </c>
      <c r="J258">
        <v>120.423967</v>
      </c>
      <c r="K258">
        <v>16.92118</v>
      </c>
      <c r="L258">
        <v>936.47238100000004</v>
      </c>
      <c r="M258" t="s">
        <v>15</v>
      </c>
      <c r="N258" s="24">
        <f t="shared" si="32"/>
        <v>3.695932</v>
      </c>
      <c r="O258" s="24">
        <f t="shared" si="33"/>
        <v>3.695932</v>
      </c>
      <c r="P258">
        <f t="shared" si="34"/>
        <v>20.089136</v>
      </c>
      <c r="Q258">
        <f t="shared" si="35"/>
        <v>20.785129999999999</v>
      </c>
      <c r="R258">
        <f t="shared" si="36"/>
        <v>49.671987999999999</v>
      </c>
      <c r="S258" s="24">
        <f t="shared" si="37"/>
        <v>120.42</v>
      </c>
      <c r="T258" s="24">
        <f t="shared" si="38"/>
        <v>16.920000000000002</v>
      </c>
      <c r="U258" s="24">
        <f t="shared" si="39"/>
        <v>936.47</v>
      </c>
      <c r="V258" s="24">
        <f>+VLOOKUP(A258,[1]DQS4_AUX!$A:$M,13,FALSE)</f>
        <v>3.695932</v>
      </c>
      <c r="W258" s="24">
        <f t="shared" si="40"/>
        <v>0</v>
      </c>
    </row>
    <row r="259" spans="1:23" x14ac:dyDescent="0.25">
      <c r="A259" t="str">
        <f t="shared" ref="A259:A322" si="41">+B259&amp;D259&amp;C259</f>
        <v>F43.22EU1</v>
      </c>
      <c r="B259" t="s">
        <v>73</v>
      </c>
      <c r="C259" t="s">
        <v>258</v>
      </c>
      <c r="D259" t="s">
        <v>202</v>
      </c>
      <c r="E259">
        <v>17367454.789999899</v>
      </c>
      <c r="F259">
        <v>17367500.0699999</v>
      </c>
      <c r="G259">
        <v>86957385</v>
      </c>
      <c r="H259">
        <v>151539956.24000001</v>
      </c>
      <c r="I259">
        <v>498234951.13999999</v>
      </c>
      <c r="J259">
        <v>1773.9917230000001</v>
      </c>
      <c r="K259">
        <v>249.26909599999999</v>
      </c>
      <c r="L259">
        <v>13795.383185999999</v>
      </c>
      <c r="M259" t="s">
        <v>15</v>
      </c>
      <c r="N259" s="24">
        <f t="shared" ref="N259:N322" si="42">+ROUND(E259,0)/1000000</f>
        <v>17.367455</v>
      </c>
      <c r="O259" s="24">
        <f t="shared" ref="O259:O322" si="43">+ROUND(F259,0)/1000000</f>
        <v>17.3675</v>
      </c>
      <c r="P259">
        <f t="shared" ref="P259:P322" si="44">+ROUND(G259,0)/1000000</f>
        <v>86.957385000000002</v>
      </c>
      <c r="Q259">
        <f t="shared" ref="Q259:Q322" si="45">+ROUND(H259,0)/1000000</f>
        <v>151.53995599999999</v>
      </c>
      <c r="R259">
        <f t="shared" ref="R259:R322" si="46">+ROUND(I259,0)/1000000</f>
        <v>498.23495100000002</v>
      </c>
      <c r="S259" s="24">
        <f t="shared" ref="S259:S322" si="47">+ROUND(J259,2)</f>
        <v>1773.99</v>
      </c>
      <c r="T259" s="24">
        <f t="shared" ref="T259:T322" si="48">+ROUND(K259,2)</f>
        <v>249.27</v>
      </c>
      <c r="U259" s="24">
        <f t="shared" ref="U259:U322" si="49">+ROUND(L259,2)</f>
        <v>13795.38</v>
      </c>
      <c r="V259" s="24">
        <f>+VLOOKUP(A259,[1]DQS4_AUX!$A:$M,13,FALSE)</f>
        <v>17.3675</v>
      </c>
      <c r="W259" s="24">
        <f t="shared" ref="W259:W322" si="50">+V259-O259</f>
        <v>0</v>
      </c>
    </row>
    <row r="260" spans="1:23" x14ac:dyDescent="0.25">
      <c r="A260" t="str">
        <f t="shared" si="41"/>
        <v>F42.22EU1</v>
      </c>
      <c r="B260" t="s">
        <v>73</v>
      </c>
      <c r="C260" t="s">
        <v>258</v>
      </c>
      <c r="D260" t="s">
        <v>157</v>
      </c>
      <c r="E260">
        <v>2517478.4199999901</v>
      </c>
      <c r="F260">
        <v>2518214.8399999901</v>
      </c>
      <c r="G260">
        <v>60199029.5</v>
      </c>
      <c r="H260">
        <v>249458796.16</v>
      </c>
      <c r="I260">
        <v>345756564.94999999</v>
      </c>
      <c r="J260">
        <v>146.628805</v>
      </c>
      <c r="K260">
        <v>20.603245999999999</v>
      </c>
      <c r="L260">
        <v>1140.253933</v>
      </c>
      <c r="M260" t="s">
        <v>15</v>
      </c>
      <c r="N260" s="24">
        <f t="shared" si="42"/>
        <v>2.5174780000000001</v>
      </c>
      <c r="O260" s="24">
        <f t="shared" si="43"/>
        <v>2.5182150000000001</v>
      </c>
      <c r="P260">
        <f t="shared" si="44"/>
        <v>60.19903</v>
      </c>
      <c r="Q260">
        <f t="shared" si="45"/>
        <v>249.45879600000001</v>
      </c>
      <c r="R260">
        <f t="shared" si="46"/>
        <v>345.75656500000002</v>
      </c>
      <c r="S260" s="24">
        <f t="shared" si="47"/>
        <v>146.63</v>
      </c>
      <c r="T260" s="24">
        <f t="shared" si="48"/>
        <v>20.6</v>
      </c>
      <c r="U260" s="24">
        <f t="shared" si="49"/>
        <v>1140.25</v>
      </c>
      <c r="V260" s="24">
        <f>+VLOOKUP(A260,[1]DQS4_AUX!$A:$M,13,FALSE)</f>
        <v>2.5182150000000001</v>
      </c>
      <c r="W260" s="24">
        <f t="shared" si="50"/>
        <v>0</v>
      </c>
    </row>
    <row r="261" spans="1:23" x14ac:dyDescent="0.25">
      <c r="A261" t="str">
        <f t="shared" si="41"/>
        <v>F43.12EU1</v>
      </c>
      <c r="B261" t="s">
        <v>73</v>
      </c>
      <c r="C261" t="s">
        <v>258</v>
      </c>
      <c r="D261" t="s">
        <v>474</v>
      </c>
      <c r="E261">
        <v>7099618.98999999</v>
      </c>
      <c r="F261">
        <v>7103621.48999999</v>
      </c>
      <c r="G261">
        <v>22865999.420000002</v>
      </c>
      <c r="H261">
        <v>48152919.310000002</v>
      </c>
      <c r="I261">
        <v>119076564.03</v>
      </c>
      <c r="J261">
        <v>559.12055899999996</v>
      </c>
      <c r="K261">
        <v>78.563862</v>
      </c>
      <c r="L261">
        <v>4347.9802</v>
      </c>
      <c r="M261" t="s">
        <v>15</v>
      </c>
      <c r="N261" s="24">
        <f t="shared" si="42"/>
        <v>7.0996189999999997</v>
      </c>
      <c r="O261" s="24">
        <f t="shared" si="43"/>
        <v>7.1036210000000004</v>
      </c>
      <c r="P261">
        <f t="shared" si="44"/>
        <v>22.865998999999999</v>
      </c>
      <c r="Q261">
        <f t="shared" si="45"/>
        <v>48.152918999999997</v>
      </c>
      <c r="R261">
        <f t="shared" si="46"/>
        <v>119.076564</v>
      </c>
      <c r="S261" s="24">
        <f t="shared" si="47"/>
        <v>559.12</v>
      </c>
      <c r="T261" s="24">
        <f t="shared" si="48"/>
        <v>78.56</v>
      </c>
      <c r="U261" s="24">
        <f t="shared" si="49"/>
        <v>4347.9799999999996</v>
      </c>
      <c r="V261" s="24">
        <f>+VLOOKUP(A261,[1]DQS4_AUX!$A:$M,13,FALSE)</f>
        <v>7.1036210000000004</v>
      </c>
      <c r="W261" s="24">
        <f t="shared" si="50"/>
        <v>0</v>
      </c>
    </row>
    <row r="262" spans="1:23" x14ac:dyDescent="0.25">
      <c r="A262" t="str">
        <f t="shared" si="41"/>
        <v>F43.91EU1</v>
      </c>
      <c r="B262" t="s">
        <v>73</v>
      </c>
      <c r="C262" t="s">
        <v>258</v>
      </c>
      <c r="D262" t="s">
        <v>479</v>
      </c>
      <c r="E262">
        <v>2194917.23999999</v>
      </c>
      <c r="F262">
        <v>2195028.4399999902</v>
      </c>
      <c r="G262">
        <v>7976279.3700000001</v>
      </c>
      <c r="H262">
        <v>18453466.120000001</v>
      </c>
      <c r="I262">
        <v>45053470.119999997</v>
      </c>
      <c r="J262">
        <v>144.45522399999999</v>
      </c>
      <c r="K262">
        <v>20.297799999999999</v>
      </c>
      <c r="L262">
        <v>1123.3513029999999</v>
      </c>
      <c r="M262" t="s">
        <v>15</v>
      </c>
      <c r="N262" s="24">
        <f t="shared" si="42"/>
        <v>2.1949169999999998</v>
      </c>
      <c r="O262" s="24">
        <f t="shared" si="43"/>
        <v>2.1950280000000002</v>
      </c>
      <c r="P262">
        <f t="shared" si="44"/>
        <v>7.9762789999999999</v>
      </c>
      <c r="Q262">
        <f t="shared" si="45"/>
        <v>18.453465999999999</v>
      </c>
      <c r="R262">
        <f t="shared" si="46"/>
        <v>45.053469999999997</v>
      </c>
      <c r="S262" s="24">
        <f t="shared" si="47"/>
        <v>144.46</v>
      </c>
      <c r="T262" s="24">
        <f t="shared" si="48"/>
        <v>20.3</v>
      </c>
      <c r="U262" s="24">
        <f t="shared" si="49"/>
        <v>1123.3499999999999</v>
      </c>
      <c r="V262" s="24">
        <f>+VLOOKUP(A262,[1]DQS4_AUX!$A:$M,13,FALSE)</f>
        <v>2.1950280000000002</v>
      </c>
      <c r="W262" s="24">
        <f t="shared" si="50"/>
        <v>0</v>
      </c>
    </row>
    <row r="263" spans="1:23" x14ac:dyDescent="0.25">
      <c r="A263" t="str">
        <f t="shared" si="41"/>
        <v>F43.32EU1</v>
      </c>
      <c r="B263" t="s">
        <v>73</v>
      </c>
      <c r="C263" t="s">
        <v>258</v>
      </c>
      <c r="D263" t="s">
        <v>470</v>
      </c>
      <c r="E263">
        <v>10074493.5399999</v>
      </c>
      <c r="F263">
        <v>10076308.359999901</v>
      </c>
      <c r="G263">
        <v>50435120.57</v>
      </c>
      <c r="H263">
        <v>56198107.170000002</v>
      </c>
      <c r="I263">
        <v>174586324.11000001</v>
      </c>
      <c r="J263">
        <v>984.81686400000001</v>
      </c>
      <c r="K263">
        <v>138.379783</v>
      </c>
      <c r="L263">
        <v>7658.3922380000004</v>
      </c>
      <c r="M263" t="s">
        <v>15</v>
      </c>
      <c r="N263" s="24">
        <f t="shared" si="42"/>
        <v>10.074494</v>
      </c>
      <c r="O263" s="24">
        <f t="shared" si="43"/>
        <v>10.076307999999999</v>
      </c>
      <c r="P263">
        <f t="shared" si="44"/>
        <v>50.435121000000002</v>
      </c>
      <c r="Q263">
        <f t="shared" si="45"/>
        <v>56.198107</v>
      </c>
      <c r="R263">
        <f t="shared" si="46"/>
        <v>174.58632399999999</v>
      </c>
      <c r="S263" s="24">
        <f t="shared" si="47"/>
        <v>984.82</v>
      </c>
      <c r="T263" s="24">
        <f t="shared" si="48"/>
        <v>138.38</v>
      </c>
      <c r="U263" s="24">
        <f t="shared" si="49"/>
        <v>7658.39</v>
      </c>
      <c r="V263" s="24">
        <f>+VLOOKUP(A263,[1]DQS4_AUX!$A:$M,13,FALSE)</f>
        <v>10.076307999999999</v>
      </c>
      <c r="W263" s="24">
        <f t="shared" si="50"/>
        <v>0</v>
      </c>
    </row>
    <row r="264" spans="1:23" x14ac:dyDescent="0.25">
      <c r="A264" t="str">
        <f t="shared" si="41"/>
        <v>F43.29EU1</v>
      </c>
      <c r="B264" t="s">
        <v>73</v>
      </c>
      <c r="C264" t="s">
        <v>258</v>
      </c>
      <c r="D264" t="s">
        <v>168</v>
      </c>
      <c r="E264">
        <v>5924061.0199999902</v>
      </c>
      <c r="F264">
        <v>5924299.4599999897</v>
      </c>
      <c r="G264">
        <v>66551754.450000003</v>
      </c>
      <c r="H264">
        <v>253985237.03</v>
      </c>
      <c r="I264">
        <v>353892221.79000002</v>
      </c>
      <c r="J264">
        <v>585.52075000000002</v>
      </c>
      <c r="K264">
        <v>82.273353999999998</v>
      </c>
      <c r="L264">
        <v>4553.2811700000002</v>
      </c>
      <c r="M264" t="s">
        <v>15</v>
      </c>
      <c r="N264" s="24">
        <f t="shared" si="42"/>
        <v>5.924061</v>
      </c>
      <c r="O264" s="24">
        <f t="shared" si="43"/>
        <v>5.9242990000000004</v>
      </c>
      <c r="P264">
        <f t="shared" si="44"/>
        <v>66.551754000000003</v>
      </c>
      <c r="Q264">
        <f t="shared" si="45"/>
        <v>253.98523700000001</v>
      </c>
      <c r="R264">
        <f t="shared" si="46"/>
        <v>353.892222</v>
      </c>
      <c r="S264" s="24">
        <f t="shared" si="47"/>
        <v>585.52</v>
      </c>
      <c r="T264" s="24">
        <f t="shared" si="48"/>
        <v>82.27</v>
      </c>
      <c r="U264" s="24">
        <f t="shared" si="49"/>
        <v>4553.28</v>
      </c>
      <c r="V264" s="24">
        <f>+VLOOKUP(A264,[1]DQS4_AUX!$A:$M,13,FALSE)</f>
        <v>5.9242990000000004</v>
      </c>
      <c r="W264" s="24">
        <f t="shared" si="50"/>
        <v>0</v>
      </c>
    </row>
    <row r="265" spans="1:23" x14ac:dyDescent="0.25">
      <c r="A265" t="str">
        <f t="shared" si="41"/>
        <v>F43.34EU1</v>
      </c>
      <c r="B265" t="s">
        <v>73</v>
      </c>
      <c r="C265" t="s">
        <v>258</v>
      </c>
      <c r="D265" t="s">
        <v>469</v>
      </c>
      <c r="E265">
        <v>2159514.4499999899</v>
      </c>
      <c r="F265">
        <v>2159517.8999999901</v>
      </c>
      <c r="G265">
        <v>6676282.2599999998</v>
      </c>
      <c r="H265">
        <v>12473455.16</v>
      </c>
      <c r="I265">
        <v>46723428.200000003</v>
      </c>
      <c r="J265">
        <v>222.29769099999999</v>
      </c>
      <c r="K265">
        <v>31.235741999999998</v>
      </c>
      <c r="L265">
        <v>1728.6900169999999</v>
      </c>
      <c r="M265" t="s">
        <v>15</v>
      </c>
      <c r="N265" s="24">
        <f t="shared" si="42"/>
        <v>2.1595140000000002</v>
      </c>
      <c r="O265" s="24">
        <f t="shared" si="43"/>
        <v>2.1595179999999998</v>
      </c>
      <c r="P265">
        <f t="shared" si="44"/>
        <v>6.6762819999999996</v>
      </c>
      <c r="Q265">
        <f t="shared" si="45"/>
        <v>12.473455</v>
      </c>
      <c r="R265">
        <f t="shared" si="46"/>
        <v>46.723427999999998</v>
      </c>
      <c r="S265" s="24">
        <f t="shared" si="47"/>
        <v>222.3</v>
      </c>
      <c r="T265" s="24">
        <f t="shared" si="48"/>
        <v>31.24</v>
      </c>
      <c r="U265" s="24">
        <f t="shared" si="49"/>
        <v>1728.69</v>
      </c>
      <c r="V265" s="24">
        <f>+VLOOKUP(A265,[1]DQS4_AUX!$A:$M,13,FALSE)</f>
        <v>2.1595179999999998</v>
      </c>
      <c r="W265" s="24">
        <f t="shared" si="50"/>
        <v>0</v>
      </c>
    </row>
    <row r="266" spans="1:23" x14ac:dyDescent="0.25">
      <c r="A266" t="str">
        <f t="shared" si="41"/>
        <v>F41.10EU1</v>
      </c>
      <c r="B266" t="s">
        <v>73</v>
      </c>
      <c r="C266" t="s">
        <v>258</v>
      </c>
      <c r="D266" t="s">
        <v>471</v>
      </c>
      <c r="E266">
        <v>6368578.8899999904</v>
      </c>
      <c r="F266">
        <v>6368626.3099999903</v>
      </c>
      <c r="G266">
        <v>251996471.41</v>
      </c>
      <c r="H266">
        <v>808364521.70000005</v>
      </c>
      <c r="I266">
        <v>89545173.719999999</v>
      </c>
      <c r="J266">
        <v>181.142293</v>
      </c>
      <c r="K266">
        <v>81.378784999999993</v>
      </c>
      <c r="L266">
        <v>1014.627374</v>
      </c>
      <c r="M266" t="s">
        <v>15</v>
      </c>
      <c r="N266" s="24">
        <f t="shared" si="42"/>
        <v>6.3685790000000004</v>
      </c>
      <c r="O266" s="24">
        <f t="shared" si="43"/>
        <v>6.3686259999999999</v>
      </c>
      <c r="P266">
        <f t="shared" si="44"/>
        <v>251.99647100000001</v>
      </c>
      <c r="Q266">
        <f t="shared" si="45"/>
        <v>808.36452199999997</v>
      </c>
      <c r="R266">
        <f t="shared" si="46"/>
        <v>89.545174000000003</v>
      </c>
      <c r="S266" s="24">
        <f t="shared" si="47"/>
        <v>181.14</v>
      </c>
      <c r="T266" s="24">
        <f t="shared" si="48"/>
        <v>81.38</v>
      </c>
      <c r="U266" s="24">
        <f t="shared" si="49"/>
        <v>1014.63</v>
      </c>
      <c r="V266" s="24">
        <f>+VLOOKUP(A266,[1]DQS4_AUX!$A:$M,13,FALSE)</f>
        <v>6.3686259999999999</v>
      </c>
      <c r="W266" s="24">
        <f t="shared" si="50"/>
        <v>0</v>
      </c>
    </row>
    <row r="267" spans="1:23" x14ac:dyDescent="0.25">
      <c r="A267" t="str">
        <f t="shared" si="41"/>
        <v>F43.13EU1</v>
      </c>
      <c r="B267" t="s">
        <v>73</v>
      </c>
      <c r="C267" t="s">
        <v>258</v>
      </c>
      <c r="D267" t="s">
        <v>476</v>
      </c>
      <c r="E267">
        <v>1110430.72999999</v>
      </c>
      <c r="F267">
        <v>1111495.79999999</v>
      </c>
      <c r="G267">
        <v>4125355.47</v>
      </c>
      <c r="H267">
        <v>6992759.4699999997</v>
      </c>
      <c r="I267">
        <v>13075767.9</v>
      </c>
      <c r="J267">
        <v>66.890028999999998</v>
      </c>
      <c r="K267">
        <v>9.3989390000000004</v>
      </c>
      <c r="L267">
        <v>520.16781900000001</v>
      </c>
      <c r="M267" t="s">
        <v>15</v>
      </c>
      <c r="N267" s="24">
        <f t="shared" si="42"/>
        <v>1.1104309999999999</v>
      </c>
      <c r="O267" s="24">
        <f t="shared" si="43"/>
        <v>1.111496</v>
      </c>
      <c r="P267">
        <f t="shared" si="44"/>
        <v>4.1253549999999999</v>
      </c>
      <c r="Q267">
        <f t="shared" si="45"/>
        <v>6.9927590000000004</v>
      </c>
      <c r="R267">
        <f t="shared" si="46"/>
        <v>13.075768</v>
      </c>
      <c r="S267" s="24">
        <f t="shared" si="47"/>
        <v>66.89</v>
      </c>
      <c r="T267" s="24">
        <f t="shared" si="48"/>
        <v>9.4</v>
      </c>
      <c r="U267" s="24">
        <f t="shared" si="49"/>
        <v>520.16999999999996</v>
      </c>
      <c r="V267" s="24">
        <f>+VLOOKUP(A267,[1]DQS4_AUX!$A:$M,13,FALSE)</f>
        <v>1.111496</v>
      </c>
      <c r="W267" s="24">
        <f t="shared" si="50"/>
        <v>0</v>
      </c>
    </row>
    <row r="268" spans="1:23" x14ac:dyDescent="0.25">
      <c r="A268" t="str">
        <f t="shared" si="41"/>
        <v>F43.99EU1</v>
      </c>
      <c r="B268" t="s">
        <v>73</v>
      </c>
      <c r="C268" t="s">
        <v>258</v>
      </c>
      <c r="D268" t="s">
        <v>475</v>
      </c>
      <c r="E268">
        <v>23070216.629999898</v>
      </c>
      <c r="F268">
        <v>23073610.769999899</v>
      </c>
      <c r="G268">
        <v>135981556.06</v>
      </c>
      <c r="H268">
        <v>194351124.78999999</v>
      </c>
      <c r="I268">
        <v>599698906.70000005</v>
      </c>
      <c r="J268">
        <v>2325.4206949999998</v>
      </c>
      <c r="K268">
        <v>326.75268299999999</v>
      </c>
      <c r="L268">
        <v>18083.546083000001</v>
      </c>
      <c r="M268" t="s">
        <v>15</v>
      </c>
      <c r="N268" s="24">
        <f t="shared" si="42"/>
        <v>23.070217</v>
      </c>
      <c r="O268" s="24">
        <f t="shared" si="43"/>
        <v>23.073611</v>
      </c>
      <c r="P268">
        <f t="shared" si="44"/>
        <v>135.98155600000001</v>
      </c>
      <c r="Q268">
        <f t="shared" si="45"/>
        <v>194.351125</v>
      </c>
      <c r="R268">
        <f t="shared" si="46"/>
        <v>599.69890699999996</v>
      </c>
      <c r="S268" s="24">
        <f t="shared" si="47"/>
        <v>2325.42</v>
      </c>
      <c r="T268" s="24">
        <f t="shared" si="48"/>
        <v>326.75</v>
      </c>
      <c r="U268" s="24">
        <f t="shared" si="49"/>
        <v>18083.55</v>
      </c>
      <c r="V268" s="24">
        <f>+VLOOKUP(A268,[1]DQS4_AUX!$A:$M,13,FALSE)</f>
        <v>23.073611</v>
      </c>
      <c r="W268" s="24">
        <f t="shared" si="50"/>
        <v>0</v>
      </c>
    </row>
    <row r="269" spans="1:23" x14ac:dyDescent="0.25">
      <c r="A269" t="str">
        <f t="shared" si="41"/>
        <v>F42.91EU1</v>
      </c>
      <c r="B269" t="s">
        <v>73</v>
      </c>
      <c r="C269" t="s">
        <v>258</v>
      </c>
      <c r="D269" t="s">
        <v>482</v>
      </c>
      <c r="E269">
        <v>1913811.01</v>
      </c>
      <c r="F269">
        <v>1913811.01</v>
      </c>
      <c r="G269">
        <v>32199304.559999999</v>
      </c>
      <c r="H269">
        <v>73481853.319999993</v>
      </c>
      <c r="I269">
        <v>67512600.870000005</v>
      </c>
      <c r="J269">
        <v>48.671084999999998</v>
      </c>
      <c r="K269">
        <v>6.8389100000000003</v>
      </c>
      <c r="L269">
        <v>378.48914100000002</v>
      </c>
      <c r="M269" t="s">
        <v>15</v>
      </c>
      <c r="N269" s="24">
        <f t="shared" si="42"/>
        <v>1.9138109999999999</v>
      </c>
      <c r="O269" s="24">
        <f t="shared" si="43"/>
        <v>1.9138109999999999</v>
      </c>
      <c r="P269">
        <f t="shared" si="44"/>
        <v>32.199305000000003</v>
      </c>
      <c r="Q269">
        <f t="shared" si="45"/>
        <v>73.481853000000001</v>
      </c>
      <c r="R269">
        <f t="shared" si="46"/>
        <v>67.512601000000004</v>
      </c>
      <c r="S269" s="24">
        <f t="shared" si="47"/>
        <v>48.67</v>
      </c>
      <c r="T269" s="24">
        <f t="shared" si="48"/>
        <v>6.84</v>
      </c>
      <c r="U269" s="24">
        <f t="shared" si="49"/>
        <v>378.49</v>
      </c>
      <c r="V269" s="24">
        <f>+VLOOKUP(A269,[1]DQS4_AUX!$A:$M,13,FALSE)</f>
        <v>1.9138109999999999</v>
      </c>
      <c r="W269" s="24">
        <f t="shared" si="50"/>
        <v>0</v>
      </c>
    </row>
    <row r="270" spans="1:23" x14ac:dyDescent="0.25">
      <c r="A270" t="str">
        <f t="shared" si="41"/>
        <v>F42.21EU1</v>
      </c>
      <c r="B270" t="s">
        <v>73</v>
      </c>
      <c r="C270" t="s">
        <v>258</v>
      </c>
      <c r="D270" t="s">
        <v>481</v>
      </c>
      <c r="E270">
        <v>2602611.8599999901</v>
      </c>
      <c r="F270">
        <v>2602928.3599999901</v>
      </c>
      <c r="G270">
        <v>45343233.740000002</v>
      </c>
      <c r="H270">
        <v>78919760.569999993</v>
      </c>
      <c r="I270">
        <v>145556602.77000001</v>
      </c>
      <c r="J270">
        <v>169.98880299999999</v>
      </c>
      <c r="K270">
        <v>23.885657999999999</v>
      </c>
      <c r="L270">
        <v>1321.9117679999999</v>
      </c>
      <c r="M270" t="s">
        <v>15</v>
      </c>
      <c r="N270" s="24">
        <f t="shared" si="42"/>
        <v>2.6026120000000001</v>
      </c>
      <c r="O270" s="24">
        <f t="shared" si="43"/>
        <v>2.6029279999999999</v>
      </c>
      <c r="P270">
        <f t="shared" si="44"/>
        <v>45.343234000000002</v>
      </c>
      <c r="Q270">
        <f t="shared" si="45"/>
        <v>78.919760999999994</v>
      </c>
      <c r="R270">
        <f t="shared" si="46"/>
        <v>145.556603</v>
      </c>
      <c r="S270" s="24">
        <f t="shared" si="47"/>
        <v>169.99</v>
      </c>
      <c r="T270" s="24">
        <f t="shared" si="48"/>
        <v>23.89</v>
      </c>
      <c r="U270" s="24">
        <f t="shared" si="49"/>
        <v>1321.91</v>
      </c>
      <c r="V270" s="24">
        <f>+VLOOKUP(A270,[1]DQS4_AUX!$A:$M,13,FALSE)</f>
        <v>2.6029279999999999</v>
      </c>
      <c r="W270" s="24">
        <f t="shared" si="50"/>
        <v>0</v>
      </c>
    </row>
    <row r="271" spans="1:23" x14ac:dyDescent="0.25">
      <c r="A271" t="str">
        <f t="shared" si="41"/>
        <v>F43.21EU1</v>
      </c>
      <c r="B271" t="s">
        <v>73</v>
      </c>
      <c r="C271" t="s">
        <v>258</v>
      </c>
      <c r="D271" t="s">
        <v>150</v>
      </c>
      <c r="E271">
        <v>37428775.459999897</v>
      </c>
      <c r="F271">
        <v>37429833.699999899</v>
      </c>
      <c r="G271">
        <v>166034034.74000001</v>
      </c>
      <c r="H271">
        <v>274770191.01999998</v>
      </c>
      <c r="I271">
        <v>1006714604.5</v>
      </c>
      <c r="J271">
        <v>3483.2232509999999</v>
      </c>
      <c r="K271">
        <v>489.43884700000001</v>
      </c>
      <c r="L271">
        <v>27087.158367</v>
      </c>
      <c r="M271" t="s">
        <v>15</v>
      </c>
      <c r="N271" s="24">
        <f t="shared" si="42"/>
        <v>37.428775000000002</v>
      </c>
      <c r="O271" s="24">
        <f t="shared" si="43"/>
        <v>37.429834</v>
      </c>
      <c r="P271">
        <f t="shared" si="44"/>
        <v>166.03403499999999</v>
      </c>
      <c r="Q271">
        <f t="shared" si="45"/>
        <v>274.77019100000001</v>
      </c>
      <c r="R271">
        <f t="shared" si="46"/>
        <v>1006.714605</v>
      </c>
      <c r="S271" s="24">
        <f t="shared" si="47"/>
        <v>3483.22</v>
      </c>
      <c r="T271" s="24">
        <f t="shared" si="48"/>
        <v>489.44</v>
      </c>
      <c r="U271" s="24">
        <f t="shared" si="49"/>
        <v>27087.16</v>
      </c>
      <c r="V271" s="24">
        <f>+VLOOKUP(A271,[1]DQS4_AUX!$A:$M,13,FALSE)</f>
        <v>37.429834</v>
      </c>
      <c r="W271" s="24">
        <f t="shared" si="50"/>
        <v>0</v>
      </c>
    </row>
    <row r="272" spans="1:23" x14ac:dyDescent="0.25">
      <c r="A272" t="str">
        <f t="shared" si="41"/>
        <v>F42.11EU1</v>
      </c>
      <c r="B272" t="s">
        <v>73</v>
      </c>
      <c r="C272" t="s">
        <v>258</v>
      </c>
      <c r="D272" t="s">
        <v>477</v>
      </c>
      <c r="E272">
        <v>40605936.649999902</v>
      </c>
      <c r="F272">
        <v>40608753.709999897</v>
      </c>
      <c r="G272">
        <v>534626334.43000001</v>
      </c>
      <c r="H272">
        <v>812596070.38</v>
      </c>
      <c r="I272">
        <v>1554691475.8</v>
      </c>
      <c r="J272">
        <v>1765.8511430000001</v>
      </c>
      <c r="K272">
        <v>248.12556799999999</v>
      </c>
      <c r="L272">
        <v>13732.075778</v>
      </c>
      <c r="M272" t="s">
        <v>15</v>
      </c>
      <c r="N272" s="24">
        <f t="shared" si="42"/>
        <v>40.605936999999997</v>
      </c>
      <c r="O272" s="24">
        <f t="shared" si="43"/>
        <v>40.608753999999998</v>
      </c>
      <c r="P272">
        <f t="shared" si="44"/>
        <v>534.62633400000004</v>
      </c>
      <c r="Q272">
        <f t="shared" si="45"/>
        <v>812.59607000000005</v>
      </c>
      <c r="R272">
        <f t="shared" si="46"/>
        <v>1554.691476</v>
      </c>
      <c r="S272" s="24">
        <f t="shared" si="47"/>
        <v>1765.85</v>
      </c>
      <c r="T272" s="24">
        <f t="shared" si="48"/>
        <v>248.13</v>
      </c>
      <c r="U272" s="24">
        <f t="shared" si="49"/>
        <v>13732.08</v>
      </c>
      <c r="V272" s="24">
        <f>+VLOOKUP(A272,[1]DQS4_AUX!$A:$M,13,FALSE)</f>
        <v>40.608753999999998</v>
      </c>
      <c r="W272" s="24">
        <f t="shared" si="50"/>
        <v>0</v>
      </c>
    </row>
    <row r="273" spans="1:23" x14ac:dyDescent="0.25">
      <c r="A273" t="str">
        <f t="shared" si="41"/>
        <v>F43.33EU1</v>
      </c>
      <c r="B273" t="s">
        <v>73</v>
      </c>
      <c r="C273" t="s">
        <v>258</v>
      </c>
      <c r="D273" t="s">
        <v>478</v>
      </c>
      <c r="E273">
        <v>5422942.2099999897</v>
      </c>
      <c r="F273">
        <v>5423241.1399999904</v>
      </c>
      <c r="G273">
        <v>19284286.98</v>
      </c>
      <c r="H273">
        <v>25851328.050000001</v>
      </c>
      <c r="I273">
        <v>93542227.790000007</v>
      </c>
      <c r="J273">
        <v>868.72808699999996</v>
      </c>
      <c r="K273">
        <v>122.067824</v>
      </c>
      <c r="L273">
        <v>6755.6317669999999</v>
      </c>
      <c r="M273" t="s">
        <v>15</v>
      </c>
      <c r="N273" s="24">
        <f t="shared" si="42"/>
        <v>5.4229419999999999</v>
      </c>
      <c r="O273" s="24">
        <f t="shared" si="43"/>
        <v>5.423241</v>
      </c>
      <c r="P273">
        <f t="shared" si="44"/>
        <v>19.284286999999999</v>
      </c>
      <c r="Q273">
        <f t="shared" si="45"/>
        <v>25.851327999999999</v>
      </c>
      <c r="R273">
        <f t="shared" si="46"/>
        <v>93.542227999999994</v>
      </c>
      <c r="S273" s="24">
        <f t="shared" si="47"/>
        <v>868.73</v>
      </c>
      <c r="T273" s="24">
        <f t="shared" si="48"/>
        <v>122.07</v>
      </c>
      <c r="U273" s="24">
        <f t="shared" si="49"/>
        <v>6755.63</v>
      </c>
      <c r="V273" s="24">
        <f>+VLOOKUP(A273,[1]DQS4_AUX!$A:$M,13,FALSE)</f>
        <v>5.423241</v>
      </c>
      <c r="W273" s="24">
        <f t="shared" si="50"/>
        <v>0</v>
      </c>
    </row>
    <row r="274" spans="1:23" x14ac:dyDescent="0.25">
      <c r="A274" t="str">
        <f t="shared" si="41"/>
        <v>F43.39EU1</v>
      </c>
      <c r="B274" t="s">
        <v>73</v>
      </c>
      <c r="C274" t="s">
        <v>258</v>
      </c>
      <c r="D274" t="s">
        <v>480</v>
      </c>
      <c r="E274">
        <v>4470456.99</v>
      </c>
      <c r="F274">
        <v>4470456.99</v>
      </c>
      <c r="G274">
        <v>9057401.4700000007</v>
      </c>
      <c r="H274">
        <v>19742455.039999999</v>
      </c>
      <c r="I274">
        <v>49628866.700000003</v>
      </c>
      <c r="J274">
        <v>432.07247599999999</v>
      </c>
      <c r="K274">
        <v>60.711903</v>
      </c>
      <c r="L274">
        <v>3359.9957509999999</v>
      </c>
      <c r="M274" t="s">
        <v>15</v>
      </c>
      <c r="N274" s="24">
        <f t="shared" si="42"/>
        <v>4.4704569999999997</v>
      </c>
      <c r="O274" s="24">
        <f t="shared" si="43"/>
        <v>4.4704569999999997</v>
      </c>
      <c r="P274">
        <f t="shared" si="44"/>
        <v>9.0574010000000005</v>
      </c>
      <c r="Q274">
        <f t="shared" si="45"/>
        <v>19.742455</v>
      </c>
      <c r="R274">
        <f t="shared" si="46"/>
        <v>49.628867</v>
      </c>
      <c r="S274" s="24">
        <f t="shared" si="47"/>
        <v>432.07</v>
      </c>
      <c r="T274" s="24">
        <f t="shared" si="48"/>
        <v>60.71</v>
      </c>
      <c r="U274" s="24">
        <f t="shared" si="49"/>
        <v>3360</v>
      </c>
      <c r="V274" s="24">
        <f>+VLOOKUP(A274,[1]DQS4_AUX!$A:$M,13,FALSE)</f>
        <v>4.4704569999999997</v>
      </c>
      <c r="W274" s="24">
        <f t="shared" si="50"/>
        <v>0</v>
      </c>
    </row>
    <row r="275" spans="1:23" x14ac:dyDescent="0.25">
      <c r="A275" t="str">
        <f t="shared" si="41"/>
        <v>F43.11EU1</v>
      </c>
      <c r="B275" t="s">
        <v>73</v>
      </c>
      <c r="C275" t="s">
        <v>258</v>
      </c>
      <c r="D275" t="s">
        <v>472</v>
      </c>
      <c r="E275">
        <v>665512.1</v>
      </c>
      <c r="F275">
        <v>665512.1</v>
      </c>
      <c r="G275">
        <v>5064753.22</v>
      </c>
      <c r="H275">
        <v>29217121.920000002</v>
      </c>
      <c r="I275">
        <v>38357973.189999998</v>
      </c>
      <c r="J275">
        <v>50.839959</v>
      </c>
      <c r="K275">
        <v>7.1436789999999997</v>
      </c>
      <c r="L275">
        <v>395.355143</v>
      </c>
      <c r="M275" t="s">
        <v>15</v>
      </c>
      <c r="N275" s="24">
        <f t="shared" si="42"/>
        <v>0.66551199999999999</v>
      </c>
      <c r="O275" s="24">
        <f t="shared" si="43"/>
        <v>0.66551199999999999</v>
      </c>
      <c r="P275">
        <f t="shared" si="44"/>
        <v>5.0647529999999996</v>
      </c>
      <c r="Q275">
        <f t="shared" si="45"/>
        <v>29.217122</v>
      </c>
      <c r="R275">
        <f t="shared" si="46"/>
        <v>38.357973000000001</v>
      </c>
      <c r="S275" s="24">
        <f t="shared" si="47"/>
        <v>50.84</v>
      </c>
      <c r="T275" s="24">
        <f t="shared" si="48"/>
        <v>7.14</v>
      </c>
      <c r="U275" s="24">
        <f t="shared" si="49"/>
        <v>395.36</v>
      </c>
      <c r="V275" s="24">
        <f>+VLOOKUP(A275,[1]DQS4_AUX!$A:$M,13,FALSE)</f>
        <v>0.66551199999999999</v>
      </c>
      <c r="W275" s="24">
        <f t="shared" si="50"/>
        <v>0</v>
      </c>
    </row>
    <row r="276" spans="1:23" x14ac:dyDescent="0.25">
      <c r="A276" t="str">
        <f t="shared" si="41"/>
        <v>F41.20EU1</v>
      </c>
      <c r="B276" t="s">
        <v>73</v>
      </c>
      <c r="C276" t="s">
        <v>258</v>
      </c>
      <c r="D276" t="s">
        <v>74</v>
      </c>
      <c r="E276">
        <v>153920170.96999899</v>
      </c>
      <c r="F276">
        <v>153929884.389999</v>
      </c>
      <c r="G276">
        <v>717341475.57000005</v>
      </c>
      <c r="H276">
        <v>1751813323.8800001</v>
      </c>
      <c r="I276">
        <v>4195943413.8600001</v>
      </c>
      <c r="J276">
        <v>16389.009378999999</v>
      </c>
      <c r="K276">
        <v>2302.8740640000001</v>
      </c>
      <c r="L276">
        <v>127448.517896</v>
      </c>
      <c r="M276" t="s">
        <v>15</v>
      </c>
      <c r="N276" s="24">
        <f t="shared" si="42"/>
        <v>153.92017100000001</v>
      </c>
      <c r="O276" s="24">
        <f t="shared" si="43"/>
        <v>153.92988399999999</v>
      </c>
      <c r="P276">
        <f t="shared" si="44"/>
        <v>717.34147599999994</v>
      </c>
      <c r="Q276">
        <f t="shared" si="45"/>
        <v>1751.813324</v>
      </c>
      <c r="R276">
        <f t="shared" si="46"/>
        <v>4195.9434140000003</v>
      </c>
      <c r="S276" s="24">
        <f t="shared" si="47"/>
        <v>16389.009999999998</v>
      </c>
      <c r="T276" s="24">
        <f t="shared" si="48"/>
        <v>2302.87</v>
      </c>
      <c r="U276" s="24">
        <f t="shared" si="49"/>
        <v>127448.52</v>
      </c>
      <c r="V276" s="24">
        <f>+VLOOKUP(A276,[1]DQS4_AUX!$A:$M,13,FALSE)</f>
        <v>153.92988399999999</v>
      </c>
      <c r="W276" s="24">
        <f t="shared" si="50"/>
        <v>0</v>
      </c>
    </row>
    <row r="277" spans="1:23" x14ac:dyDescent="0.25">
      <c r="A277" t="str">
        <f t="shared" si="41"/>
        <v>F42.99EU1</v>
      </c>
      <c r="B277" t="s">
        <v>73</v>
      </c>
      <c r="C277" t="s">
        <v>258</v>
      </c>
      <c r="D277" t="s">
        <v>78</v>
      </c>
      <c r="E277">
        <v>26507416.999999899</v>
      </c>
      <c r="F277">
        <v>26510286.7999999</v>
      </c>
      <c r="G277">
        <v>162661599.71000001</v>
      </c>
      <c r="H277">
        <v>455000149.06999999</v>
      </c>
      <c r="I277">
        <v>1127461433.6900001</v>
      </c>
      <c r="J277">
        <v>2152.7873370000002</v>
      </c>
      <c r="K277">
        <v>302.49537099999998</v>
      </c>
      <c r="L277">
        <v>16741.069463</v>
      </c>
      <c r="M277" t="s">
        <v>15</v>
      </c>
      <c r="N277" s="24">
        <f t="shared" si="42"/>
        <v>26.507417</v>
      </c>
      <c r="O277" s="24">
        <f t="shared" si="43"/>
        <v>26.510287000000002</v>
      </c>
      <c r="P277">
        <f t="shared" si="44"/>
        <v>162.66159999999999</v>
      </c>
      <c r="Q277">
        <f t="shared" si="45"/>
        <v>455.00014900000002</v>
      </c>
      <c r="R277">
        <f t="shared" si="46"/>
        <v>1127.4614340000001</v>
      </c>
      <c r="S277" s="24">
        <f t="shared" si="47"/>
        <v>2152.79</v>
      </c>
      <c r="T277" s="24">
        <f t="shared" si="48"/>
        <v>302.5</v>
      </c>
      <c r="U277" s="24">
        <f t="shared" si="49"/>
        <v>16741.07</v>
      </c>
      <c r="V277" s="24">
        <f>+VLOOKUP(A277,[1]DQS4_AUX!$A:$M,13,FALSE)</f>
        <v>26.510287000000002</v>
      </c>
      <c r="W277" s="24">
        <f t="shared" si="50"/>
        <v>0</v>
      </c>
    </row>
    <row r="278" spans="1:23" x14ac:dyDescent="0.25">
      <c r="A278" t="str">
        <f t="shared" si="41"/>
        <v>F43.31EU1</v>
      </c>
      <c r="B278" t="s">
        <v>73</v>
      </c>
      <c r="C278" t="s">
        <v>258</v>
      </c>
      <c r="D278" t="s">
        <v>473</v>
      </c>
      <c r="E278">
        <v>2190665.9299999899</v>
      </c>
      <c r="F278">
        <v>2190696.4599999902</v>
      </c>
      <c r="G278">
        <v>4055380.15</v>
      </c>
      <c r="H278">
        <v>9813862.8800000008</v>
      </c>
      <c r="I278">
        <v>32263319.760000002</v>
      </c>
      <c r="J278">
        <v>260.150305</v>
      </c>
      <c r="K278">
        <v>36.554577999999999</v>
      </c>
      <c r="L278">
        <v>2023.0491979999999</v>
      </c>
      <c r="M278" t="s">
        <v>15</v>
      </c>
      <c r="N278" s="24">
        <f t="shared" si="42"/>
        <v>2.1906659999999998</v>
      </c>
      <c r="O278" s="24">
        <f t="shared" si="43"/>
        <v>2.190696</v>
      </c>
      <c r="P278">
        <f t="shared" si="44"/>
        <v>4.0553800000000004</v>
      </c>
      <c r="Q278">
        <f t="shared" si="45"/>
        <v>9.8138629999999996</v>
      </c>
      <c r="R278">
        <f t="shared" si="46"/>
        <v>32.26332</v>
      </c>
      <c r="S278" s="24">
        <f t="shared" si="47"/>
        <v>260.14999999999998</v>
      </c>
      <c r="T278" s="24">
        <f t="shared" si="48"/>
        <v>36.549999999999997</v>
      </c>
      <c r="U278" s="24">
        <f t="shared" si="49"/>
        <v>2023.05</v>
      </c>
      <c r="V278" s="24">
        <f>+VLOOKUP(A278,[1]DQS4_AUX!$A:$M,13,FALSE)</f>
        <v>2.190696</v>
      </c>
      <c r="W278" s="24">
        <f t="shared" si="50"/>
        <v>0</v>
      </c>
    </row>
    <row r="279" spans="1:23" x14ac:dyDescent="0.25">
      <c r="A279" t="str">
        <f t="shared" si="41"/>
        <v>G47.23EU1</v>
      </c>
      <c r="B279" t="s">
        <v>34</v>
      </c>
      <c r="C279" t="s">
        <v>258</v>
      </c>
      <c r="D279" t="s">
        <v>487</v>
      </c>
      <c r="E279">
        <v>2927366.75</v>
      </c>
      <c r="F279">
        <v>2927366.75</v>
      </c>
      <c r="G279">
        <v>8141926.2400000002</v>
      </c>
      <c r="H279">
        <v>7343435.9900000002</v>
      </c>
      <c r="I279">
        <v>59409743.450000003</v>
      </c>
      <c r="J279">
        <v>1058.291252</v>
      </c>
      <c r="K279">
        <v>502.678988</v>
      </c>
      <c r="L279">
        <v>4814.3630780000003</v>
      </c>
      <c r="M279" t="s">
        <v>15</v>
      </c>
      <c r="N279" s="24">
        <f t="shared" si="42"/>
        <v>2.9273669999999998</v>
      </c>
      <c r="O279" s="24">
        <f t="shared" si="43"/>
        <v>2.9273669999999998</v>
      </c>
      <c r="P279">
        <f t="shared" si="44"/>
        <v>8.1419259999999998</v>
      </c>
      <c r="Q279">
        <f t="shared" si="45"/>
        <v>7.3434359999999996</v>
      </c>
      <c r="R279">
        <f t="shared" si="46"/>
        <v>59.409742999999999</v>
      </c>
      <c r="S279" s="24">
        <f t="shared" si="47"/>
        <v>1058.29</v>
      </c>
      <c r="T279" s="24">
        <f t="shared" si="48"/>
        <v>502.68</v>
      </c>
      <c r="U279" s="24">
        <f t="shared" si="49"/>
        <v>4814.3599999999997</v>
      </c>
      <c r="V279" s="24">
        <f>+VLOOKUP(A279,[1]DQS4_AUX!$A:$M,13,FALSE)</f>
        <v>2.9273669999999998</v>
      </c>
      <c r="W279" s="24">
        <f t="shared" si="50"/>
        <v>0</v>
      </c>
    </row>
    <row r="280" spans="1:23" x14ac:dyDescent="0.25">
      <c r="A280" t="str">
        <f t="shared" si="41"/>
        <v>G47.26EU1</v>
      </c>
      <c r="B280" t="s">
        <v>34</v>
      </c>
      <c r="C280" t="s">
        <v>258</v>
      </c>
      <c r="D280" t="s">
        <v>206</v>
      </c>
      <c r="E280">
        <v>897794.07</v>
      </c>
      <c r="F280">
        <v>897794.07</v>
      </c>
      <c r="G280">
        <v>2925280.04</v>
      </c>
      <c r="H280">
        <v>6254481.8899999997</v>
      </c>
      <c r="I280">
        <v>57674376.100000001</v>
      </c>
      <c r="J280">
        <v>286.97114800000003</v>
      </c>
      <c r="K280">
        <v>136.30874800000001</v>
      </c>
      <c r="L280">
        <v>1305.4849819999999</v>
      </c>
      <c r="M280" t="s">
        <v>15</v>
      </c>
      <c r="N280" s="24">
        <f t="shared" si="42"/>
        <v>0.89779399999999998</v>
      </c>
      <c r="O280" s="24">
        <f t="shared" si="43"/>
        <v>0.89779399999999998</v>
      </c>
      <c r="P280">
        <f t="shared" si="44"/>
        <v>2.9252799999999999</v>
      </c>
      <c r="Q280">
        <f t="shared" si="45"/>
        <v>6.2544820000000003</v>
      </c>
      <c r="R280">
        <f t="shared" si="46"/>
        <v>57.674376000000002</v>
      </c>
      <c r="S280" s="24">
        <f t="shared" si="47"/>
        <v>286.97000000000003</v>
      </c>
      <c r="T280" s="24">
        <f t="shared" si="48"/>
        <v>136.31</v>
      </c>
      <c r="U280" s="24">
        <f t="shared" si="49"/>
        <v>1305.48</v>
      </c>
      <c r="V280" s="24">
        <f>+VLOOKUP(A280,[1]DQS4_AUX!$A:$M,13,FALSE)</f>
        <v>0.89779399999999998</v>
      </c>
      <c r="W280" s="24">
        <f t="shared" si="50"/>
        <v>0</v>
      </c>
    </row>
    <row r="281" spans="1:23" x14ac:dyDescent="0.25">
      <c r="A281" t="str">
        <f t="shared" si="41"/>
        <v>G46.31EU1</v>
      </c>
      <c r="B281" t="s">
        <v>34</v>
      </c>
      <c r="C281" t="s">
        <v>258</v>
      </c>
      <c r="D281" t="s">
        <v>483</v>
      </c>
      <c r="E281">
        <v>18531364.7299999</v>
      </c>
      <c r="F281">
        <v>18531920.469999898</v>
      </c>
      <c r="G281">
        <v>206006094.19</v>
      </c>
      <c r="H281">
        <v>203782889.22999999</v>
      </c>
      <c r="I281">
        <v>1139165505.6900001</v>
      </c>
      <c r="J281">
        <v>2229.3919689999998</v>
      </c>
      <c r="K281">
        <v>1058.9413890000001</v>
      </c>
      <c r="L281">
        <v>10141.91785</v>
      </c>
      <c r="M281" t="s">
        <v>15</v>
      </c>
      <c r="N281" s="24">
        <f t="shared" si="42"/>
        <v>18.531365000000001</v>
      </c>
      <c r="O281" s="24">
        <f t="shared" si="43"/>
        <v>18.53192</v>
      </c>
      <c r="P281">
        <f t="shared" si="44"/>
        <v>206.00609399999999</v>
      </c>
      <c r="Q281">
        <f t="shared" si="45"/>
        <v>203.78288900000001</v>
      </c>
      <c r="R281">
        <f t="shared" si="46"/>
        <v>1139.1655060000001</v>
      </c>
      <c r="S281" s="24">
        <f t="shared" si="47"/>
        <v>2229.39</v>
      </c>
      <c r="T281" s="24">
        <f t="shared" si="48"/>
        <v>1058.94</v>
      </c>
      <c r="U281" s="24">
        <f t="shared" si="49"/>
        <v>10141.92</v>
      </c>
      <c r="V281" s="24">
        <f>+VLOOKUP(A281,[1]DQS4_AUX!$A:$M,13,FALSE)</f>
        <v>18.53192</v>
      </c>
      <c r="W281" s="24">
        <f t="shared" si="50"/>
        <v>0</v>
      </c>
    </row>
    <row r="282" spans="1:23" x14ac:dyDescent="0.25">
      <c r="A282" t="str">
        <f t="shared" si="41"/>
        <v>G46.62EU1</v>
      </c>
      <c r="B282" t="s">
        <v>34</v>
      </c>
      <c r="C282" t="s">
        <v>258</v>
      </c>
      <c r="D282" t="s">
        <v>484</v>
      </c>
      <c r="E282">
        <v>12118158.009999899</v>
      </c>
      <c r="F282">
        <v>12118337.8899999</v>
      </c>
      <c r="G282">
        <v>71608540.099999994</v>
      </c>
      <c r="H282">
        <v>116723232.17</v>
      </c>
      <c r="I282">
        <v>292116376.57999998</v>
      </c>
      <c r="J282">
        <v>712.39294500000005</v>
      </c>
      <c r="K282">
        <v>338.38021199999997</v>
      </c>
      <c r="L282">
        <v>3240.808454</v>
      </c>
      <c r="M282" t="s">
        <v>15</v>
      </c>
      <c r="N282" s="24">
        <f t="shared" si="42"/>
        <v>12.118157999999999</v>
      </c>
      <c r="O282" s="24">
        <f t="shared" si="43"/>
        <v>12.118338</v>
      </c>
      <c r="P282">
        <f t="shared" si="44"/>
        <v>71.608540000000005</v>
      </c>
      <c r="Q282">
        <f t="shared" si="45"/>
        <v>116.723232</v>
      </c>
      <c r="R282">
        <f t="shared" si="46"/>
        <v>292.116377</v>
      </c>
      <c r="S282" s="24">
        <f t="shared" si="47"/>
        <v>712.39</v>
      </c>
      <c r="T282" s="24">
        <f t="shared" si="48"/>
        <v>338.38</v>
      </c>
      <c r="U282" s="24">
        <f t="shared" si="49"/>
        <v>3240.81</v>
      </c>
      <c r="V282" s="24">
        <f>+VLOOKUP(A282,[1]DQS4_AUX!$A:$M,13,FALSE)</f>
        <v>12.118338</v>
      </c>
      <c r="W282" s="24">
        <f t="shared" si="50"/>
        <v>0</v>
      </c>
    </row>
    <row r="283" spans="1:23" x14ac:dyDescent="0.25">
      <c r="A283" t="str">
        <f t="shared" si="41"/>
        <v>G47.78EU1</v>
      </c>
      <c r="B283" t="s">
        <v>34</v>
      </c>
      <c r="C283" t="s">
        <v>258</v>
      </c>
      <c r="D283" t="s">
        <v>485</v>
      </c>
      <c r="E283">
        <v>45696938.721243903</v>
      </c>
      <c r="F283">
        <v>45698511.511243902</v>
      </c>
      <c r="G283">
        <v>170789575.90000001</v>
      </c>
      <c r="H283">
        <v>274526336.49000001</v>
      </c>
      <c r="I283">
        <v>736574960.53999996</v>
      </c>
      <c r="J283">
        <v>3305.4326540000002</v>
      </c>
      <c r="K283">
        <v>1570.050733</v>
      </c>
      <c r="L283">
        <v>15037.029237999999</v>
      </c>
      <c r="M283" t="s">
        <v>15</v>
      </c>
      <c r="N283" s="24">
        <f t="shared" si="42"/>
        <v>45.696939</v>
      </c>
      <c r="O283" s="24">
        <f t="shared" si="43"/>
        <v>45.698512000000001</v>
      </c>
      <c r="P283">
        <f t="shared" si="44"/>
        <v>170.78957600000001</v>
      </c>
      <c r="Q283">
        <f t="shared" si="45"/>
        <v>274.52633600000001</v>
      </c>
      <c r="R283">
        <f t="shared" si="46"/>
        <v>736.57496100000003</v>
      </c>
      <c r="S283" s="24">
        <f t="shared" si="47"/>
        <v>3305.43</v>
      </c>
      <c r="T283" s="24">
        <f t="shared" si="48"/>
        <v>1570.05</v>
      </c>
      <c r="U283" s="24">
        <f t="shared" si="49"/>
        <v>15037.03</v>
      </c>
      <c r="V283" s="24">
        <f>+VLOOKUP(A283,[1]DQS4_AUX!$A:$M,13,FALSE)</f>
        <v>45.698512000000001</v>
      </c>
      <c r="W283" s="24">
        <f t="shared" si="50"/>
        <v>0</v>
      </c>
    </row>
    <row r="284" spans="1:23" x14ac:dyDescent="0.25">
      <c r="A284" t="str">
        <f t="shared" si="41"/>
        <v>G47.30EU1</v>
      </c>
      <c r="B284" t="s">
        <v>34</v>
      </c>
      <c r="C284" t="s">
        <v>258</v>
      </c>
      <c r="D284" t="s">
        <v>486</v>
      </c>
      <c r="E284">
        <v>18361932.859999899</v>
      </c>
      <c r="F284">
        <v>18362359.8199999</v>
      </c>
      <c r="G284">
        <v>117386415.25</v>
      </c>
      <c r="H284">
        <v>405473340.62</v>
      </c>
      <c r="I284">
        <v>2240185250.96</v>
      </c>
      <c r="J284">
        <v>5186.3898879999997</v>
      </c>
      <c r="K284">
        <v>2463.4893470000002</v>
      </c>
      <c r="L284">
        <v>23593.848816000002</v>
      </c>
      <c r="M284" t="s">
        <v>15</v>
      </c>
      <c r="N284" s="24">
        <f t="shared" si="42"/>
        <v>18.361933000000001</v>
      </c>
      <c r="O284" s="24">
        <f t="shared" si="43"/>
        <v>18.362359999999999</v>
      </c>
      <c r="P284">
        <f t="shared" si="44"/>
        <v>117.386415</v>
      </c>
      <c r="Q284">
        <f t="shared" si="45"/>
        <v>405.473341</v>
      </c>
      <c r="R284">
        <f t="shared" si="46"/>
        <v>2240.1852509999999</v>
      </c>
      <c r="S284" s="24">
        <f t="shared" si="47"/>
        <v>5186.3900000000003</v>
      </c>
      <c r="T284" s="24">
        <f t="shared" si="48"/>
        <v>2463.4899999999998</v>
      </c>
      <c r="U284" s="24">
        <f t="shared" si="49"/>
        <v>23593.85</v>
      </c>
      <c r="V284" s="24">
        <f>+VLOOKUP(A284,[1]DQS4_AUX!$A:$M,13,FALSE)</f>
        <v>18.362359999999999</v>
      </c>
      <c r="W284" s="24">
        <f t="shared" si="50"/>
        <v>0</v>
      </c>
    </row>
    <row r="285" spans="1:23" x14ac:dyDescent="0.25">
      <c r="A285" t="str">
        <f t="shared" si="41"/>
        <v>G47.81EU1</v>
      </c>
      <c r="B285" t="s">
        <v>34</v>
      </c>
      <c r="C285" t="s">
        <v>258</v>
      </c>
      <c r="D285" t="s">
        <v>489</v>
      </c>
      <c r="E285">
        <v>218420.29</v>
      </c>
      <c r="F285">
        <v>218420.29</v>
      </c>
      <c r="G285">
        <v>2756979.52</v>
      </c>
      <c r="H285">
        <v>1035793.05</v>
      </c>
      <c r="I285">
        <v>5175663.33</v>
      </c>
      <c r="J285">
        <v>21.968914000000002</v>
      </c>
      <c r="K285">
        <v>10.435024</v>
      </c>
      <c r="L285">
        <v>99.940774000000005</v>
      </c>
      <c r="M285" t="s">
        <v>15</v>
      </c>
      <c r="N285" s="24">
        <f t="shared" si="42"/>
        <v>0.21842</v>
      </c>
      <c r="O285" s="24">
        <f t="shared" si="43"/>
        <v>0.21842</v>
      </c>
      <c r="P285">
        <f t="shared" si="44"/>
        <v>2.75698</v>
      </c>
      <c r="Q285">
        <f t="shared" si="45"/>
        <v>1.035793</v>
      </c>
      <c r="R285">
        <f t="shared" si="46"/>
        <v>5.1756630000000001</v>
      </c>
      <c r="S285" s="24">
        <f t="shared" si="47"/>
        <v>21.97</v>
      </c>
      <c r="T285" s="24">
        <f t="shared" si="48"/>
        <v>10.44</v>
      </c>
      <c r="U285" s="24">
        <f t="shared" si="49"/>
        <v>99.94</v>
      </c>
      <c r="V285" s="24">
        <f>+VLOOKUP(A285,[1]DQS4_AUX!$A:$M,13,FALSE)</f>
        <v>0.21842</v>
      </c>
      <c r="W285" s="24">
        <f t="shared" si="50"/>
        <v>0</v>
      </c>
    </row>
    <row r="286" spans="1:23" x14ac:dyDescent="0.25">
      <c r="A286" t="str">
        <f t="shared" si="41"/>
        <v>G47.19EU1</v>
      </c>
      <c r="B286" t="s">
        <v>34</v>
      </c>
      <c r="C286" t="s">
        <v>258</v>
      </c>
      <c r="D286" t="s">
        <v>76</v>
      </c>
      <c r="E286">
        <v>6094951.0499999896</v>
      </c>
      <c r="F286">
        <v>6095158.5599999903</v>
      </c>
      <c r="G286">
        <v>27421348.719999999</v>
      </c>
      <c r="H286">
        <v>26188178.879999999</v>
      </c>
      <c r="I286">
        <v>98015357.459999993</v>
      </c>
      <c r="J286">
        <v>597.99878000000001</v>
      </c>
      <c r="K286">
        <v>284.04402299999998</v>
      </c>
      <c r="L286">
        <v>2720.4080749999998</v>
      </c>
      <c r="M286" t="s">
        <v>15</v>
      </c>
      <c r="N286" s="24">
        <f t="shared" si="42"/>
        <v>6.094951</v>
      </c>
      <c r="O286" s="24">
        <f t="shared" si="43"/>
        <v>6.0951589999999998</v>
      </c>
      <c r="P286">
        <f t="shared" si="44"/>
        <v>27.421348999999999</v>
      </c>
      <c r="Q286">
        <f t="shared" si="45"/>
        <v>26.188179000000002</v>
      </c>
      <c r="R286">
        <f t="shared" si="46"/>
        <v>98.015356999999995</v>
      </c>
      <c r="S286" s="24">
        <f t="shared" si="47"/>
        <v>598</v>
      </c>
      <c r="T286" s="24">
        <f t="shared" si="48"/>
        <v>284.04000000000002</v>
      </c>
      <c r="U286" s="24">
        <f t="shared" si="49"/>
        <v>2720.41</v>
      </c>
      <c r="V286" s="24">
        <f>+VLOOKUP(A286,[1]DQS4_AUX!$A:$M,13,FALSE)</f>
        <v>6.0951589999999998</v>
      </c>
      <c r="W286" s="24">
        <f t="shared" si="50"/>
        <v>0</v>
      </c>
    </row>
    <row r="287" spans="1:23" x14ac:dyDescent="0.25">
      <c r="A287" t="str">
        <f t="shared" si="41"/>
        <v>G46.36EU1</v>
      </c>
      <c r="B287" t="s">
        <v>34</v>
      </c>
      <c r="C287" t="s">
        <v>258</v>
      </c>
      <c r="D287" t="s">
        <v>521</v>
      </c>
      <c r="E287">
        <v>1617340.6699999899</v>
      </c>
      <c r="F287">
        <v>1617347.95999999</v>
      </c>
      <c r="G287">
        <v>7483290.9299999997</v>
      </c>
      <c r="H287">
        <v>14698485.369999999</v>
      </c>
      <c r="I287">
        <v>60429582.049999997</v>
      </c>
      <c r="J287">
        <v>127.754244</v>
      </c>
      <c r="K287">
        <v>60.682132000000003</v>
      </c>
      <c r="L287">
        <v>581.17775200000005</v>
      </c>
      <c r="M287" t="s">
        <v>15</v>
      </c>
      <c r="N287" s="24">
        <f t="shared" si="42"/>
        <v>1.6173409999999999</v>
      </c>
      <c r="O287" s="24">
        <f t="shared" si="43"/>
        <v>1.617348</v>
      </c>
      <c r="P287">
        <f t="shared" si="44"/>
        <v>7.4832910000000004</v>
      </c>
      <c r="Q287">
        <f t="shared" si="45"/>
        <v>14.698485</v>
      </c>
      <c r="R287">
        <f t="shared" si="46"/>
        <v>60.429582000000003</v>
      </c>
      <c r="S287" s="24">
        <f t="shared" si="47"/>
        <v>127.75</v>
      </c>
      <c r="T287" s="24">
        <f t="shared" si="48"/>
        <v>60.68</v>
      </c>
      <c r="U287" s="24">
        <f t="shared" si="49"/>
        <v>581.17999999999995</v>
      </c>
      <c r="V287" s="24">
        <f>+VLOOKUP(A287,[1]DQS4_AUX!$A:$M,13,FALSE)</f>
        <v>1.617348</v>
      </c>
      <c r="W287" s="24">
        <f t="shared" si="50"/>
        <v>0</v>
      </c>
    </row>
    <row r="288" spans="1:23" x14ac:dyDescent="0.25">
      <c r="A288" t="str">
        <f t="shared" si="41"/>
        <v>G46.74EU1</v>
      </c>
      <c r="B288" t="s">
        <v>34</v>
      </c>
      <c r="C288" t="s">
        <v>258</v>
      </c>
      <c r="D288" t="s">
        <v>205</v>
      </c>
      <c r="E288">
        <v>11588046.59</v>
      </c>
      <c r="F288">
        <v>11588046.59</v>
      </c>
      <c r="G288">
        <v>80053716.140000001</v>
      </c>
      <c r="H288">
        <v>280892194.38999999</v>
      </c>
      <c r="I288">
        <v>452188557.18000001</v>
      </c>
      <c r="J288">
        <v>639.63995899999998</v>
      </c>
      <c r="K288">
        <v>303.82320299999998</v>
      </c>
      <c r="L288">
        <v>2909.8416889999999</v>
      </c>
      <c r="M288" t="s">
        <v>15</v>
      </c>
      <c r="N288" s="24">
        <f t="shared" si="42"/>
        <v>11.588047</v>
      </c>
      <c r="O288" s="24">
        <f t="shared" si="43"/>
        <v>11.588047</v>
      </c>
      <c r="P288">
        <f t="shared" si="44"/>
        <v>80.053715999999994</v>
      </c>
      <c r="Q288">
        <f t="shared" si="45"/>
        <v>280.89219400000002</v>
      </c>
      <c r="R288">
        <f t="shared" si="46"/>
        <v>452.188557</v>
      </c>
      <c r="S288" s="24">
        <f t="shared" si="47"/>
        <v>639.64</v>
      </c>
      <c r="T288" s="24">
        <f t="shared" si="48"/>
        <v>303.82</v>
      </c>
      <c r="U288" s="24">
        <f t="shared" si="49"/>
        <v>2909.84</v>
      </c>
      <c r="V288" s="24">
        <f>+VLOOKUP(A288,[1]DQS4_AUX!$A:$M,13,FALSE)</f>
        <v>11.588047</v>
      </c>
      <c r="W288" s="24">
        <f t="shared" si="50"/>
        <v>0</v>
      </c>
    </row>
    <row r="289" spans="1:23" x14ac:dyDescent="0.25">
      <c r="A289" t="str">
        <f t="shared" si="41"/>
        <v>G46.37EU1</v>
      </c>
      <c r="B289" t="s">
        <v>34</v>
      </c>
      <c r="C289" t="s">
        <v>258</v>
      </c>
      <c r="D289" t="s">
        <v>492</v>
      </c>
      <c r="E289">
        <v>1418305.4199999899</v>
      </c>
      <c r="F289">
        <v>1419062.78999999</v>
      </c>
      <c r="G289">
        <v>12643783.050000001</v>
      </c>
      <c r="H289">
        <v>13611897.609999999</v>
      </c>
      <c r="I289">
        <v>30041549.149999999</v>
      </c>
      <c r="J289">
        <v>161.502701</v>
      </c>
      <c r="K289">
        <v>76.712340999999995</v>
      </c>
      <c r="L289">
        <v>734.70579399999997</v>
      </c>
      <c r="M289" t="s">
        <v>15</v>
      </c>
      <c r="N289" s="24">
        <f t="shared" si="42"/>
        <v>1.4183049999999999</v>
      </c>
      <c r="O289" s="24">
        <f t="shared" si="43"/>
        <v>1.419063</v>
      </c>
      <c r="P289">
        <f t="shared" si="44"/>
        <v>12.643783000000001</v>
      </c>
      <c r="Q289">
        <f t="shared" si="45"/>
        <v>13.611898</v>
      </c>
      <c r="R289">
        <f t="shared" si="46"/>
        <v>30.041549</v>
      </c>
      <c r="S289" s="24">
        <f t="shared" si="47"/>
        <v>161.5</v>
      </c>
      <c r="T289" s="24">
        <f t="shared" si="48"/>
        <v>76.709999999999994</v>
      </c>
      <c r="U289" s="24">
        <f t="shared" si="49"/>
        <v>734.71</v>
      </c>
      <c r="V289" s="24">
        <f>+VLOOKUP(A289,[1]DQS4_AUX!$A:$M,13,FALSE)</f>
        <v>1.419063</v>
      </c>
      <c r="W289" s="24">
        <f t="shared" si="50"/>
        <v>0</v>
      </c>
    </row>
    <row r="290" spans="1:23" x14ac:dyDescent="0.25">
      <c r="A290" t="str">
        <f t="shared" si="41"/>
        <v>G45.19EU1</v>
      </c>
      <c r="B290" t="s">
        <v>34</v>
      </c>
      <c r="C290" t="s">
        <v>258</v>
      </c>
      <c r="D290" t="s">
        <v>218</v>
      </c>
      <c r="E290">
        <v>50567868.020000003</v>
      </c>
      <c r="F290">
        <v>50567868.020000003</v>
      </c>
      <c r="G290">
        <v>236925980.15000001</v>
      </c>
      <c r="H290">
        <v>486086897.20999998</v>
      </c>
      <c r="I290">
        <v>708969005.74000001</v>
      </c>
      <c r="J290">
        <v>1460.390545</v>
      </c>
      <c r="K290">
        <v>693.67257800000004</v>
      </c>
      <c r="L290">
        <v>6643.587278</v>
      </c>
      <c r="M290" t="s">
        <v>15</v>
      </c>
      <c r="N290" s="24">
        <f t="shared" si="42"/>
        <v>50.567867999999997</v>
      </c>
      <c r="O290" s="24">
        <f t="shared" si="43"/>
        <v>50.567867999999997</v>
      </c>
      <c r="P290">
        <f t="shared" si="44"/>
        <v>236.92598000000001</v>
      </c>
      <c r="Q290">
        <f t="shared" si="45"/>
        <v>486.08689700000002</v>
      </c>
      <c r="R290">
        <f t="shared" si="46"/>
        <v>708.96900600000004</v>
      </c>
      <c r="S290" s="24">
        <f t="shared" si="47"/>
        <v>1460.39</v>
      </c>
      <c r="T290" s="24">
        <f t="shared" si="48"/>
        <v>693.67</v>
      </c>
      <c r="U290" s="24">
        <f t="shared" si="49"/>
        <v>6643.59</v>
      </c>
      <c r="V290" s="24">
        <f>+VLOOKUP(A290,[1]DQS4_AUX!$A:$M,13,FALSE)</f>
        <v>50.567867999999997</v>
      </c>
      <c r="W290" s="24">
        <f t="shared" si="50"/>
        <v>0</v>
      </c>
    </row>
    <row r="291" spans="1:23" x14ac:dyDescent="0.25">
      <c r="A291" t="str">
        <f t="shared" si="41"/>
        <v>G46.13EU1</v>
      </c>
      <c r="B291" t="s">
        <v>34</v>
      </c>
      <c r="C291" t="s">
        <v>258</v>
      </c>
      <c r="D291" t="s">
        <v>490</v>
      </c>
      <c r="E291">
        <v>409037.98</v>
      </c>
      <c r="F291">
        <v>409037.98</v>
      </c>
      <c r="G291">
        <v>2975444.47</v>
      </c>
      <c r="H291">
        <v>3036483.24</v>
      </c>
      <c r="I291">
        <v>16956529.739999998</v>
      </c>
      <c r="J291">
        <v>38.820149999999998</v>
      </c>
      <c r="K291">
        <v>18.439221</v>
      </c>
      <c r="L291">
        <v>176.60010500000001</v>
      </c>
      <c r="M291" t="s">
        <v>15</v>
      </c>
      <c r="N291" s="24">
        <f t="shared" si="42"/>
        <v>0.40903800000000001</v>
      </c>
      <c r="O291" s="24">
        <f t="shared" si="43"/>
        <v>0.40903800000000001</v>
      </c>
      <c r="P291">
        <f t="shared" si="44"/>
        <v>2.975444</v>
      </c>
      <c r="Q291">
        <f t="shared" si="45"/>
        <v>3.036483</v>
      </c>
      <c r="R291">
        <f t="shared" si="46"/>
        <v>16.956530000000001</v>
      </c>
      <c r="S291" s="24">
        <f t="shared" si="47"/>
        <v>38.82</v>
      </c>
      <c r="T291" s="24">
        <f t="shared" si="48"/>
        <v>18.440000000000001</v>
      </c>
      <c r="U291" s="24">
        <f t="shared" si="49"/>
        <v>176.6</v>
      </c>
      <c r="V291" s="24">
        <f>+VLOOKUP(A291,[1]DQS4_AUX!$A:$M,13,FALSE)</f>
        <v>0.40903800000000001</v>
      </c>
      <c r="W291" s="24">
        <f t="shared" si="50"/>
        <v>0</v>
      </c>
    </row>
    <row r="292" spans="1:23" x14ac:dyDescent="0.25">
      <c r="A292" t="str">
        <f t="shared" si="41"/>
        <v>G47.52EU1</v>
      </c>
      <c r="B292" t="s">
        <v>34</v>
      </c>
      <c r="C292" t="s">
        <v>258</v>
      </c>
      <c r="D292" t="s">
        <v>506</v>
      </c>
      <c r="E292">
        <v>25982508.739999902</v>
      </c>
      <c r="F292">
        <v>25982827.5499999</v>
      </c>
      <c r="G292">
        <v>105446149.8</v>
      </c>
      <c r="H292">
        <v>228353464.37</v>
      </c>
      <c r="I292">
        <v>605075473.13</v>
      </c>
      <c r="J292">
        <v>2301.6701269999999</v>
      </c>
      <c r="K292">
        <v>1093.2726660000001</v>
      </c>
      <c r="L292">
        <v>10470.726009</v>
      </c>
      <c r="M292" t="s">
        <v>15</v>
      </c>
      <c r="N292" s="24">
        <f t="shared" si="42"/>
        <v>25.982509</v>
      </c>
      <c r="O292" s="24">
        <f t="shared" si="43"/>
        <v>25.982828000000001</v>
      </c>
      <c r="P292">
        <f t="shared" si="44"/>
        <v>105.44615</v>
      </c>
      <c r="Q292">
        <f t="shared" si="45"/>
        <v>228.353464</v>
      </c>
      <c r="R292">
        <f t="shared" si="46"/>
        <v>605.07547299999999</v>
      </c>
      <c r="S292" s="24">
        <f t="shared" si="47"/>
        <v>2301.67</v>
      </c>
      <c r="T292" s="24">
        <f t="shared" si="48"/>
        <v>1093.27</v>
      </c>
      <c r="U292" s="24">
        <f t="shared" si="49"/>
        <v>10470.73</v>
      </c>
      <c r="V292" s="24">
        <f>+VLOOKUP(A292,[1]DQS4_AUX!$A:$M,13,FALSE)</f>
        <v>25.982828000000001</v>
      </c>
      <c r="W292" s="24">
        <f t="shared" si="50"/>
        <v>0</v>
      </c>
    </row>
    <row r="293" spans="1:23" x14ac:dyDescent="0.25">
      <c r="A293" t="str">
        <f t="shared" si="41"/>
        <v>G46.61EU1</v>
      </c>
      <c r="B293" t="s">
        <v>34</v>
      </c>
      <c r="C293" t="s">
        <v>258</v>
      </c>
      <c r="D293" t="s">
        <v>493</v>
      </c>
      <c r="E293">
        <v>9717947.1999999899</v>
      </c>
      <c r="F293">
        <v>9718196.9999999907</v>
      </c>
      <c r="G293">
        <v>68013333.75</v>
      </c>
      <c r="H293">
        <v>103145840.98</v>
      </c>
      <c r="I293">
        <v>299318620.42000002</v>
      </c>
      <c r="J293">
        <v>763.59876999999994</v>
      </c>
      <c r="K293">
        <v>362.70257299999997</v>
      </c>
      <c r="L293">
        <v>3473.7530040000001</v>
      </c>
      <c r="M293" t="s">
        <v>15</v>
      </c>
      <c r="N293" s="24">
        <f t="shared" si="42"/>
        <v>9.7179470000000006</v>
      </c>
      <c r="O293" s="24">
        <f t="shared" si="43"/>
        <v>9.718197</v>
      </c>
      <c r="P293">
        <f t="shared" si="44"/>
        <v>68.013334</v>
      </c>
      <c r="Q293">
        <f t="shared" si="45"/>
        <v>103.145841</v>
      </c>
      <c r="R293">
        <f t="shared" si="46"/>
        <v>299.31862000000001</v>
      </c>
      <c r="S293" s="24">
        <f t="shared" si="47"/>
        <v>763.6</v>
      </c>
      <c r="T293" s="24">
        <f t="shared" si="48"/>
        <v>362.7</v>
      </c>
      <c r="U293" s="24">
        <f t="shared" si="49"/>
        <v>3473.75</v>
      </c>
      <c r="V293" s="24">
        <f>+VLOOKUP(A293,[1]DQS4_AUX!$A:$M,13,FALSE)</f>
        <v>9.718197</v>
      </c>
      <c r="W293" s="24">
        <f t="shared" si="50"/>
        <v>0</v>
      </c>
    </row>
    <row r="294" spans="1:23" x14ac:dyDescent="0.25">
      <c r="A294" t="str">
        <f t="shared" si="41"/>
        <v>G46.39EU1</v>
      </c>
      <c r="B294" t="s">
        <v>34</v>
      </c>
      <c r="C294" t="s">
        <v>258</v>
      </c>
      <c r="D294" t="s">
        <v>35</v>
      </c>
      <c r="E294">
        <v>22256124.539999899</v>
      </c>
      <c r="F294">
        <v>22256190.559999902</v>
      </c>
      <c r="G294">
        <v>106082922.11</v>
      </c>
      <c r="H294">
        <v>211208094.24000001</v>
      </c>
      <c r="I294">
        <v>1258548439.6600001</v>
      </c>
      <c r="J294">
        <v>4796.4881670000004</v>
      </c>
      <c r="K294">
        <v>2278.2894099999999</v>
      </c>
      <c r="L294">
        <v>21820.113956000001</v>
      </c>
      <c r="M294" t="s">
        <v>15</v>
      </c>
      <c r="N294" s="24">
        <f t="shared" si="42"/>
        <v>22.256125000000001</v>
      </c>
      <c r="O294" s="24">
        <f t="shared" si="43"/>
        <v>22.256191000000001</v>
      </c>
      <c r="P294">
        <f t="shared" si="44"/>
        <v>106.082922</v>
      </c>
      <c r="Q294">
        <f t="shared" si="45"/>
        <v>211.20809399999999</v>
      </c>
      <c r="R294">
        <f t="shared" si="46"/>
        <v>1258.54844</v>
      </c>
      <c r="S294" s="24">
        <f t="shared" si="47"/>
        <v>4796.49</v>
      </c>
      <c r="T294" s="24">
        <f t="shared" si="48"/>
        <v>2278.29</v>
      </c>
      <c r="U294" s="24">
        <f t="shared" si="49"/>
        <v>21820.11</v>
      </c>
      <c r="V294" s="24">
        <f>+VLOOKUP(A294,[1]DQS4_AUX!$A:$M,13,FALSE)</f>
        <v>22.256191000000001</v>
      </c>
      <c r="W294" s="24">
        <f t="shared" si="50"/>
        <v>0</v>
      </c>
    </row>
    <row r="295" spans="1:23" x14ac:dyDescent="0.25">
      <c r="A295" t="str">
        <f t="shared" si="41"/>
        <v>G46.16EU1</v>
      </c>
      <c r="B295" t="s">
        <v>34</v>
      </c>
      <c r="C295" t="s">
        <v>258</v>
      </c>
      <c r="D295" t="s">
        <v>491</v>
      </c>
      <c r="E295">
        <v>3539258.72</v>
      </c>
      <c r="F295">
        <v>3539258.72</v>
      </c>
      <c r="G295">
        <v>15416780.369999999</v>
      </c>
      <c r="H295">
        <v>21074077.809999999</v>
      </c>
      <c r="I295">
        <v>48774800.530000001</v>
      </c>
      <c r="J295">
        <v>320.63983000000002</v>
      </c>
      <c r="K295">
        <v>152.301007</v>
      </c>
      <c r="L295">
        <v>1458.6505400000001</v>
      </c>
      <c r="M295" t="s">
        <v>15</v>
      </c>
      <c r="N295" s="24">
        <f t="shared" si="42"/>
        <v>3.5392589999999999</v>
      </c>
      <c r="O295" s="24">
        <f t="shared" si="43"/>
        <v>3.5392589999999999</v>
      </c>
      <c r="P295">
        <f t="shared" si="44"/>
        <v>15.416779999999999</v>
      </c>
      <c r="Q295">
        <f t="shared" si="45"/>
        <v>21.074078</v>
      </c>
      <c r="R295">
        <f t="shared" si="46"/>
        <v>48.774800999999997</v>
      </c>
      <c r="S295" s="24">
        <f t="shared" si="47"/>
        <v>320.64</v>
      </c>
      <c r="T295" s="24">
        <f t="shared" si="48"/>
        <v>152.30000000000001</v>
      </c>
      <c r="U295" s="24">
        <f t="shared" si="49"/>
        <v>1458.65</v>
      </c>
      <c r="V295" s="24">
        <f>+VLOOKUP(A295,[1]DQS4_AUX!$A:$M,13,FALSE)</f>
        <v>3.5392589999999999</v>
      </c>
      <c r="W295" s="24">
        <f t="shared" si="50"/>
        <v>0</v>
      </c>
    </row>
    <row r="296" spans="1:23" x14ac:dyDescent="0.25">
      <c r="A296" t="str">
        <f t="shared" si="41"/>
        <v>G46.49EU1</v>
      </c>
      <c r="B296" t="s">
        <v>34</v>
      </c>
      <c r="C296" t="s">
        <v>258</v>
      </c>
      <c r="D296" t="s">
        <v>488</v>
      </c>
      <c r="E296">
        <v>18086767.7961239</v>
      </c>
      <c r="F296">
        <v>18087207.986123901</v>
      </c>
      <c r="G296">
        <v>110795393.63</v>
      </c>
      <c r="H296">
        <v>165378530.56</v>
      </c>
      <c r="I296">
        <v>592707364.47000003</v>
      </c>
      <c r="J296">
        <v>2008.451147</v>
      </c>
      <c r="K296">
        <v>953.99631699999998</v>
      </c>
      <c r="L296">
        <v>9136.8180080000002</v>
      </c>
      <c r="M296" t="s">
        <v>15</v>
      </c>
      <c r="N296" s="24">
        <f t="shared" si="42"/>
        <v>18.086767999999999</v>
      </c>
      <c r="O296" s="24">
        <f t="shared" si="43"/>
        <v>18.087208</v>
      </c>
      <c r="P296">
        <f t="shared" si="44"/>
        <v>110.795394</v>
      </c>
      <c r="Q296">
        <f t="shared" si="45"/>
        <v>165.37853100000001</v>
      </c>
      <c r="R296">
        <f t="shared" si="46"/>
        <v>592.70736399999998</v>
      </c>
      <c r="S296" s="24">
        <f t="shared" si="47"/>
        <v>2008.45</v>
      </c>
      <c r="T296" s="24">
        <f t="shared" si="48"/>
        <v>954</v>
      </c>
      <c r="U296" s="24">
        <f t="shared" si="49"/>
        <v>9136.82</v>
      </c>
      <c r="V296" s="24">
        <f>+VLOOKUP(A296,[1]DQS4_AUX!$A:$M,13,FALSE)</f>
        <v>18.087208</v>
      </c>
      <c r="W296" s="24">
        <f t="shared" si="50"/>
        <v>0</v>
      </c>
    </row>
    <row r="297" spans="1:23" x14ac:dyDescent="0.25">
      <c r="A297" t="str">
        <f t="shared" si="41"/>
        <v>G46.11EU1</v>
      </c>
      <c r="B297" t="s">
        <v>34</v>
      </c>
      <c r="C297" t="s">
        <v>258</v>
      </c>
      <c r="D297" t="s">
        <v>514</v>
      </c>
      <c r="E297">
        <v>179611.94</v>
      </c>
      <c r="F297">
        <v>179611.94</v>
      </c>
      <c r="G297">
        <v>347505.05</v>
      </c>
      <c r="H297">
        <v>928188.77</v>
      </c>
      <c r="I297">
        <v>4477214.84</v>
      </c>
      <c r="J297">
        <v>17.830161</v>
      </c>
      <c r="K297">
        <v>8.4691620000000007</v>
      </c>
      <c r="L297">
        <v>81.112719999999996</v>
      </c>
      <c r="M297" t="s">
        <v>15</v>
      </c>
      <c r="N297" s="24">
        <f t="shared" si="42"/>
        <v>0.17961199999999999</v>
      </c>
      <c r="O297" s="24">
        <f t="shared" si="43"/>
        <v>0.17961199999999999</v>
      </c>
      <c r="P297">
        <f t="shared" si="44"/>
        <v>0.34750500000000001</v>
      </c>
      <c r="Q297">
        <f t="shared" si="45"/>
        <v>0.92818900000000004</v>
      </c>
      <c r="R297">
        <f t="shared" si="46"/>
        <v>4.4772150000000002</v>
      </c>
      <c r="S297" s="24">
        <f t="shared" si="47"/>
        <v>17.829999999999998</v>
      </c>
      <c r="T297" s="24">
        <f t="shared" si="48"/>
        <v>8.4700000000000006</v>
      </c>
      <c r="U297" s="24">
        <f t="shared" si="49"/>
        <v>81.11</v>
      </c>
      <c r="V297" s="24">
        <f>+VLOOKUP(A297,[1]DQS4_AUX!$A:$M,13,FALSE)</f>
        <v>0.17961199999999999</v>
      </c>
      <c r="W297" s="24">
        <f t="shared" si="50"/>
        <v>0</v>
      </c>
    </row>
    <row r="298" spans="1:23" x14ac:dyDescent="0.25">
      <c r="A298" t="str">
        <f t="shared" si="41"/>
        <v>G46.76EU1</v>
      </c>
      <c r="B298" t="s">
        <v>34</v>
      </c>
      <c r="C298" t="s">
        <v>258</v>
      </c>
      <c r="D298" t="s">
        <v>155</v>
      </c>
      <c r="E298">
        <v>8725213.9057089891</v>
      </c>
      <c r="F298">
        <v>8725248.9057089891</v>
      </c>
      <c r="G298">
        <v>54379459.960000001</v>
      </c>
      <c r="H298">
        <v>101347165.54000001</v>
      </c>
      <c r="I298">
        <v>370014847.69</v>
      </c>
      <c r="J298">
        <v>586.93728599999997</v>
      </c>
      <c r="K298">
        <v>278.78993300000002</v>
      </c>
      <c r="L298">
        <v>2670.0871080000002</v>
      </c>
      <c r="M298" t="s">
        <v>15</v>
      </c>
      <c r="N298" s="24">
        <f t="shared" si="42"/>
        <v>8.7252139999999994</v>
      </c>
      <c r="O298" s="24">
        <f t="shared" si="43"/>
        <v>8.7252489999999998</v>
      </c>
      <c r="P298">
        <f t="shared" si="44"/>
        <v>54.379460000000002</v>
      </c>
      <c r="Q298">
        <f t="shared" si="45"/>
        <v>101.347166</v>
      </c>
      <c r="R298">
        <f t="shared" si="46"/>
        <v>370.01484799999997</v>
      </c>
      <c r="S298" s="24">
        <f t="shared" si="47"/>
        <v>586.94000000000005</v>
      </c>
      <c r="T298" s="24">
        <f t="shared" si="48"/>
        <v>278.79000000000002</v>
      </c>
      <c r="U298" s="24">
        <f t="shared" si="49"/>
        <v>2670.09</v>
      </c>
      <c r="V298" s="24">
        <f>+VLOOKUP(A298,[1]DQS4_AUX!$A:$M,13,FALSE)</f>
        <v>8.7252489999999998</v>
      </c>
      <c r="W298" s="24">
        <f t="shared" si="50"/>
        <v>0</v>
      </c>
    </row>
    <row r="299" spans="1:23" x14ac:dyDescent="0.25">
      <c r="A299" t="str">
        <f t="shared" si="41"/>
        <v>G47.64EU1</v>
      </c>
      <c r="B299" t="s">
        <v>34</v>
      </c>
      <c r="C299" t="s">
        <v>258</v>
      </c>
      <c r="D299" t="s">
        <v>508</v>
      </c>
      <c r="E299">
        <v>7903260.9299999997</v>
      </c>
      <c r="F299">
        <v>7903260.9299999997</v>
      </c>
      <c r="G299">
        <v>29496209.710000001</v>
      </c>
      <c r="H299">
        <v>46386112.780000001</v>
      </c>
      <c r="I299">
        <v>129266633.38</v>
      </c>
      <c r="J299">
        <v>545.21715900000004</v>
      </c>
      <c r="K299">
        <v>258.97324700000001</v>
      </c>
      <c r="L299">
        <v>2480.2944480000001</v>
      </c>
      <c r="M299" t="s">
        <v>15</v>
      </c>
      <c r="N299" s="24">
        <f t="shared" si="42"/>
        <v>7.9032609999999996</v>
      </c>
      <c r="O299" s="24">
        <f t="shared" si="43"/>
        <v>7.9032609999999996</v>
      </c>
      <c r="P299">
        <f t="shared" si="44"/>
        <v>29.496210000000001</v>
      </c>
      <c r="Q299">
        <f t="shared" si="45"/>
        <v>46.386113000000002</v>
      </c>
      <c r="R299">
        <f t="shared" si="46"/>
        <v>129.26663300000001</v>
      </c>
      <c r="S299" s="24">
        <f t="shared" si="47"/>
        <v>545.22</v>
      </c>
      <c r="T299" s="24">
        <f t="shared" si="48"/>
        <v>258.97000000000003</v>
      </c>
      <c r="U299" s="24">
        <f t="shared" si="49"/>
        <v>2480.29</v>
      </c>
      <c r="V299" s="24">
        <f>+VLOOKUP(A299,[1]DQS4_AUX!$A:$M,13,FALSE)</f>
        <v>7.9032609999999996</v>
      </c>
      <c r="W299" s="24">
        <f t="shared" si="50"/>
        <v>0</v>
      </c>
    </row>
    <row r="300" spans="1:23" x14ac:dyDescent="0.25">
      <c r="A300" t="str">
        <f t="shared" si="41"/>
        <v>G46.38EU1</v>
      </c>
      <c r="B300" t="s">
        <v>34</v>
      </c>
      <c r="C300" t="s">
        <v>258</v>
      </c>
      <c r="D300" t="s">
        <v>99</v>
      </c>
      <c r="E300">
        <v>35130513.610362902</v>
      </c>
      <c r="F300">
        <v>35131927.570362903</v>
      </c>
      <c r="G300">
        <v>201361241.55000001</v>
      </c>
      <c r="H300">
        <v>355894276.10000002</v>
      </c>
      <c r="I300">
        <v>1361640462.4100001</v>
      </c>
      <c r="J300">
        <v>4520.0608730000004</v>
      </c>
      <c r="K300">
        <v>2146.9887239999998</v>
      </c>
      <c r="L300">
        <v>20562.596125</v>
      </c>
      <c r="M300" t="s">
        <v>15</v>
      </c>
      <c r="N300" s="24">
        <f t="shared" si="42"/>
        <v>35.130513999999998</v>
      </c>
      <c r="O300" s="24">
        <f t="shared" si="43"/>
        <v>35.131928000000002</v>
      </c>
      <c r="P300">
        <f t="shared" si="44"/>
        <v>201.361242</v>
      </c>
      <c r="Q300">
        <f t="shared" si="45"/>
        <v>355.89427599999999</v>
      </c>
      <c r="R300">
        <f t="shared" si="46"/>
        <v>1361.6404620000001</v>
      </c>
      <c r="S300" s="24">
        <f t="shared" si="47"/>
        <v>4520.0600000000004</v>
      </c>
      <c r="T300" s="24">
        <f t="shared" si="48"/>
        <v>2146.9899999999998</v>
      </c>
      <c r="U300" s="24">
        <f t="shared" si="49"/>
        <v>20562.599999999999</v>
      </c>
      <c r="V300" s="24">
        <f>+VLOOKUP(A300,[1]DQS4_AUX!$A:$M,13,FALSE)</f>
        <v>35.131928000000002</v>
      </c>
      <c r="W300" s="24">
        <f t="shared" si="50"/>
        <v>0</v>
      </c>
    </row>
    <row r="301" spans="1:23" x14ac:dyDescent="0.25">
      <c r="A301" t="str">
        <f t="shared" si="41"/>
        <v>G46.71EU1</v>
      </c>
      <c r="B301" t="s">
        <v>34</v>
      </c>
      <c r="C301" t="s">
        <v>258</v>
      </c>
      <c r="D301" t="s">
        <v>512</v>
      </c>
      <c r="E301">
        <v>10673119.199999901</v>
      </c>
      <c r="F301">
        <v>10673187.509999899</v>
      </c>
      <c r="G301">
        <v>203817237.90000001</v>
      </c>
      <c r="H301">
        <v>427841789.13999999</v>
      </c>
      <c r="I301">
        <v>2239860428.2199998</v>
      </c>
      <c r="J301">
        <v>1697.9816040000001</v>
      </c>
      <c r="K301">
        <v>806.52623500000004</v>
      </c>
      <c r="L301">
        <v>7724.4336640000001</v>
      </c>
      <c r="M301" t="s">
        <v>15</v>
      </c>
      <c r="N301" s="24">
        <f t="shared" si="42"/>
        <v>10.673119</v>
      </c>
      <c r="O301" s="24">
        <f t="shared" si="43"/>
        <v>10.673188</v>
      </c>
      <c r="P301">
        <f t="shared" si="44"/>
        <v>203.817238</v>
      </c>
      <c r="Q301">
        <f t="shared" si="45"/>
        <v>427.84178900000001</v>
      </c>
      <c r="R301">
        <f t="shared" si="46"/>
        <v>2239.860428</v>
      </c>
      <c r="S301" s="24">
        <f t="shared" si="47"/>
        <v>1697.98</v>
      </c>
      <c r="T301" s="24">
        <f t="shared" si="48"/>
        <v>806.53</v>
      </c>
      <c r="U301" s="24">
        <f t="shared" si="49"/>
        <v>7724.43</v>
      </c>
      <c r="V301" s="24">
        <f>+VLOOKUP(A301,[1]DQS4_AUX!$A:$M,13,FALSE)</f>
        <v>10.673188</v>
      </c>
      <c r="W301" s="24">
        <f t="shared" si="50"/>
        <v>0</v>
      </c>
    </row>
    <row r="302" spans="1:23" x14ac:dyDescent="0.25">
      <c r="A302" t="str">
        <f t="shared" si="41"/>
        <v>G46.90EU1</v>
      </c>
      <c r="B302" t="s">
        <v>34</v>
      </c>
      <c r="C302" t="s">
        <v>258</v>
      </c>
      <c r="D302" t="s">
        <v>220</v>
      </c>
      <c r="E302">
        <v>41663366.469999902</v>
      </c>
      <c r="F302">
        <v>41663811.879999898</v>
      </c>
      <c r="G302">
        <v>220697999.74000001</v>
      </c>
      <c r="H302">
        <v>283994709.88999999</v>
      </c>
      <c r="I302">
        <v>839450062.70000005</v>
      </c>
      <c r="J302">
        <v>3214.9582329999998</v>
      </c>
      <c r="K302">
        <v>1527.076196</v>
      </c>
      <c r="L302">
        <v>14625.444466000001</v>
      </c>
      <c r="M302" t="s">
        <v>15</v>
      </c>
      <c r="N302" s="24">
        <f t="shared" si="42"/>
        <v>41.663366000000003</v>
      </c>
      <c r="O302" s="24">
        <f t="shared" si="43"/>
        <v>41.663812</v>
      </c>
      <c r="P302">
        <f t="shared" si="44"/>
        <v>220.69800000000001</v>
      </c>
      <c r="Q302">
        <f t="shared" si="45"/>
        <v>283.99471</v>
      </c>
      <c r="R302">
        <f t="shared" si="46"/>
        <v>839.450063</v>
      </c>
      <c r="S302" s="24">
        <f t="shared" si="47"/>
        <v>3214.96</v>
      </c>
      <c r="T302" s="24">
        <f t="shared" si="48"/>
        <v>1527.08</v>
      </c>
      <c r="U302" s="24">
        <f t="shared" si="49"/>
        <v>14625.44</v>
      </c>
      <c r="V302" s="24">
        <f>+VLOOKUP(A302,[1]DQS4_AUX!$A:$M,13,FALSE)</f>
        <v>41.663812</v>
      </c>
      <c r="W302" s="24">
        <f t="shared" si="50"/>
        <v>0</v>
      </c>
    </row>
    <row r="303" spans="1:23" x14ac:dyDescent="0.25">
      <c r="A303" t="str">
        <f t="shared" si="41"/>
        <v>G46.72EU1</v>
      </c>
      <c r="B303" t="s">
        <v>34</v>
      </c>
      <c r="C303" t="s">
        <v>258</v>
      </c>
      <c r="D303" t="s">
        <v>214</v>
      </c>
      <c r="E303">
        <v>17420176.899999902</v>
      </c>
      <c r="F303">
        <v>17420437.2299999</v>
      </c>
      <c r="G303">
        <v>111287443.8</v>
      </c>
      <c r="H303">
        <v>303688130.47000003</v>
      </c>
      <c r="I303">
        <v>632565833.02999997</v>
      </c>
      <c r="J303">
        <v>1230.3385229999999</v>
      </c>
      <c r="K303">
        <v>584.39988700000004</v>
      </c>
      <c r="L303">
        <v>5597.0382229999996</v>
      </c>
      <c r="M303" t="s">
        <v>15</v>
      </c>
      <c r="N303" s="24">
        <f t="shared" si="42"/>
        <v>17.420176999999999</v>
      </c>
      <c r="O303" s="24">
        <f t="shared" si="43"/>
        <v>17.420437</v>
      </c>
      <c r="P303">
        <f t="shared" si="44"/>
        <v>111.28744399999999</v>
      </c>
      <c r="Q303">
        <f t="shared" si="45"/>
        <v>303.68813</v>
      </c>
      <c r="R303">
        <f t="shared" si="46"/>
        <v>632.565833</v>
      </c>
      <c r="S303" s="24">
        <f t="shared" si="47"/>
        <v>1230.3399999999999</v>
      </c>
      <c r="T303" s="24">
        <f t="shared" si="48"/>
        <v>584.4</v>
      </c>
      <c r="U303" s="24">
        <f t="shared" si="49"/>
        <v>5597.04</v>
      </c>
      <c r="V303" s="24">
        <f>+VLOOKUP(A303,[1]DQS4_AUX!$A:$M,13,FALSE)</f>
        <v>17.420437</v>
      </c>
      <c r="W303" s="24">
        <f t="shared" si="50"/>
        <v>0</v>
      </c>
    </row>
    <row r="304" spans="1:23" x14ac:dyDescent="0.25">
      <c r="A304" t="str">
        <f t="shared" si="41"/>
        <v>G45.20EU1</v>
      </c>
      <c r="B304" t="s">
        <v>34</v>
      </c>
      <c r="C304" t="s">
        <v>258</v>
      </c>
      <c r="D304" t="s">
        <v>494</v>
      </c>
      <c r="E304">
        <v>21637700.669999901</v>
      </c>
      <c r="F304">
        <v>21638855.3199999</v>
      </c>
      <c r="G304">
        <v>122781468.90000001</v>
      </c>
      <c r="H304">
        <v>158651341.52000001</v>
      </c>
      <c r="I304">
        <v>493609427.81</v>
      </c>
      <c r="J304">
        <v>2094.896252</v>
      </c>
      <c r="K304">
        <v>995.05544899999995</v>
      </c>
      <c r="L304">
        <v>9530.083423</v>
      </c>
      <c r="M304" t="s">
        <v>15</v>
      </c>
      <c r="N304" s="24">
        <f t="shared" si="42"/>
        <v>21.637701</v>
      </c>
      <c r="O304" s="24">
        <f t="shared" si="43"/>
        <v>21.638855</v>
      </c>
      <c r="P304">
        <f t="shared" si="44"/>
        <v>122.781469</v>
      </c>
      <c r="Q304">
        <f t="shared" si="45"/>
        <v>158.651342</v>
      </c>
      <c r="R304">
        <f t="shared" si="46"/>
        <v>493.60942799999998</v>
      </c>
      <c r="S304" s="24">
        <f t="shared" si="47"/>
        <v>2094.9</v>
      </c>
      <c r="T304" s="24">
        <f t="shared" si="48"/>
        <v>995.06</v>
      </c>
      <c r="U304" s="24">
        <f t="shared" si="49"/>
        <v>9530.08</v>
      </c>
      <c r="V304" s="24">
        <f>+VLOOKUP(A304,[1]DQS4_AUX!$A:$M,13,FALSE)</f>
        <v>21.638855</v>
      </c>
      <c r="W304" s="24">
        <f t="shared" si="50"/>
        <v>0</v>
      </c>
    </row>
    <row r="305" spans="1:23" x14ac:dyDescent="0.25">
      <c r="A305" t="str">
        <f t="shared" si="41"/>
        <v>G47.73EU1</v>
      </c>
      <c r="B305" t="s">
        <v>34</v>
      </c>
      <c r="C305" t="s">
        <v>258</v>
      </c>
      <c r="D305" t="s">
        <v>146</v>
      </c>
      <c r="E305">
        <v>45469288.079999901</v>
      </c>
      <c r="F305">
        <v>45471522.859999903</v>
      </c>
      <c r="G305">
        <v>221388887.31999999</v>
      </c>
      <c r="H305">
        <v>454943565.43000001</v>
      </c>
      <c r="I305">
        <v>783729626.03999996</v>
      </c>
      <c r="J305">
        <v>2393.4945640000001</v>
      </c>
      <c r="K305">
        <v>1136.8886219999999</v>
      </c>
      <c r="L305">
        <v>10888.451254</v>
      </c>
      <c r="M305" t="s">
        <v>15</v>
      </c>
      <c r="N305" s="24">
        <f t="shared" si="42"/>
        <v>45.469287999999999</v>
      </c>
      <c r="O305" s="24">
        <f t="shared" si="43"/>
        <v>45.471522999999998</v>
      </c>
      <c r="P305">
        <f t="shared" si="44"/>
        <v>221.38888700000001</v>
      </c>
      <c r="Q305">
        <f t="shared" si="45"/>
        <v>454.94356499999998</v>
      </c>
      <c r="R305">
        <f t="shared" si="46"/>
        <v>783.72962600000005</v>
      </c>
      <c r="S305" s="24">
        <f t="shared" si="47"/>
        <v>2393.4899999999998</v>
      </c>
      <c r="T305" s="24">
        <f t="shared" si="48"/>
        <v>1136.8900000000001</v>
      </c>
      <c r="U305" s="24">
        <f t="shared" si="49"/>
        <v>10888.45</v>
      </c>
      <c r="V305" s="24">
        <f>+VLOOKUP(A305,[1]DQS4_AUX!$A:$M,13,FALSE)</f>
        <v>45.471522999999998</v>
      </c>
      <c r="W305" s="24">
        <f t="shared" si="50"/>
        <v>0</v>
      </c>
    </row>
    <row r="306" spans="1:23" x14ac:dyDescent="0.25">
      <c r="A306" t="str">
        <f t="shared" si="41"/>
        <v>G47.61EU1</v>
      </c>
      <c r="B306" t="s">
        <v>34</v>
      </c>
      <c r="C306" t="s">
        <v>258</v>
      </c>
      <c r="D306" t="s">
        <v>203</v>
      </c>
      <c r="E306">
        <v>501983.42</v>
      </c>
      <c r="F306">
        <v>501983.42</v>
      </c>
      <c r="G306">
        <v>1906397.9</v>
      </c>
      <c r="H306">
        <v>6431624.2000000002</v>
      </c>
      <c r="I306">
        <v>21604128.829999998</v>
      </c>
      <c r="J306">
        <v>36.713855000000002</v>
      </c>
      <c r="K306">
        <v>17.438739999999999</v>
      </c>
      <c r="L306">
        <v>167.018215</v>
      </c>
      <c r="M306" t="s">
        <v>15</v>
      </c>
      <c r="N306" s="24">
        <f t="shared" si="42"/>
        <v>0.50198299999999996</v>
      </c>
      <c r="O306" s="24">
        <f t="shared" si="43"/>
        <v>0.50198299999999996</v>
      </c>
      <c r="P306">
        <f t="shared" si="44"/>
        <v>1.906398</v>
      </c>
      <c r="Q306">
        <f t="shared" si="45"/>
        <v>6.4316240000000002</v>
      </c>
      <c r="R306">
        <f t="shared" si="46"/>
        <v>21.604129</v>
      </c>
      <c r="S306" s="24">
        <f t="shared" si="47"/>
        <v>36.71</v>
      </c>
      <c r="T306" s="24">
        <f t="shared" si="48"/>
        <v>17.440000000000001</v>
      </c>
      <c r="U306" s="24">
        <f t="shared" si="49"/>
        <v>167.02</v>
      </c>
      <c r="V306" s="24">
        <f>+VLOOKUP(A306,[1]DQS4_AUX!$A:$M,13,FALSE)</f>
        <v>0.50198299999999996</v>
      </c>
      <c r="W306" s="24">
        <f t="shared" si="50"/>
        <v>0</v>
      </c>
    </row>
    <row r="307" spans="1:23" x14ac:dyDescent="0.25">
      <c r="A307" t="str">
        <f t="shared" si="41"/>
        <v>G47.29EU1</v>
      </c>
      <c r="B307" t="s">
        <v>34</v>
      </c>
      <c r="C307" t="s">
        <v>258</v>
      </c>
      <c r="D307" t="s">
        <v>542</v>
      </c>
      <c r="E307">
        <v>3233426.4799999902</v>
      </c>
      <c r="F307">
        <v>3233441.71999999</v>
      </c>
      <c r="G307">
        <v>14846156.119999999</v>
      </c>
      <c r="H307">
        <v>133622385.20999999</v>
      </c>
      <c r="I307">
        <v>169138324.72</v>
      </c>
      <c r="J307">
        <v>316.94003500000002</v>
      </c>
      <c r="K307">
        <v>150.543679</v>
      </c>
      <c r="L307">
        <v>1441.8192019999999</v>
      </c>
      <c r="M307" t="s">
        <v>15</v>
      </c>
      <c r="N307" s="24">
        <f t="shared" si="42"/>
        <v>3.2334260000000001</v>
      </c>
      <c r="O307" s="24">
        <f t="shared" si="43"/>
        <v>3.2334420000000001</v>
      </c>
      <c r="P307">
        <f t="shared" si="44"/>
        <v>14.846156000000001</v>
      </c>
      <c r="Q307">
        <f t="shared" si="45"/>
        <v>133.62238500000001</v>
      </c>
      <c r="R307">
        <f t="shared" si="46"/>
        <v>169.13832500000001</v>
      </c>
      <c r="S307" s="24">
        <f t="shared" si="47"/>
        <v>316.94</v>
      </c>
      <c r="T307" s="24">
        <f t="shared" si="48"/>
        <v>150.54</v>
      </c>
      <c r="U307" s="24">
        <f t="shared" si="49"/>
        <v>1441.82</v>
      </c>
      <c r="V307" s="24">
        <f>+VLOOKUP(A307,[1]DQS4_AUX!$A:$M,13,FALSE)</f>
        <v>3.2334420000000001</v>
      </c>
      <c r="W307" s="24">
        <f t="shared" si="50"/>
        <v>0</v>
      </c>
    </row>
    <row r="308" spans="1:23" x14ac:dyDescent="0.25">
      <c r="A308" t="str">
        <f t="shared" si="41"/>
        <v>G46.65EU1</v>
      </c>
      <c r="B308" t="s">
        <v>34</v>
      </c>
      <c r="C308" t="s">
        <v>258</v>
      </c>
      <c r="D308" t="s">
        <v>543</v>
      </c>
      <c r="E308">
        <v>300935.24</v>
      </c>
      <c r="F308">
        <v>300935.24</v>
      </c>
      <c r="G308">
        <v>1457704.94</v>
      </c>
      <c r="H308">
        <v>3260089.77</v>
      </c>
      <c r="I308">
        <v>8834835.5600000005</v>
      </c>
      <c r="J308">
        <v>25.566807000000001</v>
      </c>
      <c r="K308">
        <v>12.144003</v>
      </c>
      <c r="L308">
        <v>116.30816900000001</v>
      </c>
      <c r="M308" t="s">
        <v>15</v>
      </c>
      <c r="N308" s="24">
        <f t="shared" si="42"/>
        <v>0.30093500000000001</v>
      </c>
      <c r="O308" s="24">
        <f t="shared" si="43"/>
        <v>0.30093500000000001</v>
      </c>
      <c r="P308">
        <f t="shared" si="44"/>
        <v>1.457705</v>
      </c>
      <c r="Q308">
        <f t="shared" si="45"/>
        <v>3.2600899999999999</v>
      </c>
      <c r="R308">
        <f t="shared" si="46"/>
        <v>8.8348359999999992</v>
      </c>
      <c r="S308" s="24">
        <f t="shared" si="47"/>
        <v>25.57</v>
      </c>
      <c r="T308" s="24">
        <f t="shared" si="48"/>
        <v>12.14</v>
      </c>
      <c r="U308" s="24">
        <f t="shared" si="49"/>
        <v>116.31</v>
      </c>
      <c r="V308" s="24">
        <f>+VLOOKUP(A308,[1]DQS4_AUX!$A:$M,13,FALSE)</f>
        <v>0.30093500000000001</v>
      </c>
      <c r="W308" s="24">
        <f t="shared" si="50"/>
        <v>0</v>
      </c>
    </row>
    <row r="309" spans="1:23" x14ac:dyDescent="0.25">
      <c r="A309" t="str">
        <f t="shared" si="41"/>
        <v>G46.34EU1</v>
      </c>
      <c r="B309" t="s">
        <v>34</v>
      </c>
      <c r="C309" t="s">
        <v>258</v>
      </c>
      <c r="D309" t="s">
        <v>502</v>
      </c>
      <c r="E309">
        <v>16910163.759999901</v>
      </c>
      <c r="F309">
        <v>16910389.839999899</v>
      </c>
      <c r="G309">
        <v>201306348.03</v>
      </c>
      <c r="H309">
        <v>183002696.50999999</v>
      </c>
      <c r="I309">
        <v>1254452303.25</v>
      </c>
      <c r="J309">
        <v>2309.111879</v>
      </c>
      <c r="K309">
        <v>1096.8076100000001</v>
      </c>
      <c r="L309">
        <v>10504.578436</v>
      </c>
      <c r="M309" t="s">
        <v>15</v>
      </c>
      <c r="N309" s="24">
        <f t="shared" si="42"/>
        <v>16.910164000000002</v>
      </c>
      <c r="O309" s="24">
        <f t="shared" si="43"/>
        <v>16.91039</v>
      </c>
      <c r="P309">
        <f t="shared" si="44"/>
        <v>201.30634800000001</v>
      </c>
      <c r="Q309">
        <f t="shared" si="45"/>
        <v>183.00269700000001</v>
      </c>
      <c r="R309">
        <f t="shared" si="46"/>
        <v>1254.452303</v>
      </c>
      <c r="S309" s="24">
        <f t="shared" si="47"/>
        <v>2309.11</v>
      </c>
      <c r="T309" s="24">
        <f t="shared" si="48"/>
        <v>1096.81</v>
      </c>
      <c r="U309" s="24">
        <f t="shared" si="49"/>
        <v>10504.58</v>
      </c>
      <c r="V309" s="24">
        <f>+VLOOKUP(A309,[1]DQS4_AUX!$A:$M,13,FALSE)</f>
        <v>16.91039</v>
      </c>
      <c r="W309" s="24">
        <f t="shared" si="50"/>
        <v>0</v>
      </c>
    </row>
    <row r="310" spans="1:23" x14ac:dyDescent="0.25">
      <c r="A310" t="str">
        <f t="shared" si="41"/>
        <v>G47.24EU1</v>
      </c>
      <c r="B310" t="s">
        <v>34</v>
      </c>
      <c r="C310" t="s">
        <v>258</v>
      </c>
      <c r="D310" t="s">
        <v>498</v>
      </c>
      <c r="E310">
        <v>861068.51</v>
      </c>
      <c r="F310">
        <v>861068.51</v>
      </c>
      <c r="G310">
        <v>2378394.4700000002</v>
      </c>
      <c r="H310">
        <v>3339783.32</v>
      </c>
      <c r="I310">
        <v>7901775.0899999999</v>
      </c>
      <c r="J310">
        <v>50.791550999999998</v>
      </c>
      <c r="K310">
        <v>24.125527999999999</v>
      </c>
      <c r="L310">
        <v>231.06022899999999</v>
      </c>
      <c r="M310" t="s">
        <v>15</v>
      </c>
      <c r="N310" s="24">
        <f t="shared" si="42"/>
        <v>0.86106899999999997</v>
      </c>
      <c r="O310" s="24">
        <f t="shared" si="43"/>
        <v>0.86106899999999997</v>
      </c>
      <c r="P310">
        <f t="shared" si="44"/>
        <v>2.3783940000000001</v>
      </c>
      <c r="Q310">
        <f t="shared" si="45"/>
        <v>3.3397830000000002</v>
      </c>
      <c r="R310">
        <f t="shared" si="46"/>
        <v>7.9017749999999998</v>
      </c>
      <c r="S310" s="24">
        <f t="shared" si="47"/>
        <v>50.79</v>
      </c>
      <c r="T310" s="24">
        <f t="shared" si="48"/>
        <v>24.13</v>
      </c>
      <c r="U310" s="24">
        <f t="shared" si="49"/>
        <v>231.06</v>
      </c>
      <c r="V310" s="24">
        <f>+VLOOKUP(A310,[1]DQS4_AUX!$A:$M,13,FALSE)</f>
        <v>0.86106899999999997</v>
      </c>
      <c r="W310" s="24">
        <f t="shared" si="50"/>
        <v>0</v>
      </c>
    </row>
    <row r="311" spans="1:23" x14ac:dyDescent="0.25">
      <c r="A311" t="str">
        <f t="shared" si="41"/>
        <v>G47.41EU1</v>
      </c>
      <c r="B311" t="s">
        <v>34</v>
      </c>
      <c r="C311" t="s">
        <v>258</v>
      </c>
      <c r="D311" t="s">
        <v>503</v>
      </c>
      <c r="E311">
        <v>9279728.8099999893</v>
      </c>
      <c r="F311">
        <v>9279805.7699999902</v>
      </c>
      <c r="G311">
        <v>50289757.119999997</v>
      </c>
      <c r="H311">
        <v>54176095.5</v>
      </c>
      <c r="I311">
        <v>300521320.69</v>
      </c>
      <c r="J311">
        <v>1372.1923039999999</v>
      </c>
      <c r="K311">
        <v>651.77912200000003</v>
      </c>
      <c r="L311">
        <v>6242.3576240000002</v>
      </c>
      <c r="M311" t="s">
        <v>15</v>
      </c>
      <c r="N311" s="24">
        <f t="shared" si="42"/>
        <v>9.2797289999999997</v>
      </c>
      <c r="O311" s="24">
        <f t="shared" si="43"/>
        <v>9.2798060000000007</v>
      </c>
      <c r="P311">
        <f t="shared" si="44"/>
        <v>50.289757000000002</v>
      </c>
      <c r="Q311">
        <f t="shared" si="45"/>
        <v>54.176096000000001</v>
      </c>
      <c r="R311">
        <f t="shared" si="46"/>
        <v>300.521321</v>
      </c>
      <c r="S311" s="24">
        <f t="shared" si="47"/>
        <v>1372.19</v>
      </c>
      <c r="T311" s="24">
        <f t="shared" si="48"/>
        <v>651.78</v>
      </c>
      <c r="U311" s="24">
        <f t="shared" si="49"/>
        <v>6242.36</v>
      </c>
      <c r="V311" s="24">
        <f>+VLOOKUP(A311,[1]DQS4_AUX!$A:$M,13,FALSE)</f>
        <v>9.2798060000000007</v>
      </c>
      <c r="W311" s="24">
        <f t="shared" si="50"/>
        <v>0</v>
      </c>
    </row>
    <row r="312" spans="1:23" x14ac:dyDescent="0.25">
      <c r="A312" t="str">
        <f t="shared" si="41"/>
        <v>G45.11EU1</v>
      </c>
      <c r="B312" t="s">
        <v>34</v>
      </c>
      <c r="C312" t="s">
        <v>258</v>
      </c>
      <c r="D312" t="s">
        <v>495</v>
      </c>
      <c r="E312">
        <v>152375029.84999901</v>
      </c>
      <c r="F312">
        <v>152375256.859999</v>
      </c>
      <c r="G312">
        <v>712694145.96000004</v>
      </c>
      <c r="H312">
        <v>1094230303.4400001</v>
      </c>
      <c r="I312">
        <v>6069208752.04</v>
      </c>
      <c r="J312">
        <v>43061.102607000001</v>
      </c>
      <c r="K312">
        <v>20453.641874000001</v>
      </c>
      <c r="L312">
        <v>195892.94249700001</v>
      </c>
      <c r="M312" t="s">
        <v>15</v>
      </c>
      <c r="N312" s="24">
        <f t="shared" si="42"/>
        <v>152.37503000000001</v>
      </c>
      <c r="O312" s="24">
        <f t="shared" si="43"/>
        <v>152.375257</v>
      </c>
      <c r="P312">
        <f t="shared" si="44"/>
        <v>712.69414600000005</v>
      </c>
      <c r="Q312">
        <f t="shared" si="45"/>
        <v>1094.230303</v>
      </c>
      <c r="R312">
        <f t="shared" si="46"/>
        <v>6069.2087519999995</v>
      </c>
      <c r="S312" s="24">
        <f t="shared" si="47"/>
        <v>43061.1</v>
      </c>
      <c r="T312" s="24">
        <f t="shared" si="48"/>
        <v>20453.64</v>
      </c>
      <c r="U312" s="24">
        <f t="shared" si="49"/>
        <v>195892.94</v>
      </c>
      <c r="V312" s="24">
        <f>+VLOOKUP(A312,[1]DQS4_AUX!$A:$M,13,FALSE)</f>
        <v>152.375257</v>
      </c>
      <c r="W312" s="24">
        <f t="shared" si="50"/>
        <v>0</v>
      </c>
    </row>
    <row r="313" spans="1:23" x14ac:dyDescent="0.25">
      <c r="A313" t="str">
        <f t="shared" si="41"/>
        <v>G46.33EU1</v>
      </c>
      <c r="B313" t="s">
        <v>34</v>
      </c>
      <c r="C313" t="s">
        <v>258</v>
      </c>
      <c r="D313" t="s">
        <v>544</v>
      </c>
      <c r="E313">
        <v>8340337.7699999902</v>
      </c>
      <c r="F313">
        <v>8340633.4199999897</v>
      </c>
      <c r="G313">
        <v>74754723.019999996</v>
      </c>
      <c r="H313">
        <v>156948996.19999999</v>
      </c>
      <c r="I313">
        <v>801597807.71000004</v>
      </c>
      <c r="J313">
        <v>1452.3374220000001</v>
      </c>
      <c r="K313">
        <v>689.84742700000004</v>
      </c>
      <c r="L313">
        <v>6606.9521720000002</v>
      </c>
      <c r="M313" t="s">
        <v>15</v>
      </c>
      <c r="N313" s="24">
        <f t="shared" si="42"/>
        <v>8.3403379999999991</v>
      </c>
      <c r="O313" s="24">
        <f t="shared" si="43"/>
        <v>8.3406330000000004</v>
      </c>
      <c r="P313">
        <f t="shared" si="44"/>
        <v>74.754722999999998</v>
      </c>
      <c r="Q313">
        <f t="shared" si="45"/>
        <v>156.94899599999999</v>
      </c>
      <c r="R313">
        <f t="shared" si="46"/>
        <v>801.59780799999999</v>
      </c>
      <c r="S313" s="24">
        <f t="shared" si="47"/>
        <v>1452.34</v>
      </c>
      <c r="T313" s="24">
        <f t="shared" si="48"/>
        <v>689.85</v>
      </c>
      <c r="U313" s="24">
        <f t="shared" si="49"/>
        <v>6606.95</v>
      </c>
      <c r="V313" s="24">
        <f>+VLOOKUP(A313,[1]DQS4_AUX!$A:$M,13,FALSE)</f>
        <v>8.3406330000000004</v>
      </c>
      <c r="W313" s="24">
        <f t="shared" si="50"/>
        <v>0</v>
      </c>
    </row>
    <row r="314" spans="1:23" x14ac:dyDescent="0.25">
      <c r="A314" t="str">
        <f t="shared" si="41"/>
        <v>G45.32EU1</v>
      </c>
      <c r="B314" t="s">
        <v>34</v>
      </c>
      <c r="C314" t="s">
        <v>258</v>
      </c>
      <c r="D314" t="s">
        <v>504</v>
      </c>
      <c r="E314">
        <v>19915405.8699999</v>
      </c>
      <c r="F314">
        <v>19915665.129999898</v>
      </c>
      <c r="G314">
        <v>105749118.91</v>
      </c>
      <c r="H314">
        <v>209673295.94</v>
      </c>
      <c r="I314">
        <v>645780936.66999996</v>
      </c>
      <c r="J314">
        <v>1982.459525</v>
      </c>
      <c r="K314">
        <v>941.64407200000005</v>
      </c>
      <c r="L314">
        <v>9018.6190659999993</v>
      </c>
      <c r="M314" t="s">
        <v>15</v>
      </c>
      <c r="N314" s="24">
        <f t="shared" si="42"/>
        <v>19.915406000000001</v>
      </c>
      <c r="O314" s="24">
        <f t="shared" si="43"/>
        <v>19.915665000000001</v>
      </c>
      <c r="P314">
        <f t="shared" si="44"/>
        <v>105.74911899999999</v>
      </c>
      <c r="Q314">
        <f t="shared" si="45"/>
        <v>209.67329599999999</v>
      </c>
      <c r="R314">
        <f t="shared" si="46"/>
        <v>645.78093699999999</v>
      </c>
      <c r="S314" s="24">
        <f t="shared" si="47"/>
        <v>1982.46</v>
      </c>
      <c r="T314" s="24">
        <f t="shared" si="48"/>
        <v>941.64</v>
      </c>
      <c r="U314" s="24">
        <f t="shared" si="49"/>
        <v>9018.6200000000008</v>
      </c>
      <c r="V314" s="24">
        <f>+VLOOKUP(A314,[1]DQS4_AUX!$A:$M,13,FALSE)</f>
        <v>19.915665000000001</v>
      </c>
      <c r="W314" s="24">
        <f t="shared" si="50"/>
        <v>0</v>
      </c>
    </row>
    <row r="315" spans="1:23" x14ac:dyDescent="0.25">
      <c r="A315" t="str">
        <f t="shared" si="41"/>
        <v>G45.40EU1</v>
      </c>
      <c r="B315" t="s">
        <v>34</v>
      </c>
      <c r="C315" t="s">
        <v>258</v>
      </c>
      <c r="D315" t="s">
        <v>515</v>
      </c>
      <c r="E315">
        <v>9765077.1018999908</v>
      </c>
      <c r="F315">
        <v>9765120.47189999</v>
      </c>
      <c r="G315">
        <v>31311349.41</v>
      </c>
      <c r="H315">
        <v>85643843.870000005</v>
      </c>
      <c r="I315">
        <v>211095058.81</v>
      </c>
      <c r="J315">
        <v>876.70116599999994</v>
      </c>
      <c r="K315">
        <v>416.42523</v>
      </c>
      <c r="L315">
        <v>3988.2765199999999</v>
      </c>
      <c r="M315" t="s">
        <v>15</v>
      </c>
      <c r="N315" s="24">
        <f t="shared" si="42"/>
        <v>9.7650769999999998</v>
      </c>
      <c r="O315" s="24">
        <f t="shared" si="43"/>
        <v>9.7651199999999996</v>
      </c>
      <c r="P315">
        <f t="shared" si="44"/>
        <v>31.311349</v>
      </c>
      <c r="Q315">
        <f t="shared" si="45"/>
        <v>85.643844000000001</v>
      </c>
      <c r="R315">
        <f t="shared" si="46"/>
        <v>211.09505899999999</v>
      </c>
      <c r="S315" s="24">
        <f t="shared" si="47"/>
        <v>876.7</v>
      </c>
      <c r="T315" s="24">
        <f t="shared" si="48"/>
        <v>416.43</v>
      </c>
      <c r="U315" s="24">
        <f t="shared" si="49"/>
        <v>3988.28</v>
      </c>
      <c r="V315" s="24">
        <f>+VLOOKUP(A315,[1]DQS4_AUX!$A:$M,13,FALSE)</f>
        <v>9.7651199999999996</v>
      </c>
      <c r="W315" s="24">
        <f t="shared" si="50"/>
        <v>0</v>
      </c>
    </row>
    <row r="316" spans="1:23" x14ac:dyDescent="0.25">
      <c r="A316" t="str">
        <f t="shared" si="41"/>
        <v>G47.72EU1</v>
      </c>
      <c r="B316" t="s">
        <v>34</v>
      </c>
      <c r="C316" t="s">
        <v>258</v>
      </c>
      <c r="D316" t="s">
        <v>505</v>
      </c>
      <c r="E316">
        <v>5611285.9100000001</v>
      </c>
      <c r="F316">
        <v>5611285.9100000001</v>
      </c>
      <c r="G316">
        <v>20106894.390000001</v>
      </c>
      <c r="H316">
        <v>37169469.890000001</v>
      </c>
      <c r="I316">
        <v>115890082.25</v>
      </c>
      <c r="J316">
        <v>488.49585999999999</v>
      </c>
      <c r="K316">
        <v>232.03116700000001</v>
      </c>
      <c r="L316">
        <v>2222.258511</v>
      </c>
      <c r="M316" t="s">
        <v>15</v>
      </c>
      <c r="N316" s="24">
        <f t="shared" si="42"/>
        <v>5.6112859999999998</v>
      </c>
      <c r="O316" s="24">
        <f t="shared" si="43"/>
        <v>5.6112859999999998</v>
      </c>
      <c r="P316">
        <f t="shared" si="44"/>
        <v>20.106894</v>
      </c>
      <c r="Q316">
        <f t="shared" si="45"/>
        <v>37.169469999999997</v>
      </c>
      <c r="R316">
        <f t="shared" si="46"/>
        <v>115.89008200000001</v>
      </c>
      <c r="S316" s="24">
        <f t="shared" si="47"/>
        <v>488.5</v>
      </c>
      <c r="T316" s="24">
        <f t="shared" si="48"/>
        <v>232.03</v>
      </c>
      <c r="U316" s="24">
        <f t="shared" si="49"/>
        <v>2222.2600000000002</v>
      </c>
      <c r="V316" s="24">
        <f>+VLOOKUP(A316,[1]DQS4_AUX!$A:$M,13,FALSE)</f>
        <v>5.6112859999999998</v>
      </c>
      <c r="W316" s="24">
        <f t="shared" si="50"/>
        <v>0</v>
      </c>
    </row>
    <row r="317" spans="1:23" x14ac:dyDescent="0.25">
      <c r="A317" t="str">
        <f t="shared" si="41"/>
        <v>G46.17EU1</v>
      </c>
      <c r="B317" t="s">
        <v>34</v>
      </c>
      <c r="C317" t="s">
        <v>258</v>
      </c>
      <c r="D317" t="s">
        <v>523</v>
      </c>
      <c r="E317">
        <v>1579520.14</v>
      </c>
      <c r="F317">
        <v>1579520.14</v>
      </c>
      <c r="G317">
        <v>3606001.48</v>
      </c>
      <c r="H317">
        <v>6418303.0499999998</v>
      </c>
      <c r="I317">
        <v>33507618.48</v>
      </c>
      <c r="J317">
        <v>295.96754700000002</v>
      </c>
      <c r="K317">
        <v>140.58195799999999</v>
      </c>
      <c r="L317">
        <v>1346.411276</v>
      </c>
      <c r="M317" t="s">
        <v>15</v>
      </c>
      <c r="N317" s="24">
        <f t="shared" si="42"/>
        <v>1.57952</v>
      </c>
      <c r="O317" s="24">
        <f t="shared" si="43"/>
        <v>1.57952</v>
      </c>
      <c r="P317">
        <f t="shared" si="44"/>
        <v>3.606001</v>
      </c>
      <c r="Q317">
        <f t="shared" si="45"/>
        <v>6.4183029999999999</v>
      </c>
      <c r="R317">
        <f t="shared" si="46"/>
        <v>33.507618000000001</v>
      </c>
      <c r="S317" s="24">
        <f t="shared" si="47"/>
        <v>295.97000000000003</v>
      </c>
      <c r="T317" s="24">
        <f t="shared" si="48"/>
        <v>140.58000000000001</v>
      </c>
      <c r="U317" s="24">
        <f t="shared" si="49"/>
        <v>1346.41</v>
      </c>
      <c r="V317" s="24">
        <f>+VLOOKUP(A317,[1]DQS4_AUX!$A:$M,13,FALSE)</f>
        <v>1.57952</v>
      </c>
      <c r="W317" s="24">
        <f t="shared" si="50"/>
        <v>0</v>
      </c>
    </row>
    <row r="318" spans="1:23" x14ac:dyDescent="0.25">
      <c r="A318" t="str">
        <f t="shared" si="41"/>
        <v>G47.21EU1</v>
      </c>
      <c r="B318" t="s">
        <v>34</v>
      </c>
      <c r="C318" t="s">
        <v>258</v>
      </c>
      <c r="D318" t="s">
        <v>537</v>
      </c>
      <c r="E318">
        <v>1401620.53999999</v>
      </c>
      <c r="F318">
        <v>1401811.5999999901</v>
      </c>
      <c r="G318">
        <v>4871828.76</v>
      </c>
      <c r="H318">
        <v>5987187.46</v>
      </c>
      <c r="I318">
        <v>30846237.09</v>
      </c>
      <c r="J318">
        <v>206.38250099999999</v>
      </c>
      <c r="K318">
        <v>98.029839999999993</v>
      </c>
      <c r="L318">
        <v>938.87241900000004</v>
      </c>
      <c r="M318" t="s">
        <v>15</v>
      </c>
      <c r="N318" s="24">
        <f t="shared" si="42"/>
        <v>1.401621</v>
      </c>
      <c r="O318" s="24">
        <f t="shared" si="43"/>
        <v>1.4018120000000001</v>
      </c>
      <c r="P318">
        <f t="shared" si="44"/>
        <v>4.871829</v>
      </c>
      <c r="Q318">
        <f t="shared" si="45"/>
        <v>5.9871869999999996</v>
      </c>
      <c r="R318">
        <f t="shared" si="46"/>
        <v>30.846236999999999</v>
      </c>
      <c r="S318" s="24">
        <f t="shared" si="47"/>
        <v>206.38</v>
      </c>
      <c r="T318" s="24">
        <f t="shared" si="48"/>
        <v>98.03</v>
      </c>
      <c r="U318" s="24">
        <f t="shared" si="49"/>
        <v>938.87</v>
      </c>
      <c r="V318" s="24">
        <f>+VLOOKUP(A318,[1]DQS4_AUX!$A:$M,13,FALSE)</f>
        <v>1.4018120000000001</v>
      </c>
      <c r="W318" s="24">
        <f t="shared" si="50"/>
        <v>0</v>
      </c>
    </row>
    <row r="319" spans="1:23" x14ac:dyDescent="0.25">
      <c r="A319" t="str">
        <f t="shared" si="41"/>
        <v>G47.54EU1</v>
      </c>
      <c r="B319" t="s">
        <v>34</v>
      </c>
      <c r="C319" t="s">
        <v>258</v>
      </c>
      <c r="D319" t="s">
        <v>115</v>
      </c>
      <c r="E319">
        <v>3083083.68</v>
      </c>
      <c r="F319">
        <v>3083083.68</v>
      </c>
      <c r="G319">
        <v>19322342.039999999</v>
      </c>
      <c r="H319">
        <v>90256302.359999999</v>
      </c>
      <c r="I319">
        <v>405866539.75</v>
      </c>
      <c r="J319">
        <v>321.151748</v>
      </c>
      <c r="K319">
        <v>152.544151</v>
      </c>
      <c r="L319">
        <v>1460.979509</v>
      </c>
      <c r="M319" t="s">
        <v>15</v>
      </c>
      <c r="N319" s="24">
        <f t="shared" si="42"/>
        <v>3.0830839999999999</v>
      </c>
      <c r="O319" s="24">
        <f t="shared" si="43"/>
        <v>3.0830839999999999</v>
      </c>
      <c r="P319">
        <f t="shared" si="44"/>
        <v>19.322341999999999</v>
      </c>
      <c r="Q319">
        <f t="shared" si="45"/>
        <v>90.256302000000005</v>
      </c>
      <c r="R319">
        <f t="shared" si="46"/>
        <v>405.86653999999999</v>
      </c>
      <c r="S319" s="24">
        <f t="shared" si="47"/>
        <v>321.14999999999998</v>
      </c>
      <c r="T319" s="24">
        <f t="shared" si="48"/>
        <v>152.54</v>
      </c>
      <c r="U319" s="24">
        <f t="shared" si="49"/>
        <v>1460.98</v>
      </c>
      <c r="V319" s="24">
        <f>+VLOOKUP(A319,[1]DQS4_AUX!$A:$M,13,FALSE)</f>
        <v>3.0830839999999999</v>
      </c>
      <c r="W319" s="24">
        <f t="shared" si="50"/>
        <v>0</v>
      </c>
    </row>
    <row r="320" spans="1:23" x14ac:dyDescent="0.25">
      <c r="A320" t="str">
        <f t="shared" si="41"/>
        <v>G46.18EU1</v>
      </c>
      <c r="B320" t="s">
        <v>34</v>
      </c>
      <c r="C320" t="s">
        <v>258</v>
      </c>
      <c r="D320" t="s">
        <v>518</v>
      </c>
      <c r="E320">
        <v>2190441.14</v>
      </c>
      <c r="F320">
        <v>2190441.14</v>
      </c>
      <c r="G320">
        <v>84595096.319999993</v>
      </c>
      <c r="H320">
        <v>185248231.88</v>
      </c>
      <c r="I320">
        <v>336692966.29000002</v>
      </c>
      <c r="J320">
        <v>233.20968999999999</v>
      </c>
      <c r="K320">
        <v>110.772509</v>
      </c>
      <c r="L320">
        <v>1060.914303</v>
      </c>
      <c r="M320" t="s">
        <v>15</v>
      </c>
      <c r="N320" s="24">
        <f t="shared" si="42"/>
        <v>2.1904409999999999</v>
      </c>
      <c r="O320" s="24">
        <f t="shared" si="43"/>
        <v>2.1904409999999999</v>
      </c>
      <c r="P320">
        <f t="shared" si="44"/>
        <v>84.595095999999998</v>
      </c>
      <c r="Q320">
        <f t="shared" si="45"/>
        <v>185.248232</v>
      </c>
      <c r="R320">
        <f t="shared" si="46"/>
        <v>336.69296600000001</v>
      </c>
      <c r="S320" s="24">
        <f t="shared" si="47"/>
        <v>233.21</v>
      </c>
      <c r="T320" s="24">
        <f t="shared" si="48"/>
        <v>110.77</v>
      </c>
      <c r="U320" s="24">
        <f t="shared" si="49"/>
        <v>1060.9100000000001</v>
      </c>
      <c r="V320" s="24">
        <f>+VLOOKUP(A320,[1]DQS4_AUX!$A:$M,13,FALSE)</f>
        <v>2.1904409999999999</v>
      </c>
      <c r="W320" s="24">
        <f t="shared" si="50"/>
        <v>0</v>
      </c>
    </row>
    <row r="321" spans="1:23" x14ac:dyDescent="0.25">
      <c r="A321" t="str">
        <f t="shared" si="41"/>
        <v>G46.23EU1</v>
      </c>
      <c r="B321" t="s">
        <v>34</v>
      </c>
      <c r="C321" t="s">
        <v>258</v>
      </c>
      <c r="D321" t="s">
        <v>524</v>
      </c>
      <c r="E321">
        <v>4759397.4599999897</v>
      </c>
      <c r="F321">
        <v>4759435.3599999901</v>
      </c>
      <c r="G321">
        <v>20096160.829999998</v>
      </c>
      <c r="H321">
        <v>34191698.630000003</v>
      </c>
      <c r="I321">
        <v>276761069.25</v>
      </c>
      <c r="J321">
        <v>1091.318111</v>
      </c>
      <c r="K321">
        <v>518.36644899999999</v>
      </c>
      <c r="L321">
        <v>4964.6083799999997</v>
      </c>
      <c r="M321" t="s">
        <v>15</v>
      </c>
      <c r="N321" s="24">
        <f t="shared" si="42"/>
        <v>4.7593969999999999</v>
      </c>
      <c r="O321" s="24">
        <f t="shared" si="43"/>
        <v>4.7594349999999999</v>
      </c>
      <c r="P321">
        <f t="shared" si="44"/>
        <v>20.096160999999999</v>
      </c>
      <c r="Q321">
        <f t="shared" si="45"/>
        <v>34.191699</v>
      </c>
      <c r="R321">
        <f t="shared" si="46"/>
        <v>276.76106900000002</v>
      </c>
      <c r="S321" s="24">
        <f t="shared" si="47"/>
        <v>1091.32</v>
      </c>
      <c r="T321" s="24">
        <f t="shared" si="48"/>
        <v>518.37</v>
      </c>
      <c r="U321" s="24">
        <f t="shared" si="49"/>
        <v>4964.6099999999997</v>
      </c>
      <c r="V321" s="24">
        <f>+VLOOKUP(A321,[1]DQS4_AUX!$A:$M,13,FALSE)</f>
        <v>4.7594349999999999</v>
      </c>
      <c r="W321" s="24">
        <f t="shared" si="50"/>
        <v>0</v>
      </c>
    </row>
    <row r="322" spans="1:23" x14ac:dyDescent="0.25">
      <c r="A322" t="str">
        <f t="shared" si="41"/>
        <v>G47.71EU1</v>
      </c>
      <c r="B322" t="s">
        <v>34</v>
      </c>
      <c r="C322" t="s">
        <v>258</v>
      </c>
      <c r="D322" t="s">
        <v>167</v>
      </c>
      <c r="E322">
        <v>21123024.016082902</v>
      </c>
      <c r="F322">
        <v>21123111.626082901</v>
      </c>
      <c r="G322">
        <v>96619589.609999999</v>
      </c>
      <c r="H322">
        <v>192893785.00999999</v>
      </c>
      <c r="I322">
        <v>561537886.28999996</v>
      </c>
      <c r="J322">
        <v>1743.6892949999999</v>
      </c>
      <c r="K322">
        <v>828.23668499999997</v>
      </c>
      <c r="L322">
        <v>7932.3677630000002</v>
      </c>
      <c r="M322" t="s">
        <v>15</v>
      </c>
      <c r="N322" s="24">
        <f t="shared" si="42"/>
        <v>21.123024000000001</v>
      </c>
      <c r="O322" s="24">
        <f t="shared" si="43"/>
        <v>21.123111999999999</v>
      </c>
      <c r="P322">
        <f t="shared" si="44"/>
        <v>96.619590000000002</v>
      </c>
      <c r="Q322">
        <f t="shared" si="45"/>
        <v>192.89378500000001</v>
      </c>
      <c r="R322">
        <f t="shared" si="46"/>
        <v>561.53788599999996</v>
      </c>
      <c r="S322" s="24">
        <f t="shared" si="47"/>
        <v>1743.69</v>
      </c>
      <c r="T322" s="24">
        <f t="shared" si="48"/>
        <v>828.24</v>
      </c>
      <c r="U322" s="24">
        <f t="shared" si="49"/>
        <v>7932.37</v>
      </c>
      <c r="V322" s="24">
        <f>+VLOOKUP(A322,[1]DQS4_AUX!$A:$M,13,FALSE)</f>
        <v>21.123111999999999</v>
      </c>
      <c r="W322" s="24">
        <f t="shared" si="50"/>
        <v>0</v>
      </c>
    </row>
    <row r="323" spans="1:23" x14ac:dyDescent="0.25">
      <c r="A323" t="str">
        <f t="shared" ref="A323:A386" si="51">+B323&amp;D323&amp;C323</f>
        <v>G47.51EU1</v>
      </c>
      <c r="B323" t="s">
        <v>34</v>
      </c>
      <c r="C323" t="s">
        <v>258</v>
      </c>
      <c r="D323" t="s">
        <v>520</v>
      </c>
      <c r="E323">
        <v>2310956.0699999901</v>
      </c>
      <c r="F323">
        <v>2310963.3899999899</v>
      </c>
      <c r="G323">
        <v>8206860.0899999999</v>
      </c>
      <c r="H323">
        <v>13244805.74</v>
      </c>
      <c r="I323">
        <v>28621597.600000001</v>
      </c>
      <c r="J323">
        <v>134.76538600000001</v>
      </c>
      <c r="K323">
        <v>64.012341000000006</v>
      </c>
      <c r="L323">
        <v>613.07289600000001</v>
      </c>
      <c r="M323" t="s">
        <v>15</v>
      </c>
      <c r="N323" s="24">
        <f t="shared" ref="N323:N386" si="52">+ROUND(E323,0)/1000000</f>
        <v>2.310956</v>
      </c>
      <c r="O323" s="24">
        <f t="shared" ref="O323:O386" si="53">+ROUND(F323,0)/1000000</f>
        <v>2.3109630000000001</v>
      </c>
      <c r="P323">
        <f t="shared" ref="P323:P386" si="54">+ROUND(G323,0)/1000000</f>
        <v>8.2068600000000007</v>
      </c>
      <c r="Q323">
        <f t="shared" ref="Q323:Q386" si="55">+ROUND(H323,0)/1000000</f>
        <v>13.244806000000001</v>
      </c>
      <c r="R323">
        <f t="shared" ref="R323:R386" si="56">+ROUND(I323,0)/1000000</f>
        <v>28.621597999999999</v>
      </c>
      <c r="S323" s="24">
        <f t="shared" ref="S323:S386" si="57">+ROUND(J323,2)</f>
        <v>134.77000000000001</v>
      </c>
      <c r="T323" s="24">
        <f t="shared" ref="T323:T386" si="58">+ROUND(K323,2)</f>
        <v>64.010000000000005</v>
      </c>
      <c r="U323" s="24">
        <f t="shared" ref="U323:U386" si="59">+ROUND(L323,2)</f>
        <v>613.07000000000005</v>
      </c>
      <c r="V323" s="24">
        <f>+VLOOKUP(A323,[1]DQS4_AUX!$A:$M,13,FALSE)</f>
        <v>2.3109630000000001</v>
      </c>
      <c r="W323" s="24">
        <f t="shared" ref="W323:W386" si="60">+V323-O323</f>
        <v>0</v>
      </c>
    </row>
    <row r="324" spans="1:23" x14ac:dyDescent="0.25">
      <c r="A324" t="str">
        <f t="shared" si="51"/>
        <v>G47.74EU1</v>
      </c>
      <c r="B324" t="s">
        <v>34</v>
      </c>
      <c r="C324" t="s">
        <v>258</v>
      </c>
      <c r="D324" t="s">
        <v>105</v>
      </c>
      <c r="E324">
        <v>5819560.6499999901</v>
      </c>
      <c r="F324">
        <v>5819623.3799999896</v>
      </c>
      <c r="G324">
        <v>22696146.91</v>
      </c>
      <c r="H324">
        <v>29504881.93</v>
      </c>
      <c r="I324">
        <v>98676738.180000007</v>
      </c>
      <c r="J324">
        <v>484.91670599999998</v>
      </c>
      <c r="K324">
        <v>230.33102700000001</v>
      </c>
      <c r="L324">
        <v>2205.9767849999998</v>
      </c>
      <c r="M324" t="s">
        <v>15</v>
      </c>
      <c r="N324" s="24">
        <f t="shared" si="52"/>
        <v>5.8195610000000002</v>
      </c>
      <c r="O324" s="24">
        <f t="shared" si="53"/>
        <v>5.819623</v>
      </c>
      <c r="P324">
        <f t="shared" si="54"/>
        <v>22.696147</v>
      </c>
      <c r="Q324">
        <f t="shared" si="55"/>
        <v>29.504881999999998</v>
      </c>
      <c r="R324">
        <f t="shared" si="56"/>
        <v>98.676738</v>
      </c>
      <c r="S324" s="24">
        <f t="shared" si="57"/>
        <v>484.92</v>
      </c>
      <c r="T324" s="24">
        <f t="shared" si="58"/>
        <v>230.33</v>
      </c>
      <c r="U324" s="24">
        <f t="shared" si="59"/>
        <v>2205.98</v>
      </c>
      <c r="V324" s="24">
        <f>+VLOOKUP(A324,[1]DQS4_AUX!$A:$M,13,FALSE)</f>
        <v>5.819623</v>
      </c>
      <c r="W324" s="24">
        <f t="shared" si="60"/>
        <v>0</v>
      </c>
    </row>
    <row r="325" spans="1:23" x14ac:dyDescent="0.25">
      <c r="A325" t="str">
        <f t="shared" si="51"/>
        <v>G46.44EU1</v>
      </c>
      <c r="B325" t="s">
        <v>34</v>
      </c>
      <c r="C325" t="s">
        <v>258</v>
      </c>
      <c r="D325" t="s">
        <v>114</v>
      </c>
      <c r="E325">
        <v>4755582.9599999897</v>
      </c>
      <c r="F325">
        <v>4755636.8299999898</v>
      </c>
      <c r="G325">
        <v>24936553.300000001</v>
      </c>
      <c r="H325">
        <v>40318311.350000001</v>
      </c>
      <c r="I325">
        <v>106012787.40000001</v>
      </c>
      <c r="J325">
        <v>407.92314099999999</v>
      </c>
      <c r="K325">
        <v>193.75977900000001</v>
      </c>
      <c r="L325">
        <v>1855.7186380000001</v>
      </c>
      <c r="M325" t="s">
        <v>15</v>
      </c>
      <c r="N325" s="24">
        <f t="shared" si="52"/>
        <v>4.7555829999999997</v>
      </c>
      <c r="O325" s="24">
        <f t="shared" si="53"/>
        <v>4.7556370000000001</v>
      </c>
      <c r="P325">
        <f t="shared" si="54"/>
        <v>24.936553</v>
      </c>
      <c r="Q325">
        <f t="shared" si="55"/>
        <v>40.318311000000001</v>
      </c>
      <c r="R325">
        <f t="shared" si="56"/>
        <v>106.012787</v>
      </c>
      <c r="S325" s="24">
        <f t="shared" si="57"/>
        <v>407.92</v>
      </c>
      <c r="T325" s="24">
        <f t="shared" si="58"/>
        <v>193.76</v>
      </c>
      <c r="U325" s="24">
        <f t="shared" si="59"/>
        <v>1855.72</v>
      </c>
      <c r="V325" s="24">
        <f>+VLOOKUP(A325,[1]DQS4_AUX!$A:$M,13,FALSE)</f>
        <v>4.7556370000000001</v>
      </c>
      <c r="W325" s="24">
        <f t="shared" si="60"/>
        <v>0</v>
      </c>
    </row>
    <row r="326" spans="1:23" x14ac:dyDescent="0.25">
      <c r="A326" t="str">
        <f t="shared" si="51"/>
        <v>G47.75EU1</v>
      </c>
      <c r="B326" t="s">
        <v>34</v>
      </c>
      <c r="C326" t="s">
        <v>258</v>
      </c>
      <c r="D326" t="s">
        <v>527</v>
      </c>
      <c r="E326">
        <v>12542271.2199999</v>
      </c>
      <c r="F326">
        <v>12542325.609999901</v>
      </c>
      <c r="G326">
        <v>79804784.640000001</v>
      </c>
      <c r="H326">
        <v>62622440.049999997</v>
      </c>
      <c r="I326">
        <v>346949809.69999999</v>
      </c>
      <c r="J326">
        <v>1042.4374379999999</v>
      </c>
      <c r="K326">
        <v>495.148527</v>
      </c>
      <c r="L326">
        <v>4742.241368</v>
      </c>
      <c r="M326" t="s">
        <v>15</v>
      </c>
      <c r="N326" s="24">
        <f t="shared" si="52"/>
        <v>12.542271</v>
      </c>
      <c r="O326" s="24">
        <f t="shared" si="53"/>
        <v>12.542325999999999</v>
      </c>
      <c r="P326">
        <f t="shared" si="54"/>
        <v>79.804784999999995</v>
      </c>
      <c r="Q326">
        <f t="shared" si="55"/>
        <v>62.622439999999997</v>
      </c>
      <c r="R326">
        <f t="shared" si="56"/>
        <v>346.94981000000001</v>
      </c>
      <c r="S326" s="24">
        <f t="shared" si="57"/>
        <v>1042.44</v>
      </c>
      <c r="T326" s="24">
        <f t="shared" si="58"/>
        <v>495.15</v>
      </c>
      <c r="U326" s="24">
        <f t="shared" si="59"/>
        <v>4742.24</v>
      </c>
      <c r="V326" s="24">
        <f>+VLOOKUP(A326,[1]DQS4_AUX!$A:$M,13,FALSE)</f>
        <v>12.542325999999999</v>
      </c>
      <c r="W326" s="24">
        <f t="shared" si="60"/>
        <v>0</v>
      </c>
    </row>
    <row r="327" spans="1:23" x14ac:dyDescent="0.25">
      <c r="A327" t="str">
        <f t="shared" si="51"/>
        <v>G46.45EU1</v>
      </c>
      <c r="B327" t="s">
        <v>34</v>
      </c>
      <c r="C327" t="s">
        <v>258</v>
      </c>
      <c r="D327" t="s">
        <v>216</v>
      </c>
      <c r="E327">
        <v>11265075.599999901</v>
      </c>
      <c r="F327">
        <v>11265123.259999899</v>
      </c>
      <c r="G327">
        <v>63867901.920000002</v>
      </c>
      <c r="H327">
        <v>118388370.89</v>
      </c>
      <c r="I327">
        <v>219816590.68000001</v>
      </c>
      <c r="J327">
        <v>800.89626199999998</v>
      </c>
      <c r="K327">
        <v>380.41852</v>
      </c>
      <c r="L327">
        <v>3643.4262469999999</v>
      </c>
      <c r="M327" t="s">
        <v>15</v>
      </c>
      <c r="N327" s="24">
        <f t="shared" si="52"/>
        <v>11.265076000000001</v>
      </c>
      <c r="O327" s="24">
        <f t="shared" si="53"/>
        <v>11.265123000000001</v>
      </c>
      <c r="P327">
        <f t="shared" si="54"/>
        <v>63.867902000000001</v>
      </c>
      <c r="Q327">
        <f t="shared" si="55"/>
        <v>118.38837100000001</v>
      </c>
      <c r="R327">
        <f t="shared" si="56"/>
        <v>219.81659099999999</v>
      </c>
      <c r="S327" s="24">
        <f t="shared" si="57"/>
        <v>800.9</v>
      </c>
      <c r="T327" s="24">
        <f t="shared" si="58"/>
        <v>380.42</v>
      </c>
      <c r="U327" s="24">
        <f t="shared" si="59"/>
        <v>3643.43</v>
      </c>
      <c r="V327" s="24">
        <f>+VLOOKUP(A327,[1]DQS4_AUX!$A:$M,13,FALSE)</f>
        <v>11.265123000000001</v>
      </c>
      <c r="W327" s="24">
        <f t="shared" si="60"/>
        <v>0</v>
      </c>
    </row>
    <row r="328" spans="1:23" x14ac:dyDescent="0.25">
      <c r="A328" t="str">
        <f t="shared" si="51"/>
        <v>G46.51EU1</v>
      </c>
      <c r="B328" t="s">
        <v>34</v>
      </c>
      <c r="C328" t="s">
        <v>258</v>
      </c>
      <c r="D328" t="s">
        <v>528</v>
      </c>
      <c r="E328">
        <v>1898180.13</v>
      </c>
      <c r="F328">
        <v>1898180.13</v>
      </c>
      <c r="G328">
        <v>32202147.600000001</v>
      </c>
      <c r="H328">
        <v>38676642.439999998</v>
      </c>
      <c r="I328">
        <v>294892318.64999998</v>
      </c>
      <c r="J328">
        <v>216.69129599999999</v>
      </c>
      <c r="K328">
        <v>102.926417</v>
      </c>
      <c r="L328">
        <v>985.76908300000002</v>
      </c>
      <c r="M328" t="s">
        <v>15</v>
      </c>
      <c r="N328" s="24">
        <f t="shared" si="52"/>
        <v>1.89818</v>
      </c>
      <c r="O328" s="24">
        <f t="shared" si="53"/>
        <v>1.89818</v>
      </c>
      <c r="P328">
        <f t="shared" si="54"/>
        <v>32.202148000000001</v>
      </c>
      <c r="Q328">
        <f t="shared" si="55"/>
        <v>38.676642000000001</v>
      </c>
      <c r="R328">
        <f t="shared" si="56"/>
        <v>294.89231899999999</v>
      </c>
      <c r="S328" s="24">
        <f t="shared" si="57"/>
        <v>216.69</v>
      </c>
      <c r="T328" s="24">
        <f t="shared" si="58"/>
        <v>102.93</v>
      </c>
      <c r="U328" s="24">
        <f t="shared" si="59"/>
        <v>985.77</v>
      </c>
      <c r="V328" s="24">
        <f>+VLOOKUP(A328,[1]DQS4_AUX!$A:$M,13,FALSE)</f>
        <v>1.89818</v>
      </c>
      <c r="W328" s="24">
        <f t="shared" si="60"/>
        <v>0</v>
      </c>
    </row>
    <row r="329" spans="1:23" x14ac:dyDescent="0.25">
      <c r="A329" t="str">
        <f t="shared" si="51"/>
        <v>G47.91EU1</v>
      </c>
      <c r="B329" t="s">
        <v>34</v>
      </c>
      <c r="C329" t="s">
        <v>258</v>
      </c>
      <c r="D329" t="s">
        <v>529</v>
      </c>
      <c r="E329">
        <v>4688863.5499999896</v>
      </c>
      <c r="F329">
        <v>4688888.48999999</v>
      </c>
      <c r="G329">
        <v>60704940.299999997</v>
      </c>
      <c r="H329">
        <v>20488963.879999999</v>
      </c>
      <c r="I329">
        <v>255966013.15000001</v>
      </c>
      <c r="J329">
        <v>692.14286000000004</v>
      </c>
      <c r="K329">
        <v>328.761706</v>
      </c>
      <c r="L329">
        <v>3148.6864110000001</v>
      </c>
      <c r="M329" t="s">
        <v>15</v>
      </c>
      <c r="N329" s="24">
        <f t="shared" si="52"/>
        <v>4.6888639999999997</v>
      </c>
      <c r="O329" s="24">
        <f t="shared" si="53"/>
        <v>4.6888880000000004</v>
      </c>
      <c r="P329">
        <f t="shared" si="54"/>
        <v>60.704940000000001</v>
      </c>
      <c r="Q329">
        <f t="shared" si="55"/>
        <v>20.488963999999999</v>
      </c>
      <c r="R329">
        <f t="shared" si="56"/>
        <v>255.966013</v>
      </c>
      <c r="S329" s="24">
        <f t="shared" si="57"/>
        <v>692.14</v>
      </c>
      <c r="T329" s="24">
        <f t="shared" si="58"/>
        <v>328.76</v>
      </c>
      <c r="U329" s="24">
        <f t="shared" si="59"/>
        <v>3148.69</v>
      </c>
      <c r="V329" s="24">
        <f>+VLOOKUP(A329,[1]DQS4_AUX!$A:$M,13,FALSE)</f>
        <v>4.6888880000000004</v>
      </c>
      <c r="W329" s="24">
        <f t="shared" si="60"/>
        <v>0</v>
      </c>
    </row>
    <row r="330" spans="1:23" x14ac:dyDescent="0.25">
      <c r="A330" t="str">
        <f t="shared" si="51"/>
        <v>G47.53EU1</v>
      </c>
      <c r="B330" t="s">
        <v>34</v>
      </c>
      <c r="C330" t="s">
        <v>258</v>
      </c>
      <c r="D330" t="s">
        <v>507</v>
      </c>
      <c r="E330">
        <v>738059.72</v>
      </c>
      <c r="F330">
        <v>738059.72</v>
      </c>
      <c r="G330">
        <v>3398480.04</v>
      </c>
      <c r="H330">
        <v>3600257.88</v>
      </c>
      <c r="I330">
        <v>14389753.85</v>
      </c>
      <c r="J330">
        <v>64.146265999999997</v>
      </c>
      <c r="K330">
        <v>30.468882000000001</v>
      </c>
      <c r="L330">
        <v>291.813357</v>
      </c>
      <c r="M330" t="s">
        <v>15</v>
      </c>
      <c r="N330" s="24">
        <f t="shared" si="52"/>
        <v>0.73806000000000005</v>
      </c>
      <c r="O330" s="24">
        <f t="shared" si="53"/>
        <v>0.73806000000000005</v>
      </c>
      <c r="P330">
        <f t="shared" si="54"/>
        <v>3.3984800000000002</v>
      </c>
      <c r="Q330">
        <f t="shared" si="55"/>
        <v>3.6002580000000002</v>
      </c>
      <c r="R330">
        <f t="shared" si="56"/>
        <v>14.389754</v>
      </c>
      <c r="S330" s="24">
        <f t="shared" si="57"/>
        <v>64.150000000000006</v>
      </c>
      <c r="T330" s="24">
        <f t="shared" si="58"/>
        <v>30.47</v>
      </c>
      <c r="U330" s="24">
        <f t="shared" si="59"/>
        <v>291.81</v>
      </c>
      <c r="V330" s="24">
        <f>+VLOOKUP(A330,[1]DQS4_AUX!$A:$M,13,FALSE)</f>
        <v>0.73806000000000005</v>
      </c>
      <c r="W330" s="24">
        <f t="shared" si="60"/>
        <v>0</v>
      </c>
    </row>
    <row r="331" spans="1:23" x14ac:dyDescent="0.25">
      <c r="A331" t="str">
        <f t="shared" si="51"/>
        <v>G46.22EU1</v>
      </c>
      <c r="B331" t="s">
        <v>34</v>
      </c>
      <c r="C331" t="s">
        <v>258</v>
      </c>
      <c r="D331" t="s">
        <v>530</v>
      </c>
      <c r="E331">
        <v>1217892.6399999999</v>
      </c>
      <c r="F331">
        <v>1217892.6399999999</v>
      </c>
      <c r="G331">
        <v>4758716.24</v>
      </c>
      <c r="H331">
        <v>9442183.6699999999</v>
      </c>
      <c r="I331">
        <v>27604624.32</v>
      </c>
      <c r="J331">
        <v>67.741847000000007</v>
      </c>
      <c r="K331">
        <v>32.176766999999998</v>
      </c>
      <c r="L331">
        <v>308.17028699999997</v>
      </c>
      <c r="M331" t="s">
        <v>15</v>
      </c>
      <c r="N331" s="24">
        <f t="shared" si="52"/>
        <v>1.2178929999999999</v>
      </c>
      <c r="O331" s="24">
        <f t="shared" si="53"/>
        <v>1.2178929999999999</v>
      </c>
      <c r="P331">
        <f t="shared" si="54"/>
        <v>4.7587159999999997</v>
      </c>
      <c r="Q331">
        <f t="shared" si="55"/>
        <v>9.4421839999999992</v>
      </c>
      <c r="R331">
        <f t="shared" si="56"/>
        <v>27.604624000000001</v>
      </c>
      <c r="S331" s="24">
        <f t="shared" si="57"/>
        <v>67.739999999999995</v>
      </c>
      <c r="T331" s="24">
        <f t="shared" si="58"/>
        <v>32.18</v>
      </c>
      <c r="U331" s="24">
        <f t="shared" si="59"/>
        <v>308.17</v>
      </c>
      <c r="V331" s="24">
        <f>+VLOOKUP(A331,[1]DQS4_AUX!$A:$M,13,FALSE)</f>
        <v>1.2178929999999999</v>
      </c>
      <c r="W331" s="24">
        <f t="shared" si="60"/>
        <v>0</v>
      </c>
    </row>
    <row r="332" spans="1:23" x14ac:dyDescent="0.25">
      <c r="A332" t="str">
        <f t="shared" si="51"/>
        <v>G46.19EU1</v>
      </c>
      <c r="B332" t="s">
        <v>34</v>
      </c>
      <c r="C332" t="s">
        <v>258</v>
      </c>
      <c r="D332" t="s">
        <v>531</v>
      </c>
      <c r="E332">
        <v>4385619.1799999904</v>
      </c>
      <c r="F332">
        <v>4385676.5799999898</v>
      </c>
      <c r="G332">
        <v>12944489.82</v>
      </c>
      <c r="H332">
        <v>26507227.960000001</v>
      </c>
      <c r="I332">
        <v>50956556.409999996</v>
      </c>
      <c r="J332">
        <v>355.09660200000002</v>
      </c>
      <c r="K332">
        <v>168.667686</v>
      </c>
      <c r="L332">
        <v>1615.40067</v>
      </c>
      <c r="M332" t="s">
        <v>15</v>
      </c>
      <c r="N332" s="24">
        <f t="shared" si="52"/>
        <v>4.3856190000000002</v>
      </c>
      <c r="O332" s="24">
        <f t="shared" si="53"/>
        <v>4.3856770000000003</v>
      </c>
      <c r="P332">
        <f t="shared" si="54"/>
        <v>12.94449</v>
      </c>
      <c r="Q332">
        <f t="shared" si="55"/>
        <v>26.507228000000001</v>
      </c>
      <c r="R332">
        <f t="shared" si="56"/>
        <v>50.956555999999999</v>
      </c>
      <c r="S332" s="24">
        <f t="shared" si="57"/>
        <v>355.1</v>
      </c>
      <c r="T332" s="24">
        <f t="shared" si="58"/>
        <v>168.67</v>
      </c>
      <c r="U332" s="24">
        <f t="shared" si="59"/>
        <v>1615.4</v>
      </c>
      <c r="V332" s="24">
        <f>+VLOOKUP(A332,[1]DQS4_AUX!$A:$M,13,FALSE)</f>
        <v>4.3856770000000003</v>
      </c>
      <c r="W332" s="24">
        <f t="shared" si="60"/>
        <v>0</v>
      </c>
    </row>
    <row r="333" spans="1:23" x14ac:dyDescent="0.25">
      <c r="A333" t="str">
        <f t="shared" si="51"/>
        <v>G47.43EU1</v>
      </c>
      <c r="B333" t="s">
        <v>34</v>
      </c>
      <c r="C333" t="s">
        <v>258</v>
      </c>
      <c r="D333" t="s">
        <v>496</v>
      </c>
      <c r="E333">
        <v>277795.88</v>
      </c>
      <c r="F333">
        <v>277795.88</v>
      </c>
      <c r="G333">
        <v>1441677.3</v>
      </c>
      <c r="H333">
        <v>4310226.55</v>
      </c>
      <c r="I333">
        <v>7121837.1900000004</v>
      </c>
      <c r="J333">
        <v>16.560414999999999</v>
      </c>
      <c r="K333">
        <v>7.8660370000000004</v>
      </c>
      <c r="L333">
        <v>75.336494000000002</v>
      </c>
      <c r="M333" t="s">
        <v>15</v>
      </c>
      <c r="N333" s="24">
        <f t="shared" si="52"/>
        <v>0.27779599999999999</v>
      </c>
      <c r="O333" s="24">
        <f t="shared" si="53"/>
        <v>0.27779599999999999</v>
      </c>
      <c r="P333">
        <f t="shared" si="54"/>
        <v>1.4416770000000001</v>
      </c>
      <c r="Q333">
        <f t="shared" si="55"/>
        <v>4.3102270000000003</v>
      </c>
      <c r="R333">
        <f t="shared" si="56"/>
        <v>7.1218370000000002</v>
      </c>
      <c r="S333" s="24">
        <f t="shared" si="57"/>
        <v>16.559999999999999</v>
      </c>
      <c r="T333" s="24">
        <f t="shared" si="58"/>
        <v>7.87</v>
      </c>
      <c r="U333" s="24">
        <f t="shared" si="59"/>
        <v>75.34</v>
      </c>
      <c r="V333" s="24">
        <f>+VLOOKUP(A333,[1]DQS4_AUX!$A:$M,13,FALSE)</f>
        <v>0.27779599999999999</v>
      </c>
      <c r="W333" s="24">
        <f t="shared" si="60"/>
        <v>0</v>
      </c>
    </row>
    <row r="334" spans="1:23" x14ac:dyDescent="0.25">
      <c r="A334" t="str">
        <f t="shared" si="51"/>
        <v>G46.48EU1</v>
      </c>
      <c r="B334" t="s">
        <v>34</v>
      </c>
      <c r="C334" t="s">
        <v>258</v>
      </c>
      <c r="D334" t="s">
        <v>497</v>
      </c>
      <c r="E334">
        <v>1124707.1100000001</v>
      </c>
      <c r="F334">
        <v>1124707.1100000001</v>
      </c>
      <c r="G334">
        <v>2883259.56</v>
      </c>
      <c r="H334">
        <v>9373725.8900000006</v>
      </c>
      <c r="I334">
        <v>20687412.780000001</v>
      </c>
      <c r="J334">
        <v>93.391063000000003</v>
      </c>
      <c r="K334">
        <v>44.359914000000003</v>
      </c>
      <c r="L334">
        <v>424.85336999999998</v>
      </c>
      <c r="M334" t="s">
        <v>15</v>
      </c>
      <c r="N334" s="24">
        <f t="shared" si="52"/>
        <v>1.1247069999999999</v>
      </c>
      <c r="O334" s="24">
        <f t="shared" si="53"/>
        <v>1.1247069999999999</v>
      </c>
      <c r="P334">
        <f t="shared" si="54"/>
        <v>2.8832599999999999</v>
      </c>
      <c r="Q334">
        <f t="shared" si="55"/>
        <v>9.3737259999999996</v>
      </c>
      <c r="R334">
        <f t="shared" si="56"/>
        <v>20.687412999999999</v>
      </c>
      <c r="S334" s="24">
        <f t="shared" si="57"/>
        <v>93.39</v>
      </c>
      <c r="T334" s="24">
        <f t="shared" si="58"/>
        <v>44.36</v>
      </c>
      <c r="U334" s="24">
        <f t="shared" si="59"/>
        <v>424.85</v>
      </c>
      <c r="V334" s="24">
        <f>+VLOOKUP(A334,[1]DQS4_AUX!$A:$M,13,FALSE)</f>
        <v>1.1247069999999999</v>
      </c>
      <c r="W334" s="24">
        <f t="shared" si="60"/>
        <v>0</v>
      </c>
    </row>
    <row r="335" spans="1:23" x14ac:dyDescent="0.25">
      <c r="A335" t="str">
        <f t="shared" si="51"/>
        <v>G46.73EU1</v>
      </c>
      <c r="B335" t="s">
        <v>34</v>
      </c>
      <c r="C335" t="s">
        <v>258</v>
      </c>
      <c r="D335" t="s">
        <v>84</v>
      </c>
      <c r="E335">
        <v>57337680.3755299</v>
      </c>
      <c r="F335">
        <v>57338846.155529901</v>
      </c>
      <c r="G335">
        <v>340039061.22000003</v>
      </c>
      <c r="H335">
        <v>555592603.11000001</v>
      </c>
      <c r="I335">
        <v>1531991890.9000001</v>
      </c>
      <c r="J335">
        <v>4557.2699670000002</v>
      </c>
      <c r="K335">
        <v>2164.6624390000002</v>
      </c>
      <c r="L335">
        <v>20731.868932000001</v>
      </c>
      <c r="M335" t="s">
        <v>15</v>
      </c>
      <c r="N335" s="24">
        <f t="shared" si="52"/>
        <v>57.337679999999999</v>
      </c>
      <c r="O335" s="24">
        <f t="shared" si="53"/>
        <v>57.338845999999997</v>
      </c>
      <c r="P335">
        <f t="shared" si="54"/>
        <v>340.039061</v>
      </c>
      <c r="Q335">
        <f t="shared" si="55"/>
        <v>555.59260300000005</v>
      </c>
      <c r="R335">
        <f t="shared" si="56"/>
        <v>1531.9918909999999</v>
      </c>
      <c r="S335" s="24">
        <f t="shared" si="57"/>
        <v>4557.2700000000004</v>
      </c>
      <c r="T335" s="24">
        <f t="shared" si="58"/>
        <v>2164.66</v>
      </c>
      <c r="U335" s="24">
        <f t="shared" si="59"/>
        <v>20731.87</v>
      </c>
      <c r="V335" s="24">
        <f>+VLOOKUP(A335,[1]DQS4_AUX!$A:$M,13,FALSE)</f>
        <v>57.338845999999997</v>
      </c>
      <c r="W335" s="24">
        <f t="shared" si="60"/>
        <v>0</v>
      </c>
    </row>
    <row r="336" spans="1:23" x14ac:dyDescent="0.25">
      <c r="A336" t="str">
        <f t="shared" si="51"/>
        <v>G47.42EU1</v>
      </c>
      <c r="B336" t="s">
        <v>34</v>
      </c>
      <c r="C336" t="s">
        <v>258</v>
      </c>
      <c r="D336" t="s">
        <v>516</v>
      </c>
      <c r="E336">
        <v>2940811.5799999898</v>
      </c>
      <c r="F336">
        <v>2940817.52999999</v>
      </c>
      <c r="G336">
        <v>9074575.5</v>
      </c>
      <c r="H336">
        <v>14471840.52</v>
      </c>
      <c r="I336">
        <v>86889405.340000004</v>
      </c>
      <c r="J336">
        <v>428.47124300000002</v>
      </c>
      <c r="K336">
        <v>203.520004</v>
      </c>
      <c r="L336">
        <v>1949.1953860000001</v>
      </c>
      <c r="M336" t="s">
        <v>15</v>
      </c>
      <c r="N336" s="24">
        <f t="shared" si="52"/>
        <v>2.9408120000000002</v>
      </c>
      <c r="O336" s="24">
        <f t="shared" si="53"/>
        <v>2.9408180000000002</v>
      </c>
      <c r="P336">
        <f t="shared" si="54"/>
        <v>9.0745760000000004</v>
      </c>
      <c r="Q336">
        <f t="shared" si="55"/>
        <v>14.471841</v>
      </c>
      <c r="R336">
        <f t="shared" si="56"/>
        <v>86.889404999999996</v>
      </c>
      <c r="S336" s="24">
        <f t="shared" si="57"/>
        <v>428.47</v>
      </c>
      <c r="T336" s="24">
        <f t="shared" si="58"/>
        <v>203.52</v>
      </c>
      <c r="U336" s="24">
        <f t="shared" si="59"/>
        <v>1949.2</v>
      </c>
      <c r="V336" s="24">
        <f>+VLOOKUP(A336,[1]DQS4_AUX!$A:$M,13,FALSE)</f>
        <v>2.9408180000000002</v>
      </c>
      <c r="W336" s="24">
        <f t="shared" si="60"/>
        <v>0</v>
      </c>
    </row>
    <row r="337" spans="1:23" x14ac:dyDescent="0.25">
      <c r="A337" t="str">
        <f t="shared" si="51"/>
        <v>G46.66EU1</v>
      </c>
      <c r="B337" t="s">
        <v>34</v>
      </c>
      <c r="C337" t="s">
        <v>258</v>
      </c>
      <c r="D337" t="s">
        <v>517</v>
      </c>
      <c r="E337">
        <v>1026534.21999999</v>
      </c>
      <c r="F337">
        <v>1026738.3199999901</v>
      </c>
      <c r="G337">
        <v>4244086.83</v>
      </c>
      <c r="H337">
        <v>11556375.949999999</v>
      </c>
      <c r="I337">
        <v>20555076.469999999</v>
      </c>
      <c r="J337">
        <v>52.353647000000002</v>
      </c>
      <c r="K337">
        <v>24.867502000000002</v>
      </c>
      <c r="L337">
        <v>238.16656599999999</v>
      </c>
      <c r="M337" t="s">
        <v>15</v>
      </c>
      <c r="N337" s="24">
        <f t="shared" si="52"/>
        <v>1.0265340000000001</v>
      </c>
      <c r="O337" s="24">
        <f t="shared" si="53"/>
        <v>1.0267379999999999</v>
      </c>
      <c r="P337">
        <f t="shared" si="54"/>
        <v>4.2440870000000004</v>
      </c>
      <c r="Q337">
        <f t="shared" si="55"/>
        <v>11.556376</v>
      </c>
      <c r="R337">
        <f t="shared" si="56"/>
        <v>20.555076</v>
      </c>
      <c r="S337" s="24">
        <f t="shared" si="57"/>
        <v>52.35</v>
      </c>
      <c r="T337" s="24">
        <f t="shared" si="58"/>
        <v>24.87</v>
      </c>
      <c r="U337" s="24">
        <f t="shared" si="59"/>
        <v>238.17</v>
      </c>
      <c r="V337" s="24">
        <f>+VLOOKUP(A337,[1]DQS4_AUX!$A:$M,13,FALSE)</f>
        <v>1.0267379999999999</v>
      </c>
      <c r="W337" s="24">
        <f t="shared" si="60"/>
        <v>0</v>
      </c>
    </row>
    <row r="338" spans="1:23" x14ac:dyDescent="0.25">
      <c r="A338" t="str">
        <f t="shared" si="51"/>
        <v>G47.79EU1</v>
      </c>
      <c r="B338" t="s">
        <v>34</v>
      </c>
      <c r="C338" t="s">
        <v>258</v>
      </c>
      <c r="D338" t="s">
        <v>510</v>
      </c>
      <c r="E338">
        <v>451150.47</v>
      </c>
      <c r="F338">
        <v>451150.47</v>
      </c>
      <c r="G338">
        <v>2349943.09</v>
      </c>
      <c r="H338">
        <v>5510055.4699999997</v>
      </c>
      <c r="I338">
        <v>42436718.520000003</v>
      </c>
      <c r="J338">
        <v>52.517321000000003</v>
      </c>
      <c r="K338">
        <v>24.945253999999998</v>
      </c>
      <c r="L338">
        <v>238.911079</v>
      </c>
      <c r="M338" t="s">
        <v>15</v>
      </c>
      <c r="N338" s="24">
        <f t="shared" si="52"/>
        <v>0.45115</v>
      </c>
      <c r="O338" s="24">
        <f t="shared" si="53"/>
        <v>0.45115</v>
      </c>
      <c r="P338">
        <f t="shared" si="54"/>
        <v>2.3499430000000001</v>
      </c>
      <c r="Q338">
        <f t="shared" si="55"/>
        <v>5.5100550000000004</v>
      </c>
      <c r="R338">
        <f t="shared" si="56"/>
        <v>42.436718999999997</v>
      </c>
      <c r="S338" s="24">
        <f t="shared" si="57"/>
        <v>52.52</v>
      </c>
      <c r="T338" s="24">
        <f t="shared" si="58"/>
        <v>24.95</v>
      </c>
      <c r="U338" s="24">
        <f t="shared" si="59"/>
        <v>238.91</v>
      </c>
      <c r="V338" s="24">
        <f>+VLOOKUP(A338,[1]DQS4_AUX!$A:$M,13,FALSE)</f>
        <v>0.45115</v>
      </c>
      <c r="W338" s="24">
        <f t="shared" si="60"/>
        <v>0</v>
      </c>
    </row>
    <row r="339" spans="1:23" x14ac:dyDescent="0.25">
      <c r="A339" t="str">
        <f t="shared" si="51"/>
        <v>G47.99EU1</v>
      </c>
      <c r="B339" t="s">
        <v>34</v>
      </c>
      <c r="C339" t="s">
        <v>258</v>
      </c>
      <c r="D339" t="s">
        <v>522</v>
      </c>
      <c r="E339">
        <v>7268649.48999999</v>
      </c>
      <c r="F339">
        <v>7273998.6899999902</v>
      </c>
      <c r="G339">
        <v>32971099.02</v>
      </c>
      <c r="H339">
        <v>41233629.299999997</v>
      </c>
      <c r="I339">
        <v>306194965.75</v>
      </c>
      <c r="J339">
        <v>887.73825699999998</v>
      </c>
      <c r="K339">
        <v>421.667779</v>
      </c>
      <c r="L339">
        <v>4038.4861799999999</v>
      </c>
      <c r="M339" t="s">
        <v>15</v>
      </c>
      <c r="N339" s="24">
        <f t="shared" si="52"/>
        <v>7.2686489999999999</v>
      </c>
      <c r="O339" s="24">
        <f t="shared" si="53"/>
        <v>7.2739989999999999</v>
      </c>
      <c r="P339">
        <f t="shared" si="54"/>
        <v>32.971099000000002</v>
      </c>
      <c r="Q339">
        <f t="shared" si="55"/>
        <v>41.233629000000001</v>
      </c>
      <c r="R339">
        <f t="shared" si="56"/>
        <v>306.19496600000002</v>
      </c>
      <c r="S339" s="24">
        <f t="shared" si="57"/>
        <v>887.74</v>
      </c>
      <c r="T339" s="24">
        <f t="shared" si="58"/>
        <v>421.67</v>
      </c>
      <c r="U339" s="24">
        <f t="shared" si="59"/>
        <v>4038.49</v>
      </c>
      <c r="V339" s="24">
        <f>+VLOOKUP(A339,[1]DQS4_AUX!$A:$M,13,FALSE)</f>
        <v>7.2739989999999999</v>
      </c>
      <c r="W339" s="24">
        <f t="shared" si="60"/>
        <v>0</v>
      </c>
    </row>
    <row r="340" spans="1:23" x14ac:dyDescent="0.25">
      <c r="A340" t="str">
        <f t="shared" si="51"/>
        <v>G46.15EU1</v>
      </c>
      <c r="B340" t="s">
        <v>34</v>
      </c>
      <c r="C340" t="s">
        <v>258</v>
      </c>
      <c r="D340" t="s">
        <v>519</v>
      </c>
      <c r="E340">
        <v>2129118.4300000002</v>
      </c>
      <c r="F340">
        <v>2129118.4300000002</v>
      </c>
      <c r="G340">
        <v>19248477.969999999</v>
      </c>
      <c r="H340">
        <v>24414585.350000001</v>
      </c>
      <c r="I340">
        <v>15167498.550000001</v>
      </c>
      <c r="J340">
        <v>26.194254000000001</v>
      </c>
      <c r="K340">
        <v>12.442033</v>
      </c>
      <c r="L340">
        <v>119.162553</v>
      </c>
      <c r="M340" t="s">
        <v>15</v>
      </c>
      <c r="N340" s="24">
        <f t="shared" si="52"/>
        <v>2.1291180000000001</v>
      </c>
      <c r="O340" s="24">
        <f t="shared" si="53"/>
        <v>2.1291180000000001</v>
      </c>
      <c r="P340">
        <f t="shared" si="54"/>
        <v>19.248477999999999</v>
      </c>
      <c r="Q340">
        <f t="shared" si="55"/>
        <v>24.414584999999999</v>
      </c>
      <c r="R340">
        <f t="shared" si="56"/>
        <v>15.167498999999999</v>
      </c>
      <c r="S340" s="24">
        <f t="shared" si="57"/>
        <v>26.19</v>
      </c>
      <c r="T340" s="24">
        <f t="shared" si="58"/>
        <v>12.44</v>
      </c>
      <c r="U340" s="24">
        <f t="shared" si="59"/>
        <v>119.16</v>
      </c>
      <c r="V340" s="24">
        <f>+VLOOKUP(A340,[1]DQS4_AUX!$A:$M,13,FALSE)</f>
        <v>2.1291180000000001</v>
      </c>
      <c r="W340" s="24">
        <f t="shared" si="60"/>
        <v>0</v>
      </c>
    </row>
    <row r="341" spans="1:23" x14ac:dyDescent="0.25">
      <c r="A341" t="str">
        <f t="shared" si="51"/>
        <v>G47.25EU1</v>
      </c>
      <c r="B341" t="s">
        <v>34</v>
      </c>
      <c r="C341" t="s">
        <v>258</v>
      </c>
      <c r="D341" t="s">
        <v>511</v>
      </c>
      <c r="E341">
        <v>5329930.7699999996</v>
      </c>
      <c r="F341">
        <v>5329930.7699999996</v>
      </c>
      <c r="G341">
        <v>16651479.27</v>
      </c>
      <c r="H341">
        <v>28044202.09</v>
      </c>
      <c r="I341">
        <v>101127076.95999999</v>
      </c>
      <c r="J341">
        <v>467.96979299999998</v>
      </c>
      <c r="K341">
        <v>222.281496</v>
      </c>
      <c r="L341">
        <v>2128.8814200000002</v>
      </c>
      <c r="M341" t="s">
        <v>15</v>
      </c>
      <c r="N341" s="24">
        <f t="shared" si="52"/>
        <v>5.3299310000000002</v>
      </c>
      <c r="O341" s="24">
        <f t="shared" si="53"/>
        <v>5.3299310000000002</v>
      </c>
      <c r="P341">
        <f t="shared" si="54"/>
        <v>16.651478999999998</v>
      </c>
      <c r="Q341">
        <f t="shared" si="55"/>
        <v>28.044201999999999</v>
      </c>
      <c r="R341">
        <f t="shared" si="56"/>
        <v>101.127077</v>
      </c>
      <c r="S341" s="24">
        <f t="shared" si="57"/>
        <v>467.97</v>
      </c>
      <c r="T341" s="24">
        <f t="shared" si="58"/>
        <v>222.28</v>
      </c>
      <c r="U341" s="24">
        <f t="shared" si="59"/>
        <v>2128.88</v>
      </c>
      <c r="V341" s="24">
        <f>+VLOOKUP(A341,[1]DQS4_AUX!$A:$M,13,FALSE)</f>
        <v>5.3299310000000002</v>
      </c>
      <c r="W341" s="24">
        <f t="shared" si="60"/>
        <v>0</v>
      </c>
    </row>
    <row r="342" spans="1:23" x14ac:dyDescent="0.25">
      <c r="A342" t="str">
        <f t="shared" si="51"/>
        <v>G46.69EU1</v>
      </c>
      <c r="B342" t="s">
        <v>34</v>
      </c>
      <c r="C342" t="s">
        <v>258</v>
      </c>
      <c r="D342" t="s">
        <v>208</v>
      </c>
      <c r="E342">
        <v>32237643.989999902</v>
      </c>
      <c r="F342">
        <v>32238081.9099999</v>
      </c>
      <c r="G342">
        <v>187552418.47</v>
      </c>
      <c r="H342">
        <v>383329143.63999999</v>
      </c>
      <c r="I342">
        <v>1068620739.67</v>
      </c>
      <c r="J342">
        <v>2510.0420260000001</v>
      </c>
      <c r="K342">
        <v>1192.2472419999999</v>
      </c>
      <c r="L342">
        <v>11418.649856</v>
      </c>
      <c r="M342" t="s">
        <v>15</v>
      </c>
      <c r="N342" s="24">
        <f t="shared" si="52"/>
        <v>32.237644000000003</v>
      </c>
      <c r="O342" s="24">
        <f t="shared" si="53"/>
        <v>32.238081999999999</v>
      </c>
      <c r="P342">
        <f t="shared" si="54"/>
        <v>187.55241799999999</v>
      </c>
      <c r="Q342">
        <f t="shared" si="55"/>
        <v>383.32914399999999</v>
      </c>
      <c r="R342">
        <f t="shared" si="56"/>
        <v>1068.6207400000001</v>
      </c>
      <c r="S342" s="24">
        <f t="shared" si="57"/>
        <v>2510.04</v>
      </c>
      <c r="T342" s="24">
        <f t="shared" si="58"/>
        <v>1192.25</v>
      </c>
      <c r="U342" s="24">
        <f t="shared" si="59"/>
        <v>11418.65</v>
      </c>
      <c r="V342" s="24">
        <f>+VLOOKUP(A342,[1]DQS4_AUX!$A:$M,13,FALSE)</f>
        <v>32.238081999999999</v>
      </c>
      <c r="W342" s="24">
        <f t="shared" si="60"/>
        <v>0</v>
      </c>
    </row>
    <row r="343" spans="1:23" x14ac:dyDescent="0.25">
      <c r="A343" t="str">
        <f t="shared" si="51"/>
        <v>G46.32EU1</v>
      </c>
      <c r="B343" t="s">
        <v>34</v>
      </c>
      <c r="C343" t="s">
        <v>258</v>
      </c>
      <c r="D343" t="s">
        <v>548</v>
      </c>
      <c r="E343">
        <v>13285536.596438</v>
      </c>
      <c r="F343">
        <v>13285536.596438</v>
      </c>
      <c r="G343">
        <v>95248818.140000001</v>
      </c>
      <c r="H343">
        <v>99405702.909999996</v>
      </c>
      <c r="I343">
        <v>693549088.82000005</v>
      </c>
      <c r="J343">
        <v>1785.7895450000001</v>
      </c>
      <c r="K343">
        <v>848.23417500000005</v>
      </c>
      <c r="L343">
        <v>8123.8880300000001</v>
      </c>
      <c r="M343" t="s">
        <v>15</v>
      </c>
      <c r="N343" s="24">
        <f t="shared" si="52"/>
        <v>13.285537</v>
      </c>
      <c r="O343" s="24">
        <f t="shared" si="53"/>
        <v>13.285537</v>
      </c>
      <c r="P343">
        <f t="shared" si="54"/>
        <v>95.248818</v>
      </c>
      <c r="Q343">
        <f t="shared" si="55"/>
        <v>99.405703000000003</v>
      </c>
      <c r="R343">
        <f t="shared" si="56"/>
        <v>693.54908899999998</v>
      </c>
      <c r="S343" s="24">
        <f t="shared" si="57"/>
        <v>1785.79</v>
      </c>
      <c r="T343" s="24">
        <f t="shared" si="58"/>
        <v>848.23</v>
      </c>
      <c r="U343" s="24">
        <f t="shared" si="59"/>
        <v>8123.89</v>
      </c>
      <c r="V343" s="24">
        <f>+VLOOKUP(A343,[1]DQS4_AUX!$A:$M,13,FALSE)</f>
        <v>13.285537</v>
      </c>
      <c r="W343" s="24">
        <f t="shared" si="60"/>
        <v>0</v>
      </c>
    </row>
    <row r="344" spans="1:23" x14ac:dyDescent="0.25">
      <c r="A344" t="str">
        <f t="shared" si="51"/>
        <v>G46.14EU1</v>
      </c>
      <c r="B344" t="s">
        <v>34</v>
      </c>
      <c r="C344" t="s">
        <v>258</v>
      </c>
      <c r="D344" t="s">
        <v>499</v>
      </c>
      <c r="E344">
        <v>3107603.04</v>
      </c>
      <c r="F344">
        <v>3107603.04</v>
      </c>
      <c r="G344">
        <v>4792388.57</v>
      </c>
      <c r="H344">
        <v>15563481.460000001</v>
      </c>
      <c r="I344">
        <v>79418893.189999998</v>
      </c>
      <c r="J344">
        <v>364.863902</v>
      </c>
      <c r="K344">
        <v>173.30712800000001</v>
      </c>
      <c r="L344">
        <v>1659.8335320000001</v>
      </c>
      <c r="M344" t="s">
        <v>15</v>
      </c>
      <c r="N344" s="24">
        <f t="shared" si="52"/>
        <v>3.1076030000000001</v>
      </c>
      <c r="O344" s="24">
        <f t="shared" si="53"/>
        <v>3.1076030000000001</v>
      </c>
      <c r="P344">
        <f t="shared" si="54"/>
        <v>4.792389</v>
      </c>
      <c r="Q344">
        <f t="shared" si="55"/>
        <v>15.563480999999999</v>
      </c>
      <c r="R344">
        <f t="shared" si="56"/>
        <v>79.418892999999997</v>
      </c>
      <c r="S344" s="24">
        <f t="shared" si="57"/>
        <v>364.86</v>
      </c>
      <c r="T344" s="24">
        <f t="shared" si="58"/>
        <v>173.31</v>
      </c>
      <c r="U344" s="24">
        <f t="shared" si="59"/>
        <v>1659.83</v>
      </c>
      <c r="V344" s="24">
        <f>+VLOOKUP(A344,[1]DQS4_AUX!$A:$M,13,FALSE)</f>
        <v>3.1076030000000001</v>
      </c>
      <c r="W344" s="24">
        <f t="shared" si="60"/>
        <v>0</v>
      </c>
    </row>
    <row r="345" spans="1:23" x14ac:dyDescent="0.25">
      <c r="A345" t="str">
        <f t="shared" si="51"/>
        <v>G46.42EU1</v>
      </c>
      <c r="B345" t="s">
        <v>34</v>
      </c>
      <c r="C345" t="s">
        <v>258</v>
      </c>
      <c r="D345" t="s">
        <v>500</v>
      </c>
      <c r="E345">
        <v>25486326.2302869</v>
      </c>
      <c r="F345">
        <v>25486630.900286902</v>
      </c>
      <c r="G345">
        <v>114364761.09999999</v>
      </c>
      <c r="H345">
        <v>198826848.24000001</v>
      </c>
      <c r="I345">
        <v>422283587</v>
      </c>
      <c r="J345">
        <v>1483.8772200000001</v>
      </c>
      <c r="K345">
        <v>704.82843000000003</v>
      </c>
      <c r="L345">
        <v>6750.4333989999996</v>
      </c>
      <c r="M345" t="s">
        <v>15</v>
      </c>
      <c r="N345" s="24">
        <f t="shared" si="52"/>
        <v>25.486325999999998</v>
      </c>
      <c r="O345" s="24">
        <f t="shared" si="53"/>
        <v>25.486630999999999</v>
      </c>
      <c r="P345">
        <f t="shared" si="54"/>
        <v>114.364761</v>
      </c>
      <c r="Q345">
        <f t="shared" si="55"/>
        <v>198.82684800000001</v>
      </c>
      <c r="R345">
        <f t="shared" si="56"/>
        <v>422.28358700000001</v>
      </c>
      <c r="S345" s="24">
        <f t="shared" si="57"/>
        <v>1483.88</v>
      </c>
      <c r="T345" s="24">
        <f t="shared" si="58"/>
        <v>704.83</v>
      </c>
      <c r="U345" s="24">
        <f t="shared" si="59"/>
        <v>6750.43</v>
      </c>
      <c r="V345" s="24">
        <f>+VLOOKUP(A345,[1]DQS4_AUX!$A:$M,13,FALSE)</f>
        <v>25.486630999999999</v>
      </c>
      <c r="W345" s="24">
        <f t="shared" si="60"/>
        <v>0</v>
      </c>
    </row>
    <row r="346" spans="1:23" x14ac:dyDescent="0.25">
      <c r="A346" t="str">
        <f t="shared" si="51"/>
        <v>G47.82EU1</v>
      </c>
      <c r="B346" t="s">
        <v>34</v>
      </c>
      <c r="C346" t="s">
        <v>258</v>
      </c>
      <c r="D346" t="s">
        <v>501</v>
      </c>
      <c r="E346">
        <v>9192.6299999999992</v>
      </c>
      <c r="F346">
        <v>9192.6299999999992</v>
      </c>
      <c r="G346">
        <v>19230.599999999999</v>
      </c>
      <c r="H346">
        <v>33390.160000000003</v>
      </c>
      <c r="I346">
        <v>246127.37</v>
      </c>
      <c r="J346">
        <v>0.89587499999999998</v>
      </c>
      <c r="K346">
        <v>0.42553099999999999</v>
      </c>
      <c r="L346">
        <v>4.0755049999999997</v>
      </c>
      <c r="M346" t="s">
        <v>15</v>
      </c>
      <c r="N346" s="24">
        <f t="shared" si="52"/>
        <v>9.1929999999999998E-3</v>
      </c>
      <c r="O346" s="24">
        <f t="shared" si="53"/>
        <v>9.1929999999999998E-3</v>
      </c>
      <c r="P346">
        <f t="shared" si="54"/>
        <v>1.9231000000000002E-2</v>
      </c>
      <c r="Q346">
        <f t="shared" si="55"/>
        <v>3.3390000000000003E-2</v>
      </c>
      <c r="R346">
        <f t="shared" si="56"/>
        <v>0.24612700000000001</v>
      </c>
      <c r="S346" s="24">
        <f t="shared" si="57"/>
        <v>0.9</v>
      </c>
      <c r="T346" s="24">
        <f t="shared" si="58"/>
        <v>0.43</v>
      </c>
      <c r="U346" s="24">
        <f t="shared" si="59"/>
        <v>4.08</v>
      </c>
      <c r="V346" s="24">
        <f>+VLOOKUP(A346,[1]DQS4_AUX!$A:$M,13,FALSE)</f>
        <v>9.1929999999999998E-3</v>
      </c>
      <c r="W346" s="24">
        <f t="shared" si="60"/>
        <v>0</v>
      </c>
    </row>
    <row r="347" spans="1:23" x14ac:dyDescent="0.25">
      <c r="A347" t="str">
        <f t="shared" si="51"/>
        <v>G46.47EU1</v>
      </c>
      <c r="B347" t="s">
        <v>34</v>
      </c>
      <c r="C347" t="s">
        <v>258</v>
      </c>
      <c r="D347" t="s">
        <v>525</v>
      </c>
      <c r="E347">
        <v>3809539</v>
      </c>
      <c r="F347">
        <v>3809539</v>
      </c>
      <c r="G347">
        <v>13433066.439999999</v>
      </c>
      <c r="H347">
        <v>32786424.489999998</v>
      </c>
      <c r="I347">
        <v>76074967.090000004</v>
      </c>
      <c r="J347">
        <v>315.73836899999998</v>
      </c>
      <c r="K347">
        <v>149.97284200000001</v>
      </c>
      <c r="L347">
        <v>1436.3529900000001</v>
      </c>
      <c r="M347" t="s">
        <v>15</v>
      </c>
      <c r="N347" s="24">
        <f t="shared" si="52"/>
        <v>3.809539</v>
      </c>
      <c r="O347" s="24">
        <f t="shared" si="53"/>
        <v>3.809539</v>
      </c>
      <c r="P347">
        <f t="shared" si="54"/>
        <v>13.433066</v>
      </c>
      <c r="Q347">
        <f t="shared" si="55"/>
        <v>32.786423999999997</v>
      </c>
      <c r="R347">
        <f t="shared" si="56"/>
        <v>76.074967000000001</v>
      </c>
      <c r="S347" s="24">
        <f t="shared" si="57"/>
        <v>315.74</v>
      </c>
      <c r="T347" s="24">
        <f t="shared" si="58"/>
        <v>149.97</v>
      </c>
      <c r="U347" s="24">
        <f t="shared" si="59"/>
        <v>1436.35</v>
      </c>
      <c r="V347" s="24">
        <f>+VLOOKUP(A347,[1]DQS4_AUX!$A:$M,13,FALSE)</f>
        <v>3.809539</v>
      </c>
      <c r="W347" s="24">
        <f t="shared" si="60"/>
        <v>0</v>
      </c>
    </row>
    <row r="348" spans="1:23" x14ac:dyDescent="0.25">
      <c r="A348" t="str">
        <f t="shared" si="51"/>
        <v>G47.77EU1</v>
      </c>
      <c r="B348" t="s">
        <v>34</v>
      </c>
      <c r="C348" t="s">
        <v>258</v>
      </c>
      <c r="D348" t="s">
        <v>526</v>
      </c>
      <c r="E348">
        <v>5811310.1600000001</v>
      </c>
      <c r="F348">
        <v>5811310.1600000001</v>
      </c>
      <c r="G348">
        <v>24158590.010000002</v>
      </c>
      <c r="H348">
        <v>150084292.03999999</v>
      </c>
      <c r="I348">
        <v>202119011.58000001</v>
      </c>
      <c r="J348">
        <v>404.019184</v>
      </c>
      <c r="K348">
        <v>191.905463</v>
      </c>
      <c r="L348">
        <v>1837.9587429999999</v>
      </c>
      <c r="M348" t="s">
        <v>15</v>
      </c>
      <c r="N348" s="24">
        <f t="shared" si="52"/>
        <v>5.8113099999999998</v>
      </c>
      <c r="O348" s="24">
        <f t="shared" si="53"/>
        <v>5.8113099999999998</v>
      </c>
      <c r="P348">
        <f t="shared" si="54"/>
        <v>24.15859</v>
      </c>
      <c r="Q348">
        <f t="shared" si="55"/>
        <v>150.084292</v>
      </c>
      <c r="R348">
        <f t="shared" si="56"/>
        <v>202.119012</v>
      </c>
      <c r="S348" s="24">
        <f t="shared" si="57"/>
        <v>404.02</v>
      </c>
      <c r="T348" s="24">
        <f t="shared" si="58"/>
        <v>191.91</v>
      </c>
      <c r="U348" s="24">
        <f t="shared" si="59"/>
        <v>1837.96</v>
      </c>
      <c r="V348" s="24">
        <f>+VLOOKUP(A348,[1]DQS4_AUX!$A:$M,13,FALSE)</f>
        <v>5.8113099999999998</v>
      </c>
      <c r="W348" s="24">
        <f t="shared" si="60"/>
        <v>0</v>
      </c>
    </row>
    <row r="349" spans="1:23" x14ac:dyDescent="0.25">
      <c r="A349" t="str">
        <f t="shared" si="51"/>
        <v>G46.21EU1</v>
      </c>
      <c r="B349" t="s">
        <v>34</v>
      </c>
      <c r="C349" t="s">
        <v>258</v>
      </c>
      <c r="D349" t="s">
        <v>545</v>
      </c>
      <c r="E349">
        <v>25812947.499999899</v>
      </c>
      <c r="F349">
        <v>25813140.7999999</v>
      </c>
      <c r="G349">
        <v>79425410.730000004</v>
      </c>
      <c r="H349">
        <v>153314677.09</v>
      </c>
      <c r="I349">
        <v>1870738443.3399999</v>
      </c>
      <c r="J349">
        <v>22782.910549</v>
      </c>
      <c r="K349">
        <v>10821.681500999999</v>
      </c>
      <c r="L349">
        <v>103643.679036</v>
      </c>
      <c r="M349" t="s">
        <v>15</v>
      </c>
      <c r="N349" s="24">
        <f t="shared" si="52"/>
        <v>25.812947000000001</v>
      </c>
      <c r="O349" s="24">
        <f t="shared" si="53"/>
        <v>25.813141000000002</v>
      </c>
      <c r="P349">
        <f t="shared" si="54"/>
        <v>79.425410999999997</v>
      </c>
      <c r="Q349">
        <f t="shared" si="55"/>
        <v>153.31467699999999</v>
      </c>
      <c r="R349">
        <f t="shared" si="56"/>
        <v>1870.738443</v>
      </c>
      <c r="S349" s="24">
        <f t="shared" si="57"/>
        <v>22782.91</v>
      </c>
      <c r="T349" s="24">
        <f t="shared" si="58"/>
        <v>10821.68</v>
      </c>
      <c r="U349" s="24">
        <f t="shared" si="59"/>
        <v>103643.68</v>
      </c>
      <c r="V349" s="24">
        <f>+VLOOKUP(A349,[1]DQS4_AUX!$A:$M,13,FALSE)</f>
        <v>25.813141000000002</v>
      </c>
      <c r="W349" s="24">
        <f t="shared" si="60"/>
        <v>0</v>
      </c>
    </row>
    <row r="350" spans="1:23" x14ac:dyDescent="0.25">
      <c r="A350" t="str">
        <f t="shared" si="51"/>
        <v>G46.12EU1</v>
      </c>
      <c r="B350" t="s">
        <v>34</v>
      </c>
      <c r="C350" t="s">
        <v>258</v>
      </c>
      <c r="D350" t="s">
        <v>513</v>
      </c>
      <c r="E350">
        <v>104479.56</v>
      </c>
      <c r="F350">
        <v>104479.56</v>
      </c>
      <c r="G350">
        <v>696818.97</v>
      </c>
      <c r="H350">
        <v>1190433.01</v>
      </c>
      <c r="I350">
        <v>6598141.9900000002</v>
      </c>
      <c r="J350">
        <v>9.8681210000000004</v>
      </c>
      <c r="K350">
        <v>4.6872660000000002</v>
      </c>
      <c r="L350">
        <v>44.891953000000001</v>
      </c>
      <c r="M350" t="s">
        <v>15</v>
      </c>
      <c r="N350" s="24">
        <f t="shared" si="52"/>
        <v>0.10448</v>
      </c>
      <c r="O350" s="24">
        <f t="shared" si="53"/>
        <v>0.10448</v>
      </c>
      <c r="P350">
        <f t="shared" si="54"/>
        <v>0.69681899999999997</v>
      </c>
      <c r="Q350">
        <f t="shared" si="55"/>
        <v>1.1904330000000001</v>
      </c>
      <c r="R350">
        <f t="shared" si="56"/>
        <v>6.5981420000000002</v>
      </c>
      <c r="S350" s="24">
        <f t="shared" si="57"/>
        <v>9.8699999999999992</v>
      </c>
      <c r="T350" s="24">
        <f t="shared" si="58"/>
        <v>4.6900000000000004</v>
      </c>
      <c r="U350" s="24">
        <f t="shared" si="59"/>
        <v>44.89</v>
      </c>
      <c r="V350" s="24">
        <f>+VLOOKUP(A350,[1]DQS4_AUX!$A:$M,13,FALSE)</f>
        <v>0.10448</v>
      </c>
      <c r="W350" s="24">
        <f t="shared" si="60"/>
        <v>0</v>
      </c>
    </row>
    <row r="351" spans="1:23" x14ac:dyDescent="0.25">
      <c r="A351" t="str">
        <f t="shared" si="51"/>
        <v>G47.59EU1</v>
      </c>
      <c r="B351" t="s">
        <v>34</v>
      </c>
      <c r="C351" t="s">
        <v>258</v>
      </c>
      <c r="D351" t="s">
        <v>546</v>
      </c>
      <c r="E351">
        <v>20769040.189999901</v>
      </c>
      <c r="F351">
        <v>20769547.3899999</v>
      </c>
      <c r="G351">
        <v>202702333.78</v>
      </c>
      <c r="H351">
        <v>312638552.07999998</v>
      </c>
      <c r="I351">
        <v>1012212462.67</v>
      </c>
      <c r="J351">
        <v>1424.692329</v>
      </c>
      <c r="K351">
        <v>676.71597799999995</v>
      </c>
      <c r="L351">
        <v>6481.1913070000001</v>
      </c>
      <c r="M351" t="s">
        <v>15</v>
      </c>
      <c r="N351" s="24">
        <f t="shared" si="52"/>
        <v>20.76904</v>
      </c>
      <c r="O351" s="24">
        <f t="shared" si="53"/>
        <v>20.769546999999999</v>
      </c>
      <c r="P351">
        <f t="shared" si="54"/>
        <v>202.70233400000001</v>
      </c>
      <c r="Q351">
        <f t="shared" si="55"/>
        <v>312.638552</v>
      </c>
      <c r="R351">
        <f t="shared" si="56"/>
        <v>1012.212463</v>
      </c>
      <c r="S351" s="24">
        <f t="shared" si="57"/>
        <v>1424.69</v>
      </c>
      <c r="T351" s="24">
        <f t="shared" si="58"/>
        <v>676.72</v>
      </c>
      <c r="U351" s="24">
        <f t="shared" si="59"/>
        <v>6481.19</v>
      </c>
      <c r="V351" s="24">
        <f>+VLOOKUP(A351,[1]DQS4_AUX!$A:$M,13,FALSE)</f>
        <v>20.769546999999999</v>
      </c>
      <c r="W351" s="24">
        <f t="shared" si="60"/>
        <v>0</v>
      </c>
    </row>
    <row r="352" spans="1:23" x14ac:dyDescent="0.25">
      <c r="A352" t="str">
        <f t="shared" si="51"/>
        <v>G46.46EU1</v>
      </c>
      <c r="B352" t="s">
        <v>34</v>
      </c>
      <c r="C352" t="s">
        <v>258</v>
      </c>
      <c r="D352" t="s">
        <v>70</v>
      </c>
      <c r="E352">
        <v>24338480.915378898</v>
      </c>
      <c r="F352">
        <v>24338645.895378899</v>
      </c>
      <c r="G352">
        <v>237875710.81</v>
      </c>
      <c r="H352">
        <v>447154426</v>
      </c>
      <c r="I352">
        <v>2951588369.1700001</v>
      </c>
      <c r="J352">
        <v>4575.191041</v>
      </c>
      <c r="K352">
        <v>2173.1750059999999</v>
      </c>
      <c r="L352">
        <v>20813.393596000002</v>
      </c>
      <c r="M352" t="s">
        <v>15</v>
      </c>
      <c r="N352" s="24">
        <f t="shared" si="52"/>
        <v>24.338481000000002</v>
      </c>
      <c r="O352" s="24">
        <f t="shared" si="53"/>
        <v>24.338646000000001</v>
      </c>
      <c r="P352">
        <f t="shared" si="54"/>
        <v>237.875711</v>
      </c>
      <c r="Q352">
        <f t="shared" si="55"/>
        <v>447.154426</v>
      </c>
      <c r="R352">
        <f t="shared" si="56"/>
        <v>2951.5883690000001</v>
      </c>
      <c r="S352" s="24">
        <f t="shared" si="57"/>
        <v>4575.1899999999996</v>
      </c>
      <c r="T352" s="24">
        <f t="shared" si="58"/>
        <v>2173.1799999999998</v>
      </c>
      <c r="U352" s="24">
        <f t="shared" si="59"/>
        <v>20813.39</v>
      </c>
      <c r="V352" s="24">
        <f>+VLOOKUP(A352,[1]DQS4_AUX!$A:$M,13,FALSE)</f>
        <v>24.338646000000001</v>
      </c>
      <c r="W352" s="24">
        <f t="shared" si="60"/>
        <v>0</v>
      </c>
    </row>
    <row r="353" spans="1:23" x14ac:dyDescent="0.25">
      <c r="A353" t="str">
        <f t="shared" si="51"/>
        <v>G46.52EU1</v>
      </c>
      <c r="B353" t="s">
        <v>34</v>
      </c>
      <c r="C353" t="s">
        <v>258</v>
      </c>
      <c r="D353" t="s">
        <v>212</v>
      </c>
      <c r="E353">
        <v>6466141.7199999904</v>
      </c>
      <c r="F353">
        <v>6466147.5099999905</v>
      </c>
      <c r="G353">
        <v>45707689.880000003</v>
      </c>
      <c r="H353">
        <v>514880340.54000002</v>
      </c>
      <c r="I353">
        <v>229630819.84</v>
      </c>
      <c r="J353">
        <v>438.32409000000001</v>
      </c>
      <c r="K353">
        <v>208.19998000000001</v>
      </c>
      <c r="L353">
        <v>1994.0180270000001</v>
      </c>
      <c r="M353" t="s">
        <v>15</v>
      </c>
      <c r="N353" s="24">
        <f t="shared" si="52"/>
        <v>6.4661419999999996</v>
      </c>
      <c r="O353" s="24">
        <f t="shared" si="53"/>
        <v>6.4661479999999996</v>
      </c>
      <c r="P353">
        <f t="shared" si="54"/>
        <v>45.707689999999999</v>
      </c>
      <c r="Q353">
        <f t="shared" si="55"/>
        <v>514.88034100000004</v>
      </c>
      <c r="R353">
        <f t="shared" si="56"/>
        <v>229.63082</v>
      </c>
      <c r="S353" s="24">
        <f t="shared" si="57"/>
        <v>438.32</v>
      </c>
      <c r="T353" s="24">
        <f t="shared" si="58"/>
        <v>208.2</v>
      </c>
      <c r="U353" s="24">
        <f t="shared" si="59"/>
        <v>1994.02</v>
      </c>
      <c r="V353" s="24">
        <f>+VLOOKUP(A353,[1]DQS4_AUX!$A:$M,13,FALSE)</f>
        <v>6.4661479999999996</v>
      </c>
      <c r="W353" s="24">
        <f t="shared" si="60"/>
        <v>0</v>
      </c>
    </row>
    <row r="354" spans="1:23" x14ac:dyDescent="0.25">
      <c r="A354" t="str">
        <f t="shared" si="51"/>
        <v>G47.76EU1</v>
      </c>
      <c r="B354" t="s">
        <v>34</v>
      </c>
      <c r="C354" t="s">
        <v>258</v>
      </c>
      <c r="D354" t="s">
        <v>547</v>
      </c>
      <c r="E354">
        <v>3165938.56</v>
      </c>
      <c r="F354">
        <v>3165938.56</v>
      </c>
      <c r="G354">
        <v>15717104.01</v>
      </c>
      <c r="H354">
        <v>28713864.850000001</v>
      </c>
      <c r="I354">
        <v>90606139.799999997</v>
      </c>
      <c r="J354">
        <v>322.06881399999997</v>
      </c>
      <c r="K354">
        <v>152.979714</v>
      </c>
      <c r="L354">
        <v>1465.151548</v>
      </c>
      <c r="M354" t="s">
        <v>15</v>
      </c>
      <c r="N354" s="24">
        <f t="shared" si="52"/>
        <v>3.1659389999999998</v>
      </c>
      <c r="O354" s="24">
        <f t="shared" si="53"/>
        <v>3.1659389999999998</v>
      </c>
      <c r="P354">
        <f t="shared" si="54"/>
        <v>15.717104000000001</v>
      </c>
      <c r="Q354">
        <f t="shared" si="55"/>
        <v>28.713864999999998</v>
      </c>
      <c r="R354">
        <f t="shared" si="56"/>
        <v>90.606139999999996</v>
      </c>
      <c r="S354" s="24">
        <f t="shared" si="57"/>
        <v>322.07</v>
      </c>
      <c r="T354" s="24">
        <f t="shared" si="58"/>
        <v>152.97999999999999</v>
      </c>
      <c r="U354" s="24">
        <f t="shared" si="59"/>
        <v>1465.15</v>
      </c>
      <c r="V354" s="24">
        <f>+VLOOKUP(A354,[1]DQS4_AUX!$A:$M,13,FALSE)</f>
        <v>3.1659389999999998</v>
      </c>
      <c r="W354" s="24">
        <f t="shared" si="60"/>
        <v>0</v>
      </c>
    </row>
    <row r="355" spans="1:23" x14ac:dyDescent="0.25">
      <c r="A355" t="str">
        <f t="shared" si="51"/>
        <v>G47.22EU1</v>
      </c>
      <c r="B355" t="s">
        <v>34</v>
      </c>
      <c r="C355" t="s">
        <v>258</v>
      </c>
      <c r="D355" t="s">
        <v>538</v>
      </c>
      <c r="E355">
        <v>7212584.6899999902</v>
      </c>
      <c r="F355">
        <v>7212618.3599999901</v>
      </c>
      <c r="G355">
        <v>29153942.719999999</v>
      </c>
      <c r="H355">
        <v>27686922.09</v>
      </c>
      <c r="I355">
        <v>215295810.91999999</v>
      </c>
      <c r="J355">
        <v>1155.59349</v>
      </c>
      <c r="K355">
        <v>548.89660500000002</v>
      </c>
      <c r="L355">
        <v>5257.0095510000001</v>
      </c>
      <c r="M355" t="s">
        <v>15</v>
      </c>
      <c r="N355" s="24">
        <f t="shared" si="52"/>
        <v>7.2125849999999998</v>
      </c>
      <c r="O355" s="24">
        <f t="shared" si="53"/>
        <v>7.212618</v>
      </c>
      <c r="P355">
        <f t="shared" si="54"/>
        <v>29.153943000000002</v>
      </c>
      <c r="Q355">
        <f t="shared" si="55"/>
        <v>27.686921999999999</v>
      </c>
      <c r="R355">
        <f t="shared" si="56"/>
        <v>215.29581099999999</v>
      </c>
      <c r="S355" s="24">
        <f t="shared" si="57"/>
        <v>1155.5899999999999</v>
      </c>
      <c r="T355" s="24">
        <f t="shared" si="58"/>
        <v>548.9</v>
      </c>
      <c r="U355" s="24">
        <f t="shared" si="59"/>
        <v>5257.01</v>
      </c>
      <c r="V355" s="24">
        <f>+VLOOKUP(A355,[1]DQS4_AUX!$A:$M,13,FALSE)</f>
        <v>7.212618</v>
      </c>
      <c r="W355" s="24">
        <f t="shared" si="60"/>
        <v>0</v>
      </c>
    </row>
    <row r="356" spans="1:23" x14ac:dyDescent="0.25">
      <c r="A356" t="str">
        <f t="shared" si="51"/>
        <v>G46.41EU1</v>
      </c>
      <c r="B356" t="s">
        <v>34</v>
      </c>
      <c r="C356" t="s">
        <v>258</v>
      </c>
      <c r="D356" t="s">
        <v>539</v>
      </c>
      <c r="E356">
        <v>21385075.480026901</v>
      </c>
      <c r="F356">
        <v>21385586.600026902</v>
      </c>
      <c r="G356">
        <v>120127736.43000001</v>
      </c>
      <c r="H356">
        <v>173351113.44</v>
      </c>
      <c r="I356">
        <v>392128178.80000001</v>
      </c>
      <c r="J356">
        <v>1334.374229</v>
      </c>
      <c r="K356">
        <v>633.81576700000005</v>
      </c>
      <c r="L356">
        <v>6070.3171060000004</v>
      </c>
      <c r="M356" t="s">
        <v>15</v>
      </c>
      <c r="N356" s="24">
        <f t="shared" si="52"/>
        <v>21.385075000000001</v>
      </c>
      <c r="O356" s="24">
        <f t="shared" si="53"/>
        <v>21.385587000000001</v>
      </c>
      <c r="P356">
        <f t="shared" si="54"/>
        <v>120.127736</v>
      </c>
      <c r="Q356">
        <f t="shared" si="55"/>
        <v>173.351113</v>
      </c>
      <c r="R356">
        <f t="shared" si="56"/>
        <v>392.12817899999999</v>
      </c>
      <c r="S356" s="24">
        <f t="shared" si="57"/>
        <v>1334.37</v>
      </c>
      <c r="T356" s="24">
        <f t="shared" si="58"/>
        <v>633.82000000000005</v>
      </c>
      <c r="U356" s="24">
        <f t="shared" si="59"/>
        <v>6070.32</v>
      </c>
      <c r="V356" s="24">
        <f>+VLOOKUP(A356,[1]DQS4_AUX!$A:$M,13,FALSE)</f>
        <v>21.385587000000001</v>
      </c>
      <c r="W356" s="24">
        <f t="shared" si="60"/>
        <v>0</v>
      </c>
    </row>
    <row r="357" spans="1:23" x14ac:dyDescent="0.25">
      <c r="A357" t="str">
        <f t="shared" si="51"/>
        <v>G47.65EU1</v>
      </c>
      <c r="B357" t="s">
        <v>34</v>
      </c>
      <c r="C357" t="s">
        <v>258</v>
      </c>
      <c r="D357" t="s">
        <v>540</v>
      </c>
      <c r="E357">
        <v>2059237.6899999899</v>
      </c>
      <c r="F357">
        <v>2059447.1699999899</v>
      </c>
      <c r="G357">
        <v>20608314.050000001</v>
      </c>
      <c r="H357">
        <v>11800041.130000001</v>
      </c>
      <c r="I357">
        <v>48789816.350000001</v>
      </c>
      <c r="J357">
        <v>140.978781</v>
      </c>
      <c r="K357">
        <v>66.963667999999998</v>
      </c>
      <c r="L357">
        <v>641.338663</v>
      </c>
      <c r="M357" t="s">
        <v>15</v>
      </c>
      <c r="N357" s="24">
        <f t="shared" si="52"/>
        <v>2.0592380000000001</v>
      </c>
      <c r="O357" s="24">
        <f t="shared" si="53"/>
        <v>2.059447</v>
      </c>
      <c r="P357">
        <f t="shared" si="54"/>
        <v>20.608314</v>
      </c>
      <c r="Q357">
        <f t="shared" si="55"/>
        <v>11.800041</v>
      </c>
      <c r="R357">
        <f t="shared" si="56"/>
        <v>48.789816000000002</v>
      </c>
      <c r="S357" s="24">
        <f t="shared" si="57"/>
        <v>140.97999999999999</v>
      </c>
      <c r="T357" s="24">
        <f t="shared" si="58"/>
        <v>66.959999999999994</v>
      </c>
      <c r="U357" s="24">
        <f t="shared" si="59"/>
        <v>641.34</v>
      </c>
      <c r="V357" s="24">
        <f>+VLOOKUP(A357,[1]DQS4_AUX!$A:$M,13,FALSE)</f>
        <v>2.059447</v>
      </c>
      <c r="W357" s="24">
        <f t="shared" si="60"/>
        <v>0</v>
      </c>
    </row>
    <row r="358" spans="1:23" x14ac:dyDescent="0.25">
      <c r="A358" t="str">
        <f t="shared" si="51"/>
        <v>G46.75EU1</v>
      </c>
      <c r="B358" t="s">
        <v>34</v>
      </c>
      <c r="C358" t="s">
        <v>258</v>
      </c>
      <c r="D358" t="s">
        <v>152</v>
      </c>
      <c r="E358">
        <v>21401112.239999902</v>
      </c>
      <c r="F358">
        <v>21401309.739999902</v>
      </c>
      <c r="G358">
        <v>111048541.09999999</v>
      </c>
      <c r="H358">
        <v>188854187.15000001</v>
      </c>
      <c r="I358">
        <v>751110453.40999997</v>
      </c>
      <c r="J358">
        <v>1653.0088470000001</v>
      </c>
      <c r="K358">
        <v>785.16441599999996</v>
      </c>
      <c r="L358">
        <v>7519.8447379999998</v>
      </c>
      <c r="M358" t="s">
        <v>15</v>
      </c>
      <c r="N358" s="24">
        <f t="shared" si="52"/>
        <v>21.401112000000001</v>
      </c>
      <c r="O358" s="24">
        <f t="shared" si="53"/>
        <v>21.401309999999999</v>
      </c>
      <c r="P358">
        <f t="shared" si="54"/>
        <v>111.048541</v>
      </c>
      <c r="Q358">
        <f t="shared" si="55"/>
        <v>188.854187</v>
      </c>
      <c r="R358">
        <f t="shared" si="56"/>
        <v>751.11045300000001</v>
      </c>
      <c r="S358" s="24">
        <f t="shared" si="57"/>
        <v>1653.01</v>
      </c>
      <c r="T358" s="24">
        <f t="shared" si="58"/>
        <v>785.16</v>
      </c>
      <c r="U358" s="24">
        <f t="shared" si="59"/>
        <v>7519.84</v>
      </c>
      <c r="V358" s="24">
        <f>+VLOOKUP(A358,[1]DQS4_AUX!$A:$M,13,FALSE)</f>
        <v>21.401309999999999</v>
      </c>
      <c r="W358" s="24">
        <f t="shared" si="60"/>
        <v>0</v>
      </c>
    </row>
    <row r="359" spans="1:23" x14ac:dyDescent="0.25">
      <c r="A359" t="str">
        <f t="shared" si="51"/>
        <v>G46.64EU1</v>
      </c>
      <c r="B359" t="s">
        <v>34</v>
      </c>
      <c r="C359" t="s">
        <v>258</v>
      </c>
      <c r="D359" t="s">
        <v>541</v>
      </c>
      <c r="E359">
        <v>2720853.17</v>
      </c>
      <c r="F359">
        <v>2720853.17</v>
      </c>
      <c r="G359">
        <v>18380892.530000001</v>
      </c>
      <c r="H359">
        <v>29209996.010000002</v>
      </c>
      <c r="I359">
        <v>37526762.899999999</v>
      </c>
      <c r="J359">
        <v>96.006146999999999</v>
      </c>
      <c r="K359">
        <v>45.602054000000003</v>
      </c>
      <c r="L359">
        <v>436.74990200000002</v>
      </c>
      <c r="M359" t="s">
        <v>15</v>
      </c>
      <c r="N359" s="24">
        <f t="shared" si="52"/>
        <v>2.720853</v>
      </c>
      <c r="O359" s="24">
        <f t="shared" si="53"/>
        <v>2.720853</v>
      </c>
      <c r="P359">
        <f t="shared" si="54"/>
        <v>18.380893</v>
      </c>
      <c r="Q359">
        <f t="shared" si="55"/>
        <v>29.209996</v>
      </c>
      <c r="R359">
        <f t="shared" si="56"/>
        <v>37.526763000000003</v>
      </c>
      <c r="S359" s="24">
        <f t="shared" si="57"/>
        <v>96.01</v>
      </c>
      <c r="T359" s="24">
        <f t="shared" si="58"/>
        <v>45.6</v>
      </c>
      <c r="U359" s="24">
        <f t="shared" si="59"/>
        <v>436.75</v>
      </c>
      <c r="V359" s="24">
        <f>+VLOOKUP(A359,[1]DQS4_AUX!$A:$M,13,FALSE)</f>
        <v>2.720853</v>
      </c>
      <c r="W359" s="24">
        <f t="shared" si="60"/>
        <v>0</v>
      </c>
    </row>
    <row r="360" spans="1:23" x14ac:dyDescent="0.25">
      <c r="A360" t="str">
        <f t="shared" si="51"/>
        <v>G46.77EU1</v>
      </c>
      <c r="B360" t="s">
        <v>34</v>
      </c>
      <c r="C360" t="s">
        <v>258</v>
      </c>
      <c r="D360" t="s">
        <v>129</v>
      </c>
      <c r="E360">
        <v>9201339.0199999902</v>
      </c>
      <c r="F360">
        <v>9203321.4799999893</v>
      </c>
      <c r="G360">
        <v>96238051.040000007</v>
      </c>
      <c r="H360">
        <v>124128787.87</v>
      </c>
      <c r="I360">
        <v>743576706.38999999</v>
      </c>
      <c r="J360">
        <v>784.98398099999997</v>
      </c>
      <c r="K360">
        <v>372.86040500000001</v>
      </c>
      <c r="L360">
        <v>3571.0379309999998</v>
      </c>
      <c r="M360" t="s">
        <v>15</v>
      </c>
      <c r="N360" s="24">
        <f t="shared" si="52"/>
        <v>9.2013390000000008</v>
      </c>
      <c r="O360" s="24">
        <f t="shared" si="53"/>
        <v>9.2033210000000008</v>
      </c>
      <c r="P360">
        <f t="shared" si="54"/>
        <v>96.238050999999999</v>
      </c>
      <c r="Q360">
        <f t="shared" si="55"/>
        <v>124.128788</v>
      </c>
      <c r="R360">
        <f t="shared" si="56"/>
        <v>743.57670599999994</v>
      </c>
      <c r="S360" s="24">
        <f t="shared" si="57"/>
        <v>784.98</v>
      </c>
      <c r="T360" s="24">
        <f t="shared" si="58"/>
        <v>372.86</v>
      </c>
      <c r="U360" s="24">
        <f t="shared" si="59"/>
        <v>3571.04</v>
      </c>
      <c r="V360" s="24">
        <f>+VLOOKUP(A360,[1]DQS4_AUX!$A:$M,13,FALSE)</f>
        <v>9.2033210000000008</v>
      </c>
      <c r="W360" s="24">
        <f t="shared" si="60"/>
        <v>0</v>
      </c>
    </row>
    <row r="361" spans="1:23" x14ac:dyDescent="0.25">
      <c r="A361" t="str">
        <f t="shared" si="51"/>
        <v>G46.63EU1</v>
      </c>
      <c r="B361" t="s">
        <v>34</v>
      </c>
      <c r="C361" t="s">
        <v>258</v>
      </c>
      <c r="D361" t="s">
        <v>532</v>
      </c>
      <c r="E361">
        <v>6800241.0964669902</v>
      </c>
      <c r="F361">
        <v>6801163.93646699</v>
      </c>
      <c r="G361">
        <v>39841963.859999999</v>
      </c>
      <c r="H361">
        <v>114763760.61</v>
      </c>
      <c r="I361">
        <v>367582940.44</v>
      </c>
      <c r="J361">
        <v>611.63205100000005</v>
      </c>
      <c r="K361">
        <v>290.51979599999999</v>
      </c>
      <c r="L361">
        <v>2782.4276519999999</v>
      </c>
      <c r="M361" t="s">
        <v>15</v>
      </c>
      <c r="N361" s="24">
        <f t="shared" si="52"/>
        <v>6.8002409999999998</v>
      </c>
      <c r="O361" s="24">
        <f t="shared" si="53"/>
        <v>6.801164</v>
      </c>
      <c r="P361">
        <f t="shared" si="54"/>
        <v>39.841963999999997</v>
      </c>
      <c r="Q361">
        <f t="shared" si="55"/>
        <v>114.763761</v>
      </c>
      <c r="R361">
        <f t="shared" si="56"/>
        <v>367.58294000000001</v>
      </c>
      <c r="S361" s="24">
        <f t="shared" si="57"/>
        <v>611.63</v>
      </c>
      <c r="T361" s="24">
        <f t="shared" si="58"/>
        <v>290.52</v>
      </c>
      <c r="U361" s="24">
        <f t="shared" si="59"/>
        <v>2782.43</v>
      </c>
      <c r="V361" s="24">
        <f>+VLOOKUP(A361,[1]DQS4_AUX!$A:$M,13,FALSE)</f>
        <v>6.801164</v>
      </c>
      <c r="W361" s="24">
        <f t="shared" si="60"/>
        <v>0</v>
      </c>
    </row>
    <row r="362" spans="1:23" x14ac:dyDescent="0.25">
      <c r="A362" t="str">
        <f t="shared" si="51"/>
        <v>G45.31EU1</v>
      </c>
      <c r="B362" t="s">
        <v>34</v>
      </c>
      <c r="C362" t="s">
        <v>258</v>
      </c>
      <c r="D362" t="s">
        <v>534</v>
      </c>
      <c r="E362">
        <v>18553333.039999899</v>
      </c>
      <c r="F362">
        <v>18553570.079999901</v>
      </c>
      <c r="G362">
        <v>153285713.59999999</v>
      </c>
      <c r="H362">
        <v>366595641.35000002</v>
      </c>
      <c r="I362">
        <v>1146423382.22</v>
      </c>
      <c r="J362">
        <v>1718.911965</v>
      </c>
      <c r="K362">
        <v>816.466095</v>
      </c>
      <c r="L362">
        <v>7819.6623200000004</v>
      </c>
      <c r="M362" t="s">
        <v>15</v>
      </c>
      <c r="N362" s="24">
        <f t="shared" si="52"/>
        <v>18.553332999999999</v>
      </c>
      <c r="O362" s="24">
        <f t="shared" si="53"/>
        <v>18.553570000000001</v>
      </c>
      <c r="P362">
        <f t="shared" si="54"/>
        <v>153.28571400000001</v>
      </c>
      <c r="Q362">
        <f t="shared" si="55"/>
        <v>366.595641</v>
      </c>
      <c r="R362">
        <f t="shared" si="56"/>
        <v>1146.4233819999999</v>
      </c>
      <c r="S362" s="24">
        <f t="shared" si="57"/>
        <v>1718.91</v>
      </c>
      <c r="T362" s="24">
        <f t="shared" si="58"/>
        <v>816.47</v>
      </c>
      <c r="U362" s="24">
        <f t="shared" si="59"/>
        <v>7819.66</v>
      </c>
      <c r="V362" s="24">
        <f>+VLOOKUP(A362,[1]DQS4_AUX!$A:$M,13,FALSE)</f>
        <v>18.553570000000001</v>
      </c>
      <c r="W362" s="24">
        <f t="shared" si="60"/>
        <v>0</v>
      </c>
    </row>
    <row r="363" spans="1:23" x14ac:dyDescent="0.25">
      <c r="A363" t="str">
        <f t="shared" si="51"/>
        <v>G46.24EU1</v>
      </c>
      <c r="B363" t="s">
        <v>34</v>
      </c>
      <c r="C363" t="s">
        <v>258</v>
      </c>
      <c r="D363" t="s">
        <v>533</v>
      </c>
      <c r="E363">
        <v>6270224.0999999996</v>
      </c>
      <c r="F363">
        <v>6270224.0999999996</v>
      </c>
      <c r="G363">
        <v>28882961.280000001</v>
      </c>
      <c r="H363">
        <v>35639550.25</v>
      </c>
      <c r="I363">
        <v>82657338.340000004</v>
      </c>
      <c r="J363">
        <v>475.68322999999998</v>
      </c>
      <c r="K363">
        <v>225.94524699999999</v>
      </c>
      <c r="L363">
        <v>2163.9716840000001</v>
      </c>
      <c r="M363" t="s">
        <v>15</v>
      </c>
      <c r="N363" s="24">
        <f t="shared" si="52"/>
        <v>6.2702239999999998</v>
      </c>
      <c r="O363" s="24">
        <f t="shared" si="53"/>
        <v>6.2702239999999998</v>
      </c>
      <c r="P363">
        <f t="shared" si="54"/>
        <v>28.882961000000002</v>
      </c>
      <c r="Q363">
        <f t="shared" si="55"/>
        <v>35.63955</v>
      </c>
      <c r="R363">
        <f t="shared" si="56"/>
        <v>82.657337999999996</v>
      </c>
      <c r="S363" s="24">
        <f t="shared" si="57"/>
        <v>475.68</v>
      </c>
      <c r="T363" s="24">
        <f t="shared" si="58"/>
        <v>225.95</v>
      </c>
      <c r="U363" s="24">
        <f t="shared" si="59"/>
        <v>2163.9699999999998</v>
      </c>
      <c r="V363" s="24">
        <f>+VLOOKUP(A363,[1]DQS4_AUX!$A:$M,13,FALSE)</f>
        <v>6.2702239999999998</v>
      </c>
      <c r="W363" s="24">
        <f t="shared" si="60"/>
        <v>0</v>
      </c>
    </row>
    <row r="364" spans="1:23" x14ac:dyDescent="0.25">
      <c r="A364" t="str">
        <f t="shared" si="51"/>
        <v>G47.89EU1</v>
      </c>
      <c r="B364" t="s">
        <v>34</v>
      </c>
      <c r="C364" t="s">
        <v>258</v>
      </c>
      <c r="D364" t="s">
        <v>509</v>
      </c>
      <c r="E364">
        <v>114962.62</v>
      </c>
      <c r="F364">
        <v>114962.62</v>
      </c>
      <c r="G364">
        <v>181518.31</v>
      </c>
      <c r="H364">
        <v>581727.05000000005</v>
      </c>
      <c r="I364">
        <v>2202933.2999999998</v>
      </c>
      <c r="J364">
        <v>10.686826</v>
      </c>
      <c r="K364">
        <v>5.0761430000000001</v>
      </c>
      <c r="L364">
        <v>48.616363</v>
      </c>
      <c r="M364" t="s">
        <v>15</v>
      </c>
      <c r="N364" s="24">
        <f t="shared" si="52"/>
        <v>0.114963</v>
      </c>
      <c r="O364" s="24">
        <f t="shared" si="53"/>
        <v>0.114963</v>
      </c>
      <c r="P364">
        <f t="shared" si="54"/>
        <v>0.18151800000000001</v>
      </c>
      <c r="Q364">
        <f t="shared" si="55"/>
        <v>0.58172699999999999</v>
      </c>
      <c r="R364">
        <f t="shared" si="56"/>
        <v>2.2029329999999998</v>
      </c>
      <c r="S364" s="24">
        <f t="shared" si="57"/>
        <v>10.69</v>
      </c>
      <c r="T364" s="24">
        <f t="shared" si="58"/>
        <v>5.08</v>
      </c>
      <c r="U364" s="24">
        <f t="shared" si="59"/>
        <v>48.62</v>
      </c>
      <c r="V364" s="24">
        <f>+VLOOKUP(A364,[1]DQS4_AUX!$A:$M,13,FALSE)</f>
        <v>0.114963</v>
      </c>
      <c r="W364" s="24">
        <f t="shared" si="60"/>
        <v>0</v>
      </c>
    </row>
    <row r="365" spans="1:23" x14ac:dyDescent="0.25">
      <c r="A365" t="str">
        <f t="shared" si="51"/>
        <v>G47.11EU1</v>
      </c>
      <c r="B365" t="s">
        <v>34</v>
      </c>
      <c r="C365" t="s">
        <v>258</v>
      </c>
      <c r="D365" t="s">
        <v>50</v>
      </c>
      <c r="E365">
        <v>48245524.209999897</v>
      </c>
      <c r="F365">
        <v>48247295.539999902</v>
      </c>
      <c r="G365">
        <v>214731003.13</v>
      </c>
      <c r="H365">
        <v>332162511.35000002</v>
      </c>
      <c r="I365">
        <v>1928065193.99</v>
      </c>
      <c r="J365">
        <v>9092.4492410000003</v>
      </c>
      <c r="K365">
        <v>4318.8326120000002</v>
      </c>
      <c r="L365">
        <v>41363.238944999997</v>
      </c>
      <c r="M365" t="s">
        <v>15</v>
      </c>
      <c r="N365" s="24">
        <f t="shared" si="52"/>
        <v>48.245524000000003</v>
      </c>
      <c r="O365" s="24">
        <f t="shared" si="53"/>
        <v>48.247295999999999</v>
      </c>
      <c r="P365">
        <f t="shared" si="54"/>
        <v>214.73100299999999</v>
      </c>
      <c r="Q365">
        <f t="shared" si="55"/>
        <v>332.16251099999999</v>
      </c>
      <c r="R365">
        <f t="shared" si="56"/>
        <v>1928.065194</v>
      </c>
      <c r="S365" s="24">
        <f t="shared" si="57"/>
        <v>9092.4500000000007</v>
      </c>
      <c r="T365" s="24">
        <f t="shared" si="58"/>
        <v>4318.83</v>
      </c>
      <c r="U365" s="24">
        <f t="shared" si="59"/>
        <v>41363.24</v>
      </c>
      <c r="V365" s="24">
        <f>+VLOOKUP(A365,[1]DQS4_AUX!$A:$M,13,FALSE)</f>
        <v>48.247295999999999</v>
      </c>
      <c r="W365" s="24">
        <f t="shared" si="60"/>
        <v>0</v>
      </c>
    </row>
    <row r="366" spans="1:23" x14ac:dyDescent="0.25">
      <c r="A366" t="str">
        <f t="shared" si="51"/>
        <v>G46.35EU1</v>
      </c>
      <c r="B366" t="s">
        <v>34</v>
      </c>
      <c r="C366" t="s">
        <v>258</v>
      </c>
      <c r="D366" t="s">
        <v>211</v>
      </c>
      <c r="E366">
        <v>2206596.8299999898</v>
      </c>
      <c r="F366">
        <v>2206602.4099999899</v>
      </c>
      <c r="G366">
        <v>45670049.859999999</v>
      </c>
      <c r="H366">
        <v>38446661.609999999</v>
      </c>
      <c r="I366">
        <v>596671625.48000002</v>
      </c>
      <c r="J366">
        <v>449.36208299999998</v>
      </c>
      <c r="K366">
        <v>213.44302200000001</v>
      </c>
      <c r="L366">
        <v>2044.231376</v>
      </c>
      <c r="M366" t="s">
        <v>15</v>
      </c>
      <c r="N366" s="24">
        <f t="shared" si="52"/>
        <v>2.2065969999999999</v>
      </c>
      <c r="O366" s="24">
        <f t="shared" si="53"/>
        <v>2.2066020000000002</v>
      </c>
      <c r="P366">
        <f t="shared" si="54"/>
        <v>45.670050000000003</v>
      </c>
      <c r="Q366">
        <f t="shared" si="55"/>
        <v>38.446662000000003</v>
      </c>
      <c r="R366">
        <f t="shared" si="56"/>
        <v>596.67162499999995</v>
      </c>
      <c r="S366" s="24">
        <f t="shared" si="57"/>
        <v>449.36</v>
      </c>
      <c r="T366" s="24">
        <f t="shared" si="58"/>
        <v>213.44</v>
      </c>
      <c r="U366" s="24">
        <f t="shared" si="59"/>
        <v>2044.23</v>
      </c>
      <c r="V366" s="24">
        <f>+VLOOKUP(A366,[1]DQS4_AUX!$A:$M,13,FALSE)</f>
        <v>2.2066020000000002</v>
      </c>
      <c r="W366" s="24">
        <f t="shared" si="60"/>
        <v>0</v>
      </c>
    </row>
    <row r="367" spans="1:23" x14ac:dyDescent="0.25">
      <c r="A367" t="str">
        <f t="shared" si="51"/>
        <v>G47.62EU1</v>
      </c>
      <c r="B367" t="s">
        <v>34</v>
      </c>
      <c r="C367" t="s">
        <v>258</v>
      </c>
      <c r="D367" t="s">
        <v>535</v>
      </c>
      <c r="E367">
        <v>3070128.9399999902</v>
      </c>
      <c r="F367">
        <v>3070198.4799999902</v>
      </c>
      <c r="G367">
        <v>8845762.6300000008</v>
      </c>
      <c r="H367">
        <v>13611128.08</v>
      </c>
      <c r="I367">
        <v>67908835.019999996</v>
      </c>
      <c r="J367">
        <v>478.180654</v>
      </c>
      <c r="K367">
        <v>227.131507</v>
      </c>
      <c r="L367">
        <v>2175.3328649999999</v>
      </c>
      <c r="M367" t="s">
        <v>15</v>
      </c>
      <c r="N367" s="24">
        <f t="shared" si="52"/>
        <v>3.0701290000000001</v>
      </c>
      <c r="O367" s="24">
        <f t="shared" si="53"/>
        <v>3.070198</v>
      </c>
      <c r="P367">
        <f t="shared" si="54"/>
        <v>8.8457629999999998</v>
      </c>
      <c r="Q367">
        <f t="shared" si="55"/>
        <v>13.611128000000001</v>
      </c>
      <c r="R367">
        <f t="shared" si="56"/>
        <v>67.908834999999996</v>
      </c>
      <c r="S367" s="24">
        <f t="shared" si="57"/>
        <v>478.18</v>
      </c>
      <c r="T367" s="24">
        <f t="shared" si="58"/>
        <v>227.13</v>
      </c>
      <c r="U367" s="24">
        <f t="shared" si="59"/>
        <v>2175.33</v>
      </c>
      <c r="V367" s="24">
        <f>+VLOOKUP(A367,[1]DQS4_AUX!$A:$M,13,FALSE)</f>
        <v>3.070198</v>
      </c>
      <c r="W367" s="24">
        <f t="shared" si="60"/>
        <v>0</v>
      </c>
    </row>
    <row r="368" spans="1:23" x14ac:dyDescent="0.25">
      <c r="A368" t="str">
        <f t="shared" si="51"/>
        <v>G46.43EU1</v>
      </c>
      <c r="B368" t="s">
        <v>34</v>
      </c>
      <c r="C368" t="s">
        <v>258</v>
      </c>
      <c r="D368" t="s">
        <v>536</v>
      </c>
      <c r="E368">
        <v>13626937.880000001</v>
      </c>
      <c r="F368">
        <v>13626937.880000001</v>
      </c>
      <c r="G368">
        <v>53738630.259999998</v>
      </c>
      <c r="H368">
        <v>109513706.13</v>
      </c>
      <c r="I368">
        <v>321812361.13999999</v>
      </c>
      <c r="J368">
        <v>856.49682800000005</v>
      </c>
      <c r="K368">
        <v>406.82828599999999</v>
      </c>
      <c r="L368">
        <v>3896.3636630000001</v>
      </c>
      <c r="M368" t="s">
        <v>15</v>
      </c>
      <c r="N368" s="24">
        <f t="shared" si="52"/>
        <v>13.626938000000001</v>
      </c>
      <c r="O368" s="24">
        <f t="shared" si="53"/>
        <v>13.626938000000001</v>
      </c>
      <c r="P368">
        <f t="shared" si="54"/>
        <v>53.738630000000001</v>
      </c>
      <c r="Q368">
        <f t="shared" si="55"/>
        <v>109.513706</v>
      </c>
      <c r="R368">
        <f t="shared" si="56"/>
        <v>321.81236100000001</v>
      </c>
      <c r="S368" s="24">
        <f t="shared" si="57"/>
        <v>856.5</v>
      </c>
      <c r="T368" s="24">
        <f t="shared" si="58"/>
        <v>406.83</v>
      </c>
      <c r="U368" s="24">
        <f t="shared" si="59"/>
        <v>3896.36</v>
      </c>
      <c r="V368" s="24">
        <f>+VLOOKUP(A368,[1]DQS4_AUX!$A:$M,13,FALSE)</f>
        <v>13.626938000000001</v>
      </c>
      <c r="W368" s="24">
        <f t="shared" si="60"/>
        <v>0</v>
      </c>
    </row>
    <row r="369" spans="1:23" x14ac:dyDescent="0.25">
      <c r="A369" t="str">
        <f t="shared" si="51"/>
        <v>H51.10EU1</v>
      </c>
      <c r="B369" t="s">
        <v>61</v>
      </c>
      <c r="C369" t="s">
        <v>258</v>
      </c>
      <c r="D369" t="s">
        <v>226</v>
      </c>
      <c r="E369">
        <v>4209332.7699999996</v>
      </c>
      <c r="F369">
        <v>4209332.7699999996</v>
      </c>
      <c r="G369">
        <v>49946017.259999998</v>
      </c>
      <c r="H369">
        <v>6315328.46</v>
      </c>
      <c r="I369">
        <v>67820065.599999994</v>
      </c>
      <c r="J369">
        <v>899.13853099999994</v>
      </c>
      <c r="K369">
        <v>64.642835000000005</v>
      </c>
      <c r="L369">
        <v>1401.921055</v>
      </c>
      <c r="M369" t="s">
        <v>15</v>
      </c>
      <c r="N369" s="24">
        <f t="shared" si="52"/>
        <v>4.209333</v>
      </c>
      <c r="O369" s="24">
        <f t="shared" si="53"/>
        <v>4.209333</v>
      </c>
      <c r="P369">
        <f t="shared" si="54"/>
        <v>49.946016999999998</v>
      </c>
      <c r="Q369">
        <f t="shared" si="55"/>
        <v>6.3153280000000001</v>
      </c>
      <c r="R369">
        <f t="shared" si="56"/>
        <v>67.820065999999997</v>
      </c>
      <c r="S369" s="24">
        <f t="shared" si="57"/>
        <v>899.14</v>
      </c>
      <c r="T369" s="24">
        <f t="shared" si="58"/>
        <v>64.64</v>
      </c>
      <c r="U369" s="24">
        <f t="shared" si="59"/>
        <v>1401.92</v>
      </c>
      <c r="V369" s="24">
        <f>+VLOOKUP(A369,[1]DQS4_AUX!$A:$M,13,FALSE)</f>
        <v>4.209333</v>
      </c>
      <c r="W369" s="24">
        <f t="shared" si="60"/>
        <v>0</v>
      </c>
    </row>
    <row r="370" spans="1:23" x14ac:dyDescent="0.25">
      <c r="A370" t="str">
        <f t="shared" si="51"/>
        <v>H49.32EU1</v>
      </c>
      <c r="B370" t="s">
        <v>61</v>
      </c>
      <c r="C370" t="s">
        <v>258</v>
      </c>
      <c r="D370" t="s">
        <v>556</v>
      </c>
      <c r="E370">
        <v>7294745.5899999999</v>
      </c>
      <c r="F370">
        <v>7294745.5899999999</v>
      </c>
      <c r="G370">
        <v>23962916.5</v>
      </c>
      <c r="H370">
        <v>16867600.91</v>
      </c>
      <c r="I370">
        <v>72306166.579999998</v>
      </c>
      <c r="J370">
        <v>3413.1877829999999</v>
      </c>
      <c r="K370">
        <v>245.38797299999999</v>
      </c>
      <c r="L370">
        <v>5321.7828689999997</v>
      </c>
      <c r="M370" t="s">
        <v>15</v>
      </c>
      <c r="N370" s="24">
        <f t="shared" si="52"/>
        <v>7.294746</v>
      </c>
      <c r="O370" s="24">
        <f t="shared" si="53"/>
        <v>7.294746</v>
      </c>
      <c r="P370">
        <f t="shared" si="54"/>
        <v>23.962917000000001</v>
      </c>
      <c r="Q370">
        <f t="shared" si="55"/>
        <v>16.867601000000001</v>
      </c>
      <c r="R370">
        <f t="shared" si="56"/>
        <v>72.306167000000002</v>
      </c>
      <c r="S370" s="24">
        <f t="shared" si="57"/>
        <v>3413.19</v>
      </c>
      <c r="T370" s="24">
        <f t="shared" si="58"/>
        <v>245.39</v>
      </c>
      <c r="U370" s="24">
        <f t="shared" si="59"/>
        <v>5321.78</v>
      </c>
      <c r="V370" s="24">
        <f>+VLOOKUP(A370,[1]DQS4_AUX!$A:$M,13,FALSE)</f>
        <v>7.294746</v>
      </c>
      <c r="W370" s="24">
        <f t="shared" si="60"/>
        <v>0</v>
      </c>
    </row>
    <row r="371" spans="1:23" x14ac:dyDescent="0.25">
      <c r="A371" t="str">
        <f t="shared" si="51"/>
        <v>H52.23EU1</v>
      </c>
      <c r="B371" t="s">
        <v>61</v>
      </c>
      <c r="C371" t="s">
        <v>258</v>
      </c>
      <c r="D371" t="s">
        <v>62</v>
      </c>
      <c r="E371">
        <v>127974.46</v>
      </c>
      <c r="F371">
        <v>127974.46</v>
      </c>
      <c r="G371">
        <v>1196320</v>
      </c>
      <c r="H371">
        <v>2163830.08</v>
      </c>
      <c r="I371">
        <v>24637854.120000001</v>
      </c>
      <c r="J371">
        <v>783.12080700000001</v>
      </c>
      <c r="K371">
        <v>56.301831999999997</v>
      </c>
      <c r="L371">
        <v>1221.0282529999999</v>
      </c>
      <c r="M371" t="s">
        <v>15</v>
      </c>
      <c r="N371" s="24">
        <f t="shared" si="52"/>
        <v>0.127974</v>
      </c>
      <c r="O371" s="24">
        <f t="shared" si="53"/>
        <v>0.127974</v>
      </c>
      <c r="P371">
        <f t="shared" si="54"/>
        <v>1.1963200000000001</v>
      </c>
      <c r="Q371">
        <f t="shared" si="55"/>
        <v>2.1638299999999999</v>
      </c>
      <c r="R371">
        <f t="shared" si="56"/>
        <v>24.637854000000001</v>
      </c>
      <c r="S371" s="24">
        <f t="shared" si="57"/>
        <v>783.12</v>
      </c>
      <c r="T371" s="24">
        <f t="shared" si="58"/>
        <v>56.3</v>
      </c>
      <c r="U371" s="24">
        <f t="shared" si="59"/>
        <v>1221.03</v>
      </c>
      <c r="V371" s="24">
        <f>+VLOOKUP(A371,[1]DQS4_AUX!$A:$M,13,FALSE)</f>
        <v>0.127974</v>
      </c>
      <c r="W371" s="24">
        <f t="shared" si="60"/>
        <v>0</v>
      </c>
    </row>
    <row r="372" spans="1:23" x14ac:dyDescent="0.25">
      <c r="A372" t="str">
        <f t="shared" si="51"/>
        <v>H49.39EU1</v>
      </c>
      <c r="B372" t="s">
        <v>61</v>
      </c>
      <c r="C372" t="s">
        <v>258</v>
      </c>
      <c r="D372" t="s">
        <v>559</v>
      </c>
      <c r="E372">
        <v>23551082.710000001</v>
      </c>
      <c r="F372">
        <v>23551082.710000001</v>
      </c>
      <c r="G372">
        <v>131081060.65000001</v>
      </c>
      <c r="H372">
        <v>176512658.38</v>
      </c>
      <c r="I372">
        <v>223200061.97999999</v>
      </c>
      <c r="J372">
        <v>3963.898361</v>
      </c>
      <c r="K372">
        <v>284.98116099999999</v>
      </c>
      <c r="L372">
        <v>6180.4409830000004</v>
      </c>
      <c r="M372" t="s">
        <v>15</v>
      </c>
      <c r="N372" s="24">
        <f t="shared" si="52"/>
        <v>23.551082999999998</v>
      </c>
      <c r="O372" s="24">
        <f t="shared" si="53"/>
        <v>23.551082999999998</v>
      </c>
      <c r="P372">
        <f t="shared" si="54"/>
        <v>131.08106100000001</v>
      </c>
      <c r="Q372">
        <f t="shared" si="55"/>
        <v>176.51265799999999</v>
      </c>
      <c r="R372">
        <f t="shared" si="56"/>
        <v>223.200062</v>
      </c>
      <c r="S372" s="24">
        <f t="shared" si="57"/>
        <v>3963.9</v>
      </c>
      <c r="T372" s="24">
        <f t="shared" si="58"/>
        <v>284.98</v>
      </c>
      <c r="U372" s="24">
        <f t="shared" si="59"/>
        <v>6180.44</v>
      </c>
      <c r="V372" s="24">
        <f>+VLOOKUP(A372,[1]DQS4_AUX!$A:$M,13,FALSE)</f>
        <v>23.551082999999998</v>
      </c>
      <c r="W372" s="24">
        <f t="shared" si="60"/>
        <v>0</v>
      </c>
    </row>
    <row r="373" spans="1:23" x14ac:dyDescent="0.25">
      <c r="A373" t="str">
        <f t="shared" si="51"/>
        <v>H52.29EU1</v>
      </c>
      <c r="B373" t="s">
        <v>61</v>
      </c>
      <c r="C373" t="s">
        <v>258</v>
      </c>
      <c r="D373" t="s">
        <v>552</v>
      </c>
      <c r="E373">
        <v>13420425.1199999</v>
      </c>
      <c r="F373">
        <v>13420434.2399999</v>
      </c>
      <c r="G373">
        <v>61010885.630000003</v>
      </c>
      <c r="H373">
        <v>142351668.11000001</v>
      </c>
      <c r="I373">
        <v>751053482.97000003</v>
      </c>
      <c r="J373">
        <v>13512.38984</v>
      </c>
      <c r="K373">
        <v>971.46164399999998</v>
      </c>
      <c r="L373">
        <v>21068.282093999998</v>
      </c>
      <c r="M373" t="s">
        <v>15</v>
      </c>
      <c r="N373" s="24">
        <f t="shared" si="52"/>
        <v>13.420425</v>
      </c>
      <c r="O373" s="24">
        <f t="shared" si="53"/>
        <v>13.420434</v>
      </c>
      <c r="P373">
        <f t="shared" si="54"/>
        <v>61.010885999999999</v>
      </c>
      <c r="Q373">
        <f t="shared" si="55"/>
        <v>142.35166799999999</v>
      </c>
      <c r="R373">
        <f t="shared" si="56"/>
        <v>751.05348300000003</v>
      </c>
      <c r="S373" s="24">
        <f t="shared" si="57"/>
        <v>13512.39</v>
      </c>
      <c r="T373" s="24">
        <f t="shared" si="58"/>
        <v>971.46</v>
      </c>
      <c r="U373" s="24">
        <f t="shared" si="59"/>
        <v>21068.28</v>
      </c>
      <c r="V373" s="24">
        <f>+VLOOKUP(A373,[1]DQS4_AUX!$A:$M,13,FALSE)</f>
        <v>13.420434</v>
      </c>
      <c r="W373" s="24">
        <f t="shared" si="60"/>
        <v>0</v>
      </c>
    </row>
    <row r="374" spans="1:23" x14ac:dyDescent="0.25">
      <c r="A374" t="str">
        <f t="shared" si="51"/>
        <v>H49.41EU1</v>
      </c>
      <c r="B374" t="s">
        <v>61</v>
      </c>
      <c r="C374" t="s">
        <v>258</v>
      </c>
      <c r="D374" t="s">
        <v>224</v>
      </c>
      <c r="E374">
        <v>101714119.049999</v>
      </c>
      <c r="F374">
        <v>101717684.469999</v>
      </c>
      <c r="G374">
        <v>1024028972.55</v>
      </c>
      <c r="H374">
        <v>929200437.80999994</v>
      </c>
      <c r="I374">
        <v>3331281383.96</v>
      </c>
      <c r="J374">
        <v>38036.976502999998</v>
      </c>
      <c r="K374">
        <v>2734.6357379999999</v>
      </c>
      <c r="L374">
        <v>59306.588982000001</v>
      </c>
      <c r="M374" t="s">
        <v>15</v>
      </c>
      <c r="N374" s="24">
        <f t="shared" si="52"/>
        <v>101.714119</v>
      </c>
      <c r="O374" s="24">
        <f t="shared" si="53"/>
        <v>101.71768400000001</v>
      </c>
      <c r="P374">
        <f t="shared" si="54"/>
        <v>1024.028973</v>
      </c>
      <c r="Q374">
        <f t="shared" si="55"/>
        <v>929.20043799999996</v>
      </c>
      <c r="R374">
        <f t="shared" si="56"/>
        <v>3331.2813839999999</v>
      </c>
      <c r="S374" s="24">
        <f t="shared" si="57"/>
        <v>38036.980000000003</v>
      </c>
      <c r="T374" s="24">
        <f t="shared" si="58"/>
        <v>2734.64</v>
      </c>
      <c r="U374" s="24">
        <f t="shared" si="59"/>
        <v>59306.59</v>
      </c>
      <c r="V374" s="24">
        <f>+VLOOKUP(A374,[1]DQS4_AUX!$A:$M,13,FALSE)</f>
        <v>101.71768400000001</v>
      </c>
      <c r="W374" s="24">
        <f t="shared" si="60"/>
        <v>0</v>
      </c>
    </row>
    <row r="375" spans="1:23" x14ac:dyDescent="0.25">
      <c r="A375" t="str">
        <f t="shared" si="51"/>
        <v>H52.24EU1</v>
      </c>
      <c r="B375" t="s">
        <v>61</v>
      </c>
      <c r="C375" t="s">
        <v>258</v>
      </c>
      <c r="D375" t="s">
        <v>558</v>
      </c>
      <c r="E375">
        <v>13429241.329999899</v>
      </c>
      <c r="F375">
        <v>13432322.7099999</v>
      </c>
      <c r="G375">
        <v>35323807.380000003</v>
      </c>
      <c r="H375">
        <v>26710193.98</v>
      </c>
      <c r="I375">
        <v>27871597.25</v>
      </c>
      <c r="J375">
        <v>2146.0759739999999</v>
      </c>
      <c r="K375">
        <v>154.290344</v>
      </c>
      <c r="L375">
        <v>3346.1241110000001</v>
      </c>
      <c r="M375" t="s">
        <v>15</v>
      </c>
      <c r="N375" s="24">
        <f t="shared" si="52"/>
        <v>13.429240999999999</v>
      </c>
      <c r="O375" s="24">
        <f t="shared" si="53"/>
        <v>13.432323</v>
      </c>
      <c r="P375">
        <f t="shared" si="54"/>
        <v>35.323807000000002</v>
      </c>
      <c r="Q375">
        <f t="shared" si="55"/>
        <v>26.710194000000001</v>
      </c>
      <c r="R375">
        <f t="shared" si="56"/>
        <v>27.871597000000001</v>
      </c>
      <c r="S375" s="24">
        <f t="shared" si="57"/>
        <v>2146.08</v>
      </c>
      <c r="T375" s="24">
        <f t="shared" si="58"/>
        <v>154.29</v>
      </c>
      <c r="U375" s="24">
        <f t="shared" si="59"/>
        <v>3346.12</v>
      </c>
      <c r="V375" s="24">
        <f>+VLOOKUP(A375,[1]DQS4_AUX!$A:$M,13,FALSE)</f>
        <v>13.432323</v>
      </c>
      <c r="W375" s="24">
        <f t="shared" si="60"/>
        <v>0</v>
      </c>
    </row>
    <row r="376" spans="1:23" x14ac:dyDescent="0.25">
      <c r="A376" t="str">
        <f t="shared" si="51"/>
        <v>H49.20EU1</v>
      </c>
      <c r="B376" t="s">
        <v>61</v>
      </c>
      <c r="C376" t="s">
        <v>258</v>
      </c>
      <c r="D376" t="s">
        <v>549</v>
      </c>
      <c r="E376">
        <v>327.64999999999998</v>
      </c>
      <c r="F376">
        <v>327.64999999999998</v>
      </c>
      <c r="G376">
        <v>30346451</v>
      </c>
      <c r="H376">
        <v>81365278</v>
      </c>
      <c r="I376">
        <v>87060290</v>
      </c>
      <c r="J376">
        <v>3.1870999999999997E-2</v>
      </c>
      <c r="K376">
        <v>2.2910000000000001E-3</v>
      </c>
      <c r="L376">
        <v>4.9693000000000001E-2</v>
      </c>
      <c r="M376" t="s">
        <v>15</v>
      </c>
      <c r="N376" s="24">
        <f t="shared" si="52"/>
        <v>3.28E-4</v>
      </c>
      <c r="O376" s="24">
        <f t="shared" si="53"/>
        <v>3.28E-4</v>
      </c>
      <c r="P376">
        <f t="shared" si="54"/>
        <v>30.346450999999998</v>
      </c>
      <c r="Q376">
        <f t="shared" si="55"/>
        <v>81.365278000000004</v>
      </c>
      <c r="R376">
        <f t="shared" si="56"/>
        <v>87.060289999999995</v>
      </c>
      <c r="S376" s="24">
        <f t="shared" si="57"/>
        <v>0.03</v>
      </c>
      <c r="T376" s="24">
        <f t="shared" si="58"/>
        <v>0</v>
      </c>
      <c r="U376" s="24">
        <f t="shared" si="59"/>
        <v>0.05</v>
      </c>
      <c r="V376" s="24">
        <f>+VLOOKUP(A376,[1]DQS4_AUX!$A:$M,13,FALSE)</f>
        <v>3.28E-4</v>
      </c>
      <c r="W376" s="24">
        <f t="shared" si="60"/>
        <v>0</v>
      </c>
    </row>
    <row r="377" spans="1:23" x14ac:dyDescent="0.25">
      <c r="A377" t="str">
        <f t="shared" si="51"/>
        <v>H49.31EU1</v>
      </c>
      <c r="B377" t="s">
        <v>61</v>
      </c>
      <c r="C377" t="s">
        <v>258</v>
      </c>
      <c r="D377" t="s">
        <v>550</v>
      </c>
      <c r="E377">
        <v>9007457.7200000007</v>
      </c>
      <c r="F377">
        <v>9007457.7200000007</v>
      </c>
      <c r="G377">
        <v>92801271.640000001</v>
      </c>
      <c r="H377">
        <v>119792560.72</v>
      </c>
      <c r="I377">
        <v>156893807.91</v>
      </c>
      <c r="J377">
        <v>608.94475499999999</v>
      </c>
      <c r="K377">
        <v>43.779564999999998</v>
      </c>
      <c r="L377">
        <v>949.45601399999998</v>
      </c>
      <c r="M377" t="s">
        <v>15</v>
      </c>
      <c r="N377" s="24">
        <f t="shared" si="52"/>
        <v>9.0074579999999997</v>
      </c>
      <c r="O377" s="24">
        <f t="shared" si="53"/>
        <v>9.0074579999999997</v>
      </c>
      <c r="P377">
        <f t="shared" si="54"/>
        <v>92.801271999999997</v>
      </c>
      <c r="Q377">
        <f t="shared" si="55"/>
        <v>119.79256100000001</v>
      </c>
      <c r="R377">
        <f t="shared" si="56"/>
        <v>156.89380800000001</v>
      </c>
      <c r="S377" s="24">
        <f t="shared" si="57"/>
        <v>608.94000000000005</v>
      </c>
      <c r="T377" s="24">
        <f t="shared" si="58"/>
        <v>43.78</v>
      </c>
      <c r="U377" s="24">
        <f t="shared" si="59"/>
        <v>949.46</v>
      </c>
      <c r="V377" s="24">
        <f>+VLOOKUP(A377,[1]DQS4_AUX!$A:$M,13,FALSE)</f>
        <v>9.0074579999999997</v>
      </c>
      <c r="W377" s="24">
        <f t="shared" si="60"/>
        <v>0</v>
      </c>
    </row>
    <row r="378" spans="1:23" x14ac:dyDescent="0.25">
      <c r="A378" t="str">
        <f t="shared" si="51"/>
        <v>H53.10EU1</v>
      </c>
      <c r="B378" t="s">
        <v>61</v>
      </c>
      <c r="C378" t="s">
        <v>258</v>
      </c>
      <c r="D378" t="s">
        <v>553</v>
      </c>
      <c r="E378">
        <v>46947.19</v>
      </c>
      <c r="F378">
        <v>46947.19</v>
      </c>
      <c r="G378">
        <v>229265678.84999999</v>
      </c>
      <c r="H378">
        <v>248674462.13</v>
      </c>
      <c r="I378">
        <v>442080261.66000003</v>
      </c>
      <c r="J378">
        <v>0.79469400000000001</v>
      </c>
      <c r="K378">
        <v>1.77186</v>
      </c>
      <c r="L378">
        <v>7.0867440000000004</v>
      </c>
      <c r="M378" t="s">
        <v>15</v>
      </c>
      <c r="N378" s="24">
        <f t="shared" si="52"/>
        <v>4.6947000000000003E-2</v>
      </c>
      <c r="O378" s="24">
        <f t="shared" si="53"/>
        <v>4.6947000000000003E-2</v>
      </c>
      <c r="P378">
        <f t="shared" si="54"/>
        <v>229.26567900000001</v>
      </c>
      <c r="Q378">
        <f t="shared" si="55"/>
        <v>248.67446200000001</v>
      </c>
      <c r="R378">
        <f t="shared" si="56"/>
        <v>442.080262</v>
      </c>
      <c r="S378" s="24">
        <f t="shared" si="57"/>
        <v>0.79</v>
      </c>
      <c r="T378" s="24">
        <f t="shared" si="58"/>
        <v>1.77</v>
      </c>
      <c r="U378" s="24">
        <f t="shared" si="59"/>
        <v>7.09</v>
      </c>
      <c r="V378" s="24">
        <f>+VLOOKUP(A378,[1]DQS4_AUX!$A:$M,13,FALSE)</f>
        <v>4.6947000000000003E-2</v>
      </c>
      <c r="W378" s="24">
        <f t="shared" si="60"/>
        <v>0</v>
      </c>
    </row>
    <row r="379" spans="1:23" x14ac:dyDescent="0.25">
      <c r="A379" t="str">
        <f t="shared" si="51"/>
        <v>H49.42EU1</v>
      </c>
      <c r="B379" t="s">
        <v>61</v>
      </c>
      <c r="C379" t="s">
        <v>258</v>
      </c>
      <c r="D379" t="s">
        <v>551</v>
      </c>
      <c r="E379">
        <v>1096980.4099999999</v>
      </c>
      <c r="F379">
        <v>1096980.4099999999</v>
      </c>
      <c r="G379">
        <v>7547559.6799999997</v>
      </c>
      <c r="H379">
        <v>15541174.380000001</v>
      </c>
      <c r="I379">
        <v>27491513.920000002</v>
      </c>
      <c r="J379">
        <v>300.61926399999999</v>
      </c>
      <c r="K379">
        <v>21.612762</v>
      </c>
      <c r="L379">
        <v>468.72030899999999</v>
      </c>
      <c r="M379" t="s">
        <v>15</v>
      </c>
      <c r="N379" s="24">
        <f t="shared" si="52"/>
        <v>1.0969800000000001</v>
      </c>
      <c r="O379" s="24">
        <f t="shared" si="53"/>
        <v>1.0969800000000001</v>
      </c>
      <c r="P379">
        <f t="shared" si="54"/>
        <v>7.5475599999999998</v>
      </c>
      <c r="Q379">
        <f t="shared" si="55"/>
        <v>15.541174</v>
      </c>
      <c r="R379">
        <f t="shared" si="56"/>
        <v>27.491513999999999</v>
      </c>
      <c r="S379" s="24">
        <f t="shared" si="57"/>
        <v>300.62</v>
      </c>
      <c r="T379" s="24">
        <f t="shared" si="58"/>
        <v>21.61</v>
      </c>
      <c r="U379" s="24">
        <f t="shared" si="59"/>
        <v>468.72</v>
      </c>
      <c r="V379" s="24">
        <f>+VLOOKUP(A379,[1]DQS4_AUX!$A:$M,13,FALSE)</f>
        <v>1.0969800000000001</v>
      </c>
      <c r="W379" s="24">
        <f t="shared" si="60"/>
        <v>0</v>
      </c>
    </row>
    <row r="380" spans="1:23" x14ac:dyDescent="0.25">
      <c r="A380" t="str">
        <f t="shared" si="51"/>
        <v>H52.22EU1</v>
      </c>
      <c r="B380" t="s">
        <v>61</v>
      </c>
      <c r="C380" t="s">
        <v>258</v>
      </c>
      <c r="D380" t="s">
        <v>116</v>
      </c>
      <c r="E380">
        <v>19870963.52</v>
      </c>
      <c r="F380">
        <v>19870963.52</v>
      </c>
      <c r="G380">
        <v>44625790.609999999</v>
      </c>
      <c r="H380">
        <v>324538702.36000001</v>
      </c>
      <c r="I380">
        <v>70614260.540000007</v>
      </c>
      <c r="J380">
        <v>406.99471499999999</v>
      </c>
      <c r="K380">
        <v>29.260553000000002</v>
      </c>
      <c r="L380">
        <v>634.57903699999997</v>
      </c>
      <c r="M380" t="s">
        <v>15</v>
      </c>
      <c r="N380" s="24">
        <f t="shared" si="52"/>
        <v>19.870964000000001</v>
      </c>
      <c r="O380" s="24">
        <f t="shared" si="53"/>
        <v>19.870964000000001</v>
      </c>
      <c r="P380">
        <f t="shared" si="54"/>
        <v>44.625791</v>
      </c>
      <c r="Q380">
        <f t="shared" si="55"/>
        <v>324.538702</v>
      </c>
      <c r="R380">
        <f t="shared" si="56"/>
        <v>70.614260999999999</v>
      </c>
      <c r="S380" s="24">
        <f t="shared" si="57"/>
        <v>406.99</v>
      </c>
      <c r="T380" s="24">
        <f t="shared" si="58"/>
        <v>29.26</v>
      </c>
      <c r="U380" s="24">
        <f t="shared" si="59"/>
        <v>634.58000000000004</v>
      </c>
      <c r="V380" s="24">
        <f>+VLOOKUP(A380,[1]DQS4_AUX!$A:$M,13,FALSE)</f>
        <v>19.870964000000001</v>
      </c>
      <c r="W380" s="24">
        <f t="shared" si="60"/>
        <v>0</v>
      </c>
    </row>
    <row r="381" spans="1:23" x14ac:dyDescent="0.25">
      <c r="A381" t="str">
        <f t="shared" si="51"/>
        <v>H52.21EU1</v>
      </c>
      <c r="B381" t="s">
        <v>61</v>
      </c>
      <c r="C381" t="s">
        <v>258</v>
      </c>
      <c r="D381" t="s">
        <v>82</v>
      </c>
      <c r="E381">
        <v>38140510.679999903</v>
      </c>
      <c r="F381">
        <v>38140852.959999897</v>
      </c>
      <c r="G381">
        <v>210788776.28</v>
      </c>
      <c r="H381">
        <v>451326970.56</v>
      </c>
      <c r="I381">
        <v>119864114.22</v>
      </c>
      <c r="J381">
        <v>207728.49426800001</v>
      </c>
      <c r="K381">
        <v>14934.471653000001</v>
      </c>
      <c r="L381">
        <v>323886.63131600001</v>
      </c>
      <c r="M381" t="s">
        <v>15</v>
      </c>
      <c r="N381" s="24">
        <f t="shared" si="52"/>
        <v>38.140510999999996</v>
      </c>
      <c r="O381" s="24">
        <f t="shared" si="53"/>
        <v>38.140853</v>
      </c>
      <c r="P381">
        <f t="shared" si="54"/>
        <v>210.78877600000001</v>
      </c>
      <c r="Q381">
        <f t="shared" si="55"/>
        <v>451.32697100000001</v>
      </c>
      <c r="R381">
        <f t="shared" si="56"/>
        <v>119.864114</v>
      </c>
      <c r="S381" s="24">
        <f t="shared" si="57"/>
        <v>207728.49</v>
      </c>
      <c r="T381" s="24">
        <f t="shared" si="58"/>
        <v>14934.47</v>
      </c>
      <c r="U381" s="24">
        <f t="shared" si="59"/>
        <v>323886.63</v>
      </c>
      <c r="V381" s="24">
        <f>+VLOOKUP(A381,[1]DQS4_AUX!$A:$M,13,FALSE)</f>
        <v>38.140853</v>
      </c>
      <c r="W381" s="24">
        <f t="shared" si="60"/>
        <v>0</v>
      </c>
    </row>
    <row r="382" spans="1:23" x14ac:dyDescent="0.25">
      <c r="A382" t="str">
        <f t="shared" si="51"/>
        <v>H52.10EU1</v>
      </c>
      <c r="B382" t="s">
        <v>61</v>
      </c>
      <c r="C382" t="s">
        <v>258</v>
      </c>
      <c r="D382" t="s">
        <v>66</v>
      </c>
      <c r="E382">
        <v>507147.739999999</v>
      </c>
      <c r="F382">
        <v>507155.27999999898</v>
      </c>
      <c r="G382">
        <v>17664296.32</v>
      </c>
      <c r="H382">
        <v>66901341.799999997</v>
      </c>
      <c r="I382">
        <v>86287937.859999999</v>
      </c>
      <c r="J382">
        <v>262.12014399999998</v>
      </c>
      <c r="K382">
        <v>18.844902999999999</v>
      </c>
      <c r="L382">
        <v>408.69314900000001</v>
      </c>
      <c r="M382" t="s">
        <v>15</v>
      </c>
      <c r="N382" s="24">
        <f t="shared" si="52"/>
        <v>0.50714800000000004</v>
      </c>
      <c r="O382" s="24">
        <f t="shared" si="53"/>
        <v>0.50715500000000002</v>
      </c>
      <c r="P382">
        <f t="shared" si="54"/>
        <v>17.664296</v>
      </c>
      <c r="Q382">
        <f t="shared" si="55"/>
        <v>66.901342</v>
      </c>
      <c r="R382">
        <f t="shared" si="56"/>
        <v>86.287937999999997</v>
      </c>
      <c r="S382" s="24">
        <f t="shared" si="57"/>
        <v>262.12</v>
      </c>
      <c r="T382" s="24">
        <f t="shared" si="58"/>
        <v>18.84</v>
      </c>
      <c r="U382" s="24">
        <f t="shared" si="59"/>
        <v>408.69</v>
      </c>
      <c r="V382" s="24">
        <f>+VLOOKUP(A382,[1]DQS4_AUX!$A:$M,13,FALSE)</f>
        <v>0.50715500000000002</v>
      </c>
      <c r="W382" s="24">
        <f t="shared" si="60"/>
        <v>0</v>
      </c>
    </row>
    <row r="383" spans="1:23" x14ac:dyDescent="0.25">
      <c r="A383" t="str">
        <f t="shared" si="51"/>
        <v>H50.30EU1</v>
      </c>
      <c r="B383" t="s">
        <v>61</v>
      </c>
      <c r="C383" t="s">
        <v>258</v>
      </c>
      <c r="D383" t="s">
        <v>555</v>
      </c>
      <c r="E383">
        <v>134183.1</v>
      </c>
      <c r="F383">
        <v>134183.1</v>
      </c>
      <c r="G383">
        <v>7535911.96</v>
      </c>
      <c r="H383">
        <v>18441217.190000001</v>
      </c>
      <c r="I383">
        <v>7705708.2699999996</v>
      </c>
      <c r="J383">
        <v>22.45561</v>
      </c>
      <c r="K383">
        <v>1.614422</v>
      </c>
      <c r="L383">
        <v>35.012397999999997</v>
      </c>
      <c r="M383" t="s">
        <v>15</v>
      </c>
      <c r="N383" s="24">
        <f t="shared" si="52"/>
        <v>0.134183</v>
      </c>
      <c r="O383" s="24">
        <f t="shared" si="53"/>
        <v>0.134183</v>
      </c>
      <c r="P383">
        <f t="shared" si="54"/>
        <v>7.5359119999999997</v>
      </c>
      <c r="Q383">
        <f t="shared" si="55"/>
        <v>18.441217000000002</v>
      </c>
      <c r="R383">
        <f t="shared" si="56"/>
        <v>7.7057079999999996</v>
      </c>
      <c r="S383" s="24">
        <f t="shared" si="57"/>
        <v>22.46</v>
      </c>
      <c r="T383" s="24">
        <f t="shared" si="58"/>
        <v>1.61</v>
      </c>
      <c r="U383" s="24">
        <f t="shared" si="59"/>
        <v>35.01</v>
      </c>
      <c r="V383" s="24">
        <f>+VLOOKUP(A383,[1]DQS4_AUX!$A:$M,13,FALSE)</f>
        <v>0.134183</v>
      </c>
      <c r="W383" s="24">
        <f t="shared" si="60"/>
        <v>0</v>
      </c>
    </row>
    <row r="384" spans="1:23" x14ac:dyDescent="0.25">
      <c r="A384" t="str">
        <f t="shared" si="51"/>
        <v>H50.20EU1</v>
      </c>
      <c r="B384" t="s">
        <v>61</v>
      </c>
      <c r="C384" t="s">
        <v>258</v>
      </c>
      <c r="D384" t="s">
        <v>557</v>
      </c>
      <c r="E384">
        <v>4425165.83</v>
      </c>
      <c r="F384">
        <v>4425165.83</v>
      </c>
      <c r="G384">
        <v>22409145.219999999</v>
      </c>
      <c r="H384">
        <v>143076584.68000001</v>
      </c>
      <c r="I384">
        <v>236707252.56999999</v>
      </c>
      <c r="J384">
        <v>1484.869897</v>
      </c>
      <c r="K384">
        <v>106.753516</v>
      </c>
      <c r="L384">
        <v>2315.1831470000002</v>
      </c>
      <c r="M384" t="s">
        <v>15</v>
      </c>
      <c r="N384" s="24">
        <f t="shared" si="52"/>
        <v>4.4251659999999999</v>
      </c>
      <c r="O384" s="24">
        <f t="shared" si="53"/>
        <v>4.4251659999999999</v>
      </c>
      <c r="P384">
        <f t="shared" si="54"/>
        <v>22.409144999999999</v>
      </c>
      <c r="Q384">
        <f t="shared" si="55"/>
        <v>143.07658499999999</v>
      </c>
      <c r="R384">
        <f t="shared" si="56"/>
        <v>236.70725300000001</v>
      </c>
      <c r="S384" s="24">
        <f t="shared" si="57"/>
        <v>1484.87</v>
      </c>
      <c r="T384" s="24">
        <f t="shared" si="58"/>
        <v>106.75</v>
      </c>
      <c r="U384" s="24">
        <f t="shared" si="59"/>
        <v>2315.1799999999998</v>
      </c>
      <c r="V384" s="24">
        <f>+VLOOKUP(A384,[1]DQS4_AUX!$A:$M,13,FALSE)</f>
        <v>4.4251659999999999</v>
      </c>
      <c r="W384" s="24">
        <f t="shared" si="60"/>
        <v>0</v>
      </c>
    </row>
    <row r="385" spans="1:23" x14ac:dyDescent="0.25">
      <c r="A385" t="str">
        <f t="shared" si="51"/>
        <v>H50.10EU1</v>
      </c>
      <c r="B385" t="s">
        <v>61</v>
      </c>
      <c r="C385" t="s">
        <v>258</v>
      </c>
      <c r="D385" t="s">
        <v>554</v>
      </c>
      <c r="E385">
        <v>947336.37</v>
      </c>
      <c r="F385">
        <v>947336.37</v>
      </c>
      <c r="G385">
        <v>1470736.83</v>
      </c>
      <c r="H385">
        <v>2082785.15</v>
      </c>
      <c r="I385">
        <v>3504737.37</v>
      </c>
      <c r="J385">
        <v>178.003872</v>
      </c>
      <c r="K385">
        <v>12.797433</v>
      </c>
      <c r="L385">
        <v>277.540527</v>
      </c>
      <c r="M385" t="s">
        <v>15</v>
      </c>
      <c r="N385" s="24">
        <f t="shared" si="52"/>
        <v>0.94733599999999996</v>
      </c>
      <c r="O385" s="24">
        <f t="shared" si="53"/>
        <v>0.94733599999999996</v>
      </c>
      <c r="P385">
        <f t="shared" si="54"/>
        <v>1.470737</v>
      </c>
      <c r="Q385">
        <f t="shared" si="55"/>
        <v>2.0827849999999999</v>
      </c>
      <c r="R385">
        <f t="shared" si="56"/>
        <v>3.504737</v>
      </c>
      <c r="S385" s="24">
        <f t="shared" si="57"/>
        <v>178</v>
      </c>
      <c r="T385" s="24">
        <f t="shared" si="58"/>
        <v>12.8</v>
      </c>
      <c r="U385" s="24">
        <f t="shared" si="59"/>
        <v>277.54000000000002</v>
      </c>
      <c r="V385" s="24">
        <f>+VLOOKUP(A385,[1]DQS4_AUX!$A:$M,13,FALSE)</f>
        <v>0.94733599999999996</v>
      </c>
      <c r="W385" s="24">
        <f t="shared" si="60"/>
        <v>0</v>
      </c>
    </row>
    <row r="386" spans="1:23" x14ac:dyDescent="0.25">
      <c r="A386" t="str">
        <f t="shared" si="51"/>
        <v>H53.20EU1</v>
      </c>
      <c r="B386" t="s">
        <v>61</v>
      </c>
      <c r="C386" t="s">
        <v>258</v>
      </c>
      <c r="D386" t="s">
        <v>560</v>
      </c>
      <c r="E386">
        <v>23076036.84</v>
      </c>
      <c r="F386">
        <v>23076036.84</v>
      </c>
      <c r="G386">
        <v>160667406.38</v>
      </c>
      <c r="H386">
        <v>146709732.50999999</v>
      </c>
      <c r="I386">
        <v>989268332.07000005</v>
      </c>
      <c r="J386">
        <v>789.04050800000005</v>
      </c>
      <c r="K386">
        <v>1759.2497289999999</v>
      </c>
      <c r="L386">
        <v>7036.302224</v>
      </c>
      <c r="M386" t="s">
        <v>15</v>
      </c>
      <c r="N386" s="24">
        <f t="shared" si="52"/>
        <v>23.076036999999999</v>
      </c>
      <c r="O386" s="24">
        <f t="shared" si="53"/>
        <v>23.076036999999999</v>
      </c>
      <c r="P386">
        <f t="shared" si="54"/>
        <v>160.667406</v>
      </c>
      <c r="Q386">
        <f t="shared" si="55"/>
        <v>146.709733</v>
      </c>
      <c r="R386">
        <f t="shared" si="56"/>
        <v>989.26833199999999</v>
      </c>
      <c r="S386" s="24">
        <f t="shared" si="57"/>
        <v>789.04</v>
      </c>
      <c r="T386" s="24">
        <f t="shared" si="58"/>
        <v>1759.25</v>
      </c>
      <c r="U386" s="24">
        <f t="shared" si="59"/>
        <v>7036.3</v>
      </c>
      <c r="V386" s="24">
        <f>+VLOOKUP(A386,[1]DQS4_AUX!$A:$M,13,FALSE)</f>
        <v>23.076036999999999</v>
      </c>
      <c r="W386" s="24">
        <f t="shared" si="60"/>
        <v>0</v>
      </c>
    </row>
    <row r="387" spans="1:23" x14ac:dyDescent="0.25">
      <c r="A387" t="str">
        <f t="shared" ref="A387:A450" si="61">+B387&amp;D387&amp;C387</f>
        <v>I55.10EU1</v>
      </c>
      <c r="B387" t="s">
        <v>133</v>
      </c>
      <c r="C387" t="s">
        <v>258</v>
      </c>
      <c r="D387" t="s">
        <v>562</v>
      </c>
      <c r="E387">
        <v>90195024.639999896</v>
      </c>
      <c r="F387">
        <v>90198309.959999904</v>
      </c>
      <c r="G387">
        <v>1319260685.46</v>
      </c>
      <c r="H387">
        <v>2308812918.77</v>
      </c>
      <c r="I387">
        <v>1630517058.54</v>
      </c>
      <c r="J387">
        <v>2773.5259580000002</v>
      </c>
      <c r="K387">
        <v>1317.4001499999999</v>
      </c>
      <c r="L387">
        <v>12617.284711</v>
      </c>
      <c r="M387" t="s">
        <v>15</v>
      </c>
      <c r="N387" s="24">
        <f t="shared" ref="N387:N450" si="62">+ROUND(E387,0)/1000000</f>
        <v>90.195025000000001</v>
      </c>
      <c r="O387" s="24">
        <f t="shared" ref="O387:O450" si="63">+ROUND(F387,0)/1000000</f>
        <v>90.198310000000006</v>
      </c>
      <c r="P387">
        <f t="shared" ref="P387:P450" si="64">+ROUND(G387,0)/1000000</f>
        <v>1319.260685</v>
      </c>
      <c r="Q387">
        <f t="shared" ref="Q387:Q450" si="65">+ROUND(H387,0)/1000000</f>
        <v>2308.812919</v>
      </c>
      <c r="R387">
        <f t="shared" ref="R387:R450" si="66">+ROUND(I387,0)/1000000</f>
        <v>1630.517059</v>
      </c>
      <c r="S387" s="24">
        <f t="shared" ref="S387:S450" si="67">+ROUND(J387,2)</f>
        <v>2773.53</v>
      </c>
      <c r="T387" s="24">
        <f t="shared" ref="T387:T450" si="68">+ROUND(K387,2)</f>
        <v>1317.4</v>
      </c>
      <c r="U387" s="24">
        <f t="shared" ref="U387:U450" si="69">+ROUND(L387,2)</f>
        <v>12617.28</v>
      </c>
      <c r="V387" s="24">
        <f>+VLOOKUP(A387,[1]DQS4_AUX!$A:$M,13,FALSE)</f>
        <v>90.198310000000006</v>
      </c>
      <c r="W387" s="24">
        <f t="shared" ref="W387:W450" si="70">+V387-O387</f>
        <v>0</v>
      </c>
    </row>
    <row r="388" spans="1:23" x14ac:dyDescent="0.25">
      <c r="A388" t="str">
        <f t="shared" si="61"/>
        <v>I55.90EU1</v>
      </c>
      <c r="B388" t="s">
        <v>133</v>
      </c>
      <c r="C388" t="s">
        <v>258</v>
      </c>
      <c r="D388" t="s">
        <v>567</v>
      </c>
      <c r="E388">
        <v>170439.36</v>
      </c>
      <c r="F388">
        <v>170439.36</v>
      </c>
      <c r="G388">
        <v>14519347.550000001</v>
      </c>
      <c r="H388">
        <v>6535057.3399999999</v>
      </c>
      <c r="I388">
        <v>6212307.4699999997</v>
      </c>
      <c r="J388">
        <v>24.462271999999999</v>
      </c>
      <c r="K388">
        <v>11.619361</v>
      </c>
      <c r="L388">
        <v>111.28342000000001</v>
      </c>
      <c r="M388" t="s">
        <v>15</v>
      </c>
      <c r="N388" s="24">
        <f t="shared" si="62"/>
        <v>0.17043900000000001</v>
      </c>
      <c r="O388" s="24">
        <f t="shared" si="63"/>
        <v>0.17043900000000001</v>
      </c>
      <c r="P388">
        <f t="shared" si="64"/>
        <v>14.519348000000001</v>
      </c>
      <c r="Q388">
        <f t="shared" si="65"/>
        <v>6.5350570000000001</v>
      </c>
      <c r="R388">
        <f t="shared" si="66"/>
        <v>6.212307</v>
      </c>
      <c r="S388" s="24">
        <f t="shared" si="67"/>
        <v>24.46</v>
      </c>
      <c r="T388" s="24">
        <f t="shared" si="68"/>
        <v>11.62</v>
      </c>
      <c r="U388" s="24">
        <f t="shared" si="69"/>
        <v>111.28</v>
      </c>
      <c r="V388" s="24">
        <f>+VLOOKUP(A388,[1]DQS4_AUX!$A:$M,13,FALSE)</f>
        <v>0.17043900000000001</v>
      </c>
      <c r="W388" s="24">
        <f t="shared" si="70"/>
        <v>0</v>
      </c>
    </row>
    <row r="389" spans="1:23" x14ac:dyDescent="0.25">
      <c r="A389" t="str">
        <f t="shared" si="61"/>
        <v>I56.29EU1</v>
      </c>
      <c r="B389" t="s">
        <v>133</v>
      </c>
      <c r="C389" t="s">
        <v>258</v>
      </c>
      <c r="D389" t="s">
        <v>134</v>
      </c>
      <c r="E389">
        <v>2043030.6999999899</v>
      </c>
      <c r="F389">
        <v>2045073.3399999901</v>
      </c>
      <c r="G389">
        <v>15518692.18</v>
      </c>
      <c r="H389">
        <v>80495341</v>
      </c>
      <c r="I389">
        <v>512526358.19999999</v>
      </c>
      <c r="J389">
        <v>522.56323299999997</v>
      </c>
      <c r="K389">
        <v>248.21288200000001</v>
      </c>
      <c r="L389">
        <v>2377.2371429999998</v>
      </c>
      <c r="M389" t="s">
        <v>15</v>
      </c>
      <c r="N389" s="24">
        <f t="shared" si="62"/>
        <v>2.043031</v>
      </c>
      <c r="O389" s="24">
        <f t="shared" si="63"/>
        <v>2.0450729999999999</v>
      </c>
      <c r="P389">
        <f t="shared" si="64"/>
        <v>15.518692</v>
      </c>
      <c r="Q389">
        <f t="shared" si="65"/>
        <v>80.495340999999996</v>
      </c>
      <c r="R389">
        <f t="shared" si="66"/>
        <v>512.52635799999996</v>
      </c>
      <c r="S389" s="24">
        <f t="shared" si="67"/>
        <v>522.55999999999995</v>
      </c>
      <c r="T389" s="24">
        <f t="shared" si="68"/>
        <v>248.21</v>
      </c>
      <c r="U389" s="24">
        <f t="shared" si="69"/>
        <v>2377.2399999999998</v>
      </c>
      <c r="V389" s="24">
        <f>+VLOOKUP(A389,[1]DQS4_AUX!$A:$M,13,FALSE)</f>
        <v>2.0450729999999999</v>
      </c>
      <c r="W389" s="24">
        <f t="shared" si="70"/>
        <v>0</v>
      </c>
    </row>
    <row r="390" spans="1:23" x14ac:dyDescent="0.25">
      <c r="A390" t="str">
        <f t="shared" si="61"/>
        <v>I56.30EU1</v>
      </c>
      <c r="B390" t="s">
        <v>133</v>
      </c>
      <c r="C390" t="s">
        <v>258</v>
      </c>
      <c r="D390" t="s">
        <v>565</v>
      </c>
      <c r="E390">
        <v>23534784.7299999</v>
      </c>
      <c r="F390">
        <v>23535417.7999999</v>
      </c>
      <c r="G390">
        <v>73072456.200000003</v>
      </c>
      <c r="H390">
        <v>82362917.390000001</v>
      </c>
      <c r="I390">
        <v>293690417.63</v>
      </c>
      <c r="J390">
        <v>2126.4439029999999</v>
      </c>
      <c r="K390">
        <v>1010.041733</v>
      </c>
      <c r="L390">
        <v>9673.5896150000008</v>
      </c>
      <c r="M390" t="s">
        <v>15</v>
      </c>
      <c r="N390" s="24">
        <f t="shared" si="62"/>
        <v>23.534784999999999</v>
      </c>
      <c r="O390" s="24">
        <f t="shared" si="63"/>
        <v>23.535418</v>
      </c>
      <c r="P390">
        <f t="shared" si="64"/>
        <v>73.072456000000003</v>
      </c>
      <c r="Q390">
        <f t="shared" si="65"/>
        <v>82.362916999999996</v>
      </c>
      <c r="R390">
        <f t="shared" si="66"/>
        <v>293.69041800000002</v>
      </c>
      <c r="S390" s="24">
        <f t="shared" si="67"/>
        <v>2126.44</v>
      </c>
      <c r="T390" s="24">
        <f t="shared" si="68"/>
        <v>1010.04</v>
      </c>
      <c r="U390" s="24">
        <f t="shared" si="69"/>
        <v>9673.59</v>
      </c>
      <c r="V390" s="24">
        <f>+VLOOKUP(A390,[1]DQS4_AUX!$A:$M,13,FALSE)</f>
        <v>23.535418</v>
      </c>
      <c r="W390" s="24">
        <f t="shared" si="70"/>
        <v>0</v>
      </c>
    </row>
    <row r="391" spans="1:23" x14ac:dyDescent="0.25">
      <c r="A391" t="str">
        <f t="shared" si="61"/>
        <v>I56.10EU1</v>
      </c>
      <c r="B391" t="s">
        <v>133</v>
      </c>
      <c r="C391" t="s">
        <v>258</v>
      </c>
      <c r="D391" t="s">
        <v>566</v>
      </c>
      <c r="E391">
        <v>102318682.159999</v>
      </c>
      <c r="F391">
        <v>102322148.14999899</v>
      </c>
      <c r="G391">
        <v>339069948.04000002</v>
      </c>
      <c r="H391">
        <v>626723351.27999997</v>
      </c>
      <c r="I391">
        <v>1803557359.95</v>
      </c>
      <c r="J391">
        <v>10979.103395</v>
      </c>
      <c r="K391">
        <v>5214.9752639999997</v>
      </c>
      <c r="L391">
        <v>49945.987366000001</v>
      </c>
      <c r="M391" t="s">
        <v>15</v>
      </c>
      <c r="N391" s="24">
        <f t="shared" si="62"/>
        <v>102.318682</v>
      </c>
      <c r="O391" s="24">
        <f t="shared" si="63"/>
        <v>102.322148</v>
      </c>
      <c r="P391">
        <f t="shared" si="64"/>
        <v>339.06994800000001</v>
      </c>
      <c r="Q391">
        <f t="shared" si="65"/>
        <v>626.72335099999998</v>
      </c>
      <c r="R391">
        <f t="shared" si="66"/>
        <v>1803.55736</v>
      </c>
      <c r="S391" s="24">
        <f t="shared" si="67"/>
        <v>10979.1</v>
      </c>
      <c r="T391" s="24">
        <f t="shared" si="68"/>
        <v>5214.9799999999996</v>
      </c>
      <c r="U391" s="24">
        <f t="shared" si="69"/>
        <v>49945.99</v>
      </c>
      <c r="V391" s="24">
        <f>+VLOOKUP(A391,[1]DQS4_AUX!$A:$M,13,FALSE)</f>
        <v>102.322148</v>
      </c>
      <c r="W391" s="24">
        <f t="shared" si="70"/>
        <v>0</v>
      </c>
    </row>
    <row r="392" spans="1:23" x14ac:dyDescent="0.25">
      <c r="A392" t="str">
        <f t="shared" si="61"/>
        <v>I55.30EU1</v>
      </c>
      <c r="B392" t="s">
        <v>133</v>
      </c>
      <c r="C392" t="s">
        <v>258</v>
      </c>
      <c r="D392" t="s">
        <v>561</v>
      </c>
      <c r="E392">
        <v>3308613.73999999</v>
      </c>
      <c r="F392">
        <v>3309035.50999999</v>
      </c>
      <c r="G392">
        <v>24305145.07</v>
      </c>
      <c r="H392">
        <v>87688805.709999993</v>
      </c>
      <c r="I392">
        <v>45378545.549999997</v>
      </c>
      <c r="J392">
        <v>95.534788000000006</v>
      </c>
      <c r="K392">
        <v>45.378176000000003</v>
      </c>
      <c r="L392">
        <v>434.60547500000001</v>
      </c>
      <c r="M392" t="s">
        <v>15</v>
      </c>
      <c r="N392" s="24">
        <f t="shared" si="62"/>
        <v>3.3086139999999999</v>
      </c>
      <c r="O392" s="24">
        <f t="shared" si="63"/>
        <v>3.3090359999999999</v>
      </c>
      <c r="P392">
        <f t="shared" si="64"/>
        <v>24.305145</v>
      </c>
      <c r="Q392">
        <f t="shared" si="65"/>
        <v>87.688806</v>
      </c>
      <c r="R392">
        <f t="shared" si="66"/>
        <v>45.378546</v>
      </c>
      <c r="S392" s="24">
        <f t="shared" si="67"/>
        <v>95.53</v>
      </c>
      <c r="T392" s="24">
        <f t="shared" si="68"/>
        <v>45.38</v>
      </c>
      <c r="U392" s="24">
        <f t="shared" si="69"/>
        <v>434.61</v>
      </c>
      <c r="V392" s="24">
        <f>+VLOOKUP(A392,[1]DQS4_AUX!$A:$M,13,FALSE)</f>
        <v>3.3090359999999999</v>
      </c>
      <c r="W392" s="24">
        <f t="shared" si="70"/>
        <v>0</v>
      </c>
    </row>
    <row r="393" spans="1:23" x14ac:dyDescent="0.25">
      <c r="A393" t="str">
        <f t="shared" si="61"/>
        <v>I56.21EU1</v>
      </c>
      <c r="B393" t="s">
        <v>133</v>
      </c>
      <c r="C393" t="s">
        <v>258</v>
      </c>
      <c r="D393" t="s">
        <v>564</v>
      </c>
      <c r="E393">
        <v>874098.16</v>
      </c>
      <c r="F393">
        <v>874098.16</v>
      </c>
      <c r="G393">
        <v>9547552.9399999995</v>
      </c>
      <c r="H393">
        <v>15250201.58</v>
      </c>
      <c r="I393">
        <v>43843258.539999999</v>
      </c>
      <c r="J393">
        <v>149.298157</v>
      </c>
      <c r="K393">
        <v>70.915296999999995</v>
      </c>
      <c r="L393">
        <v>679.18504900000005</v>
      </c>
      <c r="M393" t="s">
        <v>15</v>
      </c>
      <c r="N393" s="24">
        <f t="shared" si="62"/>
        <v>0.87409800000000004</v>
      </c>
      <c r="O393" s="24">
        <f t="shared" si="63"/>
        <v>0.87409800000000004</v>
      </c>
      <c r="P393">
        <f t="shared" si="64"/>
        <v>9.5475530000000006</v>
      </c>
      <c r="Q393">
        <f t="shared" si="65"/>
        <v>15.250202</v>
      </c>
      <c r="R393">
        <f t="shared" si="66"/>
        <v>43.843259000000003</v>
      </c>
      <c r="S393" s="24">
        <f t="shared" si="67"/>
        <v>149.30000000000001</v>
      </c>
      <c r="T393" s="24">
        <f t="shared" si="68"/>
        <v>70.92</v>
      </c>
      <c r="U393" s="24">
        <f t="shared" si="69"/>
        <v>679.19</v>
      </c>
      <c r="V393" s="24">
        <f>+VLOOKUP(A393,[1]DQS4_AUX!$A:$M,13,FALSE)</f>
        <v>0.87409800000000004</v>
      </c>
      <c r="W393" s="24">
        <f t="shared" si="70"/>
        <v>0</v>
      </c>
    </row>
    <row r="394" spans="1:23" x14ac:dyDescent="0.25">
      <c r="A394" t="str">
        <f t="shared" si="61"/>
        <v>I55.20EU1</v>
      </c>
      <c r="B394" t="s">
        <v>133</v>
      </c>
      <c r="C394" t="s">
        <v>258</v>
      </c>
      <c r="D394" t="s">
        <v>563</v>
      </c>
      <c r="E394">
        <v>23317675.6199999</v>
      </c>
      <c r="F394">
        <v>23317872.269999899</v>
      </c>
      <c r="G394">
        <v>167643500.19</v>
      </c>
      <c r="H394">
        <v>271646423.08999997</v>
      </c>
      <c r="I394">
        <v>225530762.65000001</v>
      </c>
      <c r="J394">
        <v>1167.2498909999999</v>
      </c>
      <c r="K394">
        <v>554.43319499999996</v>
      </c>
      <c r="L394">
        <v>5310.0375649999996</v>
      </c>
      <c r="M394" t="s">
        <v>15</v>
      </c>
      <c r="N394" s="24">
        <f t="shared" si="62"/>
        <v>23.317675999999999</v>
      </c>
      <c r="O394" s="24">
        <f t="shared" si="63"/>
        <v>23.317872000000001</v>
      </c>
      <c r="P394">
        <f t="shared" si="64"/>
        <v>167.64349999999999</v>
      </c>
      <c r="Q394">
        <f t="shared" si="65"/>
        <v>271.64642300000003</v>
      </c>
      <c r="R394">
        <f t="shared" si="66"/>
        <v>225.53076300000001</v>
      </c>
      <c r="S394" s="24">
        <f t="shared" si="67"/>
        <v>1167.25</v>
      </c>
      <c r="T394" s="24">
        <f t="shared" si="68"/>
        <v>554.42999999999995</v>
      </c>
      <c r="U394" s="24">
        <f t="shared" si="69"/>
        <v>5310.04</v>
      </c>
      <c r="V394" s="24">
        <f>+VLOOKUP(A394,[1]DQS4_AUX!$A:$M,13,FALSE)</f>
        <v>23.317872000000001</v>
      </c>
      <c r="W394" s="24">
        <f t="shared" si="70"/>
        <v>0</v>
      </c>
    </row>
    <row r="395" spans="1:23" x14ac:dyDescent="0.25">
      <c r="A395" t="str">
        <f t="shared" si="61"/>
        <v>J61.10EU1</v>
      </c>
      <c r="B395" t="s">
        <v>41</v>
      </c>
      <c r="C395" t="s">
        <v>258</v>
      </c>
      <c r="D395" t="s">
        <v>72</v>
      </c>
      <c r="E395">
        <v>2443100.7999999998</v>
      </c>
      <c r="F395">
        <v>2443100.7999999998</v>
      </c>
      <c r="G395">
        <v>314815592.07999998</v>
      </c>
      <c r="H395">
        <v>404713294.54000002</v>
      </c>
      <c r="I395">
        <v>2293186417.7399998</v>
      </c>
      <c r="J395">
        <v>103.97707200000001</v>
      </c>
      <c r="K395">
        <v>231.82795400000001</v>
      </c>
      <c r="L395">
        <v>927.22004200000003</v>
      </c>
      <c r="M395" t="s">
        <v>15</v>
      </c>
      <c r="N395" s="24">
        <f t="shared" si="62"/>
        <v>2.443101</v>
      </c>
      <c r="O395" s="24">
        <f t="shared" si="63"/>
        <v>2.443101</v>
      </c>
      <c r="P395">
        <f t="shared" si="64"/>
        <v>314.81559199999998</v>
      </c>
      <c r="Q395">
        <f t="shared" si="65"/>
        <v>404.71329500000002</v>
      </c>
      <c r="R395">
        <f t="shared" si="66"/>
        <v>2293.1864179999998</v>
      </c>
      <c r="S395" s="24">
        <f t="shared" si="67"/>
        <v>103.98</v>
      </c>
      <c r="T395" s="24">
        <f t="shared" si="68"/>
        <v>231.83</v>
      </c>
      <c r="U395" s="24">
        <f t="shared" si="69"/>
        <v>927.22</v>
      </c>
      <c r="V395" s="24">
        <f>+VLOOKUP(A395,[1]DQS4_AUX!$A:$M,13,FALSE)</f>
        <v>2.443101</v>
      </c>
      <c r="W395" s="24">
        <f t="shared" si="70"/>
        <v>0</v>
      </c>
    </row>
    <row r="396" spans="1:23" x14ac:dyDescent="0.25">
      <c r="A396" t="str">
        <f t="shared" si="61"/>
        <v>J58.21EU1</v>
      </c>
      <c r="B396" t="s">
        <v>41</v>
      </c>
      <c r="C396" t="s">
        <v>258</v>
      </c>
      <c r="D396" t="s">
        <v>568</v>
      </c>
      <c r="E396">
        <v>3681.76</v>
      </c>
      <c r="F396">
        <v>3681.76</v>
      </c>
      <c r="G396">
        <v>313.60000000000002</v>
      </c>
      <c r="H396">
        <v>2337228.86</v>
      </c>
      <c r="I396">
        <v>9031061</v>
      </c>
      <c r="J396">
        <v>0.29461700000000002</v>
      </c>
      <c r="K396">
        <v>0.132357</v>
      </c>
      <c r="L396">
        <v>1.6502300000000001</v>
      </c>
      <c r="M396" t="s">
        <v>15</v>
      </c>
      <c r="N396" s="24">
        <f t="shared" si="62"/>
        <v>3.6819999999999999E-3</v>
      </c>
      <c r="O396" s="24">
        <f t="shared" si="63"/>
        <v>3.6819999999999999E-3</v>
      </c>
      <c r="P396">
        <f t="shared" si="64"/>
        <v>3.1399999999999999E-4</v>
      </c>
      <c r="Q396">
        <f t="shared" si="65"/>
        <v>2.3372289999999998</v>
      </c>
      <c r="R396">
        <f t="shared" si="66"/>
        <v>9.0310609999999993</v>
      </c>
      <c r="S396" s="24">
        <f t="shared" si="67"/>
        <v>0.28999999999999998</v>
      </c>
      <c r="T396" s="24">
        <f t="shared" si="68"/>
        <v>0.13</v>
      </c>
      <c r="U396" s="24">
        <f t="shared" si="69"/>
        <v>1.65</v>
      </c>
      <c r="V396" s="24">
        <f>+VLOOKUP(A396,[1]DQS4_AUX!$A:$M,13,FALSE)</f>
        <v>3.6819999999999999E-3</v>
      </c>
      <c r="W396" s="24">
        <f t="shared" si="70"/>
        <v>0</v>
      </c>
    </row>
    <row r="397" spans="1:23" x14ac:dyDescent="0.25">
      <c r="A397" t="str">
        <f t="shared" si="61"/>
        <v>J61.30EU1</v>
      </c>
      <c r="B397" t="s">
        <v>41</v>
      </c>
      <c r="C397" t="s">
        <v>258</v>
      </c>
      <c r="D397" t="s">
        <v>576</v>
      </c>
      <c r="E397">
        <v>101220.73</v>
      </c>
      <c r="F397">
        <v>101220.73</v>
      </c>
      <c r="G397">
        <v>35631.43</v>
      </c>
      <c r="H397">
        <v>11901.65</v>
      </c>
      <c r="I397">
        <v>263587.3</v>
      </c>
      <c r="J397">
        <v>5.9106199999999998</v>
      </c>
      <c r="K397">
        <v>13.178362999999999</v>
      </c>
      <c r="L397">
        <v>52.708236999999997</v>
      </c>
      <c r="M397" t="s">
        <v>15</v>
      </c>
      <c r="N397" s="24">
        <f t="shared" si="62"/>
        <v>0.10122100000000001</v>
      </c>
      <c r="O397" s="24">
        <f t="shared" si="63"/>
        <v>0.10122100000000001</v>
      </c>
      <c r="P397">
        <f t="shared" si="64"/>
        <v>3.5631000000000003E-2</v>
      </c>
      <c r="Q397">
        <f t="shared" si="65"/>
        <v>1.1901999999999999E-2</v>
      </c>
      <c r="R397">
        <f t="shared" si="66"/>
        <v>0.26358700000000002</v>
      </c>
      <c r="S397" s="24">
        <f t="shared" si="67"/>
        <v>5.91</v>
      </c>
      <c r="T397" s="24">
        <f t="shared" si="68"/>
        <v>13.18</v>
      </c>
      <c r="U397" s="24">
        <f t="shared" si="69"/>
        <v>52.71</v>
      </c>
      <c r="V397" s="24">
        <f>+VLOOKUP(A397,[1]DQS4_AUX!$A:$M,13,FALSE)</f>
        <v>0.10122100000000001</v>
      </c>
      <c r="W397" s="24">
        <f t="shared" si="70"/>
        <v>0</v>
      </c>
    </row>
    <row r="398" spans="1:23" x14ac:dyDescent="0.25">
      <c r="A398" t="str">
        <f t="shared" si="61"/>
        <v>J63.11EU1</v>
      </c>
      <c r="B398" t="s">
        <v>41</v>
      </c>
      <c r="C398" t="s">
        <v>258</v>
      </c>
      <c r="D398" t="s">
        <v>232</v>
      </c>
      <c r="E398">
        <v>1897870.1</v>
      </c>
      <c r="F398">
        <v>1897870.1</v>
      </c>
      <c r="G398">
        <v>12529618.800000001</v>
      </c>
      <c r="H398">
        <v>12731605.609999999</v>
      </c>
      <c r="I398">
        <v>56119165.829999998</v>
      </c>
      <c r="J398">
        <v>87.786619999999999</v>
      </c>
      <c r="K398">
        <v>39.438426999999997</v>
      </c>
      <c r="L398">
        <v>491.71690799999999</v>
      </c>
      <c r="M398" t="s">
        <v>15</v>
      </c>
      <c r="N398" s="24">
        <f t="shared" si="62"/>
        <v>1.8978699999999999</v>
      </c>
      <c r="O398" s="24">
        <f t="shared" si="63"/>
        <v>1.8978699999999999</v>
      </c>
      <c r="P398">
        <f t="shared" si="64"/>
        <v>12.529619</v>
      </c>
      <c r="Q398">
        <f t="shared" si="65"/>
        <v>12.731605999999999</v>
      </c>
      <c r="R398">
        <f t="shared" si="66"/>
        <v>56.119166</v>
      </c>
      <c r="S398" s="24">
        <f t="shared" si="67"/>
        <v>87.79</v>
      </c>
      <c r="T398" s="24">
        <f t="shared" si="68"/>
        <v>39.44</v>
      </c>
      <c r="U398" s="24">
        <f t="shared" si="69"/>
        <v>491.72</v>
      </c>
      <c r="V398" s="24">
        <f>+VLOOKUP(A398,[1]DQS4_AUX!$A:$M,13,FALSE)</f>
        <v>1.8978699999999999</v>
      </c>
      <c r="W398" s="24">
        <f t="shared" si="70"/>
        <v>0</v>
      </c>
    </row>
    <row r="399" spans="1:23" x14ac:dyDescent="0.25">
      <c r="A399" t="str">
        <f t="shared" si="61"/>
        <v>J59.12EU1</v>
      </c>
      <c r="B399" t="s">
        <v>41</v>
      </c>
      <c r="C399" t="s">
        <v>258</v>
      </c>
      <c r="D399" t="s">
        <v>569</v>
      </c>
      <c r="E399">
        <v>266397.74</v>
      </c>
      <c r="F399">
        <v>266397.74</v>
      </c>
      <c r="G399">
        <v>2612577</v>
      </c>
      <c r="H399">
        <v>1919266.65</v>
      </c>
      <c r="I399">
        <v>3516053.93</v>
      </c>
      <c r="J399">
        <v>39.032451999999999</v>
      </c>
      <c r="K399">
        <v>6.5247909999999996</v>
      </c>
      <c r="L399">
        <v>71.419343999999995</v>
      </c>
      <c r="M399" t="s">
        <v>15</v>
      </c>
      <c r="N399" s="24">
        <f t="shared" si="62"/>
        <v>0.26639800000000002</v>
      </c>
      <c r="O399" s="24">
        <f t="shared" si="63"/>
        <v>0.26639800000000002</v>
      </c>
      <c r="P399">
        <f t="shared" si="64"/>
        <v>2.6125769999999999</v>
      </c>
      <c r="Q399">
        <f t="shared" si="65"/>
        <v>1.9192670000000001</v>
      </c>
      <c r="R399">
        <f t="shared" si="66"/>
        <v>3.516054</v>
      </c>
      <c r="S399" s="24">
        <f t="shared" si="67"/>
        <v>39.03</v>
      </c>
      <c r="T399" s="24">
        <f t="shared" si="68"/>
        <v>6.52</v>
      </c>
      <c r="U399" s="24">
        <f t="shared" si="69"/>
        <v>71.42</v>
      </c>
      <c r="V399" s="24">
        <f>+VLOOKUP(A399,[1]DQS4_AUX!$A:$M,13,FALSE)</f>
        <v>0.26639800000000002</v>
      </c>
      <c r="W399" s="24">
        <f t="shared" si="70"/>
        <v>0</v>
      </c>
    </row>
    <row r="400" spans="1:23" x14ac:dyDescent="0.25">
      <c r="A400" t="str">
        <f t="shared" si="61"/>
        <v>J59.13EU1</v>
      </c>
      <c r="B400" t="s">
        <v>41</v>
      </c>
      <c r="C400" t="s">
        <v>258</v>
      </c>
      <c r="D400" t="s">
        <v>156</v>
      </c>
      <c r="E400">
        <v>349802.51</v>
      </c>
      <c r="F400">
        <v>349802.51</v>
      </c>
      <c r="G400">
        <v>1499446.83</v>
      </c>
      <c r="H400">
        <v>4753729.07</v>
      </c>
      <c r="I400">
        <v>6948897.4900000002</v>
      </c>
      <c r="J400">
        <v>78.289592999999996</v>
      </c>
      <c r="K400">
        <v>13.087147999999999</v>
      </c>
      <c r="L400">
        <v>143.24980400000001</v>
      </c>
      <c r="M400" t="s">
        <v>15</v>
      </c>
      <c r="N400" s="24">
        <f t="shared" si="62"/>
        <v>0.34980299999999998</v>
      </c>
      <c r="O400" s="24">
        <f t="shared" si="63"/>
        <v>0.34980299999999998</v>
      </c>
      <c r="P400">
        <f t="shared" si="64"/>
        <v>1.499447</v>
      </c>
      <c r="Q400">
        <f t="shared" si="65"/>
        <v>4.7537289999999999</v>
      </c>
      <c r="R400">
        <f t="shared" si="66"/>
        <v>6.9488969999999997</v>
      </c>
      <c r="S400" s="24">
        <f t="shared" si="67"/>
        <v>78.290000000000006</v>
      </c>
      <c r="T400" s="24">
        <f t="shared" si="68"/>
        <v>13.09</v>
      </c>
      <c r="U400" s="24">
        <f t="shared" si="69"/>
        <v>143.25</v>
      </c>
      <c r="V400" s="24">
        <f>+VLOOKUP(A400,[1]DQS4_AUX!$A:$M,13,FALSE)</f>
        <v>0.34980299999999998</v>
      </c>
      <c r="W400" s="24">
        <f t="shared" si="70"/>
        <v>0</v>
      </c>
    </row>
    <row r="401" spans="1:23" x14ac:dyDescent="0.25">
      <c r="A401" t="str">
        <f t="shared" si="61"/>
        <v>J59.14EU1</v>
      </c>
      <c r="B401" t="s">
        <v>41</v>
      </c>
      <c r="C401" t="s">
        <v>258</v>
      </c>
      <c r="D401" t="s">
        <v>137</v>
      </c>
      <c r="E401">
        <v>482.04</v>
      </c>
      <c r="F401">
        <v>482.04</v>
      </c>
      <c r="G401">
        <v>226533.74</v>
      </c>
      <c r="H401">
        <v>547638.34</v>
      </c>
      <c r="I401">
        <v>236247.19</v>
      </c>
      <c r="J401">
        <v>3.4949999999999998E-3</v>
      </c>
      <c r="K401">
        <v>5.8399999999999999E-4</v>
      </c>
      <c r="L401">
        <v>6.3990000000000002E-3</v>
      </c>
      <c r="M401" t="s">
        <v>15</v>
      </c>
      <c r="N401" s="24">
        <f t="shared" si="62"/>
        <v>4.8200000000000001E-4</v>
      </c>
      <c r="O401" s="24">
        <f t="shared" si="63"/>
        <v>4.8200000000000001E-4</v>
      </c>
      <c r="P401">
        <f t="shared" si="64"/>
        <v>0.22653400000000001</v>
      </c>
      <c r="Q401">
        <f t="shared" si="65"/>
        <v>0.54763799999999996</v>
      </c>
      <c r="R401">
        <f t="shared" si="66"/>
        <v>0.23624700000000001</v>
      </c>
      <c r="S401" s="24">
        <f t="shared" si="67"/>
        <v>0</v>
      </c>
      <c r="T401" s="24">
        <f t="shared" si="68"/>
        <v>0</v>
      </c>
      <c r="U401" s="24">
        <f t="shared" si="69"/>
        <v>0.01</v>
      </c>
      <c r="V401" s="24">
        <f>+VLOOKUP(A401,[1]DQS4_AUX!$A:$M,13,FALSE)</f>
        <v>4.8200000000000001E-4</v>
      </c>
      <c r="W401" s="24">
        <f t="shared" si="70"/>
        <v>0</v>
      </c>
    </row>
    <row r="402" spans="1:23" x14ac:dyDescent="0.25">
      <c r="A402" t="str">
        <f t="shared" si="61"/>
        <v>J59.11EU1</v>
      </c>
      <c r="B402" t="s">
        <v>41</v>
      </c>
      <c r="C402" t="s">
        <v>258</v>
      </c>
      <c r="D402" t="s">
        <v>229</v>
      </c>
      <c r="E402">
        <v>6361528.3999999901</v>
      </c>
      <c r="F402">
        <v>6361617.6899999902</v>
      </c>
      <c r="G402">
        <v>28179603.510000002</v>
      </c>
      <c r="H402">
        <v>44199584.280000001</v>
      </c>
      <c r="I402">
        <v>89751754.349999994</v>
      </c>
      <c r="J402">
        <v>634.58790499999998</v>
      </c>
      <c r="K402">
        <v>106.07980999999999</v>
      </c>
      <c r="L402">
        <v>1161.132546</v>
      </c>
      <c r="M402" t="s">
        <v>15</v>
      </c>
      <c r="N402" s="24">
        <f t="shared" si="62"/>
        <v>6.3615279999999998</v>
      </c>
      <c r="O402" s="24">
        <f t="shared" si="63"/>
        <v>6.361618</v>
      </c>
      <c r="P402">
        <f t="shared" si="64"/>
        <v>28.179604000000001</v>
      </c>
      <c r="Q402">
        <f t="shared" si="65"/>
        <v>44.199584000000002</v>
      </c>
      <c r="R402">
        <f t="shared" si="66"/>
        <v>89.751754000000005</v>
      </c>
      <c r="S402" s="24">
        <f t="shared" si="67"/>
        <v>634.59</v>
      </c>
      <c r="T402" s="24">
        <f t="shared" si="68"/>
        <v>106.08</v>
      </c>
      <c r="U402" s="24">
        <f t="shared" si="69"/>
        <v>1161.1300000000001</v>
      </c>
      <c r="V402" s="24">
        <f>+VLOOKUP(A402,[1]DQS4_AUX!$A:$M,13,FALSE)</f>
        <v>6.361618</v>
      </c>
      <c r="W402" s="24">
        <f t="shared" si="70"/>
        <v>0</v>
      </c>
    </row>
    <row r="403" spans="1:23" x14ac:dyDescent="0.25">
      <c r="A403" t="str">
        <f t="shared" si="61"/>
        <v>J58.29EU1</v>
      </c>
      <c r="B403" t="s">
        <v>41</v>
      </c>
      <c r="C403" t="s">
        <v>258</v>
      </c>
      <c r="D403" t="s">
        <v>574</v>
      </c>
      <c r="E403">
        <v>874784.61</v>
      </c>
      <c r="F403">
        <v>874784.61</v>
      </c>
      <c r="G403">
        <v>14851407.970000001</v>
      </c>
      <c r="H403">
        <v>22543953.699999999</v>
      </c>
      <c r="I403">
        <v>39218685.189999998</v>
      </c>
      <c r="J403">
        <v>27.897402</v>
      </c>
      <c r="K403">
        <v>12.532995</v>
      </c>
      <c r="L403">
        <v>156.26100099999999</v>
      </c>
      <c r="M403" t="s">
        <v>15</v>
      </c>
      <c r="N403" s="24">
        <f t="shared" si="62"/>
        <v>0.87478500000000003</v>
      </c>
      <c r="O403" s="24">
        <f t="shared" si="63"/>
        <v>0.87478500000000003</v>
      </c>
      <c r="P403">
        <f t="shared" si="64"/>
        <v>14.851407999999999</v>
      </c>
      <c r="Q403">
        <f t="shared" si="65"/>
        <v>22.543953999999999</v>
      </c>
      <c r="R403">
        <f t="shared" si="66"/>
        <v>39.218685000000001</v>
      </c>
      <c r="S403" s="24">
        <f t="shared" si="67"/>
        <v>27.9</v>
      </c>
      <c r="T403" s="24">
        <f t="shared" si="68"/>
        <v>12.53</v>
      </c>
      <c r="U403" s="24">
        <f t="shared" si="69"/>
        <v>156.26</v>
      </c>
      <c r="V403" s="24">
        <f>+VLOOKUP(A403,[1]DQS4_AUX!$A:$M,13,FALSE)</f>
        <v>0.87478500000000003</v>
      </c>
      <c r="W403" s="24">
        <f t="shared" si="70"/>
        <v>0</v>
      </c>
    </row>
    <row r="404" spans="1:23" x14ac:dyDescent="0.25">
      <c r="A404" t="str">
        <f t="shared" si="61"/>
        <v>J58.13EU1</v>
      </c>
      <c r="B404" t="s">
        <v>41</v>
      </c>
      <c r="C404" t="s">
        <v>258</v>
      </c>
      <c r="D404" t="s">
        <v>570</v>
      </c>
      <c r="E404">
        <v>356449.29</v>
      </c>
      <c r="F404">
        <v>356449.29</v>
      </c>
      <c r="G404">
        <v>2845911.31</v>
      </c>
      <c r="H404">
        <v>3599980.72</v>
      </c>
      <c r="I404">
        <v>10772745.42</v>
      </c>
      <c r="J404">
        <v>39.813454999999998</v>
      </c>
      <c r="K404">
        <v>36.032635999999997</v>
      </c>
      <c r="L404">
        <v>186.163568</v>
      </c>
      <c r="M404" t="s">
        <v>15</v>
      </c>
      <c r="N404" s="24">
        <f t="shared" si="62"/>
        <v>0.35644900000000002</v>
      </c>
      <c r="O404" s="24">
        <f t="shared" si="63"/>
        <v>0.35644900000000002</v>
      </c>
      <c r="P404">
        <f t="shared" si="64"/>
        <v>2.8459110000000001</v>
      </c>
      <c r="Q404">
        <f t="shared" si="65"/>
        <v>3.5999810000000001</v>
      </c>
      <c r="R404">
        <f t="shared" si="66"/>
        <v>10.772745</v>
      </c>
      <c r="S404" s="24">
        <f t="shared" si="67"/>
        <v>39.81</v>
      </c>
      <c r="T404" s="24">
        <f t="shared" si="68"/>
        <v>36.03</v>
      </c>
      <c r="U404" s="24">
        <f t="shared" si="69"/>
        <v>186.16</v>
      </c>
      <c r="V404" s="24">
        <f>+VLOOKUP(A404,[1]DQS4_AUX!$A:$M,13,FALSE)</f>
        <v>0.35644900000000002</v>
      </c>
      <c r="W404" s="24">
        <f t="shared" si="70"/>
        <v>0</v>
      </c>
    </row>
    <row r="405" spans="1:23" x14ac:dyDescent="0.25">
      <c r="A405" t="str">
        <f t="shared" si="61"/>
        <v>J60.20EU1</v>
      </c>
      <c r="B405" t="s">
        <v>41</v>
      </c>
      <c r="C405" t="s">
        <v>258</v>
      </c>
      <c r="D405" t="s">
        <v>158</v>
      </c>
      <c r="E405">
        <v>5330433.2</v>
      </c>
      <c r="F405">
        <v>5330433.2</v>
      </c>
      <c r="G405">
        <v>99996459.400000006</v>
      </c>
      <c r="H405">
        <v>43453230.07</v>
      </c>
      <c r="I405">
        <v>280227884.89999998</v>
      </c>
      <c r="J405">
        <v>75.801198999999997</v>
      </c>
      <c r="K405">
        <v>169.006844</v>
      </c>
      <c r="L405">
        <v>675.96046000000001</v>
      </c>
      <c r="M405" t="s">
        <v>15</v>
      </c>
      <c r="N405" s="24">
        <f t="shared" si="62"/>
        <v>5.3304330000000002</v>
      </c>
      <c r="O405" s="24">
        <f t="shared" si="63"/>
        <v>5.3304330000000002</v>
      </c>
      <c r="P405">
        <f t="shared" si="64"/>
        <v>99.996459000000002</v>
      </c>
      <c r="Q405">
        <f t="shared" si="65"/>
        <v>43.453229999999998</v>
      </c>
      <c r="R405">
        <f t="shared" si="66"/>
        <v>280.22788500000001</v>
      </c>
      <c r="S405" s="24">
        <f t="shared" si="67"/>
        <v>75.8</v>
      </c>
      <c r="T405" s="24">
        <f t="shared" si="68"/>
        <v>169.01</v>
      </c>
      <c r="U405" s="24">
        <f t="shared" si="69"/>
        <v>675.96</v>
      </c>
      <c r="V405" s="24">
        <f>+VLOOKUP(A405,[1]DQS4_AUX!$A:$M,13,FALSE)</f>
        <v>5.3304330000000002</v>
      </c>
      <c r="W405" s="24">
        <f t="shared" si="70"/>
        <v>0</v>
      </c>
    </row>
    <row r="406" spans="1:23" x14ac:dyDescent="0.25">
      <c r="A406" t="str">
        <f t="shared" si="61"/>
        <v>J61.90EU1</v>
      </c>
      <c r="B406" t="s">
        <v>41</v>
      </c>
      <c r="C406" t="s">
        <v>258</v>
      </c>
      <c r="D406" t="s">
        <v>42</v>
      </c>
      <c r="E406">
        <v>15354273.67</v>
      </c>
      <c r="F406">
        <v>15354273.67</v>
      </c>
      <c r="G406">
        <v>226556326.31</v>
      </c>
      <c r="H406">
        <v>120869366.02</v>
      </c>
      <c r="I406">
        <v>162066662.99000001</v>
      </c>
      <c r="J406">
        <v>80.554766999999998</v>
      </c>
      <c r="K406">
        <v>179.605445</v>
      </c>
      <c r="L406">
        <v>718.35070599999995</v>
      </c>
      <c r="M406" t="s">
        <v>15</v>
      </c>
      <c r="N406" s="24">
        <f t="shared" si="62"/>
        <v>15.354274</v>
      </c>
      <c r="O406" s="24">
        <f t="shared" si="63"/>
        <v>15.354274</v>
      </c>
      <c r="P406">
        <f t="shared" si="64"/>
        <v>226.55632600000001</v>
      </c>
      <c r="Q406">
        <f t="shared" si="65"/>
        <v>120.869366</v>
      </c>
      <c r="R406">
        <f t="shared" si="66"/>
        <v>162.06666300000001</v>
      </c>
      <c r="S406" s="24">
        <f t="shared" si="67"/>
        <v>80.55</v>
      </c>
      <c r="T406" s="24">
        <f t="shared" si="68"/>
        <v>179.61</v>
      </c>
      <c r="U406" s="24">
        <f t="shared" si="69"/>
        <v>718.35</v>
      </c>
      <c r="V406" s="24">
        <f>+VLOOKUP(A406,[1]DQS4_AUX!$A:$M,13,FALSE)</f>
        <v>15.354274</v>
      </c>
      <c r="W406" s="24">
        <f t="shared" si="70"/>
        <v>0</v>
      </c>
    </row>
    <row r="407" spans="1:23" x14ac:dyDescent="0.25">
      <c r="A407" t="str">
        <f t="shared" si="61"/>
        <v>J63.99EU1</v>
      </c>
      <c r="B407" t="s">
        <v>41</v>
      </c>
      <c r="C407" t="s">
        <v>258</v>
      </c>
      <c r="D407" t="s">
        <v>572</v>
      </c>
      <c r="E407">
        <v>15941.88</v>
      </c>
      <c r="F407">
        <v>15941.88</v>
      </c>
      <c r="G407">
        <v>137171.9</v>
      </c>
      <c r="H407">
        <v>396157.27</v>
      </c>
      <c r="I407">
        <v>441694.24</v>
      </c>
      <c r="J407">
        <v>9.3064999999999995E-2</v>
      </c>
      <c r="K407">
        <v>4.1807999999999998E-2</v>
      </c>
      <c r="L407">
        <v>0.52128699999999994</v>
      </c>
      <c r="M407" t="s">
        <v>15</v>
      </c>
      <c r="N407" s="24">
        <f t="shared" si="62"/>
        <v>1.5942000000000001E-2</v>
      </c>
      <c r="O407" s="24">
        <f t="shared" si="63"/>
        <v>1.5942000000000001E-2</v>
      </c>
      <c r="P407">
        <f t="shared" si="64"/>
        <v>0.13717199999999999</v>
      </c>
      <c r="Q407">
        <f t="shared" si="65"/>
        <v>0.39615699999999998</v>
      </c>
      <c r="R407">
        <f t="shared" si="66"/>
        <v>0.44169399999999998</v>
      </c>
      <c r="S407" s="24">
        <f t="shared" si="67"/>
        <v>0.09</v>
      </c>
      <c r="T407" s="24">
        <f t="shared" si="68"/>
        <v>0.04</v>
      </c>
      <c r="U407" s="24">
        <f t="shared" si="69"/>
        <v>0.52</v>
      </c>
      <c r="V407" s="24">
        <f>+VLOOKUP(A407,[1]DQS4_AUX!$A:$M,13,FALSE)</f>
        <v>1.5942000000000001E-2</v>
      </c>
      <c r="W407" s="24">
        <f t="shared" si="70"/>
        <v>0</v>
      </c>
    </row>
    <row r="408" spans="1:23" x14ac:dyDescent="0.25">
      <c r="A408" t="str">
        <f t="shared" si="61"/>
        <v>J63.91EU1</v>
      </c>
      <c r="B408" t="s">
        <v>41</v>
      </c>
      <c r="C408" t="s">
        <v>258</v>
      </c>
      <c r="D408" t="s">
        <v>571</v>
      </c>
      <c r="E408">
        <v>103963.5</v>
      </c>
      <c r="F408">
        <v>103963.5</v>
      </c>
      <c r="G408">
        <v>60424.14</v>
      </c>
      <c r="H408">
        <v>568977.37</v>
      </c>
      <c r="I408">
        <v>523028.81</v>
      </c>
      <c r="J408">
        <v>8.8750640000000001</v>
      </c>
      <c r="K408">
        <v>1.483581</v>
      </c>
      <c r="L408">
        <v>16.239087000000001</v>
      </c>
      <c r="M408" t="s">
        <v>15</v>
      </c>
      <c r="N408" s="24">
        <f t="shared" si="62"/>
        <v>0.103964</v>
      </c>
      <c r="O408" s="24">
        <f t="shared" si="63"/>
        <v>0.103964</v>
      </c>
      <c r="P408">
        <f t="shared" si="64"/>
        <v>6.0423999999999999E-2</v>
      </c>
      <c r="Q408">
        <f t="shared" si="65"/>
        <v>0.56897699999999996</v>
      </c>
      <c r="R408">
        <f t="shared" si="66"/>
        <v>0.52302899999999997</v>
      </c>
      <c r="S408" s="24">
        <f t="shared" si="67"/>
        <v>8.8800000000000008</v>
      </c>
      <c r="T408" s="24">
        <f t="shared" si="68"/>
        <v>1.48</v>
      </c>
      <c r="U408" s="24">
        <f t="shared" si="69"/>
        <v>16.239999999999998</v>
      </c>
      <c r="V408" s="24">
        <f>+VLOOKUP(A408,[1]DQS4_AUX!$A:$M,13,FALSE)</f>
        <v>0.103964</v>
      </c>
      <c r="W408" s="24">
        <f t="shared" si="70"/>
        <v>0</v>
      </c>
    </row>
    <row r="409" spans="1:23" x14ac:dyDescent="0.25">
      <c r="A409" t="str">
        <f t="shared" si="61"/>
        <v>J59.20EU1</v>
      </c>
      <c r="B409" t="s">
        <v>41</v>
      </c>
      <c r="C409" t="s">
        <v>258</v>
      </c>
      <c r="D409" t="s">
        <v>573</v>
      </c>
      <c r="E409">
        <v>3349863.6099999901</v>
      </c>
      <c r="F409">
        <v>3351378.1699999901</v>
      </c>
      <c r="G409">
        <v>3283177.2</v>
      </c>
      <c r="H409">
        <v>6755897.8499999996</v>
      </c>
      <c r="I409">
        <v>9090844.5700000003</v>
      </c>
      <c r="J409">
        <v>459.78971899999999</v>
      </c>
      <c r="K409">
        <v>76.860006999999996</v>
      </c>
      <c r="L409">
        <v>841.29681700000003</v>
      </c>
      <c r="M409" t="s">
        <v>15</v>
      </c>
      <c r="N409" s="24">
        <f t="shared" si="62"/>
        <v>3.3498640000000002</v>
      </c>
      <c r="O409" s="24">
        <f t="shared" si="63"/>
        <v>3.351378</v>
      </c>
      <c r="P409">
        <f t="shared" si="64"/>
        <v>3.2831769999999998</v>
      </c>
      <c r="Q409">
        <f t="shared" si="65"/>
        <v>6.7558980000000002</v>
      </c>
      <c r="R409">
        <f t="shared" si="66"/>
        <v>9.0908449999999998</v>
      </c>
      <c r="S409" s="24">
        <f t="shared" si="67"/>
        <v>459.79</v>
      </c>
      <c r="T409" s="24">
        <f t="shared" si="68"/>
        <v>76.86</v>
      </c>
      <c r="U409" s="24">
        <f t="shared" si="69"/>
        <v>841.3</v>
      </c>
      <c r="V409" s="24">
        <f>+VLOOKUP(A409,[1]DQS4_AUX!$A:$M,13,FALSE)</f>
        <v>3.351378</v>
      </c>
      <c r="W409" s="24">
        <f t="shared" si="70"/>
        <v>0</v>
      </c>
    </row>
    <row r="410" spans="1:23" x14ac:dyDescent="0.25">
      <c r="A410" t="str">
        <f t="shared" si="61"/>
        <v>J61.20EU1</v>
      </c>
      <c r="B410" t="s">
        <v>41</v>
      </c>
      <c r="C410" t="s">
        <v>258</v>
      </c>
      <c r="D410" t="s">
        <v>161</v>
      </c>
      <c r="E410">
        <v>176384.82</v>
      </c>
      <c r="F410">
        <v>176384.82</v>
      </c>
      <c r="G410">
        <v>141330.57</v>
      </c>
      <c r="H410">
        <v>310139</v>
      </c>
      <c r="I410">
        <v>1096043.08</v>
      </c>
      <c r="J410">
        <v>4.0217039999999997</v>
      </c>
      <c r="K410">
        <v>8.9668209999999995</v>
      </c>
      <c r="L410">
        <v>35.863742999999999</v>
      </c>
      <c r="M410" t="s">
        <v>15</v>
      </c>
      <c r="N410" s="24">
        <f t="shared" si="62"/>
        <v>0.17638499999999999</v>
      </c>
      <c r="O410" s="24">
        <f t="shared" si="63"/>
        <v>0.17638499999999999</v>
      </c>
      <c r="P410">
        <f t="shared" si="64"/>
        <v>0.14133100000000001</v>
      </c>
      <c r="Q410">
        <f t="shared" si="65"/>
        <v>0.310139</v>
      </c>
      <c r="R410">
        <f t="shared" si="66"/>
        <v>1.0960430000000001</v>
      </c>
      <c r="S410" s="24">
        <f t="shared" si="67"/>
        <v>4.0199999999999996</v>
      </c>
      <c r="T410" s="24">
        <f t="shared" si="68"/>
        <v>8.9700000000000006</v>
      </c>
      <c r="U410" s="24">
        <f t="shared" si="69"/>
        <v>35.86</v>
      </c>
      <c r="V410" s="24">
        <f>+VLOOKUP(A410,[1]DQS4_AUX!$A:$M,13,FALSE)</f>
        <v>0.17638499999999999</v>
      </c>
      <c r="W410" s="24">
        <f t="shared" si="70"/>
        <v>0</v>
      </c>
    </row>
    <row r="411" spans="1:23" x14ac:dyDescent="0.25">
      <c r="A411" t="str">
        <f t="shared" si="61"/>
        <v>J62.09EU1</v>
      </c>
      <c r="B411" t="s">
        <v>41</v>
      </c>
      <c r="C411" t="s">
        <v>258</v>
      </c>
      <c r="D411" t="s">
        <v>228</v>
      </c>
      <c r="E411">
        <v>3997556.4</v>
      </c>
      <c r="F411">
        <v>3997556.4</v>
      </c>
      <c r="G411">
        <v>69436749.200000003</v>
      </c>
      <c r="H411">
        <v>182812162.87</v>
      </c>
      <c r="I411">
        <v>343738006.25</v>
      </c>
      <c r="J411">
        <v>213.86408299999999</v>
      </c>
      <c r="K411">
        <v>96.079137000000003</v>
      </c>
      <c r="L411">
        <v>1197.911222</v>
      </c>
      <c r="M411" t="s">
        <v>15</v>
      </c>
      <c r="N411" s="24">
        <f t="shared" si="62"/>
        <v>3.9975559999999999</v>
      </c>
      <c r="O411" s="24">
        <f t="shared" si="63"/>
        <v>3.9975559999999999</v>
      </c>
      <c r="P411">
        <f t="shared" si="64"/>
        <v>69.436749000000006</v>
      </c>
      <c r="Q411">
        <f t="shared" si="65"/>
        <v>182.812163</v>
      </c>
      <c r="R411">
        <f t="shared" si="66"/>
        <v>343.73800599999998</v>
      </c>
      <c r="S411" s="24">
        <f t="shared" si="67"/>
        <v>213.86</v>
      </c>
      <c r="T411" s="24">
        <f t="shared" si="68"/>
        <v>96.08</v>
      </c>
      <c r="U411" s="24">
        <f t="shared" si="69"/>
        <v>1197.9100000000001</v>
      </c>
      <c r="V411" s="24">
        <f>+VLOOKUP(A411,[1]DQS4_AUX!$A:$M,13,FALSE)</f>
        <v>3.9975559999999999</v>
      </c>
      <c r="W411" s="24">
        <f t="shared" si="70"/>
        <v>0</v>
      </c>
    </row>
    <row r="412" spans="1:23" x14ac:dyDescent="0.25">
      <c r="A412" t="str">
        <f t="shared" si="61"/>
        <v>J63.12EU1</v>
      </c>
      <c r="B412" t="s">
        <v>41</v>
      </c>
      <c r="C412" t="s">
        <v>258</v>
      </c>
      <c r="D412" t="s">
        <v>231</v>
      </c>
      <c r="E412">
        <v>399485.28</v>
      </c>
      <c r="F412">
        <v>399485.28</v>
      </c>
      <c r="G412">
        <v>1576808.99</v>
      </c>
      <c r="H412">
        <v>6138980.0899999999</v>
      </c>
      <c r="I412">
        <v>14065973.74</v>
      </c>
      <c r="J412">
        <v>17.225597</v>
      </c>
      <c r="K412">
        <v>7.7386530000000002</v>
      </c>
      <c r="L412">
        <v>96.485328999999993</v>
      </c>
      <c r="M412" t="s">
        <v>15</v>
      </c>
      <c r="N412" s="24">
        <f t="shared" si="62"/>
        <v>0.39948499999999998</v>
      </c>
      <c r="O412" s="24">
        <f t="shared" si="63"/>
        <v>0.39948499999999998</v>
      </c>
      <c r="P412">
        <f t="shared" si="64"/>
        <v>1.5768089999999999</v>
      </c>
      <c r="Q412">
        <f t="shared" si="65"/>
        <v>6.1389800000000001</v>
      </c>
      <c r="R412">
        <f t="shared" si="66"/>
        <v>14.065974000000001</v>
      </c>
      <c r="S412" s="24">
        <f t="shared" si="67"/>
        <v>17.23</v>
      </c>
      <c r="T412" s="24">
        <f t="shared" si="68"/>
        <v>7.74</v>
      </c>
      <c r="U412" s="24">
        <f t="shared" si="69"/>
        <v>96.49</v>
      </c>
      <c r="V412" s="24">
        <f>+VLOOKUP(A412,[1]DQS4_AUX!$A:$M,13,FALSE)</f>
        <v>0.39948499999999998</v>
      </c>
      <c r="W412" s="24">
        <f t="shared" si="70"/>
        <v>0</v>
      </c>
    </row>
    <row r="413" spans="1:23" x14ac:dyDescent="0.25">
      <c r="A413" t="str">
        <f t="shared" si="61"/>
        <v>J62.02EU1</v>
      </c>
      <c r="B413" t="s">
        <v>41</v>
      </c>
      <c r="C413" t="s">
        <v>258</v>
      </c>
      <c r="D413" t="s">
        <v>164</v>
      </c>
      <c r="E413">
        <v>16852010.940000001</v>
      </c>
      <c r="F413">
        <v>16852010.940000001</v>
      </c>
      <c r="G413">
        <v>88991033.030000001</v>
      </c>
      <c r="H413">
        <v>278228133.20999998</v>
      </c>
      <c r="I413">
        <v>867418324.62</v>
      </c>
      <c r="J413">
        <v>805.61724600000002</v>
      </c>
      <c r="K413">
        <v>361.92634900000002</v>
      </c>
      <c r="L413">
        <v>4512.4811330000002</v>
      </c>
      <c r="M413" t="s">
        <v>15</v>
      </c>
      <c r="N413" s="24">
        <f t="shared" si="62"/>
        <v>16.852011000000001</v>
      </c>
      <c r="O413" s="24">
        <f t="shared" si="63"/>
        <v>16.852011000000001</v>
      </c>
      <c r="P413">
        <f t="shared" si="64"/>
        <v>88.991033000000002</v>
      </c>
      <c r="Q413">
        <f t="shared" si="65"/>
        <v>278.22813300000001</v>
      </c>
      <c r="R413">
        <f t="shared" si="66"/>
        <v>867.41832499999998</v>
      </c>
      <c r="S413" s="24">
        <f t="shared" si="67"/>
        <v>805.62</v>
      </c>
      <c r="T413" s="24">
        <f t="shared" si="68"/>
        <v>361.93</v>
      </c>
      <c r="U413" s="24">
        <f t="shared" si="69"/>
        <v>4512.4799999999996</v>
      </c>
      <c r="V413" s="24">
        <f>+VLOOKUP(A413,[1]DQS4_AUX!$A:$M,13,FALSE)</f>
        <v>16.852011000000001</v>
      </c>
      <c r="W413" s="24">
        <f t="shared" si="70"/>
        <v>0</v>
      </c>
    </row>
    <row r="414" spans="1:23" x14ac:dyDescent="0.25">
      <c r="A414" t="str">
        <f t="shared" si="61"/>
        <v>J58.11EU1</v>
      </c>
      <c r="B414" t="s">
        <v>41</v>
      </c>
      <c r="C414" t="s">
        <v>258</v>
      </c>
      <c r="D414" t="s">
        <v>234</v>
      </c>
      <c r="E414">
        <v>1738389.05</v>
      </c>
      <c r="F414">
        <v>1738389.05</v>
      </c>
      <c r="G414">
        <v>9961759.4100000001</v>
      </c>
      <c r="H414">
        <v>35696725.299999997</v>
      </c>
      <c r="I414">
        <v>40156420.600000001</v>
      </c>
      <c r="J414">
        <v>134.11127099999999</v>
      </c>
      <c r="K414">
        <v>121.375624</v>
      </c>
      <c r="L414">
        <v>627.09040900000002</v>
      </c>
      <c r="M414" t="s">
        <v>15</v>
      </c>
      <c r="N414" s="24">
        <f t="shared" si="62"/>
        <v>1.738389</v>
      </c>
      <c r="O414" s="24">
        <f t="shared" si="63"/>
        <v>1.738389</v>
      </c>
      <c r="P414">
        <f t="shared" si="64"/>
        <v>9.9617590000000007</v>
      </c>
      <c r="Q414">
        <f t="shared" si="65"/>
        <v>35.696725000000001</v>
      </c>
      <c r="R414">
        <f t="shared" si="66"/>
        <v>40.156421000000002</v>
      </c>
      <c r="S414" s="24">
        <f t="shared" si="67"/>
        <v>134.11000000000001</v>
      </c>
      <c r="T414" s="24">
        <f t="shared" si="68"/>
        <v>121.38</v>
      </c>
      <c r="U414" s="24">
        <f t="shared" si="69"/>
        <v>627.09</v>
      </c>
      <c r="V414" s="24">
        <f>+VLOOKUP(A414,[1]DQS4_AUX!$A:$M,13,FALSE)</f>
        <v>1.738389</v>
      </c>
      <c r="W414" s="24">
        <f t="shared" si="70"/>
        <v>0</v>
      </c>
    </row>
    <row r="415" spans="1:23" x14ac:dyDescent="0.25">
      <c r="A415" t="str">
        <f t="shared" si="61"/>
        <v>J58.14EU1</v>
      </c>
      <c r="B415" t="s">
        <v>41</v>
      </c>
      <c r="C415" t="s">
        <v>258</v>
      </c>
      <c r="D415" t="s">
        <v>579</v>
      </c>
      <c r="E415">
        <v>781984.4</v>
      </c>
      <c r="F415">
        <v>781984.4</v>
      </c>
      <c r="G415">
        <v>2556124.48</v>
      </c>
      <c r="H415">
        <v>2683793.5699999998</v>
      </c>
      <c r="I415">
        <v>8603763.2799999993</v>
      </c>
      <c r="J415">
        <v>111.063681</v>
      </c>
      <c r="K415">
        <v>100.516707</v>
      </c>
      <c r="L415">
        <v>519.32237199999997</v>
      </c>
      <c r="M415" t="s">
        <v>15</v>
      </c>
      <c r="N415" s="24">
        <f t="shared" si="62"/>
        <v>0.78198400000000001</v>
      </c>
      <c r="O415" s="24">
        <f t="shared" si="63"/>
        <v>0.78198400000000001</v>
      </c>
      <c r="P415">
        <f t="shared" si="64"/>
        <v>2.5561240000000001</v>
      </c>
      <c r="Q415">
        <f t="shared" si="65"/>
        <v>2.6837939999999998</v>
      </c>
      <c r="R415">
        <f t="shared" si="66"/>
        <v>8.6037630000000007</v>
      </c>
      <c r="S415" s="24">
        <f t="shared" si="67"/>
        <v>111.06</v>
      </c>
      <c r="T415" s="24">
        <f t="shared" si="68"/>
        <v>100.52</v>
      </c>
      <c r="U415" s="24">
        <f t="shared" si="69"/>
        <v>519.32000000000005</v>
      </c>
      <c r="V415" s="24">
        <f>+VLOOKUP(A415,[1]DQS4_AUX!$A:$M,13,FALSE)</f>
        <v>0.78198400000000001</v>
      </c>
      <c r="W415" s="24">
        <f t="shared" si="70"/>
        <v>0</v>
      </c>
    </row>
    <row r="416" spans="1:23" x14ac:dyDescent="0.25">
      <c r="A416" t="str">
        <f t="shared" si="61"/>
        <v>J62.01EU1</v>
      </c>
      <c r="B416" t="s">
        <v>41</v>
      </c>
      <c r="C416" t="s">
        <v>258</v>
      </c>
      <c r="D416" t="s">
        <v>237</v>
      </c>
      <c r="E416">
        <v>11195077.68</v>
      </c>
      <c r="F416">
        <v>11195077.68</v>
      </c>
      <c r="G416">
        <v>46260357.640000001</v>
      </c>
      <c r="H416">
        <v>158370722.30000001</v>
      </c>
      <c r="I416">
        <v>446431909.73000002</v>
      </c>
      <c r="J416">
        <v>719.35848099999998</v>
      </c>
      <c r="K416">
        <v>323.17420700000002</v>
      </c>
      <c r="L416">
        <v>4029.3230359999998</v>
      </c>
      <c r="M416" t="s">
        <v>15</v>
      </c>
      <c r="N416" s="24">
        <f t="shared" si="62"/>
        <v>11.195078000000001</v>
      </c>
      <c r="O416" s="24">
        <f t="shared" si="63"/>
        <v>11.195078000000001</v>
      </c>
      <c r="P416">
        <f t="shared" si="64"/>
        <v>46.260357999999997</v>
      </c>
      <c r="Q416">
        <f t="shared" si="65"/>
        <v>158.370722</v>
      </c>
      <c r="R416">
        <f t="shared" si="66"/>
        <v>446.43191000000002</v>
      </c>
      <c r="S416" s="24">
        <f t="shared" si="67"/>
        <v>719.36</v>
      </c>
      <c r="T416" s="24">
        <f t="shared" si="68"/>
        <v>323.17</v>
      </c>
      <c r="U416" s="24">
        <f t="shared" si="69"/>
        <v>4029.32</v>
      </c>
      <c r="V416" s="24">
        <f>+VLOOKUP(A416,[1]DQS4_AUX!$A:$M,13,FALSE)</f>
        <v>11.195078000000001</v>
      </c>
      <c r="W416" s="24">
        <f t="shared" si="70"/>
        <v>0</v>
      </c>
    </row>
    <row r="417" spans="1:23" x14ac:dyDescent="0.25">
      <c r="A417" t="str">
        <f t="shared" si="61"/>
        <v>J60.10EU1</v>
      </c>
      <c r="B417" t="s">
        <v>41</v>
      </c>
      <c r="C417" t="s">
        <v>258</v>
      </c>
      <c r="D417" t="s">
        <v>577</v>
      </c>
      <c r="E417">
        <v>11705.14</v>
      </c>
      <c r="F417">
        <v>11705.14</v>
      </c>
      <c r="G417">
        <v>1070314.92</v>
      </c>
      <c r="H417">
        <v>8568161.2100000009</v>
      </c>
      <c r="I417">
        <v>20351387.870000001</v>
      </c>
      <c r="J417">
        <v>0.26538299999999998</v>
      </c>
      <c r="K417">
        <v>0.59170199999999995</v>
      </c>
      <c r="L417">
        <v>2.3665820000000002</v>
      </c>
      <c r="M417" t="s">
        <v>15</v>
      </c>
      <c r="N417" s="24">
        <f t="shared" si="62"/>
        <v>1.1705E-2</v>
      </c>
      <c r="O417" s="24">
        <f t="shared" si="63"/>
        <v>1.1705E-2</v>
      </c>
      <c r="P417">
        <f t="shared" si="64"/>
        <v>1.0703149999999999</v>
      </c>
      <c r="Q417">
        <f t="shared" si="65"/>
        <v>8.5681609999999999</v>
      </c>
      <c r="R417">
        <f t="shared" si="66"/>
        <v>20.351388</v>
      </c>
      <c r="S417" s="24">
        <f t="shared" si="67"/>
        <v>0.27</v>
      </c>
      <c r="T417" s="24">
        <f t="shared" si="68"/>
        <v>0.59</v>
      </c>
      <c r="U417" s="24">
        <f t="shared" si="69"/>
        <v>2.37</v>
      </c>
      <c r="V417" s="24">
        <f>+VLOOKUP(A417,[1]DQS4_AUX!$A:$M,13,FALSE)</f>
        <v>1.1705E-2</v>
      </c>
      <c r="W417" s="24">
        <f t="shared" si="70"/>
        <v>0</v>
      </c>
    </row>
    <row r="418" spans="1:23" x14ac:dyDescent="0.25">
      <c r="A418" t="str">
        <f t="shared" si="61"/>
        <v>J58.19EU1</v>
      </c>
      <c r="B418" t="s">
        <v>41</v>
      </c>
      <c r="C418" t="s">
        <v>258</v>
      </c>
      <c r="D418" t="s">
        <v>578</v>
      </c>
      <c r="E418">
        <v>349753.4</v>
      </c>
      <c r="F418">
        <v>349753.4</v>
      </c>
      <c r="G418">
        <v>995480.93</v>
      </c>
      <c r="H418">
        <v>1409595.98</v>
      </c>
      <c r="I418">
        <v>3312267.14</v>
      </c>
      <c r="J418">
        <v>32.562916999999999</v>
      </c>
      <c r="K418">
        <v>29.470632999999999</v>
      </c>
      <c r="L418">
        <v>152.26083800000001</v>
      </c>
      <c r="M418" t="s">
        <v>15</v>
      </c>
      <c r="N418" s="24">
        <f t="shared" si="62"/>
        <v>0.34975299999999998</v>
      </c>
      <c r="O418" s="24">
        <f t="shared" si="63"/>
        <v>0.34975299999999998</v>
      </c>
      <c r="P418">
        <f t="shared" si="64"/>
        <v>0.99548099999999995</v>
      </c>
      <c r="Q418">
        <f t="shared" si="65"/>
        <v>1.4095960000000001</v>
      </c>
      <c r="R418">
        <f t="shared" si="66"/>
        <v>3.3122669999999999</v>
      </c>
      <c r="S418" s="24">
        <f t="shared" si="67"/>
        <v>32.56</v>
      </c>
      <c r="T418" s="24">
        <f t="shared" si="68"/>
        <v>29.47</v>
      </c>
      <c r="U418" s="24">
        <f t="shared" si="69"/>
        <v>152.26</v>
      </c>
      <c r="V418" s="24">
        <f>+VLOOKUP(A418,[1]DQS4_AUX!$A:$M,13,FALSE)</f>
        <v>0.34975299999999998</v>
      </c>
      <c r="W418" s="24">
        <f t="shared" si="70"/>
        <v>0</v>
      </c>
    </row>
    <row r="419" spans="1:23" x14ac:dyDescent="0.25">
      <c r="A419" t="str">
        <f t="shared" si="61"/>
        <v>J62.03EU1</v>
      </c>
      <c r="B419" t="s">
        <v>41</v>
      </c>
      <c r="C419" t="s">
        <v>258</v>
      </c>
      <c r="D419" t="s">
        <v>575</v>
      </c>
      <c r="E419">
        <v>325718.93</v>
      </c>
      <c r="F419">
        <v>325718.93</v>
      </c>
      <c r="G419">
        <v>676177.67</v>
      </c>
      <c r="H419">
        <v>3510839.18</v>
      </c>
      <c r="I419">
        <v>3427556.79</v>
      </c>
      <c r="J419">
        <v>18.056784</v>
      </c>
      <c r="K419">
        <v>8.1120570000000001</v>
      </c>
      <c r="L419">
        <v>101.14106099999999</v>
      </c>
      <c r="M419" t="s">
        <v>15</v>
      </c>
      <c r="N419" s="24">
        <f t="shared" si="62"/>
        <v>0.32571899999999998</v>
      </c>
      <c r="O419" s="24">
        <f t="shared" si="63"/>
        <v>0.32571899999999998</v>
      </c>
      <c r="P419">
        <f t="shared" si="64"/>
        <v>0.67617799999999995</v>
      </c>
      <c r="Q419">
        <f t="shared" si="65"/>
        <v>3.5108389999999998</v>
      </c>
      <c r="R419">
        <f t="shared" si="66"/>
        <v>3.4275570000000002</v>
      </c>
      <c r="S419" s="24">
        <f t="shared" si="67"/>
        <v>18.059999999999999</v>
      </c>
      <c r="T419" s="24">
        <f t="shared" si="68"/>
        <v>8.11</v>
      </c>
      <c r="U419" s="24">
        <f t="shared" si="69"/>
        <v>101.14</v>
      </c>
      <c r="V419" s="24">
        <f>+VLOOKUP(A419,[1]DQS4_AUX!$A:$M,13,FALSE)</f>
        <v>0.32571899999999998</v>
      </c>
      <c r="W419" s="24">
        <f t="shared" si="70"/>
        <v>0</v>
      </c>
    </row>
    <row r="420" spans="1:23" x14ac:dyDescent="0.25">
      <c r="A420" t="str">
        <f t="shared" si="61"/>
        <v>K66.21EU1</v>
      </c>
      <c r="B420" t="s">
        <v>238</v>
      </c>
      <c r="C420" t="s">
        <v>258</v>
      </c>
      <c r="D420" t="s">
        <v>580</v>
      </c>
      <c r="E420">
        <v>30724.65</v>
      </c>
      <c r="F420">
        <v>30724.65</v>
      </c>
      <c r="G420">
        <v>219294.86</v>
      </c>
      <c r="H420">
        <v>35022.99</v>
      </c>
      <c r="I420">
        <v>42483.32</v>
      </c>
      <c r="J420">
        <v>0.34255799999999997</v>
      </c>
      <c r="K420">
        <v>0.153893</v>
      </c>
      <c r="L420">
        <v>1.9187609999999999</v>
      </c>
      <c r="M420" t="s">
        <v>15</v>
      </c>
      <c r="N420" s="24">
        <f t="shared" si="62"/>
        <v>3.0724999999999999E-2</v>
      </c>
      <c r="O420" s="24">
        <f t="shared" si="63"/>
        <v>3.0724999999999999E-2</v>
      </c>
      <c r="P420">
        <f t="shared" si="64"/>
        <v>0.21929499999999999</v>
      </c>
      <c r="Q420">
        <f t="shared" si="65"/>
        <v>3.5022999999999999E-2</v>
      </c>
      <c r="R420">
        <f t="shared" si="66"/>
        <v>4.2483E-2</v>
      </c>
      <c r="S420" s="24">
        <f t="shared" si="67"/>
        <v>0.34</v>
      </c>
      <c r="T420" s="24">
        <f t="shared" si="68"/>
        <v>0.15</v>
      </c>
      <c r="U420" s="24">
        <f t="shared" si="69"/>
        <v>1.92</v>
      </c>
      <c r="V420" s="24">
        <f>+VLOOKUP(A420,[1]DQS4_AUX!$A:$M,13,FALSE)</f>
        <v>3.0724999999999999E-2</v>
      </c>
      <c r="W420" s="24">
        <f t="shared" si="70"/>
        <v>0</v>
      </c>
    </row>
    <row r="421" spans="1:23" x14ac:dyDescent="0.25">
      <c r="A421" t="str">
        <f t="shared" si="61"/>
        <v>K64.92EU1</v>
      </c>
      <c r="B421" t="s">
        <v>238</v>
      </c>
      <c r="C421" t="s">
        <v>258</v>
      </c>
      <c r="D421" t="s">
        <v>583</v>
      </c>
      <c r="E421">
        <v>11581.27</v>
      </c>
      <c r="F421">
        <v>11581.27</v>
      </c>
      <c r="G421">
        <v>46463.85</v>
      </c>
      <c r="H421">
        <v>135729.79</v>
      </c>
      <c r="I421">
        <v>399242.47</v>
      </c>
      <c r="J421">
        <v>0.918323</v>
      </c>
      <c r="K421">
        <v>0.41255900000000001</v>
      </c>
      <c r="L421">
        <v>5.1437809999999997</v>
      </c>
      <c r="M421" t="s">
        <v>15</v>
      </c>
      <c r="N421" s="24">
        <f t="shared" si="62"/>
        <v>1.1580999999999999E-2</v>
      </c>
      <c r="O421" s="24">
        <f t="shared" si="63"/>
        <v>1.1580999999999999E-2</v>
      </c>
      <c r="P421">
        <f t="shared" si="64"/>
        <v>4.6463999999999998E-2</v>
      </c>
      <c r="Q421">
        <f t="shared" si="65"/>
        <v>0.13572999999999999</v>
      </c>
      <c r="R421">
        <f t="shared" si="66"/>
        <v>0.39924199999999999</v>
      </c>
      <c r="S421" s="24">
        <f t="shared" si="67"/>
        <v>0.92</v>
      </c>
      <c r="T421" s="24">
        <f t="shared" si="68"/>
        <v>0.41</v>
      </c>
      <c r="U421" s="24">
        <f t="shared" si="69"/>
        <v>5.14</v>
      </c>
      <c r="V421" s="24">
        <f>+VLOOKUP(A421,[1]DQS4_AUX!$A:$M,13,FALSE)</f>
        <v>1.1580999999999999E-2</v>
      </c>
      <c r="W421" s="24">
        <f t="shared" si="70"/>
        <v>0</v>
      </c>
    </row>
    <row r="422" spans="1:23" x14ac:dyDescent="0.25">
      <c r="A422" t="str">
        <f t="shared" si="61"/>
        <v>K66.30EU1</v>
      </c>
      <c r="B422" t="s">
        <v>238</v>
      </c>
      <c r="C422" t="s">
        <v>258</v>
      </c>
      <c r="D422" t="s">
        <v>582</v>
      </c>
      <c r="E422">
        <v>279.56</v>
      </c>
      <c r="F422">
        <v>279.56</v>
      </c>
      <c r="G422">
        <v>1669.48</v>
      </c>
      <c r="H422">
        <v>3954333.86</v>
      </c>
      <c r="I422">
        <v>3857521.98</v>
      </c>
      <c r="J422">
        <v>5.5929999999999999E-3</v>
      </c>
      <c r="K422">
        <v>2.5119999999999999E-3</v>
      </c>
      <c r="L422">
        <v>3.1327000000000001E-2</v>
      </c>
      <c r="M422" t="s">
        <v>15</v>
      </c>
      <c r="N422" s="24">
        <f t="shared" si="62"/>
        <v>2.7999999999999998E-4</v>
      </c>
      <c r="O422" s="24">
        <f t="shared" si="63"/>
        <v>2.7999999999999998E-4</v>
      </c>
      <c r="P422">
        <f t="shared" si="64"/>
        <v>1.6689999999999999E-3</v>
      </c>
      <c r="Q422">
        <f t="shared" si="65"/>
        <v>3.9543339999999998</v>
      </c>
      <c r="R422">
        <f t="shared" si="66"/>
        <v>3.8575219999999999</v>
      </c>
      <c r="S422" s="24">
        <f t="shared" si="67"/>
        <v>0.01</v>
      </c>
      <c r="T422" s="24">
        <f t="shared" si="68"/>
        <v>0</v>
      </c>
      <c r="U422" s="24">
        <f t="shared" si="69"/>
        <v>0.03</v>
      </c>
      <c r="V422" s="24">
        <f>+VLOOKUP(A422,[1]DQS4_AUX!$A:$M,13,FALSE)</f>
        <v>2.7999999999999998E-4</v>
      </c>
      <c r="W422" s="24">
        <f t="shared" si="70"/>
        <v>0</v>
      </c>
    </row>
    <row r="423" spans="1:23" x14ac:dyDescent="0.25">
      <c r="A423" t="str">
        <f t="shared" si="61"/>
        <v>K66.22EU1</v>
      </c>
      <c r="B423" t="s">
        <v>238</v>
      </c>
      <c r="C423" t="s">
        <v>258</v>
      </c>
      <c r="D423" t="s">
        <v>581</v>
      </c>
      <c r="E423">
        <v>140044.88</v>
      </c>
      <c r="F423">
        <v>140044.88</v>
      </c>
      <c r="G423">
        <v>647217.44999999995</v>
      </c>
      <c r="H423">
        <v>903118.8</v>
      </c>
      <c r="I423">
        <v>11776759.41</v>
      </c>
      <c r="J423">
        <v>7.753012</v>
      </c>
      <c r="K423">
        <v>3.4830649999999999</v>
      </c>
      <c r="L423">
        <v>43.426746999999999</v>
      </c>
      <c r="M423" t="s">
        <v>15</v>
      </c>
      <c r="N423" s="24">
        <f t="shared" si="62"/>
        <v>0.140045</v>
      </c>
      <c r="O423" s="24">
        <f t="shared" si="63"/>
        <v>0.140045</v>
      </c>
      <c r="P423">
        <f t="shared" si="64"/>
        <v>0.64721700000000004</v>
      </c>
      <c r="Q423">
        <f t="shared" si="65"/>
        <v>0.90311900000000001</v>
      </c>
      <c r="R423">
        <f t="shared" si="66"/>
        <v>11.776759</v>
      </c>
      <c r="S423" s="24">
        <f t="shared" si="67"/>
        <v>7.75</v>
      </c>
      <c r="T423" s="24">
        <f t="shared" si="68"/>
        <v>3.48</v>
      </c>
      <c r="U423" s="24">
        <f t="shared" si="69"/>
        <v>43.43</v>
      </c>
      <c r="V423" s="24">
        <f>+VLOOKUP(A423,[1]DQS4_AUX!$A:$M,13,FALSE)</f>
        <v>0.140045</v>
      </c>
      <c r="W423" s="24">
        <f t="shared" si="70"/>
        <v>0</v>
      </c>
    </row>
    <row r="424" spans="1:23" x14ac:dyDescent="0.25">
      <c r="A424" t="str">
        <f t="shared" si="61"/>
        <v>K64.99EU1</v>
      </c>
      <c r="B424" t="s">
        <v>238</v>
      </c>
      <c r="C424" t="s">
        <v>258</v>
      </c>
      <c r="D424" t="s">
        <v>239</v>
      </c>
      <c r="E424">
        <v>442376.6</v>
      </c>
      <c r="F424">
        <v>442376.6</v>
      </c>
      <c r="G424">
        <v>99483.71</v>
      </c>
      <c r="H424">
        <v>3202789.06</v>
      </c>
      <c r="I424">
        <v>721446.79</v>
      </c>
      <c r="J424">
        <v>6.2782609999999996</v>
      </c>
      <c r="K424">
        <v>2.8205300000000002</v>
      </c>
      <c r="L424">
        <v>35.166263000000001</v>
      </c>
      <c r="M424" t="s">
        <v>15</v>
      </c>
      <c r="N424" s="24">
        <f t="shared" si="62"/>
        <v>0.44237700000000002</v>
      </c>
      <c r="O424" s="24">
        <f t="shared" si="63"/>
        <v>0.44237700000000002</v>
      </c>
      <c r="P424">
        <f t="shared" si="64"/>
        <v>9.9484000000000003E-2</v>
      </c>
      <c r="Q424">
        <f t="shared" si="65"/>
        <v>3.2027890000000001</v>
      </c>
      <c r="R424">
        <f t="shared" si="66"/>
        <v>0.72144699999999995</v>
      </c>
      <c r="S424" s="24">
        <f t="shared" si="67"/>
        <v>6.28</v>
      </c>
      <c r="T424" s="24">
        <f t="shared" si="68"/>
        <v>2.82</v>
      </c>
      <c r="U424" s="24">
        <f t="shared" si="69"/>
        <v>35.17</v>
      </c>
      <c r="V424" s="24">
        <f>+VLOOKUP(A424,[1]DQS4_AUX!$A:$M,13,FALSE)</f>
        <v>0.44237700000000002</v>
      </c>
      <c r="W424" s="24">
        <f t="shared" si="70"/>
        <v>0</v>
      </c>
    </row>
    <row r="425" spans="1:23" x14ac:dyDescent="0.25">
      <c r="A425" t="str">
        <f t="shared" si="61"/>
        <v>K66.19EU1</v>
      </c>
      <c r="B425" t="s">
        <v>238</v>
      </c>
      <c r="C425" t="s">
        <v>258</v>
      </c>
      <c r="D425" t="s">
        <v>584</v>
      </c>
      <c r="E425">
        <v>534212.52</v>
      </c>
      <c r="F425">
        <v>534212.52</v>
      </c>
      <c r="G425">
        <v>704762.08</v>
      </c>
      <c r="H425">
        <v>2295072.69</v>
      </c>
      <c r="I425">
        <v>7771845.0300000003</v>
      </c>
      <c r="J425">
        <v>71.665000000000006</v>
      </c>
      <c r="K425">
        <v>32.195749999999997</v>
      </c>
      <c r="L425">
        <v>401.41514100000001</v>
      </c>
      <c r="M425" t="s">
        <v>15</v>
      </c>
      <c r="N425" s="24">
        <f t="shared" si="62"/>
        <v>0.53421300000000005</v>
      </c>
      <c r="O425" s="24">
        <f t="shared" si="63"/>
        <v>0.53421300000000005</v>
      </c>
      <c r="P425">
        <f t="shared" si="64"/>
        <v>0.704762</v>
      </c>
      <c r="Q425">
        <f t="shared" si="65"/>
        <v>2.2950729999999999</v>
      </c>
      <c r="R425">
        <f t="shared" si="66"/>
        <v>7.7718449999999999</v>
      </c>
      <c r="S425" s="24">
        <f t="shared" si="67"/>
        <v>71.67</v>
      </c>
      <c r="T425" s="24">
        <f t="shared" si="68"/>
        <v>32.200000000000003</v>
      </c>
      <c r="U425" s="24">
        <f t="shared" si="69"/>
        <v>401.42</v>
      </c>
      <c r="V425" s="24">
        <f>+VLOOKUP(A425,[1]DQS4_AUX!$A:$M,13,FALSE)</f>
        <v>0.53421300000000005</v>
      </c>
      <c r="W425" s="24">
        <f t="shared" si="70"/>
        <v>0</v>
      </c>
    </row>
    <row r="426" spans="1:23" x14ac:dyDescent="0.25">
      <c r="A426" t="str">
        <f t="shared" si="61"/>
        <v>L68.10EU1</v>
      </c>
      <c r="B426" t="s">
        <v>585</v>
      </c>
      <c r="C426" t="s">
        <v>258</v>
      </c>
      <c r="D426" t="s">
        <v>588</v>
      </c>
      <c r="E426">
        <v>106311027.72999901</v>
      </c>
      <c r="F426">
        <v>106311160.439999</v>
      </c>
      <c r="G426">
        <v>870798261.50999999</v>
      </c>
      <c r="H426">
        <v>2221365743.0900002</v>
      </c>
      <c r="I426">
        <v>741361926.14999998</v>
      </c>
      <c r="J426">
        <v>1287.036421</v>
      </c>
      <c r="K426">
        <v>578.20534499999997</v>
      </c>
      <c r="L426">
        <v>7209.0426740000003</v>
      </c>
      <c r="M426" t="s">
        <v>15</v>
      </c>
      <c r="N426" s="24">
        <f t="shared" si="62"/>
        <v>106.31102799999999</v>
      </c>
      <c r="O426" s="24">
        <f t="shared" si="63"/>
        <v>106.31116</v>
      </c>
      <c r="P426">
        <f t="shared" si="64"/>
        <v>870.79826200000002</v>
      </c>
      <c r="Q426">
        <f t="shared" si="65"/>
        <v>2221.3657429999998</v>
      </c>
      <c r="R426">
        <f t="shared" si="66"/>
        <v>741.36192600000004</v>
      </c>
      <c r="S426" s="24">
        <f t="shared" si="67"/>
        <v>1287.04</v>
      </c>
      <c r="T426" s="24">
        <f t="shared" si="68"/>
        <v>578.21</v>
      </c>
      <c r="U426" s="24">
        <f t="shared" si="69"/>
        <v>7209.04</v>
      </c>
      <c r="V426" s="24">
        <f>+VLOOKUP(A426,[1]DQS4_AUX!$A:$M,13,FALSE)</f>
        <v>106.31116</v>
      </c>
      <c r="W426" s="24">
        <f t="shared" si="70"/>
        <v>0</v>
      </c>
    </row>
    <row r="427" spans="1:23" x14ac:dyDescent="0.25">
      <c r="A427" t="str">
        <f t="shared" si="61"/>
        <v>L68.31EU1</v>
      </c>
      <c r="B427" t="s">
        <v>585</v>
      </c>
      <c r="C427" t="s">
        <v>258</v>
      </c>
      <c r="D427" t="s">
        <v>587</v>
      </c>
      <c r="E427">
        <v>17016487.219999999</v>
      </c>
      <c r="F427">
        <v>17016487.219999999</v>
      </c>
      <c r="G427">
        <v>102124369.11</v>
      </c>
      <c r="H427">
        <v>144750035.91</v>
      </c>
      <c r="I427">
        <v>367150290.37</v>
      </c>
      <c r="J427">
        <v>784.57700699999998</v>
      </c>
      <c r="K427">
        <v>352.473771</v>
      </c>
      <c r="L427">
        <v>4394.6305570000004</v>
      </c>
      <c r="M427" t="s">
        <v>15</v>
      </c>
      <c r="N427" s="24">
        <f t="shared" si="62"/>
        <v>17.016487000000001</v>
      </c>
      <c r="O427" s="24">
        <f t="shared" si="63"/>
        <v>17.016487000000001</v>
      </c>
      <c r="P427">
        <f t="shared" si="64"/>
        <v>102.124369</v>
      </c>
      <c r="Q427">
        <f t="shared" si="65"/>
        <v>144.75003599999999</v>
      </c>
      <c r="R427">
        <f t="shared" si="66"/>
        <v>367.15028999999998</v>
      </c>
      <c r="S427" s="24">
        <f t="shared" si="67"/>
        <v>784.58</v>
      </c>
      <c r="T427" s="24">
        <f t="shared" si="68"/>
        <v>352.47</v>
      </c>
      <c r="U427" s="24">
        <f t="shared" si="69"/>
        <v>4394.63</v>
      </c>
      <c r="V427" s="24">
        <f>+VLOOKUP(A427,[1]DQS4_AUX!$A:$M,13,FALSE)</f>
        <v>17.016487000000001</v>
      </c>
      <c r="W427" s="24">
        <f t="shared" si="70"/>
        <v>0</v>
      </c>
    </row>
    <row r="428" spans="1:23" x14ac:dyDescent="0.25">
      <c r="A428" t="str">
        <f t="shared" si="61"/>
        <v>L68.20EU1</v>
      </c>
      <c r="B428" t="s">
        <v>585</v>
      </c>
      <c r="C428" t="s">
        <v>258</v>
      </c>
      <c r="D428" t="s">
        <v>586</v>
      </c>
      <c r="E428">
        <v>18800264.365596998</v>
      </c>
      <c r="F428">
        <v>18800264.365596998</v>
      </c>
      <c r="G428">
        <v>127548478.79000001</v>
      </c>
      <c r="H428">
        <v>363387558.81</v>
      </c>
      <c r="I428">
        <v>87572235.219999999</v>
      </c>
      <c r="J428">
        <v>247.28038000000001</v>
      </c>
      <c r="K428">
        <v>111.091537</v>
      </c>
      <c r="L428">
        <v>1385.084912</v>
      </c>
      <c r="M428" t="s">
        <v>15</v>
      </c>
      <c r="N428" s="24">
        <f t="shared" si="62"/>
        <v>18.800263999999999</v>
      </c>
      <c r="O428" s="24">
        <f t="shared" si="63"/>
        <v>18.800263999999999</v>
      </c>
      <c r="P428">
        <f t="shared" si="64"/>
        <v>127.548479</v>
      </c>
      <c r="Q428">
        <f t="shared" si="65"/>
        <v>363.38755900000001</v>
      </c>
      <c r="R428">
        <f t="shared" si="66"/>
        <v>87.572235000000006</v>
      </c>
      <c r="S428" s="24">
        <f t="shared" si="67"/>
        <v>247.28</v>
      </c>
      <c r="T428" s="24">
        <f t="shared" si="68"/>
        <v>111.09</v>
      </c>
      <c r="U428" s="24">
        <f t="shared" si="69"/>
        <v>1385.08</v>
      </c>
      <c r="V428" s="24">
        <f>+VLOOKUP(A428,[1]DQS4_AUX!$A:$M,13,FALSE)</f>
        <v>18.800263999999999</v>
      </c>
      <c r="W428" s="24">
        <f t="shared" si="70"/>
        <v>0</v>
      </c>
    </row>
    <row r="429" spans="1:23" x14ac:dyDescent="0.25">
      <c r="A429" t="str">
        <f t="shared" si="61"/>
        <v>L68.32EU1</v>
      </c>
      <c r="B429" t="s">
        <v>585</v>
      </c>
      <c r="C429" t="s">
        <v>258</v>
      </c>
      <c r="D429" t="s">
        <v>589</v>
      </c>
      <c r="E429">
        <v>8848405.3399999999</v>
      </c>
      <c r="F429">
        <v>8848405.3399999999</v>
      </c>
      <c r="G429">
        <v>26096789.41</v>
      </c>
      <c r="H429">
        <v>37760042.079999998</v>
      </c>
      <c r="I429">
        <v>45696549.140000001</v>
      </c>
      <c r="J429">
        <v>103.622598</v>
      </c>
      <c r="K429">
        <v>46.552790999999999</v>
      </c>
      <c r="L429">
        <v>580.41853200000003</v>
      </c>
      <c r="M429" t="s">
        <v>15</v>
      </c>
      <c r="N429" s="24">
        <f t="shared" si="62"/>
        <v>8.8484049999999996</v>
      </c>
      <c r="O429" s="24">
        <f t="shared" si="63"/>
        <v>8.8484049999999996</v>
      </c>
      <c r="P429">
        <f t="shared" si="64"/>
        <v>26.096789000000001</v>
      </c>
      <c r="Q429">
        <f t="shared" si="65"/>
        <v>37.760041999999999</v>
      </c>
      <c r="R429">
        <f t="shared" si="66"/>
        <v>45.696548999999997</v>
      </c>
      <c r="S429" s="24">
        <f t="shared" si="67"/>
        <v>103.62</v>
      </c>
      <c r="T429" s="24">
        <f t="shared" si="68"/>
        <v>46.55</v>
      </c>
      <c r="U429" s="24">
        <f t="shared" si="69"/>
        <v>580.41999999999996</v>
      </c>
      <c r="V429" s="24">
        <f>+VLOOKUP(A429,[1]DQS4_AUX!$A:$M,13,FALSE)</f>
        <v>8.8484049999999996</v>
      </c>
      <c r="W429" s="24">
        <f t="shared" si="70"/>
        <v>0</v>
      </c>
    </row>
    <row r="430" spans="1:23" x14ac:dyDescent="0.25">
      <c r="A430" t="str">
        <f t="shared" si="61"/>
        <v>M74.90EU1</v>
      </c>
      <c r="B430" t="s">
        <v>67</v>
      </c>
      <c r="C430" t="s">
        <v>258</v>
      </c>
      <c r="D430" t="s">
        <v>590</v>
      </c>
      <c r="E430">
        <v>12279497.0599999</v>
      </c>
      <c r="F430">
        <v>12279575.419999899</v>
      </c>
      <c r="G430">
        <v>111065744.94</v>
      </c>
      <c r="H430">
        <v>164606963.58000001</v>
      </c>
      <c r="I430">
        <v>205296024.93000001</v>
      </c>
      <c r="J430">
        <v>400.89541400000002</v>
      </c>
      <c r="K430">
        <v>180.10358099999999</v>
      </c>
      <c r="L430">
        <v>2245.5248609999999</v>
      </c>
      <c r="M430" t="s">
        <v>15</v>
      </c>
      <c r="N430" s="24">
        <f t="shared" si="62"/>
        <v>12.279496999999999</v>
      </c>
      <c r="O430" s="24">
        <f t="shared" si="63"/>
        <v>12.279574999999999</v>
      </c>
      <c r="P430">
        <f t="shared" si="64"/>
        <v>111.06574500000001</v>
      </c>
      <c r="Q430">
        <f t="shared" si="65"/>
        <v>164.606964</v>
      </c>
      <c r="R430">
        <f t="shared" si="66"/>
        <v>205.29602499999999</v>
      </c>
      <c r="S430" s="24">
        <f t="shared" si="67"/>
        <v>400.9</v>
      </c>
      <c r="T430" s="24">
        <f t="shared" si="68"/>
        <v>180.1</v>
      </c>
      <c r="U430" s="24">
        <f t="shared" si="69"/>
        <v>2245.52</v>
      </c>
      <c r="V430" s="24">
        <f>+VLOOKUP(A430,[1]DQS4_AUX!$A:$M,13,FALSE)</f>
        <v>12.279574999999999</v>
      </c>
      <c r="W430" s="24">
        <f t="shared" si="70"/>
        <v>0</v>
      </c>
    </row>
    <row r="431" spans="1:23" x14ac:dyDescent="0.25">
      <c r="A431" t="str">
        <f t="shared" si="61"/>
        <v>M71.20EU1</v>
      </c>
      <c r="B431" t="s">
        <v>67</v>
      </c>
      <c r="C431" t="s">
        <v>258</v>
      </c>
      <c r="D431" t="s">
        <v>96</v>
      </c>
      <c r="E431">
        <v>6484714.8499999903</v>
      </c>
      <c r="F431">
        <v>6484843.0599999903</v>
      </c>
      <c r="G431">
        <v>46621424.579999998</v>
      </c>
      <c r="H431">
        <v>112836401.81999999</v>
      </c>
      <c r="I431">
        <v>79619692.170000002</v>
      </c>
      <c r="J431">
        <v>56.832405000000001</v>
      </c>
      <c r="K431">
        <v>25.532133000000002</v>
      </c>
      <c r="L431">
        <v>318.33385800000002</v>
      </c>
      <c r="M431" t="s">
        <v>15</v>
      </c>
      <c r="N431" s="24">
        <f t="shared" si="62"/>
        <v>6.4847149999999996</v>
      </c>
      <c r="O431" s="24">
        <f t="shared" si="63"/>
        <v>6.4848429999999997</v>
      </c>
      <c r="P431">
        <f t="shared" si="64"/>
        <v>46.621425000000002</v>
      </c>
      <c r="Q431">
        <f t="shared" si="65"/>
        <v>112.83640200000001</v>
      </c>
      <c r="R431">
        <f t="shared" si="66"/>
        <v>79.619692000000001</v>
      </c>
      <c r="S431" s="24">
        <f t="shared" si="67"/>
        <v>56.83</v>
      </c>
      <c r="T431" s="24">
        <f t="shared" si="68"/>
        <v>25.53</v>
      </c>
      <c r="U431" s="24">
        <f t="shared" si="69"/>
        <v>318.33</v>
      </c>
      <c r="V431" s="24">
        <f>+VLOOKUP(A431,[1]DQS4_AUX!$A:$M,13,FALSE)</f>
        <v>6.4848429999999997</v>
      </c>
      <c r="W431" s="24">
        <f t="shared" si="70"/>
        <v>0</v>
      </c>
    </row>
    <row r="432" spans="1:23" x14ac:dyDescent="0.25">
      <c r="A432" t="str">
        <f t="shared" si="61"/>
        <v>M74.10EU1</v>
      </c>
      <c r="B432" t="s">
        <v>67</v>
      </c>
      <c r="C432" t="s">
        <v>258</v>
      </c>
      <c r="D432" t="s">
        <v>591</v>
      </c>
      <c r="E432">
        <v>4444865.7999999896</v>
      </c>
      <c r="F432">
        <v>4444906.0999999903</v>
      </c>
      <c r="G432">
        <v>21590101.52</v>
      </c>
      <c r="H432">
        <v>21580588.949999999</v>
      </c>
      <c r="I432">
        <v>71353145.829999998</v>
      </c>
      <c r="J432">
        <v>231.52060599999999</v>
      </c>
      <c r="K432">
        <v>104.01133400000001</v>
      </c>
      <c r="L432">
        <v>1296.810604</v>
      </c>
      <c r="M432" t="s">
        <v>15</v>
      </c>
      <c r="N432" s="24">
        <f t="shared" si="62"/>
        <v>4.4448660000000002</v>
      </c>
      <c r="O432" s="24">
        <f t="shared" si="63"/>
        <v>4.4449059999999996</v>
      </c>
      <c r="P432">
        <f t="shared" si="64"/>
        <v>21.590102000000002</v>
      </c>
      <c r="Q432">
        <f t="shared" si="65"/>
        <v>21.580589</v>
      </c>
      <c r="R432">
        <f t="shared" si="66"/>
        <v>71.353145999999995</v>
      </c>
      <c r="S432" s="24">
        <f t="shared" si="67"/>
        <v>231.52</v>
      </c>
      <c r="T432" s="24">
        <f t="shared" si="68"/>
        <v>104.01</v>
      </c>
      <c r="U432" s="24">
        <f t="shared" si="69"/>
        <v>1296.81</v>
      </c>
      <c r="V432" s="24">
        <f>+VLOOKUP(A432,[1]DQS4_AUX!$A:$M,13,FALSE)</f>
        <v>4.4449059999999996</v>
      </c>
      <c r="W432" s="24">
        <f t="shared" si="70"/>
        <v>0</v>
      </c>
    </row>
    <row r="433" spans="1:23" x14ac:dyDescent="0.25">
      <c r="A433" t="str">
        <f t="shared" si="61"/>
        <v>M71.12EU1</v>
      </c>
      <c r="B433" t="s">
        <v>67</v>
      </c>
      <c r="C433" t="s">
        <v>258</v>
      </c>
      <c r="D433" t="s">
        <v>141</v>
      </c>
      <c r="E433">
        <v>52699407.629999898</v>
      </c>
      <c r="F433">
        <v>52701036.169999897</v>
      </c>
      <c r="G433">
        <v>1751249650</v>
      </c>
      <c r="H433">
        <v>1178412411.6900001</v>
      </c>
      <c r="I433">
        <v>2022226410.9200001</v>
      </c>
      <c r="J433">
        <v>1964.0515869999999</v>
      </c>
      <c r="K433">
        <v>882.35672499999998</v>
      </c>
      <c r="L433">
        <v>11001.188741</v>
      </c>
      <c r="M433" t="s">
        <v>15</v>
      </c>
      <c r="N433" s="24">
        <f t="shared" si="62"/>
        <v>52.699407999999998</v>
      </c>
      <c r="O433" s="24">
        <f t="shared" si="63"/>
        <v>52.701036000000002</v>
      </c>
      <c r="P433">
        <f t="shared" si="64"/>
        <v>1751.24965</v>
      </c>
      <c r="Q433">
        <f t="shared" si="65"/>
        <v>1178.4124119999999</v>
      </c>
      <c r="R433">
        <f t="shared" si="66"/>
        <v>2022.2264110000001</v>
      </c>
      <c r="S433" s="24">
        <f t="shared" si="67"/>
        <v>1964.05</v>
      </c>
      <c r="T433" s="24">
        <f t="shared" si="68"/>
        <v>882.36</v>
      </c>
      <c r="U433" s="24">
        <f t="shared" si="69"/>
        <v>11001.19</v>
      </c>
      <c r="V433" s="24">
        <f>+VLOOKUP(A433,[1]DQS4_AUX!$A:$M,13,FALSE)</f>
        <v>52.701036000000002</v>
      </c>
      <c r="W433" s="24">
        <f t="shared" si="70"/>
        <v>0</v>
      </c>
    </row>
    <row r="434" spans="1:23" x14ac:dyDescent="0.25">
      <c r="A434" t="str">
        <f t="shared" si="61"/>
        <v>M70.10EU1</v>
      </c>
      <c r="B434" t="s">
        <v>67</v>
      </c>
      <c r="C434" t="s">
        <v>258</v>
      </c>
      <c r="D434" t="s">
        <v>136</v>
      </c>
      <c r="E434">
        <v>214810310.19999999</v>
      </c>
      <c r="F434">
        <v>214810310.19999999</v>
      </c>
      <c r="G434">
        <v>1331939479.54</v>
      </c>
      <c r="H434">
        <v>3552444549.9400001</v>
      </c>
      <c r="I434">
        <v>130605175.98</v>
      </c>
      <c r="J434">
        <v>198.825445</v>
      </c>
      <c r="K434">
        <v>89.323024000000004</v>
      </c>
      <c r="L434">
        <v>1113.6753409999999</v>
      </c>
      <c r="M434" t="s">
        <v>15</v>
      </c>
      <c r="N434" s="24">
        <f t="shared" si="62"/>
        <v>214.81030999999999</v>
      </c>
      <c r="O434" s="24">
        <f t="shared" si="63"/>
        <v>214.81030999999999</v>
      </c>
      <c r="P434">
        <f t="shared" si="64"/>
        <v>1331.93948</v>
      </c>
      <c r="Q434">
        <f t="shared" si="65"/>
        <v>3552.4445500000002</v>
      </c>
      <c r="R434">
        <f t="shared" si="66"/>
        <v>130.605176</v>
      </c>
      <c r="S434" s="24">
        <f t="shared" si="67"/>
        <v>198.83</v>
      </c>
      <c r="T434" s="24">
        <f t="shared" si="68"/>
        <v>89.32</v>
      </c>
      <c r="U434" s="24">
        <f t="shared" si="69"/>
        <v>1113.68</v>
      </c>
      <c r="V434" s="24">
        <f>+VLOOKUP(A434,[1]DQS4_AUX!$A:$M,13,FALSE)</f>
        <v>214.81030999999999</v>
      </c>
      <c r="W434" s="24">
        <f t="shared" si="70"/>
        <v>0</v>
      </c>
    </row>
    <row r="435" spans="1:23" x14ac:dyDescent="0.25">
      <c r="A435" t="str">
        <f t="shared" si="61"/>
        <v>M72.19EU1</v>
      </c>
      <c r="B435" t="s">
        <v>67</v>
      </c>
      <c r="C435" t="s">
        <v>258</v>
      </c>
      <c r="D435" t="s">
        <v>68</v>
      </c>
      <c r="E435">
        <v>3751654.3199999901</v>
      </c>
      <c r="F435">
        <v>3751698.3499999898</v>
      </c>
      <c r="G435">
        <v>33883896.799999997</v>
      </c>
      <c r="H435">
        <v>84757598.900000006</v>
      </c>
      <c r="I435">
        <v>62698304.020000003</v>
      </c>
      <c r="J435">
        <v>49.448524999999997</v>
      </c>
      <c r="K435">
        <v>22.214919999999999</v>
      </c>
      <c r="L435">
        <v>276.97465599999998</v>
      </c>
      <c r="M435" t="s">
        <v>15</v>
      </c>
      <c r="N435" s="24">
        <f t="shared" si="62"/>
        <v>3.7516539999999998</v>
      </c>
      <c r="O435" s="24">
        <f t="shared" si="63"/>
        <v>3.7516980000000002</v>
      </c>
      <c r="P435">
        <f t="shared" si="64"/>
        <v>33.883896999999997</v>
      </c>
      <c r="Q435">
        <f t="shared" si="65"/>
        <v>84.757598999999999</v>
      </c>
      <c r="R435">
        <f t="shared" si="66"/>
        <v>62.698304</v>
      </c>
      <c r="S435" s="24">
        <f t="shared" si="67"/>
        <v>49.45</v>
      </c>
      <c r="T435" s="24">
        <f t="shared" si="68"/>
        <v>22.21</v>
      </c>
      <c r="U435" s="24">
        <f t="shared" si="69"/>
        <v>276.97000000000003</v>
      </c>
      <c r="V435" s="24">
        <f>+VLOOKUP(A435,[1]DQS4_AUX!$A:$M,13,FALSE)</f>
        <v>3.7516980000000002</v>
      </c>
      <c r="W435" s="24">
        <f t="shared" si="70"/>
        <v>0</v>
      </c>
    </row>
    <row r="436" spans="1:23" x14ac:dyDescent="0.25">
      <c r="A436" t="str">
        <f t="shared" si="61"/>
        <v>M70.22EU1</v>
      </c>
      <c r="B436" t="s">
        <v>67</v>
      </c>
      <c r="C436" t="s">
        <v>258</v>
      </c>
      <c r="D436" t="s">
        <v>243</v>
      </c>
      <c r="E436">
        <v>133884637.113648</v>
      </c>
      <c r="F436">
        <v>133884915.923648</v>
      </c>
      <c r="G436">
        <v>783997241.25</v>
      </c>
      <c r="H436">
        <v>2727407428.8899999</v>
      </c>
      <c r="I436">
        <v>1482204333.8</v>
      </c>
      <c r="J436">
        <v>1893.2133140000001</v>
      </c>
      <c r="K436">
        <v>850.532511</v>
      </c>
      <c r="L436">
        <v>10604.403802000001</v>
      </c>
      <c r="M436" t="s">
        <v>15</v>
      </c>
      <c r="N436" s="24">
        <f t="shared" si="62"/>
        <v>133.884637</v>
      </c>
      <c r="O436" s="24">
        <f t="shared" si="63"/>
        <v>133.884916</v>
      </c>
      <c r="P436">
        <f t="shared" si="64"/>
        <v>783.99724100000003</v>
      </c>
      <c r="Q436">
        <f t="shared" si="65"/>
        <v>2727.4074289999999</v>
      </c>
      <c r="R436">
        <f t="shared" si="66"/>
        <v>1482.204334</v>
      </c>
      <c r="S436" s="24">
        <f t="shared" si="67"/>
        <v>1893.21</v>
      </c>
      <c r="T436" s="24">
        <f t="shared" si="68"/>
        <v>850.53</v>
      </c>
      <c r="U436" s="24">
        <f t="shared" si="69"/>
        <v>10604.4</v>
      </c>
      <c r="V436" s="24">
        <f>+VLOOKUP(A436,[1]DQS4_AUX!$A:$M,13,FALSE)</f>
        <v>133.884916</v>
      </c>
      <c r="W436" s="24">
        <f t="shared" si="70"/>
        <v>0</v>
      </c>
    </row>
    <row r="437" spans="1:23" x14ac:dyDescent="0.25">
      <c r="A437" t="str">
        <f t="shared" si="61"/>
        <v>M73.20EU1</v>
      </c>
      <c r="B437" t="s">
        <v>67</v>
      </c>
      <c r="C437" t="s">
        <v>258</v>
      </c>
      <c r="D437" t="s">
        <v>598</v>
      </c>
      <c r="E437">
        <v>101279.43</v>
      </c>
      <c r="F437">
        <v>101279.43</v>
      </c>
      <c r="G437">
        <v>317269.64</v>
      </c>
      <c r="H437">
        <v>4477857.5599999996</v>
      </c>
      <c r="I437">
        <v>5237551.42</v>
      </c>
      <c r="J437">
        <v>18.804226</v>
      </c>
      <c r="K437">
        <v>8.4478659999999994</v>
      </c>
      <c r="L437">
        <v>105.32758699999999</v>
      </c>
      <c r="M437" t="s">
        <v>15</v>
      </c>
      <c r="N437" s="24">
        <f t="shared" si="62"/>
        <v>0.10127899999999999</v>
      </c>
      <c r="O437" s="24">
        <f t="shared" si="63"/>
        <v>0.10127899999999999</v>
      </c>
      <c r="P437">
        <f t="shared" si="64"/>
        <v>0.31727</v>
      </c>
      <c r="Q437">
        <f t="shared" si="65"/>
        <v>4.4778580000000003</v>
      </c>
      <c r="R437">
        <f t="shared" si="66"/>
        <v>5.2375509999999998</v>
      </c>
      <c r="S437" s="24">
        <f t="shared" si="67"/>
        <v>18.8</v>
      </c>
      <c r="T437" s="24">
        <f t="shared" si="68"/>
        <v>8.4499999999999993</v>
      </c>
      <c r="U437" s="24">
        <f t="shared" si="69"/>
        <v>105.33</v>
      </c>
      <c r="V437" s="24">
        <f>+VLOOKUP(A437,[1]DQS4_AUX!$A:$M,13,FALSE)</f>
        <v>0.10127899999999999</v>
      </c>
      <c r="W437" s="24">
        <f t="shared" si="70"/>
        <v>0</v>
      </c>
    </row>
    <row r="438" spans="1:23" x14ac:dyDescent="0.25">
      <c r="A438" t="str">
        <f t="shared" si="61"/>
        <v>M72.11EU1</v>
      </c>
      <c r="B438" t="s">
        <v>67</v>
      </c>
      <c r="C438" t="s">
        <v>258</v>
      </c>
      <c r="D438" t="s">
        <v>593</v>
      </c>
      <c r="E438">
        <v>776353.89999999898</v>
      </c>
      <c r="F438">
        <v>776353.93999999901</v>
      </c>
      <c r="G438">
        <v>2555638.7599999998</v>
      </c>
      <c r="H438">
        <v>5491291.1799999997</v>
      </c>
      <c r="I438">
        <v>3838910.74</v>
      </c>
      <c r="J438">
        <v>3.6342120000000002</v>
      </c>
      <c r="K438">
        <v>1.6326769999999999</v>
      </c>
      <c r="L438">
        <v>20.356252000000001</v>
      </c>
      <c r="M438" t="s">
        <v>15</v>
      </c>
      <c r="N438" s="24">
        <f t="shared" si="62"/>
        <v>0.77635399999999999</v>
      </c>
      <c r="O438" s="24">
        <f t="shared" si="63"/>
        <v>0.77635399999999999</v>
      </c>
      <c r="P438">
        <f t="shared" si="64"/>
        <v>2.5556390000000002</v>
      </c>
      <c r="Q438">
        <f t="shared" si="65"/>
        <v>5.4912910000000004</v>
      </c>
      <c r="R438">
        <f t="shared" si="66"/>
        <v>3.838911</v>
      </c>
      <c r="S438" s="24">
        <f t="shared" si="67"/>
        <v>3.63</v>
      </c>
      <c r="T438" s="24">
        <f t="shared" si="68"/>
        <v>1.63</v>
      </c>
      <c r="U438" s="24">
        <f t="shared" si="69"/>
        <v>20.36</v>
      </c>
      <c r="V438" s="24">
        <f>+VLOOKUP(A438,[1]DQS4_AUX!$A:$M,13,FALSE)</f>
        <v>0.77635399999999999</v>
      </c>
      <c r="W438" s="24">
        <f t="shared" si="70"/>
        <v>0</v>
      </c>
    </row>
    <row r="439" spans="1:23" x14ac:dyDescent="0.25">
      <c r="A439" t="str">
        <f t="shared" si="61"/>
        <v>M74.20EU1</v>
      </c>
      <c r="B439" t="s">
        <v>67</v>
      </c>
      <c r="C439" t="s">
        <v>258</v>
      </c>
      <c r="D439" t="s">
        <v>596</v>
      </c>
      <c r="E439">
        <v>270187.77</v>
      </c>
      <c r="F439">
        <v>270187.77</v>
      </c>
      <c r="G439">
        <v>1750901.36</v>
      </c>
      <c r="H439">
        <v>1811667.71</v>
      </c>
      <c r="I439">
        <v>3584519.67</v>
      </c>
      <c r="J439">
        <v>7.3229889999999997</v>
      </c>
      <c r="K439">
        <v>3.2898640000000001</v>
      </c>
      <c r="L439">
        <v>41.018174000000002</v>
      </c>
      <c r="M439" t="s">
        <v>15</v>
      </c>
      <c r="N439" s="24">
        <f t="shared" si="62"/>
        <v>0.27018799999999998</v>
      </c>
      <c r="O439" s="24">
        <f t="shared" si="63"/>
        <v>0.27018799999999998</v>
      </c>
      <c r="P439">
        <f t="shared" si="64"/>
        <v>1.750901</v>
      </c>
      <c r="Q439">
        <f t="shared" si="65"/>
        <v>1.8116680000000001</v>
      </c>
      <c r="R439">
        <f t="shared" si="66"/>
        <v>3.5845199999999999</v>
      </c>
      <c r="S439" s="24">
        <f t="shared" si="67"/>
        <v>7.32</v>
      </c>
      <c r="T439" s="24">
        <f t="shared" si="68"/>
        <v>3.29</v>
      </c>
      <c r="U439" s="24">
        <f t="shared" si="69"/>
        <v>41.02</v>
      </c>
      <c r="V439" s="24">
        <f>+VLOOKUP(A439,[1]DQS4_AUX!$A:$M,13,FALSE)</f>
        <v>0.27018799999999998</v>
      </c>
      <c r="W439" s="24">
        <f t="shared" si="70"/>
        <v>0</v>
      </c>
    </row>
    <row r="440" spans="1:23" x14ac:dyDescent="0.25">
      <c r="A440" t="str">
        <f t="shared" si="61"/>
        <v>M73.12EU1</v>
      </c>
      <c r="B440" t="s">
        <v>67</v>
      </c>
      <c r="C440" t="s">
        <v>258</v>
      </c>
      <c r="D440" t="s">
        <v>241</v>
      </c>
      <c r="E440">
        <v>1241221.55999999</v>
      </c>
      <c r="F440">
        <v>1241223.78999999</v>
      </c>
      <c r="G440">
        <v>7418775.2699999996</v>
      </c>
      <c r="H440">
        <v>9910408.6199999992</v>
      </c>
      <c r="I440">
        <v>37961932.689999998</v>
      </c>
      <c r="J440">
        <v>75.730401999999998</v>
      </c>
      <c r="K440">
        <v>34.022140999999998</v>
      </c>
      <c r="L440">
        <v>424.186577</v>
      </c>
      <c r="M440" t="s">
        <v>15</v>
      </c>
      <c r="N440" s="24">
        <f t="shared" si="62"/>
        <v>1.241222</v>
      </c>
      <c r="O440" s="24">
        <f t="shared" si="63"/>
        <v>1.2412240000000001</v>
      </c>
      <c r="P440">
        <f t="shared" si="64"/>
        <v>7.4187750000000001</v>
      </c>
      <c r="Q440">
        <f t="shared" si="65"/>
        <v>9.9104089999999996</v>
      </c>
      <c r="R440">
        <f t="shared" si="66"/>
        <v>37.961933000000002</v>
      </c>
      <c r="S440" s="24">
        <f t="shared" si="67"/>
        <v>75.73</v>
      </c>
      <c r="T440" s="24">
        <f t="shared" si="68"/>
        <v>34.020000000000003</v>
      </c>
      <c r="U440" s="24">
        <f t="shared" si="69"/>
        <v>424.19</v>
      </c>
      <c r="V440" s="24">
        <f>+VLOOKUP(A440,[1]DQS4_AUX!$A:$M,13,FALSE)</f>
        <v>1.2412240000000001</v>
      </c>
      <c r="W440" s="24">
        <f t="shared" si="70"/>
        <v>0</v>
      </c>
    </row>
    <row r="441" spans="1:23" x14ac:dyDescent="0.25">
      <c r="A441" t="str">
        <f t="shared" si="61"/>
        <v>M72.20EU1</v>
      </c>
      <c r="B441" t="s">
        <v>67</v>
      </c>
      <c r="C441" t="s">
        <v>258</v>
      </c>
      <c r="D441" t="s">
        <v>592</v>
      </c>
      <c r="E441">
        <v>50976.17</v>
      </c>
      <c r="F441">
        <v>50976.17</v>
      </c>
      <c r="G441">
        <v>325637.81</v>
      </c>
      <c r="H441">
        <v>339949.2</v>
      </c>
      <c r="I441">
        <v>10671.98</v>
      </c>
      <c r="J441">
        <v>1.6927000000000001E-2</v>
      </c>
      <c r="K441">
        <v>7.6039999999999996E-3</v>
      </c>
      <c r="L441">
        <v>9.4815999999999998E-2</v>
      </c>
      <c r="M441" t="s">
        <v>15</v>
      </c>
      <c r="N441" s="24">
        <f t="shared" si="62"/>
        <v>5.0976E-2</v>
      </c>
      <c r="O441" s="24">
        <f t="shared" si="63"/>
        <v>5.0976E-2</v>
      </c>
      <c r="P441">
        <f t="shared" si="64"/>
        <v>0.32563799999999998</v>
      </c>
      <c r="Q441">
        <f t="shared" si="65"/>
        <v>0.339949</v>
      </c>
      <c r="R441">
        <f t="shared" si="66"/>
        <v>1.0671999999999999E-2</v>
      </c>
      <c r="S441" s="24">
        <f t="shared" si="67"/>
        <v>0.02</v>
      </c>
      <c r="T441" s="24">
        <f t="shared" si="68"/>
        <v>0.01</v>
      </c>
      <c r="U441" s="24">
        <f t="shared" si="69"/>
        <v>0.09</v>
      </c>
      <c r="V441" s="24">
        <f>+VLOOKUP(A441,[1]DQS4_AUX!$A:$M,13,FALSE)</f>
        <v>5.0976E-2</v>
      </c>
      <c r="W441" s="24">
        <f t="shared" si="70"/>
        <v>0</v>
      </c>
    </row>
    <row r="442" spans="1:23" x14ac:dyDescent="0.25">
      <c r="A442" t="str">
        <f t="shared" si="61"/>
        <v>M73.11EU1</v>
      </c>
      <c r="B442" t="s">
        <v>67</v>
      </c>
      <c r="C442" t="s">
        <v>258</v>
      </c>
      <c r="D442" t="s">
        <v>109</v>
      </c>
      <c r="E442">
        <v>6448253.5899999896</v>
      </c>
      <c r="F442">
        <v>6448831.73999999</v>
      </c>
      <c r="G442">
        <v>33597838.619999997</v>
      </c>
      <c r="H442">
        <v>66204166.530000001</v>
      </c>
      <c r="I442">
        <v>156647119.34999999</v>
      </c>
      <c r="J442">
        <v>312.19445899999999</v>
      </c>
      <c r="K442">
        <v>140.25429800000001</v>
      </c>
      <c r="L442">
        <v>1748.68722</v>
      </c>
      <c r="M442" t="s">
        <v>15</v>
      </c>
      <c r="N442" s="24">
        <f t="shared" si="62"/>
        <v>6.4482540000000004</v>
      </c>
      <c r="O442" s="24">
        <f t="shared" si="63"/>
        <v>6.4488320000000003</v>
      </c>
      <c r="P442">
        <f t="shared" si="64"/>
        <v>33.597839</v>
      </c>
      <c r="Q442">
        <f t="shared" si="65"/>
        <v>66.204166999999998</v>
      </c>
      <c r="R442">
        <f t="shared" si="66"/>
        <v>156.647119</v>
      </c>
      <c r="S442" s="24">
        <f t="shared" si="67"/>
        <v>312.19</v>
      </c>
      <c r="T442" s="24">
        <f t="shared" si="68"/>
        <v>140.25</v>
      </c>
      <c r="U442" s="24">
        <f t="shared" si="69"/>
        <v>1748.69</v>
      </c>
      <c r="V442" s="24">
        <f>+VLOOKUP(A442,[1]DQS4_AUX!$A:$M,13,FALSE)</f>
        <v>6.4488320000000003</v>
      </c>
      <c r="W442" s="24">
        <f t="shared" si="70"/>
        <v>0</v>
      </c>
    </row>
    <row r="443" spans="1:23" x14ac:dyDescent="0.25">
      <c r="A443" t="str">
        <f t="shared" si="61"/>
        <v>M69.20EU1</v>
      </c>
      <c r="B443" t="s">
        <v>67</v>
      </c>
      <c r="C443" t="s">
        <v>258</v>
      </c>
      <c r="D443" t="s">
        <v>138</v>
      </c>
      <c r="E443">
        <v>85485940.519999906</v>
      </c>
      <c r="F443">
        <v>85486337.759999901</v>
      </c>
      <c r="G443">
        <v>109678687.12</v>
      </c>
      <c r="H443">
        <v>577072409.30999994</v>
      </c>
      <c r="I443">
        <v>334569007.89999998</v>
      </c>
      <c r="J443">
        <v>548.86638700000003</v>
      </c>
      <c r="K443">
        <v>246.57985199999999</v>
      </c>
      <c r="L443">
        <v>3074.3521230000001</v>
      </c>
      <c r="M443" t="s">
        <v>15</v>
      </c>
      <c r="N443" s="24">
        <f t="shared" si="62"/>
        <v>85.485940999999997</v>
      </c>
      <c r="O443" s="24">
        <f t="shared" si="63"/>
        <v>85.486338000000003</v>
      </c>
      <c r="P443">
        <f t="shared" si="64"/>
        <v>109.678687</v>
      </c>
      <c r="Q443">
        <f t="shared" si="65"/>
        <v>577.07240899999999</v>
      </c>
      <c r="R443">
        <f t="shared" si="66"/>
        <v>334.569008</v>
      </c>
      <c r="S443" s="24">
        <f t="shared" si="67"/>
        <v>548.87</v>
      </c>
      <c r="T443" s="24">
        <f t="shared" si="68"/>
        <v>246.58</v>
      </c>
      <c r="U443" s="24">
        <f t="shared" si="69"/>
        <v>3074.35</v>
      </c>
      <c r="V443" s="24">
        <f>+VLOOKUP(A443,[1]DQS4_AUX!$A:$M,13,FALSE)</f>
        <v>85.486338000000003</v>
      </c>
      <c r="W443" s="24">
        <f t="shared" si="70"/>
        <v>0</v>
      </c>
    </row>
    <row r="444" spans="1:23" x14ac:dyDescent="0.25">
      <c r="A444" t="str">
        <f t="shared" si="61"/>
        <v>M75.00EU1</v>
      </c>
      <c r="B444" t="s">
        <v>67</v>
      </c>
      <c r="C444" t="s">
        <v>258</v>
      </c>
      <c r="D444" t="s">
        <v>594</v>
      </c>
      <c r="E444">
        <v>906290.50999999896</v>
      </c>
      <c r="F444">
        <v>906462.12999999896</v>
      </c>
      <c r="G444">
        <v>7526462.4400000004</v>
      </c>
      <c r="H444">
        <v>8932704.8100000005</v>
      </c>
      <c r="I444">
        <v>29841713.489999998</v>
      </c>
      <c r="J444">
        <v>123.65581299999999</v>
      </c>
      <c r="K444">
        <v>20.670688999999999</v>
      </c>
      <c r="L444">
        <v>226.25833299999999</v>
      </c>
      <c r="M444" t="s">
        <v>15</v>
      </c>
      <c r="N444" s="24">
        <f t="shared" si="62"/>
        <v>0.90629099999999996</v>
      </c>
      <c r="O444" s="24">
        <f t="shared" si="63"/>
        <v>0.90646199999999999</v>
      </c>
      <c r="P444">
        <f t="shared" si="64"/>
        <v>7.5264620000000004</v>
      </c>
      <c r="Q444">
        <f t="shared" si="65"/>
        <v>8.9327050000000003</v>
      </c>
      <c r="R444">
        <f t="shared" si="66"/>
        <v>29.841712999999999</v>
      </c>
      <c r="S444" s="24">
        <f t="shared" si="67"/>
        <v>123.66</v>
      </c>
      <c r="T444" s="24">
        <f t="shared" si="68"/>
        <v>20.67</v>
      </c>
      <c r="U444" s="24">
        <f t="shared" si="69"/>
        <v>226.26</v>
      </c>
      <c r="V444" s="24">
        <f>+VLOOKUP(A444,[1]DQS4_AUX!$A:$M,13,FALSE)</f>
        <v>0.90646199999999999</v>
      </c>
      <c r="W444" s="24">
        <f t="shared" si="70"/>
        <v>0</v>
      </c>
    </row>
    <row r="445" spans="1:23" x14ac:dyDescent="0.25">
      <c r="A445" t="str">
        <f t="shared" si="61"/>
        <v>M70.21EU1</v>
      </c>
      <c r="B445" t="s">
        <v>67</v>
      </c>
      <c r="C445" t="s">
        <v>258</v>
      </c>
      <c r="D445" t="s">
        <v>595</v>
      </c>
      <c r="E445">
        <v>879270.46</v>
      </c>
      <c r="F445">
        <v>879270.46</v>
      </c>
      <c r="G445">
        <v>3445224.34</v>
      </c>
      <c r="H445">
        <v>6483763.1600000001</v>
      </c>
      <c r="I445">
        <v>20429078.579999998</v>
      </c>
      <c r="J445">
        <v>51.301242999999999</v>
      </c>
      <c r="K445">
        <v>23.047256999999998</v>
      </c>
      <c r="L445">
        <v>287.35224399999998</v>
      </c>
      <c r="M445" t="s">
        <v>15</v>
      </c>
      <c r="N445" s="24">
        <f t="shared" si="62"/>
        <v>0.87927</v>
      </c>
      <c r="O445" s="24">
        <f t="shared" si="63"/>
        <v>0.87927</v>
      </c>
      <c r="P445">
        <f t="shared" si="64"/>
        <v>3.4452240000000001</v>
      </c>
      <c r="Q445">
        <f t="shared" si="65"/>
        <v>6.4837629999999997</v>
      </c>
      <c r="R445">
        <f t="shared" si="66"/>
        <v>20.429079000000002</v>
      </c>
      <c r="S445" s="24">
        <f t="shared" si="67"/>
        <v>51.3</v>
      </c>
      <c r="T445" s="24">
        <f t="shared" si="68"/>
        <v>23.05</v>
      </c>
      <c r="U445" s="24">
        <f t="shared" si="69"/>
        <v>287.35000000000002</v>
      </c>
      <c r="V445" s="24">
        <f>+VLOOKUP(A445,[1]DQS4_AUX!$A:$M,13,FALSE)</f>
        <v>0.87927</v>
      </c>
      <c r="W445" s="24">
        <f t="shared" si="70"/>
        <v>0</v>
      </c>
    </row>
    <row r="446" spans="1:23" x14ac:dyDescent="0.25">
      <c r="A446" t="str">
        <f t="shared" si="61"/>
        <v>M74.30EU1</v>
      </c>
      <c r="B446" t="s">
        <v>67</v>
      </c>
      <c r="C446" t="s">
        <v>258</v>
      </c>
      <c r="D446" t="s">
        <v>599</v>
      </c>
      <c r="E446">
        <v>369016.44</v>
      </c>
      <c r="F446">
        <v>369016.44</v>
      </c>
      <c r="G446">
        <v>886887.93</v>
      </c>
      <c r="H446">
        <v>1809030.06</v>
      </c>
      <c r="I446">
        <v>2968827.13</v>
      </c>
      <c r="J446">
        <v>34.224105999999999</v>
      </c>
      <c r="K446">
        <v>15.375294999999999</v>
      </c>
      <c r="L446">
        <v>191.69855799999999</v>
      </c>
      <c r="M446" t="s">
        <v>15</v>
      </c>
      <c r="N446" s="24">
        <f t="shared" si="62"/>
        <v>0.36901600000000001</v>
      </c>
      <c r="O446" s="24">
        <f t="shared" si="63"/>
        <v>0.36901600000000001</v>
      </c>
      <c r="P446">
        <f t="shared" si="64"/>
        <v>0.88688800000000001</v>
      </c>
      <c r="Q446">
        <f t="shared" si="65"/>
        <v>1.8090299999999999</v>
      </c>
      <c r="R446">
        <f t="shared" si="66"/>
        <v>2.9688270000000001</v>
      </c>
      <c r="S446" s="24">
        <f t="shared" si="67"/>
        <v>34.22</v>
      </c>
      <c r="T446" s="24">
        <f t="shared" si="68"/>
        <v>15.38</v>
      </c>
      <c r="U446" s="24">
        <f t="shared" si="69"/>
        <v>191.7</v>
      </c>
      <c r="V446" s="24">
        <f>+VLOOKUP(A446,[1]DQS4_AUX!$A:$M,13,FALSE)</f>
        <v>0.36901600000000001</v>
      </c>
      <c r="W446" s="24">
        <f t="shared" si="70"/>
        <v>0</v>
      </c>
    </row>
    <row r="447" spans="1:23" x14ac:dyDescent="0.25">
      <c r="A447" t="str">
        <f t="shared" si="61"/>
        <v>M69.10EU1</v>
      </c>
      <c r="B447" t="s">
        <v>67</v>
      </c>
      <c r="C447" t="s">
        <v>258</v>
      </c>
      <c r="D447" t="s">
        <v>597</v>
      </c>
      <c r="E447">
        <v>22143825.669999901</v>
      </c>
      <c r="F447">
        <v>22144071.099999901</v>
      </c>
      <c r="G447">
        <v>223886705.06</v>
      </c>
      <c r="H447">
        <v>169084238.50999999</v>
      </c>
      <c r="I447">
        <v>738600000.84000003</v>
      </c>
      <c r="J447">
        <v>885.43321700000001</v>
      </c>
      <c r="K447">
        <v>397.78402699999998</v>
      </c>
      <c r="L447">
        <v>4959.5514329999996</v>
      </c>
      <c r="M447" t="s">
        <v>15</v>
      </c>
      <c r="N447" s="24">
        <f t="shared" si="62"/>
        <v>22.143826000000001</v>
      </c>
      <c r="O447" s="24">
        <f t="shared" si="63"/>
        <v>22.144071</v>
      </c>
      <c r="P447">
        <f t="shared" si="64"/>
        <v>223.88670500000001</v>
      </c>
      <c r="Q447">
        <f t="shared" si="65"/>
        <v>169.084239</v>
      </c>
      <c r="R447">
        <f t="shared" si="66"/>
        <v>738.60000100000002</v>
      </c>
      <c r="S447" s="24">
        <f t="shared" si="67"/>
        <v>885.43</v>
      </c>
      <c r="T447" s="24">
        <f t="shared" si="68"/>
        <v>397.78</v>
      </c>
      <c r="U447" s="24">
        <f t="shared" si="69"/>
        <v>4959.55</v>
      </c>
      <c r="V447" s="24">
        <f>+VLOOKUP(A447,[1]DQS4_AUX!$A:$M,13,FALSE)</f>
        <v>22.144071</v>
      </c>
      <c r="W447" s="24">
        <f t="shared" si="70"/>
        <v>0</v>
      </c>
    </row>
    <row r="448" spans="1:23" x14ac:dyDescent="0.25">
      <c r="A448" t="str">
        <f t="shared" si="61"/>
        <v>M71.11EU1</v>
      </c>
      <c r="B448" t="s">
        <v>67</v>
      </c>
      <c r="C448" t="s">
        <v>258</v>
      </c>
      <c r="D448" t="s">
        <v>600</v>
      </c>
      <c r="E448">
        <v>6282633.52999999</v>
      </c>
      <c r="F448">
        <v>6283616.5099999905</v>
      </c>
      <c r="G448">
        <v>37605855.57</v>
      </c>
      <c r="H448">
        <v>58227337.07</v>
      </c>
      <c r="I448">
        <v>110460306.91</v>
      </c>
      <c r="J448">
        <v>312.76979399999999</v>
      </c>
      <c r="K448">
        <v>140.51286400000001</v>
      </c>
      <c r="L448">
        <v>1751.9090819999999</v>
      </c>
      <c r="M448" t="s">
        <v>15</v>
      </c>
      <c r="N448" s="24">
        <f t="shared" si="62"/>
        <v>6.2826339999999998</v>
      </c>
      <c r="O448" s="24">
        <f t="shared" si="63"/>
        <v>6.2836169999999996</v>
      </c>
      <c r="P448">
        <f t="shared" si="64"/>
        <v>37.605856000000003</v>
      </c>
      <c r="Q448">
        <f t="shared" si="65"/>
        <v>58.227336999999999</v>
      </c>
      <c r="R448">
        <f t="shared" si="66"/>
        <v>110.460307</v>
      </c>
      <c r="S448" s="24">
        <f t="shared" si="67"/>
        <v>312.77</v>
      </c>
      <c r="T448" s="24">
        <f t="shared" si="68"/>
        <v>140.51</v>
      </c>
      <c r="U448" s="24">
        <f t="shared" si="69"/>
        <v>1751.91</v>
      </c>
      <c r="V448" s="24">
        <f>+VLOOKUP(A448,[1]DQS4_AUX!$A:$M,13,FALSE)</f>
        <v>6.2836169999999996</v>
      </c>
      <c r="W448" s="24">
        <f t="shared" si="70"/>
        <v>0</v>
      </c>
    </row>
    <row r="449" spans="1:23" x14ac:dyDescent="0.25">
      <c r="A449" t="str">
        <f t="shared" si="61"/>
        <v>N77.11EU1</v>
      </c>
      <c r="B449" t="s">
        <v>54</v>
      </c>
      <c r="C449" t="s">
        <v>258</v>
      </c>
      <c r="D449" t="s">
        <v>101</v>
      </c>
      <c r="E449">
        <v>21493112.269999899</v>
      </c>
      <c r="F449">
        <v>21493303.519999899</v>
      </c>
      <c r="G449">
        <v>452413005.95999998</v>
      </c>
      <c r="H449">
        <v>378232402.27999997</v>
      </c>
      <c r="I449">
        <v>784363659.51999998</v>
      </c>
      <c r="J449">
        <v>405.378196</v>
      </c>
      <c r="K449">
        <v>182.1173</v>
      </c>
      <c r="L449">
        <v>2270.634051</v>
      </c>
      <c r="M449" t="s">
        <v>15</v>
      </c>
      <c r="N449" s="24">
        <f t="shared" si="62"/>
        <v>21.493112</v>
      </c>
      <c r="O449" s="24">
        <f t="shared" si="63"/>
        <v>21.493303999999998</v>
      </c>
      <c r="P449">
        <f t="shared" si="64"/>
        <v>452.413006</v>
      </c>
      <c r="Q449">
        <f t="shared" si="65"/>
        <v>378.23240199999998</v>
      </c>
      <c r="R449">
        <f t="shared" si="66"/>
        <v>784.36365999999998</v>
      </c>
      <c r="S449" s="24">
        <f t="shared" si="67"/>
        <v>405.38</v>
      </c>
      <c r="T449" s="24">
        <f t="shared" si="68"/>
        <v>182.12</v>
      </c>
      <c r="U449" s="24">
        <f t="shared" si="69"/>
        <v>2270.63</v>
      </c>
      <c r="V449" s="24">
        <f>+VLOOKUP(A449,[1]DQS4_AUX!$A:$M,13,FALSE)</f>
        <v>21.493303999999998</v>
      </c>
      <c r="W449" s="24">
        <f t="shared" si="70"/>
        <v>0</v>
      </c>
    </row>
    <row r="450" spans="1:23" x14ac:dyDescent="0.25">
      <c r="A450" t="str">
        <f t="shared" si="61"/>
        <v>N82.11EU1</v>
      </c>
      <c r="B450" t="s">
        <v>54</v>
      </c>
      <c r="C450" t="s">
        <v>258</v>
      </c>
      <c r="D450" t="s">
        <v>247</v>
      </c>
      <c r="E450">
        <v>6663790.1799999904</v>
      </c>
      <c r="F450">
        <v>6664124.4199999897</v>
      </c>
      <c r="G450">
        <v>197570045.91</v>
      </c>
      <c r="H450">
        <v>271804766.80000001</v>
      </c>
      <c r="I450">
        <v>143450131.72</v>
      </c>
      <c r="J450">
        <v>154.20859200000001</v>
      </c>
      <c r="K450">
        <v>69.278738000000004</v>
      </c>
      <c r="L450">
        <v>863.76433699999995</v>
      </c>
      <c r="M450" t="s">
        <v>15</v>
      </c>
      <c r="N450" s="24">
        <f t="shared" si="62"/>
        <v>6.6637899999999997</v>
      </c>
      <c r="O450" s="24">
        <f t="shared" si="63"/>
        <v>6.6641240000000002</v>
      </c>
      <c r="P450">
        <f t="shared" si="64"/>
        <v>197.57004599999999</v>
      </c>
      <c r="Q450">
        <f t="shared" si="65"/>
        <v>271.80476700000003</v>
      </c>
      <c r="R450">
        <f t="shared" si="66"/>
        <v>143.450132</v>
      </c>
      <c r="S450" s="24">
        <f t="shared" si="67"/>
        <v>154.21</v>
      </c>
      <c r="T450" s="24">
        <f t="shared" si="68"/>
        <v>69.28</v>
      </c>
      <c r="U450" s="24">
        <f t="shared" si="69"/>
        <v>863.76</v>
      </c>
      <c r="V450" s="24">
        <f>+VLOOKUP(A450,[1]DQS4_AUX!$A:$M,13,FALSE)</f>
        <v>6.6641240000000002</v>
      </c>
      <c r="W450" s="24">
        <f t="shared" si="70"/>
        <v>0</v>
      </c>
    </row>
    <row r="451" spans="1:23" x14ac:dyDescent="0.25">
      <c r="A451" t="str">
        <f t="shared" ref="A451:A514" si="71">+B451&amp;D451&amp;C451</f>
        <v>N82.92EU1</v>
      </c>
      <c r="B451" t="s">
        <v>54</v>
      </c>
      <c r="C451" t="s">
        <v>258</v>
      </c>
      <c r="D451" t="s">
        <v>602</v>
      </c>
      <c r="E451">
        <v>338784.57999999903</v>
      </c>
      <c r="F451">
        <v>338812.20999999897</v>
      </c>
      <c r="G451">
        <v>1204998.21</v>
      </c>
      <c r="H451">
        <v>2584266.7999999998</v>
      </c>
      <c r="I451">
        <v>13268779.42</v>
      </c>
      <c r="J451">
        <v>17.874998999999999</v>
      </c>
      <c r="K451">
        <v>8.0303979999999999</v>
      </c>
      <c r="L451">
        <v>100.122772</v>
      </c>
      <c r="M451" t="s">
        <v>15</v>
      </c>
      <c r="N451" s="24">
        <f t="shared" ref="N451:N514" si="72">+ROUND(E451,0)/1000000</f>
        <v>0.338785</v>
      </c>
      <c r="O451" s="24">
        <f t="shared" ref="O451:O514" si="73">+ROUND(F451,0)/1000000</f>
        <v>0.338812</v>
      </c>
      <c r="P451">
        <f t="shared" ref="P451:P514" si="74">+ROUND(G451,0)/1000000</f>
        <v>1.204998</v>
      </c>
      <c r="Q451">
        <f t="shared" ref="Q451:Q514" si="75">+ROUND(H451,0)/1000000</f>
        <v>2.5842670000000001</v>
      </c>
      <c r="R451">
        <f t="shared" ref="R451:R514" si="76">+ROUND(I451,0)/1000000</f>
        <v>13.268779</v>
      </c>
      <c r="S451" s="24">
        <f t="shared" ref="S451:S514" si="77">+ROUND(J451,2)</f>
        <v>17.87</v>
      </c>
      <c r="T451" s="24">
        <f t="shared" ref="T451:T514" si="78">+ROUND(K451,2)</f>
        <v>8.0299999999999994</v>
      </c>
      <c r="U451" s="24">
        <f t="shared" ref="U451:U514" si="79">+ROUND(L451,2)</f>
        <v>100.12</v>
      </c>
      <c r="V451" s="24">
        <f>+VLOOKUP(A451,[1]DQS4_AUX!$A:$M,13,FALSE)</f>
        <v>0.338812</v>
      </c>
      <c r="W451" s="24">
        <f t="shared" ref="W451:W514" si="80">+V451-O451</f>
        <v>0</v>
      </c>
    </row>
    <row r="452" spans="1:23" x14ac:dyDescent="0.25">
      <c r="A452" t="str">
        <f t="shared" si="71"/>
        <v>N81.22EU1</v>
      </c>
      <c r="B452" t="s">
        <v>54</v>
      </c>
      <c r="C452" t="s">
        <v>258</v>
      </c>
      <c r="D452" t="s">
        <v>608</v>
      </c>
      <c r="E452">
        <v>1852684.74999999</v>
      </c>
      <c r="F452">
        <v>1852763.3399999901</v>
      </c>
      <c r="G452">
        <v>6595415.7699999996</v>
      </c>
      <c r="H452">
        <v>7547984.96</v>
      </c>
      <c r="I452">
        <v>24669420.75</v>
      </c>
      <c r="J452">
        <v>84.783404000000004</v>
      </c>
      <c r="K452">
        <v>38.089227000000001</v>
      </c>
      <c r="L452">
        <v>474.89496300000002</v>
      </c>
      <c r="M452" t="s">
        <v>15</v>
      </c>
      <c r="N452" s="24">
        <f t="shared" si="72"/>
        <v>1.8526849999999999</v>
      </c>
      <c r="O452" s="24">
        <f t="shared" si="73"/>
        <v>1.8527629999999999</v>
      </c>
      <c r="P452">
        <f t="shared" si="74"/>
        <v>6.5954160000000002</v>
      </c>
      <c r="Q452">
        <f t="shared" si="75"/>
        <v>7.5479849999999997</v>
      </c>
      <c r="R452">
        <f t="shared" si="76"/>
        <v>24.669421</v>
      </c>
      <c r="S452" s="24">
        <f t="shared" si="77"/>
        <v>84.78</v>
      </c>
      <c r="T452" s="24">
        <f t="shared" si="78"/>
        <v>38.090000000000003</v>
      </c>
      <c r="U452" s="24">
        <f t="shared" si="79"/>
        <v>474.89</v>
      </c>
      <c r="V452" s="24">
        <f>+VLOOKUP(A452,[1]DQS4_AUX!$A:$M,13,FALSE)</f>
        <v>1.8527629999999999</v>
      </c>
      <c r="W452" s="24">
        <f t="shared" si="80"/>
        <v>0</v>
      </c>
    </row>
    <row r="453" spans="1:23" x14ac:dyDescent="0.25">
      <c r="A453" t="str">
        <f t="shared" si="71"/>
        <v>N78.10EU1</v>
      </c>
      <c r="B453" t="s">
        <v>54</v>
      </c>
      <c r="C453" t="s">
        <v>258</v>
      </c>
      <c r="D453" t="s">
        <v>601</v>
      </c>
      <c r="E453">
        <v>366378.6</v>
      </c>
      <c r="F453">
        <v>366378.6</v>
      </c>
      <c r="G453">
        <v>899297.81</v>
      </c>
      <c r="H453">
        <v>3546548.83</v>
      </c>
      <c r="I453">
        <v>13643733.039999999</v>
      </c>
      <c r="J453">
        <v>23.967542000000002</v>
      </c>
      <c r="K453">
        <v>10.7675</v>
      </c>
      <c r="L453">
        <v>134.248738</v>
      </c>
      <c r="M453" t="s">
        <v>15</v>
      </c>
      <c r="N453" s="24">
        <f t="shared" si="72"/>
        <v>0.36637900000000001</v>
      </c>
      <c r="O453" s="24">
        <f t="shared" si="73"/>
        <v>0.36637900000000001</v>
      </c>
      <c r="P453">
        <f t="shared" si="74"/>
        <v>0.89929800000000004</v>
      </c>
      <c r="Q453">
        <f t="shared" si="75"/>
        <v>3.5465490000000002</v>
      </c>
      <c r="R453">
        <f t="shared" si="76"/>
        <v>13.643732999999999</v>
      </c>
      <c r="S453" s="24">
        <f t="shared" si="77"/>
        <v>23.97</v>
      </c>
      <c r="T453" s="24">
        <f t="shared" si="78"/>
        <v>10.77</v>
      </c>
      <c r="U453" s="24">
        <f t="shared" si="79"/>
        <v>134.25</v>
      </c>
      <c r="V453" s="24">
        <f>+VLOOKUP(A453,[1]DQS4_AUX!$A:$M,13,FALSE)</f>
        <v>0.36637900000000001</v>
      </c>
      <c r="W453" s="24">
        <f t="shared" si="80"/>
        <v>0</v>
      </c>
    </row>
    <row r="454" spans="1:23" x14ac:dyDescent="0.25">
      <c r="A454" t="str">
        <f t="shared" si="71"/>
        <v>N81.10EU1</v>
      </c>
      <c r="B454" t="s">
        <v>54</v>
      </c>
      <c r="C454" t="s">
        <v>258</v>
      </c>
      <c r="D454" t="s">
        <v>622</v>
      </c>
      <c r="E454">
        <v>1771943.49999999</v>
      </c>
      <c r="F454">
        <v>1772798.1099999901</v>
      </c>
      <c r="G454">
        <v>4355234.0599999996</v>
      </c>
      <c r="H454">
        <v>20930618.710000001</v>
      </c>
      <c r="I454">
        <v>69302250.090000004</v>
      </c>
      <c r="J454">
        <v>230.46041099999999</v>
      </c>
      <c r="K454">
        <v>103.53500699999999</v>
      </c>
      <c r="L454">
        <v>1290.8725750000001</v>
      </c>
      <c r="M454" t="s">
        <v>15</v>
      </c>
      <c r="N454" s="24">
        <f t="shared" si="72"/>
        <v>1.771943</v>
      </c>
      <c r="O454" s="24">
        <f t="shared" si="73"/>
        <v>1.7727980000000001</v>
      </c>
      <c r="P454">
        <f t="shared" si="74"/>
        <v>4.3552340000000003</v>
      </c>
      <c r="Q454">
        <f t="shared" si="75"/>
        <v>20.930619</v>
      </c>
      <c r="R454">
        <f t="shared" si="76"/>
        <v>69.302250000000001</v>
      </c>
      <c r="S454" s="24">
        <f t="shared" si="77"/>
        <v>230.46</v>
      </c>
      <c r="T454" s="24">
        <f t="shared" si="78"/>
        <v>103.54</v>
      </c>
      <c r="U454" s="24">
        <f t="shared" si="79"/>
        <v>1290.8699999999999</v>
      </c>
      <c r="V454" s="24">
        <f>+VLOOKUP(A454,[1]DQS4_AUX!$A:$M,13,FALSE)</f>
        <v>1.7727980000000001</v>
      </c>
      <c r="W454" s="24">
        <f t="shared" si="80"/>
        <v>0</v>
      </c>
    </row>
    <row r="455" spans="1:23" x14ac:dyDescent="0.25">
      <c r="A455" t="str">
        <f t="shared" si="71"/>
        <v>N81.30EU1</v>
      </c>
      <c r="B455" t="s">
        <v>54</v>
      </c>
      <c r="C455" t="s">
        <v>258</v>
      </c>
      <c r="D455" t="s">
        <v>623</v>
      </c>
      <c r="E455">
        <v>4222977.7599999905</v>
      </c>
      <c r="F455">
        <v>4223567.7699999902</v>
      </c>
      <c r="G455">
        <v>21545662.890000001</v>
      </c>
      <c r="H455">
        <v>21140332.390000001</v>
      </c>
      <c r="I455">
        <v>84066725.150000006</v>
      </c>
      <c r="J455">
        <v>238.15467899999999</v>
      </c>
      <c r="K455">
        <v>106.99176900000001</v>
      </c>
      <c r="L455">
        <v>1333.969546</v>
      </c>
      <c r="M455" t="s">
        <v>15</v>
      </c>
      <c r="N455" s="24">
        <f t="shared" si="72"/>
        <v>4.2229780000000003</v>
      </c>
      <c r="O455" s="24">
        <f t="shared" si="73"/>
        <v>4.2235680000000002</v>
      </c>
      <c r="P455">
        <f t="shared" si="74"/>
        <v>21.545663000000001</v>
      </c>
      <c r="Q455">
        <f t="shared" si="75"/>
        <v>21.140332000000001</v>
      </c>
      <c r="R455">
        <f t="shared" si="76"/>
        <v>84.066725000000005</v>
      </c>
      <c r="S455" s="24">
        <f t="shared" si="77"/>
        <v>238.15</v>
      </c>
      <c r="T455" s="24">
        <f t="shared" si="78"/>
        <v>106.99</v>
      </c>
      <c r="U455" s="24">
        <f t="shared" si="79"/>
        <v>1333.97</v>
      </c>
      <c r="V455" s="24">
        <f>+VLOOKUP(A455,[1]DQS4_AUX!$A:$M,13,FALSE)</f>
        <v>4.2235680000000002</v>
      </c>
      <c r="W455" s="24">
        <f t="shared" si="80"/>
        <v>0</v>
      </c>
    </row>
    <row r="456" spans="1:23" x14ac:dyDescent="0.25">
      <c r="A456" t="str">
        <f t="shared" si="71"/>
        <v>N80.20EU1</v>
      </c>
      <c r="B456" t="s">
        <v>54</v>
      </c>
      <c r="C456" t="s">
        <v>258</v>
      </c>
      <c r="D456" t="s">
        <v>604</v>
      </c>
      <c r="E456">
        <v>1529609.38</v>
      </c>
      <c r="F456">
        <v>1529609.38</v>
      </c>
      <c r="G456">
        <v>9668413.4600000009</v>
      </c>
      <c r="H456">
        <v>17058839.48</v>
      </c>
      <c r="I456">
        <v>35422522.840000004</v>
      </c>
      <c r="J456">
        <v>78.566405000000003</v>
      </c>
      <c r="K456">
        <v>35.296149</v>
      </c>
      <c r="L456">
        <v>440.07243499999998</v>
      </c>
      <c r="M456" t="s">
        <v>15</v>
      </c>
      <c r="N456" s="24">
        <f t="shared" si="72"/>
        <v>1.529609</v>
      </c>
      <c r="O456" s="24">
        <f t="shared" si="73"/>
        <v>1.529609</v>
      </c>
      <c r="P456">
        <f t="shared" si="74"/>
        <v>9.6684129999999993</v>
      </c>
      <c r="Q456">
        <f t="shared" si="75"/>
        <v>17.058838999999999</v>
      </c>
      <c r="R456">
        <f t="shared" si="76"/>
        <v>35.422522999999998</v>
      </c>
      <c r="S456" s="24">
        <f t="shared" si="77"/>
        <v>78.569999999999993</v>
      </c>
      <c r="T456" s="24">
        <f t="shared" si="78"/>
        <v>35.299999999999997</v>
      </c>
      <c r="U456" s="24">
        <f t="shared" si="79"/>
        <v>440.07</v>
      </c>
      <c r="V456" s="24">
        <f>+VLOOKUP(A456,[1]DQS4_AUX!$A:$M,13,FALSE)</f>
        <v>1.529609</v>
      </c>
      <c r="W456" s="24">
        <f t="shared" si="80"/>
        <v>0</v>
      </c>
    </row>
    <row r="457" spans="1:23" x14ac:dyDescent="0.25">
      <c r="A457" t="str">
        <f t="shared" si="71"/>
        <v>N77.32EU1</v>
      </c>
      <c r="B457" t="s">
        <v>54</v>
      </c>
      <c r="C457" t="s">
        <v>258</v>
      </c>
      <c r="D457" t="s">
        <v>612</v>
      </c>
      <c r="E457">
        <v>7432529.0899999896</v>
      </c>
      <c r="F457">
        <v>7437019.8999999901</v>
      </c>
      <c r="G457">
        <v>37443630.450000003</v>
      </c>
      <c r="H457">
        <v>47544082.729999997</v>
      </c>
      <c r="I457">
        <v>84076981.430000007</v>
      </c>
      <c r="J457">
        <v>146.54552100000001</v>
      </c>
      <c r="K457">
        <v>65.836060000000003</v>
      </c>
      <c r="L457">
        <v>820.84152400000005</v>
      </c>
      <c r="M457" t="s">
        <v>15</v>
      </c>
      <c r="N457" s="24">
        <f t="shared" si="72"/>
        <v>7.4325289999999997</v>
      </c>
      <c r="O457" s="24">
        <f t="shared" si="73"/>
        <v>7.4370200000000004</v>
      </c>
      <c r="P457">
        <f t="shared" si="74"/>
        <v>37.443629999999999</v>
      </c>
      <c r="Q457">
        <f t="shared" si="75"/>
        <v>47.544083000000001</v>
      </c>
      <c r="R457">
        <f t="shared" si="76"/>
        <v>84.076981000000004</v>
      </c>
      <c r="S457" s="24">
        <f t="shared" si="77"/>
        <v>146.55000000000001</v>
      </c>
      <c r="T457" s="24">
        <f t="shared" si="78"/>
        <v>65.84</v>
      </c>
      <c r="U457" s="24">
        <f t="shared" si="79"/>
        <v>820.84</v>
      </c>
      <c r="V457" s="24">
        <f>+VLOOKUP(A457,[1]DQS4_AUX!$A:$M,13,FALSE)</f>
        <v>7.4370200000000004</v>
      </c>
      <c r="W457" s="24">
        <f t="shared" si="80"/>
        <v>0</v>
      </c>
    </row>
    <row r="458" spans="1:23" x14ac:dyDescent="0.25">
      <c r="A458" t="str">
        <f t="shared" si="71"/>
        <v>N80.10EU1</v>
      </c>
      <c r="B458" t="s">
        <v>54</v>
      </c>
      <c r="C458" t="s">
        <v>258</v>
      </c>
      <c r="D458" t="s">
        <v>55</v>
      </c>
      <c r="E458">
        <v>3854095.36</v>
      </c>
      <c r="F458">
        <v>3854095.36</v>
      </c>
      <c r="G458">
        <v>25325353.469999999</v>
      </c>
      <c r="H458">
        <v>82800238.260000005</v>
      </c>
      <c r="I458">
        <v>416896041.06</v>
      </c>
      <c r="J458">
        <v>458.60511100000002</v>
      </c>
      <c r="K458">
        <v>206.02996899999999</v>
      </c>
      <c r="L458">
        <v>2568.7716460000001</v>
      </c>
      <c r="M458" t="s">
        <v>15</v>
      </c>
      <c r="N458" s="24">
        <f t="shared" si="72"/>
        <v>3.854095</v>
      </c>
      <c r="O458" s="24">
        <f t="shared" si="73"/>
        <v>3.854095</v>
      </c>
      <c r="P458">
        <f t="shared" si="74"/>
        <v>25.325353</v>
      </c>
      <c r="Q458">
        <f t="shared" si="75"/>
        <v>82.800237999999993</v>
      </c>
      <c r="R458">
        <f t="shared" si="76"/>
        <v>416.89604100000003</v>
      </c>
      <c r="S458" s="24">
        <f t="shared" si="77"/>
        <v>458.61</v>
      </c>
      <c r="T458" s="24">
        <f t="shared" si="78"/>
        <v>206.03</v>
      </c>
      <c r="U458" s="24">
        <f t="shared" si="79"/>
        <v>2568.77</v>
      </c>
      <c r="V458" s="24">
        <f>+VLOOKUP(A458,[1]DQS4_AUX!$A:$M,13,FALSE)</f>
        <v>3.854095</v>
      </c>
      <c r="W458" s="24">
        <f t="shared" si="80"/>
        <v>0</v>
      </c>
    </row>
    <row r="459" spans="1:23" x14ac:dyDescent="0.25">
      <c r="A459" t="str">
        <f t="shared" si="71"/>
        <v>N82.99EU1</v>
      </c>
      <c r="B459" t="s">
        <v>54</v>
      </c>
      <c r="C459" t="s">
        <v>258</v>
      </c>
      <c r="D459" t="s">
        <v>163</v>
      </c>
      <c r="E459">
        <v>16439873.8999999</v>
      </c>
      <c r="F459">
        <v>16441296.6499999</v>
      </c>
      <c r="G459">
        <v>207666064.99000001</v>
      </c>
      <c r="H459">
        <v>399531888.89999998</v>
      </c>
      <c r="I459">
        <v>332811909.31999999</v>
      </c>
      <c r="J459">
        <v>658.00446499999998</v>
      </c>
      <c r="K459">
        <v>295.61066499999998</v>
      </c>
      <c r="L459">
        <v>3685.6629800000001</v>
      </c>
      <c r="M459" t="s">
        <v>15</v>
      </c>
      <c r="N459" s="24">
        <f t="shared" si="72"/>
        <v>16.439874</v>
      </c>
      <c r="O459" s="24">
        <f t="shared" si="73"/>
        <v>16.441296999999999</v>
      </c>
      <c r="P459">
        <f t="shared" si="74"/>
        <v>207.666065</v>
      </c>
      <c r="Q459">
        <f t="shared" si="75"/>
        <v>399.53188899999998</v>
      </c>
      <c r="R459">
        <f t="shared" si="76"/>
        <v>332.81190900000001</v>
      </c>
      <c r="S459" s="24">
        <f t="shared" si="77"/>
        <v>658</v>
      </c>
      <c r="T459" s="24">
        <f t="shared" si="78"/>
        <v>295.61</v>
      </c>
      <c r="U459" s="24">
        <f t="shared" si="79"/>
        <v>3685.66</v>
      </c>
      <c r="V459" s="24">
        <f>+VLOOKUP(A459,[1]DQS4_AUX!$A:$M,13,FALSE)</f>
        <v>16.441296999999999</v>
      </c>
      <c r="W459" s="24">
        <f t="shared" si="80"/>
        <v>0</v>
      </c>
    </row>
    <row r="460" spans="1:23" x14ac:dyDescent="0.25">
      <c r="A460" t="str">
        <f t="shared" si="71"/>
        <v>N81.29EU1</v>
      </c>
      <c r="B460" t="s">
        <v>54</v>
      </c>
      <c r="C460" t="s">
        <v>258</v>
      </c>
      <c r="D460" t="s">
        <v>603</v>
      </c>
      <c r="E460">
        <v>956443.09</v>
      </c>
      <c r="F460">
        <v>956443.09</v>
      </c>
      <c r="G460">
        <v>5956787.9100000001</v>
      </c>
      <c r="H460">
        <v>14116105.84</v>
      </c>
      <c r="I460">
        <v>34467143.710000001</v>
      </c>
      <c r="J460">
        <v>40.569862999999998</v>
      </c>
      <c r="K460">
        <v>18.226137999999999</v>
      </c>
      <c r="L460">
        <v>227.24297200000001</v>
      </c>
      <c r="M460" t="s">
        <v>15</v>
      </c>
      <c r="N460" s="24">
        <f t="shared" si="72"/>
        <v>0.95644300000000004</v>
      </c>
      <c r="O460" s="24">
        <f t="shared" si="73"/>
        <v>0.95644300000000004</v>
      </c>
      <c r="P460">
        <f t="shared" si="74"/>
        <v>5.9567880000000004</v>
      </c>
      <c r="Q460">
        <f t="shared" si="75"/>
        <v>14.116106</v>
      </c>
      <c r="R460">
        <f t="shared" si="76"/>
        <v>34.467143999999998</v>
      </c>
      <c r="S460" s="24">
        <f t="shared" si="77"/>
        <v>40.57</v>
      </c>
      <c r="T460" s="24">
        <f t="shared" si="78"/>
        <v>18.23</v>
      </c>
      <c r="U460" s="24">
        <f t="shared" si="79"/>
        <v>227.24</v>
      </c>
      <c r="V460" s="24">
        <f>+VLOOKUP(A460,[1]DQS4_AUX!$A:$M,13,FALSE)</f>
        <v>0.95644300000000004</v>
      </c>
      <c r="W460" s="24">
        <f t="shared" si="80"/>
        <v>0</v>
      </c>
    </row>
    <row r="461" spans="1:23" x14ac:dyDescent="0.25">
      <c r="A461" t="str">
        <f t="shared" si="71"/>
        <v>N82.30EU1</v>
      </c>
      <c r="B461" t="s">
        <v>54</v>
      </c>
      <c r="C461" t="s">
        <v>258</v>
      </c>
      <c r="D461" t="s">
        <v>618</v>
      </c>
      <c r="E461">
        <v>7343576.2499999898</v>
      </c>
      <c r="F461">
        <v>7343882.8999999901</v>
      </c>
      <c r="G461">
        <v>76338868.930000007</v>
      </c>
      <c r="H461">
        <v>118078054.70999999</v>
      </c>
      <c r="I461">
        <v>179335805.15000001</v>
      </c>
      <c r="J461">
        <v>466.54774500000002</v>
      </c>
      <c r="K461">
        <v>209.598186</v>
      </c>
      <c r="L461">
        <v>2613.2608700000001</v>
      </c>
      <c r="M461" t="s">
        <v>15</v>
      </c>
      <c r="N461" s="24">
        <f t="shared" si="72"/>
        <v>7.3435759999999997</v>
      </c>
      <c r="O461" s="24">
        <f t="shared" si="73"/>
        <v>7.3438829999999999</v>
      </c>
      <c r="P461">
        <f t="shared" si="74"/>
        <v>76.338869000000003</v>
      </c>
      <c r="Q461">
        <f t="shared" si="75"/>
        <v>118.07805500000001</v>
      </c>
      <c r="R461">
        <f t="shared" si="76"/>
        <v>179.33580499999999</v>
      </c>
      <c r="S461" s="24">
        <f t="shared" si="77"/>
        <v>466.55</v>
      </c>
      <c r="T461" s="24">
        <f t="shared" si="78"/>
        <v>209.6</v>
      </c>
      <c r="U461" s="24">
        <f t="shared" si="79"/>
        <v>2613.2600000000002</v>
      </c>
      <c r="V461" s="24">
        <f>+VLOOKUP(A461,[1]DQS4_AUX!$A:$M,13,FALSE)</f>
        <v>7.3438829999999999</v>
      </c>
      <c r="W461" s="24">
        <f t="shared" si="80"/>
        <v>0</v>
      </c>
    </row>
    <row r="462" spans="1:23" x14ac:dyDescent="0.25">
      <c r="A462" t="str">
        <f t="shared" si="71"/>
        <v>N77.34EU1</v>
      </c>
      <c r="B462" t="s">
        <v>54</v>
      </c>
      <c r="C462" t="s">
        <v>258</v>
      </c>
      <c r="D462" t="s">
        <v>619</v>
      </c>
      <c r="E462">
        <v>58411.64</v>
      </c>
      <c r="F462">
        <v>58411.64</v>
      </c>
      <c r="G462">
        <v>663829.1</v>
      </c>
      <c r="H462">
        <v>99240.69</v>
      </c>
      <c r="I462">
        <v>1410120.41</v>
      </c>
      <c r="J462">
        <v>2.2357490000000002</v>
      </c>
      <c r="K462">
        <v>1.0044169999999999</v>
      </c>
      <c r="L462">
        <v>12.523034000000001</v>
      </c>
      <c r="M462" t="s">
        <v>15</v>
      </c>
      <c r="N462" s="24">
        <f t="shared" si="72"/>
        <v>5.8411999999999999E-2</v>
      </c>
      <c r="O462" s="24">
        <f t="shared" si="73"/>
        <v>5.8411999999999999E-2</v>
      </c>
      <c r="P462">
        <f t="shared" si="74"/>
        <v>0.663829</v>
      </c>
      <c r="Q462">
        <f t="shared" si="75"/>
        <v>9.9240999999999996E-2</v>
      </c>
      <c r="R462">
        <f t="shared" si="76"/>
        <v>1.41012</v>
      </c>
      <c r="S462" s="24">
        <f t="shared" si="77"/>
        <v>2.2400000000000002</v>
      </c>
      <c r="T462" s="24">
        <f t="shared" si="78"/>
        <v>1</v>
      </c>
      <c r="U462" s="24">
        <f t="shared" si="79"/>
        <v>12.52</v>
      </c>
      <c r="V462" s="24">
        <f>+VLOOKUP(A462,[1]DQS4_AUX!$A:$M,13,FALSE)</f>
        <v>5.8411999999999999E-2</v>
      </c>
      <c r="W462" s="24">
        <f t="shared" si="80"/>
        <v>0</v>
      </c>
    </row>
    <row r="463" spans="1:23" x14ac:dyDescent="0.25">
      <c r="A463" t="str">
        <f t="shared" si="71"/>
        <v>N82.91EU1</v>
      </c>
      <c r="B463" t="s">
        <v>54</v>
      </c>
      <c r="C463" t="s">
        <v>258</v>
      </c>
      <c r="D463" t="s">
        <v>606</v>
      </c>
      <c r="E463">
        <v>304969.42</v>
      </c>
      <c r="F463">
        <v>304969.42</v>
      </c>
      <c r="G463">
        <v>43905142.719999999</v>
      </c>
      <c r="H463">
        <v>8455986.0099999998</v>
      </c>
      <c r="I463">
        <v>8621488.3800000008</v>
      </c>
      <c r="J463">
        <v>4.5469850000000003</v>
      </c>
      <c r="K463">
        <v>2.042745</v>
      </c>
      <c r="L463">
        <v>25.468920000000001</v>
      </c>
      <c r="M463" t="s">
        <v>15</v>
      </c>
      <c r="N463" s="24">
        <f t="shared" si="72"/>
        <v>0.30496899999999999</v>
      </c>
      <c r="O463" s="24">
        <f t="shared" si="73"/>
        <v>0.30496899999999999</v>
      </c>
      <c r="P463">
        <f t="shared" si="74"/>
        <v>43.905143000000002</v>
      </c>
      <c r="Q463">
        <f t="shared" si="75"/>
        <v>8.4559859999999993</v>
      </c>
      <c r="R463">
        <f t="shared" si="76"/>
        <v>8.6214879999999994</v>
      </c>
      <c r="S463" s="24">
        <f t="shared" si="77"/>
        <v>4.55</v>
      </c>
      <c r="T463" s="24">
        <f t="shared" si="78"/>
        <v>2.04</v>
      </c>
      <c r="U463" s="24">
        <f t="shared" si="79"/>
        <v>25.47</v>
      </c>
      <c r="V463" s="24">
        <f>+VLOOKUP(A463,[1]DQS4_AUX!$A:$M,13,FALSE)</f>
        <v>0.30496899999999999</v>
      </c>
      <c r="W463" s="24">
        <f t="shared" si="80"/>
        <v>0</v>
      </c>
    </row>
    <row r="464" spans="1:23" x14ac:dyDescent="0.25">
      <c r="A464" t="str">
        <f t="shared" si="71"/>
        <v>N79.90EU1</v>
      </c>
      <c r="B464" t="s">
        <v>54</v>
      </c>
      <c r="C464" t="s">
        <v>258</v>
      </c>
      <c r="D464" t="s">
        <v>620</v>
      </c>
      <c r="E464">
        <v>1620308.6499999899</v>
      </c>
      <c r="F464">
        <v>1620420.24999999</v>
      </c>
      <c r="G464">
        <v>8253880.8799999999</v>
      </c>
      <c r="H464">
        <v>17290620.879999999</v>
      </c>
      <c r="I464">
        <v>26402745.989999998</v>
      </c>
      <c r="J464">
        <v>1192.807513</v>
      </c>
      <c r="K464">
        <v>85.755902000000006</v>
      </c>
      <c r="L464">
        <v>1859.8046059999999</v>
      </c>
      <c r="M464" t="s">
        <v>15</v>
      </c>
      <c r="N464" s="24">
        <f t="shared" si="72"/>
        <v>1.620309</v>
      </c>
      <c r="O464" s="24">
        <f t="shared" si="73"/>
        <v>1.62042</v>
      </c>
      <c r="P464">
        <f t="shared" si="74"/>
        <v>8.2538809999999998</v>
      </c>
      <c r="Q464">
        <f t="shared" si="75"/>
        <v>17.290621000000002</v>
      </c>
      <c r="R464">
        <f t="shared" si="76"/>
        <v>26.402746</v>
      </c>
      <c r="S464" s="24">
        <f t="shared" si="77"/>
        <v>1192.81</v>
      </c>
      <c r="T464" s="24">
        <f t="shared" si="78"/>
        <v>85.76</v>
      </c>
      <c r="U464" s="24">
        <f t="shared" si="79"/>
        <v>1859.8</v>
      </c>
      <c r="V464" s="24">
        <f>+VLOOKUP(A464,[1]DQS4_AUX!$A:$M,13,FALSE)</f>
        <v>1.62042</v>
      </c>
      <c r="W464" s="24">
        <f t="shared" si="80"/>
        <v>0</v>
      </c>
    </row>
    <row r="465" spans="1:23" x14ac:dyDescent="0.25">
      <c r="A465" t="str">
        <f t="shared" si="71"/>
        <v>N79.12EU1</v>
      </c>
      <c r="B465" t="s">
        <v>54</v>
      </c>
      <c r="C465" t="s">
        <v>258</v>
      </c>
      <c r="D465" t="s">
        <v>610</v>
      </c>
      <c r="E465">
        <v>4818751.0199999996</v>
      </c>
      <c r="F465">
        <v>4818751.0199999996</v>
      </c>
      <c r="G465">
        <v>30353301.170000002</v>
      </c>
      <c r="H465">
        <v>27262700.940000001</v>
      </c>
      <c r="I465">
        <v>179961894.21000001</v>
      </c>
      <c r="J465">
        <v>4160.6001969999998</v>
      </c>
      <c r="K465">
        <v>299.122952</v>
      </c>
      <c r="L465">
        <v>6487.1349959999998</v>
      </c>
      <c r="M465" t="s">
        <v>15</v>
      </c>
      <c r="N465" s="24">
        <f t="shared" si="72"/>
        <v>4.8187509999999998</v>
      </c>
      <c r="O465" s="24">
        <f t="shared" si="73"/>
        <v>4.8187509999999998</v>
      </c>
      <c r="P465">
        <f t="shared" si="74"/>
        <v>30.353300999999998</v>
      </c>
      <c r="Q465">
        <f t="shared" si="75"/>
        <v>27.262701</v>
      </c>
      <c r="R465">
        <f t="shared" si="76"/>
        <v>179.961894</v>
      </c>
      <c r="S465" s="24">
        <f t="shared" si="77"/>
        <v>4160.6000000000004</v>
      </c>
      <c r="T465" s="24">
        <f t="shared" si="78"/>
        <v>299.12</v>
      </c>
      <c r="U465" s="24">
        <f t="shared" si="79"/>
        <v>6487.13</v>
      </c>
      <c r="V465" s="24">
        <f>+VLOOKUP(A465,[1]DQS4_AUX!$A:$M,13,FALSE)</f>
        <v>4.8187509999999998</v>
      </c>
      <c r="W465" s="24">
        <f t="shared" si="80"/>
        <v>0</v>
      </c>
    </row>
    <row r="466" spans="1:23" x14ac:dyDescent="0.25">
      <c r="A466" t="str">
        <f t="shared" si="71"/>
        <v>N79.11EU1</v>
      </c>
      <c r="B466" t="s">
        <v>54</v>
      </c>
      <c r="C466" t="s">
        <v>258</v>
      </c>
      <c r="D466" t="s">
        <v>607</v>
      </c>
      <c r="E466">
        <v>9614995.5700000003</v>
      </c>
      <c r="F466">
        <v>9614995.5700000003</v>
      </c>
      <c r="G466">
        <v>128843660.58</v>
      </c>
      <c r="H466">
        <v>94426726.849999994</v>
      </c>
      <c r="I466">
        <v>1125736105.95</v>
      </c>
      <c r="J466">
        <v>8739.2878029999993</v>
      </c>
      <c r="K466">
        <v>628.30381</v>
      </c>
      <c r="L466">
        <v>13626.144657000001</v>
      </c>
      <c r="M466" t="s">
        <v>15</v>
      </c>
      <c r="N466" s="24">
        <f t="shared" si="72"/>
        <v>9.6149959999999997</v>
      </c>
      <c r="O466" s="24">
        <f t="shared" si="73"/>
        <v>9.6149959999999997</v>
      </c>
      <c r="P466">
        <f t="shared" si="74"/>
        <v>128.843661</v>
      </c>
      <c r="Q466">
        <f t="shared" si="75"/>
        <v>94.426727</v>
      </c>
      <c r="R466">
        <f t="shared" si="76"/>
        <v>1125.7361060000001</v>
      </c>
      <c r="S466" s="24">
        <f t="shared" si="77"/>
        <v>8739.2900000000009</v>
      </c>
      <c r="T466" s="24">
        <f t="shared" si="78"/>
        <v>628.29999999999995</v>
      </c>
      <c r="U466" s="24">
        <f t="shared" si="79"/>
        <v>13626.14</v>
      </c>
      <c r="V466" s="24">
        <f>+VLOOKUP(A466,[1]DQS4_AUX!$A:$M,13,FALSE)</f>
        <v>9.6149959999999997</v>
      </c>
      <c r="W466" s="24">
        <f t="shared" si="80"/>
        <v>0</v>
      </c>
    </row>
    <row r="467" spans="1:23" x14ac:dyDescent="0.25">
      <c r="A467" t="str">
        <f t="shared" si="71"/>
        <v>N78.30EU1</v>
      </c>
      <c r="B467" t="s">
        <v>54</v>
      </c>
      <c r="C467" t="s">
        <v>258</v>
      </c>
      <c r="D467" t="s">
        <v>614</v>
      </c>
      <c r="E467">
        <v>531599.62</v>
      </c>
      <c r="F467">
        <v>531599.62</v>
      </c>
      <c r="G467">
        <v>1226723.3899999999</v>
      </c>
      <c r="H467">
        <v>2077934.68</v>
      </c>
      <c r="I467">
        <v>11350107.310000001</v>
      </c>
      <c r="J467">
        <v>85.069861000000003</v>
      </c>
      <c r="K467">
        <v>38.217925000000001</v>
      </c>
      <c r="L467">
        <v>476.49945000000002</v>
      </c>
      <c r="M467" t="s">
        <v>15</v>
      </c>
      <c r="N467" s="24">
        <f t="shared" si="72"/>
        <v>0.53159999999999996</v>
      </c>
      <c r="O467" s="24">
        <f t="shared" si="73"/>
        <v>0.53159999999999996</v>
      </c>
      <c r="P467">
        <f t="shared" si="74"/>
        <v>1.226723</v>
      </c>
      <c r="Q467">
        <f t="shared" si="75"/>
        <v>2.0779350000000001</v>
      </c>
      <c r="R467">
        <f t="shared" si="76"/>
        <v>11.350107</v>
      </c>
      <c r="S467" s="24">
        <f t="shared" si="77"/>
        <v>85.07</v>
      </c>
      <c r="T467" s="24">
        <f t="shared" si="78"/>
        <v>38.22</v>
      </c>
      <c r="U467" s="24">
        <f t="shared" si="79"/>
        <v>476.5</v>
      </c>
      <c r="V467" s="24">
        <f>+VLOOKUP(A467,[1]DQS4_AUX!$A:$M,13,FALSE)</f>
        <v>0.53159999999999996</v>
      </c>
      <c r="W467" s="24">
        <f t="shared" si="80"/>
        <v>0</v>
      </c>
    </row>
    <row r="468" spans="1:23" x14ac:dyDescent="0.25">
      <c r="A468" t="str">
        <f t="shared" si="71"/>
        <v>N77.40EU1</v>
      </c>
      <c r="B468" t="s">
        <v>54</v>
      </c>
      <c r="C468" t="s">
        <v>258</v>
      </c>
      <c r="D468" t="s">
        <v>617</v>
      </c>
      <c r="E468">
        <v>214914.22880400001</v>
      </c>
      <c r="F468">
        <v>214914.22880400001</v>
      </c>
      <c r="G468">
        <v>221974.31</v>
      </c>
      <c r="H468">
        <v>1265211.1000000001</v>
      </c>
      <c r="I468">
        <v>2946750.53</v>
      </c>
      <c r="J468">
        <v>16.372375000000002</v>
      </c>
      <c r="K468">
        <v>7.3553459999999999</v>
      </c>
      <c r="L468">
        <v>91.706114999999997</v>
      </c>
      <c r="M468" t="s">
        <v>15</v>
      </c>
      <c r="N468" s="24">
        <f t="shared" si="72"/>
        <v>0.21491399999999999</v>
      </c>
      <c r="O468" s="24">
        <f t="shared" si="73"/>
        <v>0.21491399999999999</v>
      </c>
      <c r="P468">
        <f t="shared" si="74"/>
        <v>0.221974</v>
      </c>
      <c r="Q468">
        <f t="shared" si="75"/>
        <v>1.2652110000000001</v>
      </c>
      <c r="R468">
        <f t="shared" si="76"/>
        <v>2.9467509999999999</v>
      </c>
      <c r="S468" s="24">
        <f t="shared" si="77"/>
        <v>16.37</v>
      </c>
      <c r="T468" s="24">
        <f t="shared" si="78"/>
        <v>7.36</v>
      </c>
      <c r="U468" s="24">
        <f t="shared" si="79"/>
        <v>91.71</v>
      </c>
      <c r="V468" s="24">
        <f>+VLOOKUP(A468,[1]DQS4_AUX!$A:$M,13,FALSE)</f>
        <v>0.21491399999999999</v>
      </c>
      <c r="W468" s="24">
        <f t="shared" si="80"/>
        <v>0</v>
      </c>
    </row>
    <row r="469" spans="1:23" x14ac:dyDescent="0.25">
      <c r="A469" t="str">
        <f t="shared" si="71"/>
        <v>N77.21EU1</v>
      </c>
      <c r="B469" t="s">
        <v>54</v>
      </c>
      <c r="C469" t="s">
        <v>258</v>
      </c>
      <c r="D469" t="s">
        <v>611</v>
      </c>
      <c r="E469">
        <v>751438.18999999901</v>
      </c>
      <c r="F469">
        <v>751468.61999999895</v>
      </c>
      <c r="G469">
        <v>3354808.18</v>
      </c>
      <c r="H469">
        <v>4353062.38</v>
      </c>
      <c r="I469">
        <v>11124584.939999999</v>
      </c>
      <c r="J469">
        <v>33.111503999999996</v>
      </c>
      <c r="K469">
        <v>14.875446999999999</v>
      </c>
      <c r="L469">
        <v>185.466621</v>
      </c>
      <c r="M469" t="s">
        <v>15</v>
      </c>
      <c r="N469" s="24">
        <f t="shared" si="72"/>
        <v>0.75143800000000005</v>
      </c>
      <c r="O469" s="24">
        <f t="shared" si="73"/>
        <v>0.75146900000000005</v>
      </c>
      <c r="P469">
        <f t="shared" si="74"/>
        <v>3.3548079999999998</v>
      </c>
      <c r="Q469">
        <f t="shared" si="75"/>
        <v>4.3530620000000004</v>
      </c>
      <c r="R469">
        <f t="shared" si="76"/>
        <v>11.124585</v>
      </c>
      <c r="S469" s="24">
        <f t="shared" si="77"/>
        <v>33.11</v>
      </c>
      <c r="T469" s="24">
        <f t="shared" si="78"/>
        <v>14.88</v>
      </c>
      <c r="U469" s="24">
        <f t="shared" si="79"/>
        <v>185.47</v>
      </c>
      <c r="V469" s="24">
        <f>+VLOOKUP(A469,[1]DQS4_AUX!$A:$M,13,FALSE)</f>
        <v>0.75146900000000005</v>
      </c>
      <c r="W469" s="24">
        <f t="shared" si="80"/>
        <v>0</v>
      </c>
    </row>
    <row r="470" spans="1:23" x14ac:dyDescent="0.25">
      <c r="A470" t="str">
        <f t="shared" si="71"/>
        <v>N77.35EU1</v>
      </c>
      <c r="B470" t="s">
        <v>54</v>
      </c>
      <c r="C470" t="s">
        <v>258</v>
      </c>
      <c r="D470" t="s">
        <v>613</v>
      </c>
      <c r="E470">
        <v>4122.21</v>
      </c>
      <c r="F470">
        <v>4122.21</v>
      </c>
      <c r="G470">
        <v>5065.12</v>
      </c>
      <c r="H470">
        <v>21886.080000000002</v>
      </c>
      <c r="I470">
        <v>75282.36</v>
      </c>
      <c r="J470">
        <v>0.23849400000000001</v>
      </c>
      <c r="K470">
        <v>0.107144</v>
      </c>
      <c r="L470">
        <v>1.335874</v>
      </c>
      <c r="M470" t="s">
        <v>15</v>
      </c>
      <c r="N470" s="24">
        <f t="shared" si="72"/>
        <v>4.1219999999999998E-3</v>
      </c>
      <c r="O470" s="24">
        <f t="shared" si="73"/>
        <v>4.1219999999999998E-3</v>
      </c>
      <c r="P470">
        <f t="shared" si="74"/>
        <v>5.0650000000000001E-3</v>
      </c>
      <c r="Q470">
        <f t="shared" si="75"/>
        <v>2.1885999999999999E-2</v>
      </c>
      <c r="R470">
        <f t="shared" si="76"/>
        <v>7.5282000000000002E-2</v>
      </c>
      <c r="S470" s="24">
        <f t="shared" si="77"/>
        <v>0.24</v>
      </c>
      <c r="T470" s="24">
        <f t="shared" si="78"/>
        <v>0.11</v>
      </c>
      <c r="U470" s="24">
        <f t="shared" si="79"/>
        <v>1.34</v>
      </c>
      <c r="V470" s="24">
        <f>+VLOOKUP(A470,[1]DQS4_AUX!$A:$M,13,FALSE)</f>
        <v>4.1219999999999998E-3</v>
      </c>
      <c r="W470" s="24">
        <f t="shared" si="80"/>
        <v>0</v>
      </c>
    </row>
    <row r="471" spans="1:23" x14ac:dyDescent="0.25">
      <c r="A471" t="str">
        <f t="shared" si="71"/>
        <v>N77.31EU1</v>
      </c>
      <c r="B471" t="s">
        <v>54</v>
      </c>
      <c r="C471" t="s">
        <v>258</v>
      </c>
      <c r="D471" t="s">
        <v>615</v>
      </c>
      <c r="E471">
        <v>686793.56999999902</v>
      </c>
      <c r="F471">
        <v>687698.34999999905</v>
      </c>
      <c r="G471">
        <v>4281956.6399999997</v>
      </c>
      <c r="H471">
        <v>3020615.26</v>
      </c>
      <c r="I471">
        <v>6734521.21</v>
      </c>
      <c r="J471">
        <v>14.124546</v>
      </c>
      <c r="K471">
        <v>6.3454980000000001</v>
      </c>
      <c r="L471">
        <v>79.115469000000004</v>
      </c>
      <c r="M471" t="s">
        <v>15</v>
      </c>
      <c r="N471" s="24">
        <f t="shared" si="72"/>
        <v>0.68679400000000002</v>
      </c>
      <c r="O471" s="24">
        <f t="shared" si="73"/>
        <v>0.68769800000000003</v>
      </c>
      <c r="P471">
        <f t="shared" si="74"/>
        <v>4.2819570000000002</v>
      </c>
      <c r="Q471">
        <f t="shared" si="75"/>
        <v>3.0206149999999998</v>
      </c>
      <c r="R471">
        <f t="shared" si="76"/>
        <v>6.734521</v>
      </c>
      <c r="S471" s="24">
        <f t="shared" si="77"/>
        <v>14.12</v>
      </c>
      <c r="T471" s="24">
        <f t="shared" si="78"/>
        <v>6.35</v>
      </c>
      <c r="U471" s="24">
        <f t="shared" si="79"/>
        <v>79.12</v>
      </c>
      <c r="V471" s="24">
        <f>+VLOOKUP(A471,[1]DQS4_AUX!$A:$M,13,FALSE)</f>
        <v>0.68769800000000003</v>
      </c>
      <c r="W471" s="24">
        <f t="shared" si="80"/>
        <v>0</v>
      </c>
    </row>
    <row r="472" spans="1:23" x14ac:dyDescent="0.25">
      <c r="A472" t="str">
        <f t="shared" si="71"/>
        <v>N81.21EU1</v>
      </c>
      <c r="B472" t="s">
        <v>54</v>
      </c>
      <c r="C472" t="s">
        <v>258</v>
      </c>
      <c r="D472" t="s">
        <v>621</v>
      </c>
      <c r="E472">
        <v>4692516.4799999902</v>
      </c>
      <c r="F472">
        <v>4693372.4199999897</v>
      </c>
      <c r="G472">
        <v>24557758.969999999</v>
      </c>
      <c r="H472">
        <v>30303946.57</v>
      </c>
      <c r="I472">
        <v>309225866.20999998</v>
      </c>
      <c r="J472">
        <v>518.98856999999998</v>
      </c>
      <c r="K472">
        <v>233.15739300000001</v>
      </c>
      <c r="L472">
        <v>2906.996189</v>
      </c>
      <c r="M472" t="s">
        <v>15</v>
      </c>
      <c r="N472" s="24">
        <f t="shared" si="72"/>
        <v>4.6925160000000004</v>
      </c>
      <c r="O472" s="24">
        <f t="shared" si="73"/>
        <v>4.6933720000000001</v>
      </c>
      <c r="P472">
        <f t="shared" si="74"/>
        <v>24.557759000000001</v>
      </c>
      <c r="Q472">
        <f t="shared" si="75"/>
        <v>30.303947000000001</v>
      </c>
      <c r="R472">
        <f t="shared" si="76"/>
        <v>309.225866</v>
      </c>
      <c r="S472" s="24">
        <f t="shared" si="77"/>
        <v>518.99</v>
      </c>
      <c r="T472" s="24">
        <f t="shared" si="78"/>
        <v>233.16</v>
      </c>
      <c r="U472" s="24">
        <f t="shared" si="79"/>
        <v>2907</v>
      </c>
      <c r="V472" s="24">
        <f>+VLOOKUP(A472,[1]DQS4_AUX!$A:$M,13,FALSE)</f>
        <v>4.6933730000000002</v>
      </c>
      <c r="W472" s="24">
        <f t="shared" si="80"/>
        <v>1.000000000139778E-6</v>
      </c>
    </row>
    <row r="473" spans="1:23" x14ac:dyDescent="0.25">
      <c r="A473" t="str">
        <f t="shared" si="71"/>
        <v>N77.39EU1</v>
      </c>
      <c r="B473" t="s">
        <v>54</v>
      </c>
      <c r="C473" t="s">
        <v>258</v>
      </c>
      <c r="D473" t="s">
        <v>605</v>
      </c>
      <c r="E473">
        <v>22008878.539999899</v>
      </c>
      <c r="F473">
        <v>22045503.199999899</v>
      </c>
      <c r="G473">
        <v>331450768.81999999</v>
      </c>
      <c r="H473">
        <v>1190166764.8599999</v>
      </c>
      <c r="I473">
        <v>248745147.47</v>
      </c>
      <c r="J473">
        <v>268.62261899999999</v>
      </c>
      <c r="K473">
        <v>120.67957699999999</v>
      </c>
      <c r="L473">
        <v>1504.6288360000001</v>
      </c>
      <c r="M473" t="s">
        <v>15</v>
      </c>
      <c r="N473" s="24">
        <f t="shared" si="72"/>
        <v>22.008879</v>
      </c>
      <c r="O473" s="24">
        <f t="shared" si="73"/>
        <v>22.045503</v>
      </c>
      <c r="P473">
        <f t="shared" si="74"/>
        <v>331.45076899999998</v>
      </c>
      <c r="Q473">
        <f t="shared" si="75"/>
        <v>1190.1667649999999</v>
      </c>
      <c r="R473">
        <f t="shared" si="76"/>
        <v>248.745147</v>
      </c>
      <c r="S473" s="24">
        <f t="shared" si="77"/>
        <v>268.62</v>
      </c>
      <c r="T473" s="24">
        <f t="shared" si="78"/>
        <v>120.68</v>
      </c>
      <c r="U473" s="24">
        <f t="shared" si="79"/>
        <v>1504.63</v>
      </c>
      <c r="V473" s="24">
        <f>+VLOOKUP(A473,[1]DQS4_AUX!$A:$M,13,FALSE)</f>
        <v>22.045503</v>
      </c>
      <c r="W473" s="24">
        <f t="shared" si="80"/>
        <v>0</v>
      </c>
    </row>
    <row r="474" spans="1:23" x14ac:dyDescent="0.25">
      <c r="A474" t="str">
        <f t="shared" si="71"/>
        <v>N78.20EU1</v>
      </c>
      <c r="B474" t="s">
        <v>54</v>
      </c>
      <c r="C474" t="s">
        <v>258</v>
      </c>
      <c r="D474" t="s">
        <v>245</v>
      </c>
      <c r="E474">
        <v>6791942.5700000003</v>
      </c>
      <c r="F474">
        <v>6791942.5700000003</v>
      </c>
      <c r="G474">
        <v>40269264.299999997</v>
      </c>
      <c r="H474">
        <v>64266095.969999999</v>
      </c>
      <c r="I474">
        <v>557573246.58000004</v>
      </c>
      <c r="J474">
        <v>663.340507</v>
      </c>
      <c r="K474">
        <v>298.00804299999999</v>
      </c>
      <c r="L474">
        <v>3715.5502769999998</v>
      </c>
      <c r="M474" t="s">
        <v>15</v>
      </c>
      <c r="N474" s="24">
        <f t="shared" si="72"/>
        <v>6.7919429999999998</v>
      </c>
      <c r="O474" s="24">
        <f t="shared" si="73"/>
        <v>6.7919429999999998</v>
      </c>
      <c r="P474">
        <f t="shared" si="74"/>
        <v>40.269264</v>
      </c>
      <c r="Q474">
        <f t="shared" si="75"/>
        <v>64.266096000000005</v>
      </c>
      <c r="R474">
        <f t="shared" si="76"/>
        <v>557.57324700000004</v>
      </c>
      <c r="S474" s="24">
        <f t="shared" si="77"/>
        <v>663.34</v>
      </c>
      <c r="T474" s="24">
        <f t="shared" si="78"/>
        <v>298.01</v>
      </c>
      <c r="U474" s="24">
        <f t="shared" si="79"/>
        <v>3715.55</v>
      </c>
      <c r="V474" s="24">
        <f>+VLOOKUP(A474,[1]DQS4_AUX!$A:$M,13,FALSE)</f>
        <v>6.7919429999999998</v>
      </c>
      <c r="W474" s="24">
        <f t="shared" si="80"/>
        <v>0</v>
      </c>
    </row>
    <row r="475" spans="1:23" x14ac:dyDescent="0.25">
      <c r="A475" t="str">
        <f t="shared" si="71"/>
        <v>N77.12EU1</v>
      </c>
      <c r="B475" t="s">
        <v>54</v>
      </c>
      <c r="C475" t="s">
        <v>258</v>
      </c>
      <c r="D475" t="s">
        <v>609</v>
      </c>
      <c r="E475">
        <v>85723.88</v>
      </c>
      <c r="F475">
        <v>85723.88</v>
      </c>
      <c r="G475">
        <v>1529669.34</v>
      </c>
      <c r="H475">
        <v>879720.91</v>
      </c>
      <c r="I475">
        <v>2723277.69</v>
      </c>
      <c r="J475">
        <v>1.2523249999999999</v>
      </c>
      <c r="K475">
        <v>0.56260900000000003</v>
      </c>
      <c r="L475">
        <v>7.0146220000000001</v>
      </c>
      <c r="M475" t="s">
        <v>15</v>
      </c>
      <c r="N475" s="24">
        <f t="shared" si="72"/>
        <v>8.5723999999999995E-2</v>
      </c>
      <c r="O475" s="24">
        <f t="shared" si="73"/>
        <v>8.5723999999999995E-2</v>
      </c>
      <c r="P475">
        <f t="shared" si="74"/>
        <v>1.5296689999999999</v>
      </c>
      <c r="Q475">
        <f t="shared" si="75"/>
        <v>0.87972099999999998</v>
      </c>
      <c r="R475">
        <f t="shared" si="76"/>
        <v>2.7232780000000001</v>
      </c>
      <c r="S475" s="24">
        <f t="shared" si="77"/>
        <v>1.25</v>
      </c>
      <c r="T475" s="24">
        <f t="shared" si="78"/>
        <v>0.56000000000000005</v>
      </c>
      <c r="U475" s="24">
        <f t="shared" si="79"/>
        <v>7.01</v>
      </c>
      <c r="V475" s="24">
        <f>+VLOOKUP(A475,[1]DQS4_AUX!$A:$M,13,FALSE)</f>
        <v>8.5723999999999995E-2</v>
      </c>
      <c r="W475" s="24">
        <f t="shared" si="80"/>
        <v>0</v>
      </c>
    </row>
    <row r="476" spans="1:23" x14ac:dyDescent="0.25">
      <c r="A476" t="str">
        <f t="shared" si="71"/>
        <v>N82.20EU1</v>
      </c>
      <c r="B476" t="s">
        <v>54</v>
      </c>
      <c r="C476" t="s">
        <v>258</v>
      </c>
      <c r="D476" t="s">
        <v>159</v>
      </c>
      <c r="E476">
        <v>108401.39</v>
      </c>
      <c r="F476">
        <v>108401.39</v>
      </c>
      <c r="G476">
        <v>2028539.86</v>
      </c>
      <c r="H476">
        <v>4796680.0599999996</v>
      </c>
      <c r="I476">
        <v>41563912.939999998</v>
      </c>
      <c r="J476">
        <v>8.8931380000000004</v>
      </c>
      <c r="K476">
        <v>3.9952719999999999</v>
      </c>
      <c r="L476">
        <v>49.812902000000001</v>
      </c>
      <c r="M476" t="s">
        <v>15</v>
      </c>
      <c r="N476" s="24">
        <f t="shared" si="72"/>
        <v>0.108401</v>
      </c>
      <c r="O476" s="24">
        <f t="shared" si="73"/>
        <v>0.108401</v>
      </c>
      <c r="P476">
        <f t="shared" si="74"/>
        <v>2.02854</v>
      </c>
      <c r="Q476">
        <f t="shared" si="75"/>
        <v>4.7966800000000003</v>
      </c>
      <c r="R476">
        <f t="shared" si="76"/>
        <v>41.563912999999999</v>
      </c>
      <c r="S476" s="24">
        <f t="shared" si="77"/>
        <v>8.89</v>
      </c>
      <c r="T476" s="24">
        <f t="shared" si="78"/>
        <v>4</v>
      </c>
      <c r="U476" s="24">
        <f t="shared" si="79"/>
        <v>49.81</v>
      </c>
      <c r="V476" s="24">
        <f>+VLOOKUP(A476,[1]DQS4_AUX!$A:$M,13,FALSE)</f>
        <v>0.108401</v>
      </c>
      <c r="W476" s="24">
        <f t="shared" si="80"/>
        <v>0</v>
      </c>
    </row>
    <row r="477" spans="1:23" x14ac:dyDescent="0.25">
      <c r="A477" t="str">
        <f t="shared" si="71"/>
        <v>N77.29EU1</v>
      </c>
      <c r="B477" t="s">
        <v>54</v>
      </c>
      <c r="C477" t="s">
        <v>258</v>
      </c>
      <c r="D477" t="s">
        <v>616</v>
      </c>
      <c r="E477">
        <v>577481.68999999994</v>
      </c>
      <c r="F477">
        <v>577481.68999999994</v>
      </c>
      <c r="G477">
        <v>1414470.27</v>
      </c>
      <c r="H477">
        <v>2910534.29</v>
      </c>
      <c r="I477">
        <v>5052610.37</v>
      </c>
      <c r="J477">
        <v>31.392973999999999</v>
      </c>
      <c r="K477">
        <v>14.103394</v>
      </c>
      <c r="L477">
        <v>175.84060099999999</v>
      </c>
      <c r="M477" t="s">
        <v>15</v>
      </c>
      <c r="N477" s="24">
        <f t="shared" si="72"/>
        <v>0.57748200000000005</v>
      </c>
      <c r="O477" s="24">
        <f t="shared" si="73"/>
        <v>0.57748200000000005</v>
      </c>
      <c r="P477">
        <f t="shared" si="74"/>
        <v>1.4144699999999999</v>
      </c>
      <c r="Q477">
        <f t="shared" si="75"/>
        <v>2.9105340000000002</v>
      </c>
      <c r="R477">
        <f t="shared" si="76"/>
        <v>5.0526099999999996</v>
      </c>
      <c r="S477" s="24">
        <f t="shared" si="77"/>
        <v>31.39</v>
      </c>
      <c r="T477" s="24">
        <f t="shared" si="78"/>
        <v>14.1</v>
      </c>
      <c r="U477" s="24">
        <f t="shared" si="79"/>
        <v>175.84</v>
      </c>
      <c r="V477" s="24">
        <f>+VLOOKUP(A477,[1]DQS4_AUX!$A:$M,13,FALSE)</f>
        <v>0.57748200000000005</v>
      </c>
      <c r="W477" s="24">
        <f t="shared" si="80"/>
        <v>0</v>
      </c>
    </row>
    <row r="478" spans="1:23" x14ac:dyDescent="0.25">
      <c r="A478" t="str">
        <f t="shared" si="71"/>
        <v>O84.25EU1</v>
      </c>
      <c r="B478" t="s">
        <v>624</v>
      </c>
      <c r="C478" t="s">
        <v>258</v>
      </c>
      <c r="D478" t="s">
        <v>625</v>
      </c>
      <c r="E478">
        <v>175888.35</v>
      </c>
      <c r="F478">
        <v>175888.35</v>
      </c>
      <c r="G478">
        <v>380968.04</v>
      </c>
      <c r="H478">
        <v>5121918.6500000004</v>
      </c>
      <c r="I478">
        <v>1098597.9099999999</v>
      </c>
      <c r="J478">
        <v>3.3300649999999998</v>
      </c>
      <c r="K478">
        <v>0.55666400000000005</v>
      </c>
      <c r="L478">
        <v>6.0931639999999998</v>
      </c>
      <c r="M478" t="s">
        <v>15</v>
      </c>
      <c r="N478" s="24">
        <f t="shared" si="72"/>
        <v>0.17588799999999999</v>
      </c>
      <c r="O478" s="24">
        <f t="shared" si="73"/>
        <v>0.17588799999999999</v>
      </c>
      <c r="P478">
        <f t="shared" si="74"/>
        <v>0.38096799999999997</v>
      </c>
      <c r="Q478">
        <f t="shared" si="75"/>
        <v>5.1219190000000001</v>
      </c>
      <c r="R478">
        <f t="shared" si="76"/>
        <v>1.098598</v>
      </c>
      <c r="S478" s="24">
        <f t="shared" si="77"/>
        <v>3.33</v>
      </c>
      <c r="T478" s="24">
        <f t="shared" si="78"/>
        <v>0.56000000000000005</v>
      </c>
      <c r="U478" s="24">
        <f t="shared" si="79"/>
        <v>6.09</v>
      </c>
      <c r="V478" s="24">
        <f>+VLOOKUP(A478,[1]DQS4_AUX!$A:$M,13,FALSE)</f>
        <v>0.17588799999999999</v>
      </c>
      <c r="W478" s="24">
        <f t="shared" si="80"/>
        <v>0</v>
      </c>
    </row>
    <row r="479" spans="1:23" x14ac:dyDescent="0.25">
      <c r="A479" t="str">
        <f t="shared" si="71"/>
        <v>P85.52EU1</v>
      </c>
      <c r="B479" t="s">
        <v>626</v>
      </c>
      <c r="C479" t="s">
        <v>258</v>
      </c>
      <c r="D479" t="s">
        <v>627</v>
      </c>
      <c r="E479">
        <v>99975.38</v>
      </c>
      <c r="F479">
        <v>99975.38</v>
      </c>
      <c r="G479">
        <v>647406.6</v>
      </c>
      <c r="H479">
        <v>139493.73000000001</v>
      </c>
      <c r="I479">
        <v>1211891.3899999999</v>
      </c>
      <c r="J479">
        <v>16.271992999999998</v>
      </c>
      <c r="K479">
        <v>2.7200769999999999</v>
      </c>
      <c r="L479">
        <v>29.773564</v>
      </c>
      <c r="M479" t="s">
        <v>15</v>
      </c>
      <c r="N479" s="24">
        <f t="shared" si="72"/>
        <v>9.9974999999999994E-2</v>
      </c>
      <c r="O479" s="24">
        <f t="shared" si="73"/>
        <v>9.9974999999999994E-2</v>
      </c>
      <c r="P479">
        <f t="shared" si="74"/>
        <v>0.64740699999999995</v>
      </c>
      <c r="Q479">
        <f t="shared" si="75"/>
        <v>0.13949400000000001</v>
      </c>
      <c r="R479">
        <f t="shared" si="76"/>
        <v>1.2118910000000001</v>
      </c>
      <c r="S479" s="24">
        <f t="shared" si="77"/>
        <v>16.27</v>
      </c>
      <c r="T479" s="24">
        <f t="shared" si="78"/>
        <v>2.72</v>
      </c>
      <c r="U479" s="24">
        <f t="shared" si="79"/>
        <v>29.77</v>
      </c>
      <c r="V479" s="24">
        <f>+VLOOKUP(A479,[1]DQS4_AUX!$A:$M,13,FALSE)</f>
        <v>9.9974999999999994E-2</v>
      </c>
      <c r="W479" s="24">
        <f t="shared" si="80"/>
        <v>0</v>
      </c>
    </row>
    <row r="480" spans="1:23" x14ac:dyDescent="0.25">
      <c r="A480" t="str">
        <f t="shared" si="71"/>
        <v>P85.42EU1</v>
      </c>
      <c r="B480" t="s">
        <v>626</v>
      </c>
      <c r="C480" t="s">
        <v>258</v>
      </c>
      <c r="D480" t="s">
        <v>628</v>
      </c>
      <c r="E480">
        <v>933074.91999999899</v>
      </c>
      <c r="F480">
        <v>933263.929999999</v>
      </c>
      <c r="G480">
        <v>39919386.640000001</v>
      </c>
      <c r="H480">
        <v>121530123.34999999</v>
      </c>
      <c r="I480">
        <v>106888860.03</v>
      </c>
      <c r="J480">
        <v>50.044705</v>
      </c>
      <c r="K480">
        <v>8.3656419999999994</v>
      </c>
      <c r="L480">
        <v>91.568929999999995</v>
      </c>
      <c r="M480" t="s">
        <v>15</v>
      </c>
      <c r="N480" s="24">
        <f t="shared" si="72"/>
        <v>0.93307499999999999</v>
      </c>
      <c r="O480" s="24">
        <f t="shared" si="73"/>
        <v>0.93326399999999998</v>
      </c>
      <c r="P480">
        <f t="shared" si="74"/>
        <v>39.919387</v>
      </c>
      <c r="Q480">
        <f t="shared" si="75"/>
        <v>121.530123</v>
      </c>
      <c r="R480">
        <f t="shared" si="76"/>
        <v>106.88885999999999</v>
      </c>
      <c r="S480" s="24">
        <f t="shared" si="77"/>
        <v>50.04</v>
      </c>
      <c r="T480" s="24">
        <f t="shared" si="78"/>
        <v>8.3699999999999992</v>
      </c>
      <c r="U480" s="24">
        <f t="shared" si="79"/>
        <v>91.57</v>
      </c>
      <c r="V480" s="24">
        <f>+VLOOKUP(A480,[1]DQS4_AUX!$A:$M,13,FALSE)</f>
        <v>0.93326399999999998</v>
      </c>
      <c r="W480" s="24">
        <f t="shared" si="80"/>
        <v>0</v>
      </c>
    </row>
    <row r="481" spans="1:23" x14ac:dyDescent="0.25">
      <c r="A481" t="str">
        <f t="shared" si="71"/>
        <v>P85.10EU1</v>
      </c>
      <c r="B481" t="s">
        <v>626</v>
      </c>
      <c r="C481" t="s">
        <v>258</v>
      </c>
      <c r="D481" t="s">
        <v>629</v>
      </c>
      <c r="E481">
        <v>3924778.04</v>
      </c>
      <c r="F481">
        <v>3924778.04</v>
      </c>
      <c r="G481">
        <v>25286089.550000001</v>
      </c>
      <c r="H481">
        <v>118391288.01000001</v>
      </c>
      <c r="I481">
        <v>89440587.159999996</v>
      </c>
      <c r="J481">
        <v>359.88416999999998</v>
      </c>
      <c r="K481">
        <v>60.159435000000002</v>
      </c>
      <c r="L481">
        <v>658.49539300000004</v>
      </c>
      <c r="M481" t="s">
        <v>15</v>
      </c>
      <c r="N481" s="24">
        <f t="shared" si="72"/>
        <v>3.9247779999999999</v>
      </c>
      <c r="O481" s="24">
        <f t="shared" si="73"/>
        <v>3.9247779999999999</v>
      </c>
      <c r="P481">
        <f t="shared" si="74"/>
        <v>25.286090000000002</v>
      </c>
      <c r="Q481">
        <f t="shared" si="75"/>
        <v>118.391288</v>
      </c>
      <c r="R481">
        <f t="shared" si="76"/>
        <v>89.440586999999994</v>
      </c>
      <c r="S481" s="24">
        <f t="shared" si="77"/>
        <v>359.88</v>
      </c>
      <c r="T481" s="24">
        <f t="shared" si="78"/>
        <v>60.16</v>
      </c>
      <c r="U481" s="24">
        <f t="shared" si="79"/>
        <v>658.5</v>
      </c>
      <c r="V481" s="24">
        <f>+VLOOKUP(A481,[1]DQS4_AUX!$A:$M,13,FALSE)</f>
        <v>3.9247779999999999</v>
      </c>
      <c r="W481" s="24">
        <f t="shared" si="80"/>
        <v>0</v>
      </c>
    </row>
    <row r="482" spans="1:23" x14ac:dyDescent="0.25">
      <c r="A482" t="str">
        <f t="shared" si="71"/>
        <v>P85.53EU1</v>
      </c>
      <c r="B482" t="s">
        <v>626</v>
      </c>
      <c r="C482" t="s">
        <v>258</v>
      </c>
      <c r="D482" t="s">
        <v>630</v>
      </c>
      <c r="E482">
        <v>1215639.9399999899</v>
      </c>
      <c r="F482">
        <v>1215643.03999999</v>
      </c>
      <c r="G482">
        <v>20127227.780000001</v>
      </c>
      <c r="H482">
        <v>12588243.5</v>
      </c>
      <c r="I482">
        <v>155419720.91999999</v>
      </c>
      <c r="J482">
        <v>210.46872400000001</v>
      </c>
      <c r="K482">
        <v>35.182622000000002</v>
      </c>
      <c r="L482">
        <v>385.10361699999999</v>
      </c>
      <c r="M482" t="s">
        <v>15</v>
      </c>
      <c r="N482" s="24">
        <f t="shared" si="72"/>
        <v>1.2156400000000001</v>
      </c>
      <c r="O482" s="24">
        <f t="shared" si="73"/>
        <v>1.215643</v>
      </c>
      <c r="P482">
        <f t="shared" si="74"/>
        <v>20.127227999999999</v>
      </c>
      <c r="Q482">
        <f t="shared" si="75"/>
        <v>12.588244</v>
      </c>
      <c r="R482">
        <f t="shared" si="76"/>
        <v>155.41972100000001</v>
      </c>
      <c r="S482" s="24">
        <f t="shared" si="77"/>
        <v>210.47</v>
      </c>
      <c r="T482" s="24">
        <f t="shared" si="78"/>
        <v>35.18</v>
      </c>
      <c r="U482" s="24">
        <f t="shared" si="79"/>
        <v>385.1</v>
      </c>
      <c r="V482" s="24">
        <f>+VLOOKUP(A482,[1]DQS4_AUX!$A:$M,13,FALSE)</f>
        <v>1.215643</v>
      </c>
      <c r="W482" s="24">
        <f t="shared" si="80"/>
        <v>0</v>
      </c>
    </row>
    <row r="483" spans="1:23" x14ac:dyDescent="0.25">
      <c r="A483" t="str">
        <f t="shared" si="71"/>
        <v>P85.51EU1</v>
      </c>
      <c r="B483" t="s">
        <v>626</v>
      </c>
      <c r="C483" t="s">
        <v>258</v>
      </c>
      <c r="D483" t="s">
        <v>634</v>
      </c>
      <c r="E483">
        <v>272812.57</v>
      </c>
      <c r="F483">
        <v>272812.57</v>
      </c>
      <c r="G483">
        <v>1265564.76</v>
      </c>
      <c r="H483">
        <v>515210.57</v>
      </c>
      <c r="I483">
        <v>2700298.28</v>
      </c>
      <c r="J483">
        <v>40.930145000000003</v>
      </c>
      <c r="K483">
        <v>6.842015</v>
      </c>
      <c r="L483">
        <v>74.891633999999996</v>
      </c>
      <c r="M483" t="s">
        <v>15</v>
      </c>
      <c r="N483" s="24">
        <f t="shared" si="72"/>
        <v>0.27281300000000003</v>
      </c>
      <c r="O483" s="24">
        <f t="shared" si="73"/>
        <v>0.27281300000000003</v>
      </c>
      <c r="P483">
        <f t="shared" si="74"/>
        <v>1.2655650000000001</v>
      </c>
      <c r="Q483">
        <f t="shared" si="75"/>
        <v>0.51521099999999997</v>
      </c>
      <c r="R483">
        <f t="shared" si="76"/>
        <v>2.7002980000000001</v>
      </c>
      <c r="S483" s="24">
        <f t="shared" si="77"/>
        <v>40.93</v>
      </c>
      <c r="T483" s="24">
        <f t="shared" si="78"/>
        <v>6.84</v>
      </c>
      <c r="U483" s="24">
        <f t="shared" si="79"/>
        <v>74.89</v>
      </c>
      <c r="V483" s="24">
        <f>+VLOOKUP(A483,[1]DQS4_AUX!$A:$M,13,FALSE)</f>
        <v>0.27281300000000003</v>
      </c>
      <c r="W483" s="24">
        <f t="shared" si="80"/>
        <v>0</v>
      </c>
    </row>
    <row r="484" spans="1:23" x14ac:dyDescent="0.25">
      <c r="A484" t="str">
        <f t="shared" si="71"/>
        <v>P85.59EU1</v>
      </c>
      <c r="B484" t="s">
        <v>626</v>
      </c>
      <c r="C484" t="s">
        <v>258</v>
      </c>
      <c r="D484" t="s">
        <v>632</v>
      </c>
      <c r="E484">
        <v>6160396.4999999898</v>
      </c>
      <c r="F484">
        <v>6160582.3699999899</v>
      </c>
      <c r="G484">
        <v>28457746.170000002</v>
      </c>
      <c r="H484">
        <v>64359749.450000003</v>
      </c>
      <c r="I484">
        <v>94711744.680000007</v>
      </c>
      <c r="J484">
        <v>691.13422500000001</v>
      </c>
      <c r="K484">
        <v>115.53223</v>
      </c>
      <c r="L484">
        <v>1264.5978050000001</v>
      </c>
      <c r="M484" t="s">
        <v>15</v>
      </c>
      <c r="N484" s="24">
        <f t="shared" si="72"/>
        <v>6.1603960000000004</v>
      </c>
      <c r="O484" s="24">
        <f t="shared" si="73"/>
        <v>6.1605819999999998</v>
      </c>
      <c r="P484">
        <f t="shared" si="74"/>
        <v>28.457746</v>
      </c>
      <c r="Q484">
        <f t="shared" si="75"/>
        <v>64.359748999999994</v>
      </c>
      <c r="R484">
        <f t="shared" si="76"/>
        <v>94.711744999999993</v>
      </c>
      <c r="S484" s="24">
        <f t="shared" si="77"/>
        <v>691.13</v>
      </c>
      <c r="T484" s="24">
        <f t="shared" si="78"/>
        <v>115.53</v>
      </c>
      <c r="U484" s="24">
        <f t="shared" si="79"/>
        <v>1264.5999999999999</v>
      </c>
      <c r="V484" s="24">
        <f>+VLOOKUP(A484,[1]DQS4_AUX!$A:$M,13,FALSE)</f>
        <v>6.1605819999999998</v>
      </c>
      <c r="W484" s="24">
        <f t="shared" si="80"/>
        <v>0</v>
      </c>
    </row>
    <row r="485" spans="1:23" x14ac:dyDescent="0.25">
      <c r="A485" t="str">
        <f t="shared" si="71"/>
        <v>P85.32EU1</v>
      </c>
      <c r="B485" t="s">
        <v>626</v>
      </c>
      <c r="C485" t="s">
        <v>258</v>
      </c>
      <c r="D485" t="s">
        <v>631</v>
      </c>
      <c r="E485">
        <v>2217272.27</v>
      </c>
      <c r="F485">
        <v>2217272.27</v>
      </c>
      <c r="G485">
        <v>4908793.7300000004</v>
      </c>
      <c r="H485">
        <v>8252023.8799999999</v>
      </c>
      <c r="I485">
        <v>6065105.75</v>
      </c>
      <c r="J485">
        <v>16.102668999999999</v>
      </c>
      <c r="K485">
        <v>2.6917740000000001</v>
      </c>
      <c r="L485">
        <v>29.463742</v>
      </c>
      <c r="M485" t="s">
        <v>15</v>
      </c>
      <c r="N485" s="24">
        <f t="shared" si="72"/>
        <v>2.2172719999999999</v>
      </c>
      <c r="O485" s="24">
        <f t="shared" si="73"/>
        <v>2.2172719999999999</v>
      </c>
      <c r="P485">
        <f t="shared" si="74"/>
        <v>4.9087940000000003</v>
      </c>
      <c r="Q485">
        <f t="shared" si="75"/>
        <v>8.2520240000000005</v>
      </c>
      <c r="R485">
        <f t="shared" si="76"/>
        <v>6.0651060000000001</v>
      </c>
      <c r="S485" s="24">
        <f t="shared" si="77"/>
        <v>16.100000000000001</v>
      </c>
      <c r="T485" s="24">
        <f t="shared" si="78"/>
        <v>2.69</v>
      </c>
      <c r="U485" s="24">
        <f t="shared" si="79"/>
        <v>29.46</v>
      </c>
      <c r="V485" s="24">
        <f>+VLOOKUP(A485,[1]DQS4_AUX!$A:$M,13,FALSE)</f>
        <v>2.2172719999999999</v>
      </c>
      <c r="W485" s="24">
        <f t="shared" si="80"/>
        <v>0</v>
      </c>
    </row>
    <row r="486" spans="1:23" x14ac:dyDescent="0.25">
      <c r="A486" t="str">
        <f t="shared" si="71"/>
        <v>P85.20EU1</v>
      </c>
      <c r="B486" t="s">
        <v>626</v>
      </c>
      <c r="C486" t="s">
        <v>258</v>
      </c>
      <c r="D486" t="s">
        <v>633</v>
      </c>
      <c r="E486">
        <v>564375.06000000006</v>
      </c>
      <c r="F486">
        <v>564375.06000000006</v>
      </c>
      <c r="G486">
        <v>5191869.92</v>
      </c>
      <c r="H486">
        <v>78844185.680000007</v>
      </c>
      <c r="I486">
        <v>59131516.979999997</v>
      </c>
      <c r="J486">
        <v>89.716740999999999</v>
      </c>
      <c r="K486">
        <v>14.997349</v>
      </c>
      <c r="L486">
        <v>164.15854999999999</v>
      </c>
      <c r="M486" t="s">
        <v>15</v>
      </c>
      <c r="N486" s="24">
        <f t="shared" si="72"/>
        <v>0.56437499999999996</v>
      </c>
      <c r="O486" s="24">
        <f t="shared" si="73"/>
        <v>0.56437499999999996</v>
      </c>
      <c r="P486">
        <f t="shared" si="74"/>
        <v>5.1918699999999998</v>
      </c>
      <c r="Q486">
        <f t="shared" si="75"/>
        <v>78.844185999999993</v>
      </c>
      <c r="R486">
        <f t="shared" si="76"/>
        <v>59.131517000000002</v>
      </c>
      <c r="S486" s="24">
        <f t="shared" si="77"/>
        <v>89.72</v>
      </c>
      <c r="T486" s="24">
        <f t="shared" si="78"/>
        <v>15</v>
      </c>
      <c r="U486" s="24">
        <f t="shared" si="79"/>
        <v>164.16</v>
      </c>
      <c r="V486" s="24">
        <f>+VLOOKUP(A486,[1]DQS4_AUX!$A:$M,13,FALSE)</f>
        <v>0.56437499999999996</v>
      </c>
      <c r="W486" s="24">
        <f t="shared" si="80"/>
        <v>0</v>
      </c>
    </row>
    <row r="487" spans="1:23" x14ac:dyDescent="0.25">
      <c r="A487" t="str">
        <f t="shared" si="71"/>
        <v>P85.31EU1</v>
      </c>
      <c r="B487" t="s">
        <v>626</v>
      </c>
      <c r="C487" t="s">
        <v>258</v>
      </c>
      <c r="D487" t="s">
        <v>636</v>
      </c>
      <c r="E487">
        <v>4473304.9699999904</v>
      </c>
      <c r="F487">
        <v>4473321.4599999897</v>
      </c>
      <c r="G487">
        <v>10030152.66</v>
      </c>
      <c r="H487">
        <v>24219046.329999998</v>
      </c>
      <c r="I487">
        <v>35061339.82</v>
      </c>
      <c r="J487">
        <v>261.87284199999999</v>
      </c>
      <c r="K487">
        <v>43.775554</v>
      </c>
      <c r="L487">
        <v>479.15988099999998</v>
      </c>
      <c r="M487" t="s">
        <v>15</v>
      </c>
      <c r="N487" s="24">
        <f t="shared" si="72"/>
        <v>4.4733049999999999</v>
      </c>
      <c r="O487" s="24">
        <f t="shared" si="73"/>
        <v>4.4733210000000003</v>
      </c>
      <c r="P487">
        <f t="shared" si="74"/>
        <v>10.030153</v>
      </c>
      <c r="Q487">
        <f t="shared" si="75"/>
        <v>24.219045999999999</v>
      </c>
      <c r="R487">
        <f t="shared" si="76"/>
        <v>35.061340000000001</v>
      </c>
      <c r="S487" s="24">
        <f t="shared" si="77"/>
        <v>261.87</v>
      </c>
      <c r="T487" s="24">
        <f t="shared" si="78"/>
        <v>43.78</v>
      </c>
      <c r="U487" s="24">
        <f t="shared" si="79"/>
        <v>479.16</v>
      </c>
      <c r="V487" s="24">
        <f>+VLOOKUP(A487,[1]DQS4_AUX!$A:$M,13,FALSE)</f>
        <v>4.4733210000000003</v>
      </c>
      <c r="W487" s="24">
        <f t="shared" si="80"/>
        <v>0</v>
      </c>
    </row>
    <row r="488" spans="1:23" x14ac:dyDescent="0.25">
      <c r="A488" t="str">
        <f t="shared" si="71"/>
        <v>P85.60EU1</v>
      </c>
      <c r="B488" t="s">
        <v>626</v>
      </c>
      <c r="C488" t="s">
        <v>258</v>
      </c>
      <c r="D488" t="s">
        <v>635</v>
      </c>
      <c r="E488">
        <v>3797611.04</v>
      </c>
      <c r="F488">
        <v>3797611.04</v>
      </c>
      <c r="G488">
        <v>13998560.029999999</v>
      </c>
      <c r="H488">
        <v>39291833.140000001</v>
      </c>
      <c r="I488">
        <v>6728692.8099999996</v>
      </c>
      <c r="J488">
        <v>65.091232000000005</v>
      </c>
      <c r="K488">
        <v>10.880862</v>
      </c>
      <c r="L488">
        <v>119.100211</v>
      </c>
      <c r="M488" t="s">
        <v>15</v>
      </c>
      <c r="N488" s="24">
        <f t="shared" si="72"/>
        <v>3.7976109999999998</v>
      </c>
      <c r="O488" s="24">
        <f t="shared" si="73"/>
        <v>3.7976109999999998</v>
      </c>
      <c r="P488">
        <f t="shared" si="74"/>
        <v>13.998559999999999</v>
      </c>
      <c r="Q488">
        <f t="shared" si="75"/>
        <v>39.291832999999997</v>
      </c>
      <c r="R488">
        <f t="shared" si="76"/>
        <v>6.7286929999999998</v>
      </c>
      <c r="S488" s="24">
        <f t="shared" si="77"/>
        <v>65.09</v>
      </c>
      <c r="T488" s="24">
        <f t="shared" si="78"/>
        <v>10.88</v>
      </c>
      <c r="U488" s="24">
        <f t="shared" si="79"/>
        <v>119.1</v>
      </c>
      <c r="V488" s="24">
        <f>+VLOOKUP(A488,[1]DQS4_AUX!$A:$M,13,FALSE)</f>
        <v>3.7976109999999998</v>
      </c>
      <c r="W488" s="24">
        <f t="shared" si="80"/>
        <v>0</v>
      </c>
    </row>
    <row r="489" spans="1:23" x14ac:dyDescent="0.25">
      <c r="A489" t="str">
        <f t="shared" si="71"/>
        <v>Q86.21EU1</v>
      </c>
      <c r="B489" t="s">
        <v>44</v>
      </c>
      <c r="C489" t="s">
        <v>258</v>
      </c>
      <c r="D489" t="s">
        <v>45</v>
      </c>
      <c r="E489">
        <v>11080742.9799999</v>
      </c>
      <c r="F489">
        <v>11087788.7899999</v>
      </c>
      <c r="G489">
        <v>59031304.619999997</v>
      </c>
      <c r="H489">
        <v>104996364.02</v>
      </c>
      <c r="I489">
        <v>141641671.16</v>
      </c>
      <c r="J489">
        <v>1217.524424</v>
      </c>
      <c r="K489">
        <v>203.52537100000001</v>
      </c>
      <c r="L489">
        <v>2227.7563989999999</v>
      </c>
      <c r="M489" t="s">
        <v>15</v>
      </c>
      <c r="N489" s="24">
        <f t="shared" si="72"/>
        <v>11.080743</v>
      </c>
      <c r="O489" s="24">
        <f t="shared" si="73"/>
        <v>11.087789000000001</v>
      </c>
      <c r="P489">
        <f t="shared" si="74"/>
        <v>59.031305000000003</v>
      </c>
      <c r="Q489">
        <f t="shared" si="75"/>
        <v>104.996364</v>
      </c>
      <c r="R489">
        <f t="shared" si="76"/>
        <v>141.641671</v>
      </c>
      <c r="S489" s="24">
        <f t="shared" si="77"/>
        <v>1217.52</v>
      </c>
      <c r="T489" s="24">
        <f t="shared" si="78"/>
        <v>203.53</v>
      </c>
      <c r="U489" s="24">
        <f t="shared" si="79"/>
        <v>2227.7600000000002</v>
      </c>
      <c r="V489" s="24">
        <f>+VLOOKUP(A489,[1]DQS4_AUX!$A:$M,13,FALSE)</f>
        <v>11.087789000000001</v>
      </c>
      <c r="W489" s="24">
        <f t="shared" si="80"/>
        <v>0</v>
      </c>
    </row>
    <row r="490" spans="1:23" x14ac:dyDescent="0.25">
      <c r="A490" t="str">
        <f t="shared" si="71"/>
        <v>Q86.10EU1</v>
      </c>
      <c r="B490" t="s">
        <v>44</v>
      </c>
      <c r="C490" t="s">
        <v>258</v>
      </c>
      <c r="D490" t="s">
        <v>639</v>
      </c>
      <c r="E490">
        <v>19502466.749999899</v>
      </c>
      <c r="F490">
        <v>19520481.5699999</v>
      </c>
      <c r="G490">
        <v>1130291981.72</v>
      </c>
      <c r="H490">
        <v>648894127.44000006</v>
      </c>
      <c r="I490">
        <v>2068790050.03</v>
      </c>
      <c r="J490">
        <v>1696.365049</v>
      </c>
      <c r="K490">
        <v>283.56998900000002</v>
      </c>
      <c r="L490">
        <v>3103.9114930000001</v>
      </c>
      <c r="M490" t="s">
        <v>15</v>
      </c>
      <c r="N490" s="24">
        <f t="shared" si="72"/>
        <v>19.502466999999999</v>
      </c>
      <c r="O490" s="24">
        <f t="shared" si="73"/>
        <v>19.520482000000001</v>
      </c>
      <c r="P490">
        <f t="shared" si="74"/>
        <v>1130.291982</v>
      </c>
      <c r="Q490">
        <f t="shared" si="75"/>
        <v>648.89412700000003</v>
      </c>
      <c r="R490">
        <f t="shared" si="76"/>
        <v>2068.7900500000001</v>
      </c>
      <c r="S490" s="24">
        <f t="shared" si="77"/>
        <v>1696.37</v>
      </c>
      <c r="T490" s="24">
        <f t="shared" si="78"/>
        <v>283.57</v>
      </c>
      <c r="U490" s="24">
        <f t="shared" si="79"/>
        <v>3103.91</v>
      </c>
      <c r="V490" s="24">
        <f>+VLOOKUP(A490,[1]DQS4_AUX!$A:$M,13,FALSE)</f>
        <v>19.520482000000001</v>
      </c>
      <c r="W490" s="24">
        <f t="shared" si="80"/>
        <v>0</v>
      </c>
    </row>
    <row r="491" spans="1:23" x14ac:dyDescent="0.25">
      <c r="A491" t="str">
        <f t="shared" si="71"/>
        <v>Q86.23EU1</v>
      </c>
      <c r="B491" t="s">
        <v>44</v>
      </c>
      <c r="C491" t="s">
        <v>258</v>
      </c>
      <c r="D491" t="s">
        <v>637</v>
      </c>
      <c r="E491">
        <v>13998388.089999899</v>
      </c>
      <c r="F491">
        <v>14002209.0499999</v>
      </c>
      <c r="G491">
        <v>49874951.859999999</v>
      </c>
      <c r="H491">
        <v>72240911.069999993</v>
      </c>
      <c r="I491">
        <v>171416910.66</v>
      </c>
      <c r="J491">
        <v>3239.8463660000002</v>
      </c>
      <c r="K491">
        <v>541.58332299999995</v>
      </c>
      <c r="L491">
        <v>5928.0851730000004</v>
      </c>
      <c r="M491" t="s">
        <v>15</v>
      </c>
      <c r="N491" s="24">
        <f t="shared" si="72"/>
        <v>13.998388</v>
      </c>
      <c r="O491" s="24">
        <f t="shared" si="73"/>
        <v>14.002209000000001</v>
      </c>
      <c r="P491">
        <f t="shared" si="74"/>
        <v>49.874952</v>
      </c>
      <c r="Q491">
        <f t="shared" si="75"/>
        <v>72.240910999999997</v>
      </c>
      <c r="R491">
        <f t="shared" si="76"/>
        <v>171.416911</v>
      </c>
      <c r="S491" s="24">
        <f t="shared" si="77"/>
        <v>3239.85</v>
      </c>
      <c r="T491" s="24">
        <f t="shared" si="78"/>
        <v>541.58000000000004</v>
      </c>
      <c r="U491" s="24">
        <f t="shared" si="79"/>
        <v>5928.09</v>
      </c>
      <c r="V491" s="24">
        <f>+VLOOKUP(A491,[1]DQS4_AUX!$A:$M,13,FALSE)</f>
        <v>14.002209000000001</v>
      </c>
      <c r="W491" s="24">
        <f t="shared" si="80"/>
        <v>0</v>
      </c>
    </row>
    <row r="492" spans="1:23" x14ac:dyDescent="0.25">
      <c r="A492" t="str">
        <f t="shared" si="71"/>
        <v>Q87.30EU1</v>
      </c>
      <c r="B492" t="s">
        <v>44</v>
      </c>
      <c r="C492" t="s">
        <v>258</v>
      </c>
      <c r="D492" t="s">
        <v>643</v>
      </c>
      <c r="E492">
        <v>6355457.2199999904</v>
      </c>
      <c r="F492">
        <v>6355565.9299999904</v>
      </c>
      <c r="G492">
        <v>39132871.469999999</v>
      </c>
      <c r="H492">
        <v>28509991.239999998</v>
      </c>
      <c r="I492">
        <v>54024263.859999999</v>
      </c>
      <c r="J492">
        <v>388.19967200000002</v>
      </c>
      <c r="K492">
        <v>64.892712000000003</v>
      </c>
      <c r="L492">
        <v>710.30551100000002</v>
      </c>
      <c r="M492" t="s">
        <v>15</v>
      </c>
      <c r="N492" s="24">
        <f t="shared" si="72"/>
        <v>6.3554570000000004</v>
      </c>
      <c r="O492" s="24">
        <f t="shared" si="73"/>
        <v>6.3555659999999996</v>
      </c>
      <c r="P492">
        <f t="shared" si="74"/>
        <v>39.132871000000002</v>
      </c>
      <c r="Q492">
        <f t="shared" si="75"/>
        <v>28.509990999999999</v>
      </c>
      <c r="R492">
        <f t="shared" si="76"/>
        <v>54.024264000000002</v>
      </c>
      <c r="S492" s="24">
        <f t="shared" si="77"/>
        <v>388.2</v>
      </c>
      <c r="T492" s="24">
        <f t="shared" si="78"/>
        <v>64.89</v>
      </c>
      <c r="U492" s="24">
        <f t="shared" si="79"/>
        <v>710.31</v>
      </c>
      <c r="V492" s="24">
        <f>+VLOOKUP(A492,[1]DQS4_AUX!$A:$M,13,FALSE)</f>
        <v>6.3555659999999996</v>
      </c>
      <c r="W492" s="24">
        <f t="shared" si="80"/>
        <v>0</v>
      </c>
    </row>
    <row r="493" spans="1:23" x14ac:dyDescent="0.25">
      <c r="A493" t="str">
        <f t="shared" si="71"/>
        <v>Q88.99EU1</v>
      </c>
      <c r="B493" t="s">
        <v>44</v>
      </c>
      <c r="C493" t="s">
        <v>258</v>
      </c>
      <c r="D493" t="s">
        <v>638</v>
      </c>
      <c r="E493">
        <v>21580.219999999899</v>
      </c>
      <c r="F493">
        <v>21625.8499999999</v>
      </c>
      <c r="G493">
        <v>335243.69</v>
      </c>
      <c r="H493">
        <v>1123125.7</v>
      </c>
      <c r="I493">
        <v>1932066.46</v>
      </c>
      <c r="J493">
        <v>2.0282100000000001</v>
      </c>
      <c r="K493">
        <v>0.33904200000000001</v>
      </c>
      <c r="L493">
        <v>3.7111019999999999</v>
      </c>
      <c r="M493" t="s">
        <v>15</v>
      </c>
      <c r="N493" s="24">
        <f t="shared" si="72"/>
        <v>2.1579999999999998E-2</v>
      </c>
      <c r="O493" s="24">
        <f t="shared" si="73"/>
        <v>2.1625999999999999E-2</v>
      </c>
      <c r="P493">
        <f t="shared" si="74"/>
        <v>0.33524399999999999</v>
      </c>
      <c r="Q493">
        <f t="shared" si="75"/>
        <v>1.1231260000000001</v>
      </c>
      <c r="R493">
        <f t="shared" si="76"/>
        <v>1.9320660000000001</v>
      </c>
      <c r="S493" s="24">
        <f t="shared" si="77"/>
        <v>2.0299999999999998</v>
      </c>
      <c r="T493" s="24">
        <f t="shared" si="78"/>
        <v>0.34</v>
      </c>
      <c r="U493" s="24">
        <f t="shared" si="79"/>
        <v>3.71</v>
      </c>
      <c r="V493" s="24">
        <f>+VLOOKUP(A493,[1]DQS4_AUX!$A:$M,13,FALSE)</f>
        <v>2.1625999999999999E-2</v>
      </c>
      <c r="W493" s="24">
        <f t="shared" si="80"/>
        <v>0</v>
      </c>
    </row>
    <row r="494" spans="1:23" x14ac:dyDescent="0.25">
      <c r="A494" t="str">
        <f t="shared" si="71"/>
        <v>Q86.90EU1</v>
      </c>
      <c r="B494" t="s">
        <v>44</v>
      </c>
      <c r="C494" t="s">
        <v>258</v>
      </c>
      <c r="D494" t="s">
        <v>642</v>
      </c>
      <c r="E494">
        <v>19131444.029999901</v>
      </c>
      <c r="F494">
        <v>19136716.579999901</v>
      </c>
      <c r="G494">
        <v>125804338.91</v>
      </c>
      <c r="H494">
        <v>301118939.39999998</v>
      </c>
      <c r="I494">
        <v>469095654.94999999</v>
      </c>
      <c r="J494">
        <v>2689.2664639999998</v>
      </c>
      <c r="K494">
        <v>449.54659700000002</v>
      </c>
      <c r="L494">
        <v>4920.6656229999999</v>
      </c>
      <c r="M494" t="s">
        <v>15</v>
      </c>
      <c r="N494" s="24">
        <f t="shared" si="72"/>
        <v>19.131443999999998</v>
      </c>
      <c r="O494" s="24">
        <f t="shared" si="73"/>
        <v>19.136717000000001</v>
      </c>
      <c r="P494">
        <f t="shared" si="74"/>
        <v>125.804339</v>
      </c>
      <c r="Q494">
        <f t="shared" si="75"/>
        <v>301.11893900000001</v>
      </c>
      <c r="R494">
        <f t="shared" si="76"/>
        <v>469.09565500000002</v>
      </c>
      <c r="S494" s="24">
        <f t="shared" si="77"/>
        <v>2689.27</v>
      </c>
      <c r="T494" s="24">
        <f t="shared" si="78"/>
        <v>449.55</v>
      </c>
      <c r="U494" s="24">
        <f t="shared" si="79"/>
        <v>4920.67</v>
      </c>
      <c r="V494" s="24">
        <f>+VLOOKUP(A494,[1]DQS4_AUX!$A:$M,13,FALSE)</f>
        <v>19.136717000000001</v>
      </c>
      <c r="W494" s="24">
        <f t="shared" si="80"/>
        <v>0</v>
      </c>
    </row>
    <row r="495" spans="1:23" x14ac:dyDescent="0.25">
      <c r="A495" t="str">
        <f t="shared" si="71"/>
        <v>Q87.20EU1</v>
      </c>
      <c r="B495" t="s">
        <v>44</v>
      </c>
      <c r="C495" t="s">
        <v>258</v>
      </c>
      <c r="D495" t="s">
        <v>641</v>
      </c>
      <c r="E495">
        <v>4.37</v>
      </c>
      <c r="F495">
        <v>4.37</v>
      </c>
      <c r="G495">
        <v>463194.38</v>
      </c>
      <c r="H495">
        <v>562678.87</v>
      </c>
      <c r="I495">
        <v>1549704.58</v>
      </c>
      <c r="J495">
        <v>4.3100000000000001E-4</v>
      </c>
      <c r="K495">
        <v>7.2000000000000002E-5</v>
      </c>
      <c r="L495">
        <v>7.8899999999999999E-4</v>
      </c>
      <c r="M495" t="s">
        <v>15</v>
      </c>
      <c r="N495" s="24">
        <f t="shared" si="72"/>
        <v>3.9999999999999998E-6</v>
      </c>
      <c r="O495" s="24">
        <f t="shared" si="73"/>
        <v>3.9999999999999998E-6</v>
      </c>
      <c r="P495">
        <f t="shared" si="74"/>
        <v>0.46319399999999999</v>
      </c>
      <c r="Q495">
        <f t="shared" si="75"/>
        <v>0.56267900000000004</v>
      </c>
      <c r="R495">
        <f t="shared" si="76"/>
        <v>1.5497050000000001</v>
      </c>
      <c r="S495" s="24">
        <f t="shared" si="77"/>
        <v>0</v>
      </c>
      <c r="T495" s="24">
        <f t="shared" si="78"/>
        <v>0</v>
      </c>
      <c r="U495" s="24">
        <f t="shared" si="79"/>
        <v>0</v>
      </c>
      <c r="V495" s="24">
        <f>+VLOOKUP(A495,[1]DQS4_AUX!$A:$M,13,FALSE)</f>
        <v>3.9999999999999998E-6</v>
      </c>
      <c r="W495" s="24">
        <f t="shared" si="80"/>
        <v>0</v>
      </c>
    </row>
    <row r="496" spans="1:23" x14ac:dyDescent="0.25">
      <c r="A496" t="str">
        <f t="shared" si="71"/>
        <v>Q87.90EU1</v>
      </c>
      <c r="B496" t="s">
        <v>44</v>
      </c>
      <c r="C496" t="s">
        <v>258</v>
      </c>
      <c r="D496" t="s">
        <v>640</v>
      </c>
      <c r="E496">
        <v>145741.59</v>
      </c>
      <c r="F496">
        <v>145741.59</v>
      </c>
      <c r="G496">
        <v>1880666.89</v>
      </c>
      <c r="H496">
        <v>885767.39</v>
      </c>
      <c r="I496">
        <v>4460437.22</v>
      </c>
      <c r="J496">
        <v>16.351147999999998</v>
      </c>
      <c r="K496">
        <v>2.733311</v>
      </c>
      <c r="L496">
        <v>29.918392000000001</v>
      </c>
      <c r="M496" t="s">
        <v>15</v>
      </c>
      <c r="N496" s="24">
        <f t="shared" si="72"/>
        <v>0.14574200000000001</v>
      </c>
      <c r="O496" s="24">
        <f t="shared" si="73"/>
        <v>0.14574200000000001</v>
      </c>
      <c r="P496">
        <f t="shared" si="74"/>
        <v>1.8806670000000001</v>
      </c>
      <c r="Q496">
        <f t="shared" si="75"/>
        <v>0.88576699999999997</v>
      </c>
      <c r="R496">
        <f t="shared" si="76"/>
        <v>4.4604369999999998</v>
      </c>
      <c r="S496" s="24">
        <f t="shared" si="77"/>
        <v>16.350000000000001</v>
      </c>
      <c r="T496" s="24">
        <f t="shared" si="78"/>
        <v>2.73</v>
      </c>
      <c r="U496" s="24">
        <f t="shared" si="79"/>
        <v>29.92</v>
      </c>
      <c r="V496" s="24">
        <f>+VLOOKUP(A496,[1]DQS4_AUX!$A:$M,13,FALSE)</f>
        <v>0.14574200000000001</v>
      </c>
      <c r="W496" s="24">
        <f t="shared" si="80"/>
        <v>0</v>
      </c>
    </row>
    <row r="497" spans="1:23" x14ac:dyDescent="0.25">
      <c r="A497" t="str">
        <f t="shared" si="71"/>
        <v>Q88.91EU1</v>
      </c>
      <c r="B497" t="s">
        <v>44</v>
      </c>
      <c r="C497" t="s">
        <v>258</v>
      </c>
      <c r="D497" t="s">
        <v>645</v>
      </c>
      <c r="E497">
        <v>512169.84</v>
      </c>
      <c r="F497">
        <v>512169.84</v>
      </c>
      <c r="G497">
        <v>2229189.69</v>
      </c>
      <c r="H497">
        <v>2400054</v>
      </c>
      <c r="I497">
        <v>6538518.54</v>
      </c>
      <c r="J497">
        <v>74.372300999999993</v>
      </c>
      <c r="K497">
        <v>12.432314999999999</v>
      </c>
      <c r="L497">
        <v>136.082166</v>
      </c>
      <c r="M497" t="s">
        <v>15</v>
      </c>
      <c r="N497" s="24">
        <f t="shared" si="72"/>
        <v>0.51217000000000001</v>
      </c>
      <c r="O497" s="24">
        <f t="shared" si="73"/>
        <v>0.51217000000000001</v>
      </c>
      <c r="P497">
        <f t="shared" si="74"/>
        <v>2.22919</v>
      </c>
      <c r="Q497">
        <f t="shared" si="75"/>
        <v>2.4000539999999999</v>
      </c>
      <c r="R497">
        <f t="shared" si="76"/>
        <v>6.538519</v>
      </c>
      <c r="S497" s="24">
        <f t="shared" si="77"/>
        <v>74.37</v>
      </c>
      <c r="T497" s="24">
        <f t="shared" si="78"/>
        <v>12.43</v>
      </c>
      <c r="U497" s="24">
        <f t="shared" si="79"/>
        <v>136.08000000000001</v>
      </c>
      <c r="V497" s="24">
        <f>+VLOOKUP(A497,[1]DQS4_AUX!$A:$M,13,FALSE)</f>
        <v>0.51217000000000001</v>
      </c>
      <c r="W497" s="24">
        <f t="shared" si="80"/>
        <v>0</v>
      </c>
    </row>
    <row r="498" spans="1:23" x14ac:dyDescent="0.25">
      <c r="A498" t="str">
        <f t="shared" si="71"/>
        <v>Q86.22EU1</v>
      </c>
      <c r="B498" t="s">
        <v>44</v>
      </c>
      <c r="C498" t="s">
        <v>258</v>
      </c>
      <c r="D498" t="s">
        <v>249</v>
      </c>
      <c r="E498">
        <v>19359690.469999898</v>
      </c>
      <c r="F498">
        <v>19367798.859999899</v>
      </c>
      <c r="G498">
        <v>124891111.22</v>
      </c>
      <c r="H498">
        <v>390744679.27999997</v>
      </c>
      <c r="I498">
        <v>307351186.81999999</v>
      </c>
      <c r="J498">
        <v>2056.6659930000001</v>
      </c>
      <c r="K498">
        <v>343.79904900000002</v>
      </c>
      <c r="L498">
        <v>3763.1694729999999</v>
      </c>
      <c r="M498" t="s">
        <v>15</v>
      </c>
      <c r="N498" s="24">
        <f t="shared" si="72"/>
        <v>19.359690000000001</v>
      </c>
      <c r="O498" s="24">
        <f t="shared" si="73"/>
        <v>19.367799000000002</v>
      </c>
      <c r="P498">
        <f t="shared" si="74"/>
        <v>124.891111</v>
      </c>
      <c r="Q498">
        <f t="shared" si="75"/>
        <v>390.74467900000002</v>
      </c>
      <c r="R498">
        <f t="shared" si="76"/>
        <v>307.35118699999998</v>
      </c>
      <c r="S498" s="24">
        <f t="shared" si="77"/>
        <v>2056.67</v>
      </c>
      <c r="T498" s="24">
        <f t="shared" si="78"/>
        <v>343.8</v>
      </c>
      <c r="U498" s="24">
        <f t="shared" si="79"/>
        <v>3763.17</v>
      </c>
      <c r="V498" s="24">
        <f>+VLOOKUP(A498,[1]DQS4_AUX!$A:$M,13,FALSE)</f>
        <v>19.367799000000002</v>
      </c>
      <c r="W498" s="24">
        <f t="shared" si="80"/>
        <v>0</v>
      </c>
    </row>
    <row r="499" spans="1:23" x14ac:dyDescent="0.25">
      <c r="A499" t="str">
        <f t="shared" si="71"/>
        <v>Q88.10EU1</v>
      </c>
      <c r="B499" t="s">
        <v>44</v>
      </c>
      <c r="C499" t="s">
        <v>258</v>
      </c>
      <c r="D499" t="s">
        <v>644</v>
      </c>
      <c r="E499">
        <v>517747.12</v>
      </c>
      <c r="F499">
        <v>517747.12</v>
      </c>
      <c r="G499">
        <v>1766052.38</v>
      </c>
      <c r="H499">
        <v>4801288.01</v>
      </c>
      <c r="I499">
        <v>11636093.310000001</v>
      </c>
      <c r="J499">
        <v>80.213517999999993</v>
      </c>
      <c r="K499">
        <v>13.408749</v>
      </c>
      <c r="L499">
        <v>146.77010000000001</v>
      </c>
      <c r="M499" t="s">
        <v>15</v>
      </c>
      <c r="N499" s="24">
        <f t="shared" si="72"/>
        <v>0.51774699999999996</v>
      </c>
      <c r="O499" s="24">
        <f t="shared" si="73"/>
        <v>0.51774699999999996</v>
      </c>
      <c r="P499">
        <f t="shared" si="74"/>
        <v>1.766052</v>
      </c>
      <c r="Q499">
        <f t="shared" si="75"/>
        <v>4.8012879999999996</v>
      </c>
      <c r="R499">
        <f t="shared" si="76"/>
        <v>11.636093000000001</v>
      </c>
      <c r="S499" s="24">
        <f t="shared" si="77"/>
        <v>80.209999999999994</v>
      </c>
      <c r="T499" s="24">
        <f t="shared" si="78"/>
        <v>13.41</v>
      </c>
      <c r="U499" s="24">
        <f t="shared" si="79"/>
        <v>146.77000000000001</v>
      </c>
      <c r="V499" s="24">
        <f>+VLOOKUP(A499,[1]DQS4_AUX!$A:$M,13,FALSE)</f>
        <v>0.51774699999999996</v>
      </c>
      <c r="W499" s="24">
        <f t="shared" si="80"/>
        <v>0</v>
      </c>
    </row>
    <row r="500" spans="1:23" x14ac:dyDescent="0.25">
      <c r="A500" t="str">
        <f t="shared" si="71"/>
        <v>R90.03EU1</v>
      </c>
      <c r="B500" t="s">
        <v>646</v>
      </c>
      <c r="C500" t="s">
        <v>258</v>
      </c>
      <c r="D500" t="s">
        <v>647</v>
      </c>
      <c r="E500">
        <v>342417.07999999903</v>
      </c>
      <c r="F500">
        <v>342581.94999999902</v>
      </c>
      <c r="G500">
        <v>409569.48</v>
      </c>
      <c r="H500">
        <v>1610252.39</v>
      </c>
      <c r="I500">
        <v>3621676.51</v>
      </c>
      <c r="J500">
        <v>49.262616999999999</v>
      </c>
      <c r="K500">
        <v>8.2348940000000006</v>
      </c>
      <c r="L500">
        <v>90.137916000000004</v>
      </c>
      <c r="M500" t="s">
        <v>15</v>
      </c>
      <c r="N500" s="24">
        <f t="shared" si="72"/>
        <v>0.34241700000000003</v>
      </c>
      <c r="O500" s="24">
        <f t="shared" si="73"/>
        <v>0.342582</v>
      </c>
      <c r="P500">
        <f t="shared" si="74"/>
        <v>0.40956900000000002</v>
      </c>
      <c r="Q500">
        <f t="shared" si="75"/>
        <v>1.610252</v>
      </c>
      <c r="R500">
        <f t="shared" si="76"/>
        <v>3.621677</v>
      </c>
      <c r="S500" s="24">
        <f t="shared" si="77"/>
        <v>49.26</v>
      </c>
      <c r="T500" s="24">
        <f t="shared" si="78"/>
        <v>8.23</v>
      </c>
      <c r="U500" s="24">
        <f t="shared" si="79"/>
        <v>90.14</v>
      </c>
      <c r="V500" s="24">
        <f>+VLOOKUP(A500,[1]DQS4_AUX!$A:$M,13,FALSE)</f>
        <v>0.342582</v>
      </c>
      <c r="W500" s="24">
        <f t="shared" si="80"/>
        <v>0</v>
      </c>
    </row>
    <row r="501" spans="1:23" x14ac:dyDescent="0.25">
      <c r="A501" t="str">
        <f t="shared" si="71"/>
        <v>R93.11EU1</v>
      </c>
      <c r="B501" t="s">
        <v>646</v>
      </c>
      <c r="C501" t="s">
        <v>258</v>
      </c>
      <c r="D501" t="s">
        <v>650</v>
      </c>
      <c r="E501">
        <v>3024355.04999999</v>
      </c>
      <c r="F501">
        <v>3025379.8599999901</v>
      </c>
      <c r="G501">
        <v>14159277.810000001</v>
      </c>
      <c r="H501">
        <v>17856195.300000001</v>
      </c>
      <c r="I501">
        <v>33635160.539999999</v>
      </c>
      <c r="J501">
        <v>326.49164500000001</v>
      </c>
      <c r="K501">
        <v>54.57743</v>
      </c>
      <c r="L501">
        <v>597.39568299999996</v>
      </c>
      <c r="M501" t="s">
        <v>15</v>
      </c>
      <c r="N501" s="24">
        <f t="shared" si="72"/>
        <v>3.0243549999999999</v>
      </c>
      <c r="O501" s="24">
        <f t="shared" si="73"/>
        <v>3.0253800000000002</v>
      </c>
      <c r="P501">
        <f t="shared" si="74"/>
        <v>14.159278</v>
      </c>
      <c r="Q501">
        <f t="shared" si="75"/>
        <v>17.856195</v>
      </c>
      <c r="R501">
        <f t="shared" si="76"/>
        <v>33.635160999999997</v>
      </c>
      <c r="S501" s="24">
        <f t="shared" si="77"/>
        <v>326.49</v>
      </c>
      <c r="T501" s="24">
        <f t="shared" si="78"/>
        <v>54.58</v>
      </c>
      <c r="U501" s="24">
        <f t="shared" si="79"/>
        <v>597.4</v>
      </c>
      <c r="V501" s="24">
        <f>+VLOOKUP(A501,[1]DQS4_AUX!$A:$M,13,FALSE)</f>
        <v>3.0253800000000002</v>
      </c>
      <c r="W501" s="24">
        <f t="shared" si="80"/>
        <v>0</v>
      </c>
    </row>
    <row r="502" spans="1:23" x14ac:dyDescent="0.25">
      <c r="A502" t="str">
        <f t="shared" si="71"/>
        <v>R93.21EU1</v>
      </c>
      <c r="B502" t="s">
        <v>646</v>
      </c>
      <c r="C502" t="s">
        <v>258</v>
      </c>
      <c r="D502" t="s">
        <v>661</v>
      </c>
      <c r="E502">
        <v>278349.65000000002</v>
      </c>
      <c r="F502">
        <v>278349.65000000002</v>
      </c>
      <c r="G502">
        <v>2165055.2799999998</v>
      </c>
      <c r="H502">
        <v>5023105.5</v>
      </c>
      <c r="I502">
        <v>4378461.82</v>
      </c>
      <c r="J502">
        <v>10.967677</v>
      </c>
      <c r="K502">
        <v>1.8333889999999999</v>
      </c>
      <c r="L502">
        <v>20.068028000000002</v>
      </c>
      <c r="M502" t="s">
        <v>15</v>
      </c>
      <c r="N502" s="24">
        <f t="shared" si="72"/>
        <v>0.27834999999999999</v>
      </c>
      <c r="O502" s="24">
        <f t="shared" si="73"/>
        <v>0.27834999999999999</v>
      </c>
      <c r="P502">
        <f t="shared" si="74"/>
        <v>2.1650550000000002</v>
      </c>
      <c r="Q502">
        <f t="shared" si="75"/>
        <v>5.0231060000000003</v>
      </c>
      <c r="R502">
        <f t="shared" si="76"/>
        <v>4.3784619999999999</v>
      </c>
      <c r="S502" s="24">
        <f t="shared" si="77"/>
        <v>10.97</v>
      </c>
      <c r="T502" s="24">
        <f t="shared" si="78"/>
        <v>1.83</v>
      </c>
      <c r="U502" s="24">
        <f t="shared" si="79"/>
        <v>20.07</v>
      </c>
      <c r="V502" s="24">
        <f>+VLOOKUP(A502,[1]DQS4_AUX!$A:$M,13,FALSE)</f>
        <v>0.27834999999999999</v>
      </c>
      <c r="W502" s="24">
        <f t="shared" si="80"/>
        <v>0</v>
      </c>
    </row>
    <row r="503" spans="1:23" x14ac:dyDescent="0.25">
      <c r="A503" t="str">
        <f t="shared" si="71"/>
        <v>R92.00EU1</v>
      </c>
      <c r="B503" t="s">
        <v>646</v>
      </c>
      <c r="C503" t="s">
        <v>258</v>
      </c>
      <c r="D503" t="s">
        <v>649</v>
      </c>
      <c r="E503">
        <v>919188.43</v>
      </c>
      <c r="F503">
        <v>919188.43</v>
      </c>
      <c r="G503">
        <v>19054576.079999998</v>
      </c>
      <c r="H503">
        <v>101333441.38</v>
      </c>
      <c r="I503">
        <v>190260082.72</v>
      </c>
      <c r="J503">
        <v>348.46188000000001</v>
      </c>
      <c r="K503">
        <v>58.250053000000001</v>
      </c>
      <c r="L503">
        <v>637.59555899999998</v>
      </c>
      <c r="M503" t="s">
        <v>15</v>
      </c>
      <c r="N503" s="24">
        <f t="shared" si="72"/>
        <v>0.91918800000000001</v>
      </c>
      <c r="O503" s="24">
        <f t="shared" si="73"/>
        <v>0.91918800000000001</v>
      </c>
      <c r="P503">
        <f t="shared" si="74"/>
        <v>19.054576000000001</v>
      </c>
      <c r="Q503">
        <f t="shared" si="75"/>
        <v>101.33344099999999</v>
      </c>
      <c r="R503">
        <f t="shared" si="76"/>
        <v>190.26008300000001</v>
      </c>
      <c r="S503" s="24">
        <f t="shared" si="77"/>
        <v>348.46</v>
      </c>
      <c r="T503" s="24">
        <f t="shared" si="78"/>
        <v>58.25</v>
      </c>
      <c r="U503" s="24">
        <f t="shared" si="79"/>
        <v>637.6</v>
      </c>
      <c r="V503" s="24">
        <f>+VLOOKUP(A503,[1]DQS4_AUX!$A:$M,13,FALSE)</f>
        <v>0.91918800000000001</v>
      </c>
      <c r="W503" s="24">
        <f t="shared" si="80"/>
        <v>0</v>
      </c>
    </row>
    <row r="504" spans="1:23" x14ac:dyDescent="0.25">
      <c r="A504" t="str">
        <f t="shared" si="71"/>
        <v>R90.01EU1</v>
      </c>
      <c r="B504" t="s">
        <v>646</v>
      </c>
      <c r="C504" t="s">
        <v>258</v>
      </c>
      <c r="D504" t="s">
        <v>656</v>
      </c>
      <c r="E504">
        <v>4398059.5099999905</v>
      </c>
      <c r="F504">
        <v>4398555.4799999902</v>
      </c>
      <c r="G504">
        <v>13134463.68</v>
      </c>
      <c r="H504">
        <v>18197674.390000001</v>
      </c>
      <c r="I504">
        <v>61761739.409999996</v>
      </c>
      <c r="J504">
        <v>580.91992500000003</v>
      </c>
      <c r="K504">
        <v>97.108481999999995</v>
      </c>
      <c r="L504">
        <v>1062.93399</v>
      </c>
      <c r="M504" t="s">
        <v>15</v>
      </c>
      <c r="N504" s="24">
        <f t="shared" si="72"/>
        <v>4.3980600000000001</v>
      </c>
      <c r="O504" s="24">
        <f t="shared" si="73"/>
        <v>4.398555</v>
      </c>
      <c r="P504">
        <f t="shared" si="74"/>
        <v>13.134463999999999</v>
      </c>
      <c r="Q504">
        <f t="shared" si="75"/>
        <v>18.197673999999999</v>
      </c>
      <c r="R504">
        <f t="shared" si="76"/>
        <v>61.761738999999999</v>
      </c>
      <c r="S504" s="24">
        <f t="shared" si="77"/>
        <v>580.91999999999996</v>
      </c>
      <c r="T504" s="24">
        <f t="shared" si="78"/>
        <v>97.11</v>
      </c>
      <c r="U504" s="24">
        <f t="shared" si="79"/>
        <v>1062.93</v>
      </c>
      <c r="V504" s="24">
        <f>+VLOOKUP(A504,[1]DQS4_AUX!$A:$M,13,FALSE)</f>
        <v>4.398555</v>
      </c>
      <c r="W504" s="24">
        <f t="shared" si="80"/>
        <v>0</v>
      </c>
    </row>
    <row r="505" spans="1:23" x14ac:dyDescent="0.25">
      <c r="A505" t="str">
        <f t="shared" si="71"/>
        <v>R91.03EU1</v>
      </c>
      <c r="B505" t="s">
        <v>646</v>
      </c>
      <c r="C505" t="s">
        <v>258</v>
      </c>
      <c r="D505" t="s">
        <v>648</v>
      </c>
      <c r="E505">
        <v>550867.57999999996</v>
      </c>
      <c r="F505">
        <v>550867.57999999996</v>
      </c>
      <c r="G505">
        <v>3587005.43</v>
      </c>
      <c r="H505">
        <v>4818143.3499999996</v>
      </c>
      <c r="I505">
        <v>10337279.779999999</v>
      </c>
      <c r="J505">
        <v>65.510769999999994</v>
      </c>
      <c r="K505">
        <v>10.950996</v>
      </c>
      <c r="L505">
        <v>119.867845</v>
      </c>
      <c r="M505" t="s">
        <v>15</v>
      </c>
      <c r="N505" s="24">
        <f t="shared" si="72"/>
        <v>0.55086800000000002</v>
      </c>
      <c r="O505" s="24">
        <f t="shared" si="73"/>
        <v>0.55086800000000002</v>
      </c>
      <c r="P505">
        <f t="shared" si="74"/>
        <v>3.587005</v>
      </c>
      <c r="Q505">
        <f t="shared" si="75"/>
        <v>4.8181430000000001</v>
      </c>
      <c r="R505">
        <f t="shared" si="76"/>
        <v>10.33728</v>
      </c>
      <c r="S505" s="24">
        <f t="shared" si="77"/>
        <v>65.510000000000005</v>
      </c>
      <c r="T505" s="24">
        <f t="shared" si="78"/>
        <v>10.95</v>
      </c>
      <c r="U505" s="24">
        <f t="shared" si="79"/>
        <v>119.87</v>
      </c>
      <c r="V505" s="24">
        <f>+VLOOKUP(A505,[1]DQS4_AUX!$A:$M,13,FALSE)</f>
        <v>0.55086800000000002</v>
      </c>
      <c r="W505" s="24">
        <f t="shared" si="80"/>
        <v>0</v>
      </c>
    </row>
    <row r="506" spans="1:23" x14ac:dyDescent="0.25">
      <c r="A506" t="str">
        <f t="shared" si="71"/>
        <v>R90.04EU1</v>
      </c>
      <c r="B506" t="s">
        <v>646</v>
      </c>
      <c r="C506" t="s">
        <v>258</v>
      </c>
      <c r="D506" t="s">
        <v>657</v>
      </c>
      <c r="E506">
        <v>110950.83</v>
      </c>
      <c r="F506">
        <v>110950.83</v>
      </c>
      <c r="G506">
        <v>489968.73</v>
      </c>
      <c r="H506">
        <v>1446398.6</v>
      </c>
      <c r="I506">
        <v>2717009.54</v>
      </c>
      <c r="J506">
        <v>8.8549360000000004</v>
      </c>
      <c r="K506">
        <v>1.480219</v>
      </c>
      <c r="L506">
        <v>16.202254</v>
      </c>
      <c r="M506" t="s">
        <v>15</v>
      </c>
      <c r="N506" s="24">
        <f t="shared" si="72"/>
        <v>0.11095099999999999</v>
      </c>
      <c r="O506" s="24">
        <f t="shared" si="73"/>
        <v>0.11095099999999999</v>
      </c>
      <c r="P506">
        <f t="shared" si="74"/>
        <v>0.48996899999999999</v>
      </c>
      <c r="Q506">
        <f t="shared" si="75"/>
        <v>1.446399</v>
      </c>
      <c r="R506">
        <f t="shared" si="76"/>
        <v>2.7170100000000001</v>
      </c>
      <c r="S506" s="24">
        <f t="shared" si="77"/>
        <v>8.85</v>
      </c>
      <c r="T506" s="24">
        <f t="shared" si="78"/>
        <v>1.48</v>
      </c>
      <c r="U506" s="24">
        <f t="shared" si="79"/>
        <v>16.2</v>
      </c>
      <c r="V506" s="24">
        <f>+VLOOKUP(A506,[1]DQS4_AUX!$A:$M,13,FALSE)</f>
        <v>0.11095099999999999</v>
      </c>
      <c r="W506" s="24">
        <f t="shared" si="80"/>
        <v>0</v>
      </c>
    </row>
    <row r="507" spans="1:23" x14ac:dyDescent="0.25">
      <c r="A507" t="str">
        <f t="shared" si="71"/>
        <v>R93.13EU1</v>
      </c>
      <c r="B507" t="s">
        <v>646</v>
      </c>
      <c r="C507" t="s">
        <v>258</v>
      </c>
      <c r="D507" t="s">
        <v>654</v>
      </c>
      <c r="E507">
        <v>3025410.4599999902</v>
      </c>
      <c r="F507">
        <v>3025959.9399999902</v>
      </c>
      <c r="G507">
        <v>16267295.74</v>
      </c>
      <c r="H507">
        <v>18559072.870000001</v>
      </c>
      <c r="I507">
        <v>39587603.640000001</v>
      </c>
      <c r="J507">
        <v>418.63775399999997</v>
      </c>
      <c r="K507">
        <v>69.980847999999995</v>
      </c>
      <c r="L507">
        <v>765.99938799999995</v>
      </c>
      <c r="M507" t="s">
        <v>15</v>
      </c>
      <c r="N507" s="24">
        <f t="shared" si="72"/>
        <v>3.0254099999999999</v>
      </c>
      <c r="O507" s="24">
        <f t="shared" si="73"/>
        <v>3.02596</v>
      </c>
      <c r="P507">
        <f t="shared" si="74"/>
        <v>16.267296000000002</v>
      </c>
      <c r="Q507">
        <f t="shared" si="75"/>
        <v>18.559073000000001</v>
      </c>
      <c r="R507">
        <f t="shared" si="76"/>
        <v>39.587603999999999</v>
      </c>
      <c r="S507" s="24">
        <f t="shared" si="77"/>
        <v>418.64</v>
      </c>
      <c r="T507" s="24">
        <f t="shared" si="78"/>
        <v>69.98</v>
      </c>
      <c r="U507" s="24">
        <f t="shared" si="79"/>
        <v>766</v>
      </c>
      <c r="V507" s="24">
        <f>+VLOOKUP(A507,[1]DQS4_AUX!$A:$M,13,FALSE)</f>
        <v>3.02596</v>
      </c>
      <c r="W507" s="24">
        <f t="shared" si="80"/>
        <v>0</v>
      </c>
    </row>
    <row r="508" spans="1:23" x14ac:dyDescent="0.25">
      <c r="A508" t="str">
        <f t="shared" si="71"/>
        <v>R91.04EU1</v>
      </c>
      <c r="B508" t="s">
        <v>646</v>
      </c>
      <c r="C508" t="s">
        <v>258</v>
      </c>
      <c r="D508" t="s">
        <v>655</v>
      </c>
      <c r="E508">
        <v>7902244.8099999996</v>
      </c>
      <c r="F508">
        <v>7902244.8099999996</v>
      </c>
      <c r="G508">
        <v>28368268.16</v>
      </c>
      <c r="H508">
        <v>29450704.57</v>
      </c>
      <c r="I508">
        <v>50938549.990000002</v>
      </c>
      <c r="J508">
        <v>724.89912000000004</v>
      </c>
      <c r="K508">
        <v>121.176614</v>
      </c>
      <c r="L508">
        <v>1326.378755</v>
      </c>
      <c r="M508" t="s">
        <v>15</v>
      </c>
      <c r="N508" s="24">
        <f t="shared" si="72"/>
        <v>7.9022449999999997</v>
      </c>
      <c r="O508" s="24">
        <f t="shared" si="73"/>
        <v>7.9022449999999997</v>
      </c>
      <c r="P508">
        <f t="shared" si="74"/>
        <v>28.368268</v>
      </c>
      <c r="Q508">
        <f t="shared" si="75"/>
        <v>29.450704999999999</v>
      </c>
      <c r="R508">
        <f t="shared" si="76"/>
        <v>50.938549999999999</v>
      </c>
      <c r="S508" s="24">
        <f t="shared" si="77"/>
        <v>724.9</v>
      </c>
      <c r="T508" s="24">
        <f t="shared" si="78"/>
        <v>121.18</v>
      </c>
      <c r="U508" s="24">
        <f t="shared" si="79"/>
        <v>1326.38</v>
      </c>
      <c r="V508" s="24">
        <f>+VLOOKUP(A508,[1]DQS4_AUX!$A:$M,13,FALSE)</f>
        <v>7.9022449999999997</v>
      </c>
      <c r="W508" s="24">
        <f t="shared" si="80"/>
        <v>0</v>
      </c>
    </row>
    <row r="509" spans="1:23" x14ac:dyDescent="0.25">
      <c r="A509" t="str">
        <f t="shared" si="71"/>
        <v>R91.01EU1</v>
      </c>
      <c r="B509" t="s">
        <v>646</v>
      </c>
      <c r="C509" t="s">
        <v>258</v>
      </c>
      <c r="D509" t="s">
        <v>660</v>
      </c>
      <c r="E509">
        <v>4.37</v>
      </c>
      <c r="F509">
        <v>4.37</v>
      </c>
      <c r="G509">
        <v>5588653.4800000004</v>
      </c>
      <c r="H509">
        <v>10746789.109999999</v>
      </c>
      <c r="I509">
        <v>7763812</v>
      </c>
      <c r="J509">
        <v>0</v>
      </c>
      <c r="K509">
        <v>0</v>
      </c>
      <c r="L509">
        <v>0</v>
      </c>
      <c r="M509" t="s">
        <v>15</v>
      </c>
      <c r="N509" s="24">
        <f t="shared" si="72"/>
        <v>3.9999999999999998E-6</v>
      </c>
      <c r="O509" s="24">
        <f t="shared" si="73"/>
        <v>3.9999999999999998E-6</v>
      </c>
      <c r="P509">
        <f t="shared" si="74"/>
        <v>5.5886529999999999</v>
      </c>
      <c r="Q509">
        <f t="shared" si="75"/>
        <v>10.746789</v>
      </c>
      <c r="R509">
        <f t="shared" si="76"/>
        <v>7.7638119999999997</v>
      </c>
      <c r="S509" s="24">
        <f t="shared" si="77"/>
        <v>0</v>
      </c>
      <c r="T509" s="24">
        <f t="shared" si="78"/>
        <v>0</v>
      </c>
      <c r="U509" s="24">
        <f t="shared" si="79"/>
        <v>0</v>
      </c>
      <c r="V509" s="24">
        <f>+VLOOKUP(A509,[1]DQS4_AUX!$A:$M,13,FALSE)</f>
        <v>3.9999999999999998E-6</v>
      </c>
      <c r="W509" s="24">
        <f t="shared" si="80"/>
        <v>0</v>
      </c>
    </row>
    <row r="510" spans="1:23" x14ac:dyDescent="0.25">
      <c r="A510" t="str">
        <f t="shared" si="71"/>
        <v>R93.19EU1</v>
      </c>
      <c r="B510" t="s">
        <v>646</v>
      </c>
      <c r="C510" t="s">
        <v>258</v>
      </c>
      <c r="D510" t="s">
        <v>652</v>
      </c>
      <c r="E510">
        <v>2947554.1799999899</v>
      </c>
      <c r="F510">
        <v>2948014.4999999902</v>
      </c>
      <c r="G510">
        <v>12821516.17</v>
      </c>
      <c r="H510">
        <v>47706264.740000002</v>
      </c>
      <c r="I510">
        <v>50693280.719999999</v>
      </c>
      <c r="J510">
        <v>275.50117899999998</v>
      </c>
      <c r="K510">
        <v>46.053654000000002</v>
      </c>
      <c r="L510">
        <v>504.09627999999998</v>
      </c>
      <c r="M510" t="s">
        <v>15</v>
      </c>
      <c r="N510" s="24">
        <f t="shared" si="72"/>
        <v>2.9475539999999998</v>
      </c>
      <c r="O510" s="24">
        <f t="shared" si="73"/>
        <v>2.9480140000000001</v>
      </c>
      <c r="P510">
        <f t="shared" si="74"/>
        <v>12.821516000000001</v>
      </c>
      <c r="Q510">
        <f t="shared" si="75"/>
        <v>47.706265000000002</v>
      </c>
      <c r="R510">
        <f t="shared" si="76"/>
        <v>50.693280999999999</v>
      </c>
      <c r="S510" s="24">
        <f t="shared" si="77"/>
        <v>275.5</v>
      </c>
      <c r="T510" s="24">
        <f t="shared" si="78"/>
        <v>46.05</v>
      </c>
      <c r="U510" s="24">
        <f t="shared" si="79"/>
        <v>504.1</v>
      </c>
      <c r="V510" s="24">
        <f>+VLOOKUP(A510,[1]DQS4_AUX!$A:$M,13,FALSE)</f>
        <v>2.9480140000000001</v>
      </c>
      <c r="W510" s="24">
        <f t="shared" si="80"/>
        <v>0</v>
      </c>
    </row>
    <row r="511" spans="1:23" x14ac:dyDescent="0.25">
      <c r="A511" t="str">
        <f t="shared" si="71"/>
        <v>R91.02EU1</v>
      </c>
      <c r="B511" t="s">
        <v>646</v>
      </c>
      <c r="C511" t="s">
        <v>258</v>
      </c>
      <c r="D511" t="s">
        <v>653</v>
      </c>
      <c r="E511">
        <v>1001953.54</v>
      </c>
      <c r="F511">
        <v>1001953.54</v>
      </c>
      <c r="G511">
        <v>1500000</v>
      </c>
      <c r="H511">
        <v>3346788.09</v>
      </c>
      <c r="I511">
        <v>26900945.550000001</v>
      </c>
      <c r="J511">
        <v>386.97010599999999</v>
      </c>
      <c r="K511">
        <v>64.687246000000002</v>
      </c>
      <c r="L511">
        <v>708.05566199999998</v>
      </c>
      <c r="M511" t="s">
        <v>15</v>
      </c>
      <c r="N511" s="24">
        <f t="shared" si="72"/>
        <v>1.001954</v>
      </c>
      <c r="O511" s="24">
        <f t="shared" si="73"/>
        <v>1.001954</v>
      </c>
      <c r="P511">
        <f t="shared" si="74"/>
        <v>1.5</v>
      </c>
      <c r="Q511">
        <f t="shared" si="75"/>
        <v>3.3467880000000001</v>
      </c>
      <c r="R511">
        <f t="shared" si="76"/>
        <v>26.900946000000001</v>
      </c>
      <c r="S511" s="24">
        <f t="shared" si="77"/>
        <v>386.97</v>
      </c>
      <c r="T511" s="24">
        <f t="shared" si="78"/>
        <v>64.69</v>
      </c>
      <c r="U511" s="24">
        <f t="shared" si="79"/>
        <v>708.06</v>
      </c>
      <c r="V511" s="24">
        <f>+VLOOKUP(A511,[1]DQS4_AUX!$A:$M,13,FALSE)</f>
        <v>1.001954</v>
      </c>
      <c r="W511" s="24">
        <f t="shared" si="80"/>
        <v>0</v>
      </c>
    </row>
    <row r="512" spans="1:23" x14ac:dyDescent="0.25">
      <c r="A512" t="str">
        <f t="shared" si="71"/>
        <v>R93.12EU1</v>
      </c>
      <c r="B512" t="s">
        <v>646</v>
      </c>
      <c r="C512" t="s">
        <v>258</v>
      </c>
      <c r="D512" t="s">
        <v>658</v>
      </c>
      <c r="E512">
        <v>71535.86</v>
      </c>
      <c r="F512">
        <v>71535.86</v>
      </c>
      <c r="G512">
        <v>164789</v>
      </c>
      <c r="H512">
        <v>14842981</v>
      </c>
      <c r="I512">
        <v>949562</v>
      </c>
      <c r="J512">
        <v>0.31484800000000002</v>
      </c>
      <c r="K512">
        <v>5.2630000000000003E-2</v>
      </c>
      <c r="L512">
        <v>0.57609200000000005</v>
      </c>
      <c r="M512" t="s">
        <v>15</v>
      </c>
      <c r="N512" s="24">
        <f t="shared" si="72"/>
        <v>7.1536000000000002E-2</v>
      </c>
      <c r="O512" s="24">
        <f t="shared" si="73"/>
        <v>7.1536000000000002E-2</v>
      </c>
      <c r="P512">
        <f t="shared" si="74"/>
        <v>0.16478899999999999</v>
      </c>
      <c r="Q512">
        <f t="shared" si="75"/>
        <v>14.842981</v>
      </c>
      <c r="R512">
        <f t="shared" si="76"/>
        <v>0.94956200000000002</v>
      </c>
      <c r="S512" s="24">
        <f t="shared" si="77"/>
        <v>0.31</v>
      </c>
      <c r="T512" s="24">
        <f t="shared" si="78"/>
        <v>0.05</v>
      </c>
      <c r="U512" s="24">
        <f t="shared" si="79"/>
        <v>0.57999999999999996</v>
      </c>
      <c r="V512" s="24">
        <f>+VLOOKUP(A512,[1]DQS4_AUX!$A:$M,13,FALSE)</f>
        <v>7.1536000000000002E-2</v>
      </c>
      <c r="W512" s="24">
        <f t="shared" si="80"/>
        <v>0</v>
      </c>
    </row>
    <row r="513" spans="1:23" x14ac:dyDescent="0.25">
      <c r="A513" t="str">
        <f t="shared" si="71"/>
        <v>R93.29EU1</v>
      </c>
      <c r="B513" t="s">
        <v>646</v>
      </c>
      <c r="C513" t="s">
        <v>258</v>
      </c>
      <c r="D513" t="s">
        <v>659</v>
      </c>
      <c r="E513">
        <v>11789193.5</v>
      </c>
      <c r="F513">
        <v>11789193.5</v>
      </c>
      <c r="G513">
        <v>113288377.08</v>
      </c>
      <c r="H513">
        <v>94999088.75</v>
      </c>
      <c r="I513">
        <v>94244300.519999996</v>
      </c>
      <c r="J513">
        <v>911.59856000000002</v>
      </c>
      <c r="K513">
        <v>152.38578100000001</v>
      </c>
      <c r="L513">
        <v>1667.9908089999999</v>
      </c>
      <c r="M513" t="s">
        <v>15</v>
      </c>
      <c r="N513" s="24">
        <f t="shared" si="72"/>
        <v>11.789194</v>
      </c>
      <c r="O513" s="24">
        <f t="shared" si="73"/>
        <v>11.789194</v>
      </c>
      <c r="P513">
        <f t="shared" si="74"/>
        <v>113.288377</v>
      </c>
      <c r="Q513">
        <f t="shared" si="75"/>
        <v>94.999088999999998</v>
      </c>
      <c r="R513">
        <f t="shared" si="76"/>
        <v>94.244300999999993</v>
      </c>
      <c r="S513" s="24">
        <f t="shared" si="77"/>
        <v>911.6</v>
      </c>
      <c r="T513" s="24">
        <f t="shared" si="78"/>
        <v>152.38999999999999</v>
      </c>
      <c r="U513" s="24">
        <f t="shared" si="79"/>
        <v>1667.99</v>
      </c>
      <c r="V513" s="24">
        <f>+VLOOKUP(A513,[1]DQS4_AUX!$A:$M,13,FALSE)</f>
        <v>11.789194</v>
      </c>
      <c r="W513" s="24">
        <f t="shared" si="80"/>
        <v>0</v>
      </c>
    </row>
    <row r="514" spans="1:23" x14ac:dyDescent="0.25">
      <c r="A514" t="str">
        <f t="shared" si="71"/>
        <v>R90.02EU1</v>
      </c>
      <c r="B514" t="s">
        <v>646</v>
      </c>
      <c r="C514" t="s">
        <v>258</v>
      </c>
      <c r="D514" t="s">
        <v>651</v>
      </c>
      <c r="E514">
        <v>1582850.1699999899</v>
      </c>
      <c r="F514">
        <v>1583339.21999999</v>
      </c>
      <c r="G514">
        <v>7466035.5599999996</v>
      </c>
      <c r="H514">
        <v>5989384.7699999996</v>
      </c>
      <c r="I514">
        <v>29118860.91</v>
      </c>
      <c r="J514">
        <v>344.27274799999998</v>
      </c>
      <c r="K514">
        <v>57.549768</v>
      </c>
      <c r="L514">
        <v>629.93053399999997</v>
      </c>
      <c r="M514" t="s">
        <v>15</v>
      </c>
      <c r="N514" s="24">
        <f t="shared" si="72"/>
        <v>1.5828500000000001</v>
      </c>
      <c r="O514" s="24">
        <f t="shared" si="73"/>
        <v>1.5833390000000001</v>
      </c>
      <c r="P514">
        <f t="shared" si="74"/>
        <v>7.4660359999999999</v>
      </c>
      <c r="Q514">
        <f t="shared" si="75"/>
        <v>5.9893850000000004</v>
      </c>
      <c r="R514">
        <f t="shared" si="76"/>
        <v>29.118860999999999</v>
      </c>
      <c r="S514" s="24">
        <f t="shared" si="77"/>
        <v>344.27</v>
      </c>
      <c r="T514" s="24">
        <f t="shared" si="78"/>
        <v>57.55</v>
      </c>
      <c r="U514" s="24">
        <f t="shared" si="79"/>
        <v>629.92999999999995</v>
      </c>
      <c r="V514" s="24">
        <f>+VLOOKUP(A514,[1]DQS4_AUX!$A:$M,13,FALSE)</f>
        <v>1.5833390000000001</v>
      </c>
      <c r="W514" s="24">
        <f t="shared" si="80"/>
        <v>0</v>
      </c>
    </row>
    <row r="515" spans="1:23" x14ac:dyDescent="0.25">
      <c r="A515" t="str">
        <f t="shared" ref="A515:A530" si="81">+B515&amp;D515&amp;C515</f>
        <v>S96.01EU1</v>
      </c>
      <c r="B515" t="s">
        <v>662</v>
      </c>
      <c r="C515" t="s">
        <v>258</v>
      </c>
      <c r="D515" t="s">
        <v>663</v>
      </c>
      <c r="E515">
        <v>3665339.5399999898</v>
      </c>
      <c r="F515">
        <v>3666036.3199999901</v>
      </c>
      <c r="G515">
        <v>11933907.9</v>
      </c>
      <c r="H515">
        <v>15142997.380000001</v>
      </c>
      <c r="I515">
        <v>38273497.350000001</v>
      </c>
      <c r="J515">
        <v>446.89256399999999</v>
      </c>
      <c r="K515">
        <v>74.703997000000001</v>
      </c>
      <c r="L515">
        <v>817.69843600000002</v>
      </c>
      <c r="M515" t="s">
        <v>15</v>
      </c>
      <c r="N515" s="24">
        <f t="shared" ref="N515:N530" si="82">+ROUND(E515,0)/1000000</f>
        <v>3.66534</v>
      </c>
      <c r="O515" s="24">
        <f t="shared" ref="O515:O530" si="83">+ROUND(F515,0)/1000000</f>
        <v>3.6660360000000001</v>
      </c>
      <c r="P515">
        <f t="shared" ref="P515:P530" si="84">+ROUND(G515,0)/1000000</f>
        <v>11.933908000000001</v>
      </c>
      <c r="Q515">
        <f t="shared" ref="Q515:Q530" si="85">+ROUND(H515,0)/1000000</f>
        <v>15.142996999999999</v>
      </c>
      <c r="R515">
        <f t="shared" ref="R515:R530" si="86">+ROUND(I515,0)/1000000</f>
        <v>38.273496999999999</v>
      </c>
      <c r="S515" s="24">
        <f t="shared" ref="S515:S530" si="87">+ROUND(J515,2)</f>
        <v>446.89</v>
      </c>
      <c r="T515" s="24">
        <f t="shared" ref="T515:T530" si="88">+ROUND(K515,2)</f>
        <v>74.7</v>
      </c>
      <c r="U515" s="24">
        <f t="shared" ref="U515:U530" si="89">+ROUND(L515,2)</f>
        <v>817.7</v>
      </c>
      <c r="V515" s="24">
        <f>+VLOOKUP(A515,[1]DQS4_AUX!$A:$M,13,FALSE)</f>
        <v>3.6660360000000001</v>
      </c>
      <c r="W515" s="24">
        <f t="shared" ref="W515:W530" si="90">+V515-O515</f>
        <v>0</v>
      </c>
    </row>
    <row r="516" spans="1:23" x14ac:dyDescent="0.25">
      <c r="A516" t="str">
        <f t="shared" si="81"/>
        <v>S96.04EU1</v>
      </c>
      <c r="B516" t="s">
        <v>662</v>
      </c>
      <c r="C516" t="s">
        <v>258</v>
      </c>
      <c r="D516" t="s">
        <v>664</v>
      </c>
      <c r="E516">
        <v>194357.149999999</v>
      </c>
      <c r="F516">
        <v>194480.149999999</v>
      </c>
      <c r="G516">
        <v>447441.17</v>
      </c>
      <c r="H516">
        <v>300192.86</v>
      </c>
      <c r="I516">
        <v>753112.68</v>
      </c>
      <c r="J516">
        <v>9.3716860000000004</v>
      </c>
      <c r="K516">
        <v>1.5665929999999999</v>
      </c>
      <c r="L516">
        <v>17.147786</v>
      </c>
      <c r="M516" t="s">
        <v>15</v>
      </c>
      <c r="N516" s="24">
        <f t="shared" si="82"/>
        <v>0.194357</v>
      </c>
      <c r="O516" s="24">
        <f t="shared" si="83"/>
        <v>0.19447999999999999</v>
      </c>
      <c r="P516">
        <f t="shared" si="84"/>
        <v>0.44744099999999998</v>
      </c>
      <c r="Q516">
        <f t="shared" si="85"/>
        <v>0.30019299999999999</v>
      </c>
      <c r="R516">
        <f t="shared" si="86"/>
        <v>0.75311300000000003</v>
      </c>
      <c r="S516" s="24">
        <f t="shared" si="87"/>
        <v>9.3699999999999992</v>
      </c>
      <c r="T516" s="24">
        <f t="shared" si="88"/>
        <v>1.57</v>
      </c>
      <c r="U516" s="24">
        <f t="shared" si="89"/>
        <v>17.149999999999999</v>
      </c>
      <c r="V516" s="24">
        <f>+VLOOKUP(A516,[1]DQS4_AUX!$A:$M,13,FALSE)</f>
        <v>0.19447999999999999</v>
      </c>
      <c r="W516" s="24">
        <f t="shared" si="90"/>
        <v>0</v>
      </c>
    </row>
    <row r="517" spans="1:23" x14ac:dyDescent="0.25">
      <c r="A517" t="str">
        <f t="shared" si="81"/>
        <v>S95.24EU1</v>
      </c>
      <c r="B517" t="s">
        <v>662</v>
      </c>
      <c r="C517" t="s">
        <v>258</v>
      </c>
      <c r="D517" t="s">
        <v>665</v>
      </c>
      <c r="E517">
        <v>38823.89</v>
      </c>
      <c r="F517">
        <v>38823.89</v>
      </c>
      <c r="G517">
        <v>51881.11</v>
      </c>
      <c r="H517">
        <v>23560.98</v>
      </c>
      <c r="I517">
        <v>486315.75</v>
      </c>
      <c r="J517">
        <v>14.079492</v>
      </c>
      <c r="K517">
        <v>5.1229639999999996</v>
      </c>
      <c r="L517">
        <v>49.210403999999997</v>
      </c>
      <c r="M517" t="s">
        <v>15</v>
      </c>
      <c r="N517" s="24">
        <f t="shared" si="82"/>
        <v>3.8823999999999997E-2</v>
      </c>
      <c r="O517" s="24">
        <f t="shared" si="83"/>
        <v>3.8823999999999997E-2</v>
      </c>
      <c r="P517">
        <f t="shared" si="84"/>
        <v>5.1880999999999997E-2</v>
      </c>
      <c r="Q517">
        <f t="shared" si="85"/>
        <v>2.3560999999999999E-2</v>
      </c>
      <c r="R517">
        <f t="shared" si="86"/>
        <v>0.48631600000000003</v>
      </c>
      <c r="S517" s="24">
        <f t="shared" si="87"/>
        <v>14.08</v>
      </c>
      <c r="T517" s="24">
        <f t="shared" si="88"/>
        <v>5.12</v>
      </c>
      <c r="U517" s="24">
        <f t="shared" si="89"/>
        <v>49.21</v>
      </c>
      <c r="V517" s="24">
        <f>+VLOOKUP(A517,[1]DQS4_AUX!$A:$M,13,FALSE)</f>
        <v>3.8823999999999997E-2</v>
      </c>
      <c r="W517" s="24">
        <f t="shared" si="90"/>
        <v>0</v>
      </c>
    </row>
    <row r="518" spans="1:23" x14ac:dyDescent="0.25">
      <c r="A518" t="str">
        <f t="shared" si="81"/>
        <v>S94.11EU1</v>
      </c>
      <c r="B518" t="s">
        <v>662</v>
      </c>
      <c r="C518" t="s">
        <v>258</v>
      </c>
      <c r="D518" t="s">
        <v>666</v>
      </c>
      <c r="E518">
        <v>1829995</v>
      </c>
      <c r="F518">
        <v>1829995</v>
      </c>
      <c r="G518">
        <v>6919547.8799999999</v>
      </c>
      <c r="H518">
        <v>22692724.100000001</v>
      </c>
      <c r="I518">
        <v>12251318.99</v>
      </c>
      <c r="J518">
        <v>75.902885999999995</v>
      </c>
      <c r="K518">
        <v>12.688181</v>
      </c>
      <c r="L518">
        <v>138.88274000000001</v>
      </c>
      <c r="M518" t="s">
        <v>15</v>
      </c>
      <c r="N518" s="24">
        <f t="shared" si="82"/>
        <v>1.829995</v>
      </c>
      <c r="O518" s="24">
        <f t="shared" si="83"/>
        <v>1.829995</v>
      </c>
      <c r="P518">
        <f t="shared" si="84"/>
        <v>6.9195479999999998</v>
      </c>
      <c r="Q518">
        <f t="shared" si="85"/>
        <v>22.692723999999998</v>
      </c>
      <c r="R518">
        <f t="shared" si="86"/>
        <v>12.251319000000001</v>
      </c>
      <c r="S518" s="24">
        <f t="shared" si="87"/>
        <v>75.900000000000006</v>
      </c>
      <c r="T518" s="24">
        <f t="shared" si="88"/>
        <v>12.69</v>
      </c>
      <c r="U518" s="24">
        <f t="shared" si="89"/>
        <v>138.88</v>
      </c>
      <c r="V518" s="24">
        <f>+VLOOKUP(A518,[1]DQS4_AUX!$A:$M,13,FALSE)</f>
        <v>1.829995</v>
      </c>
      <c r="W518" s="24">
        <f t="shared" si="90"/>
        <v>0</v>
      </c>
    </row>
    <row r="519" spans="1:23" x14ac:dyDescent="0.25">
      <c r="A519" t="str">
        <f t="shared" si="81"/>
        <v>S96.03EU1</v>
      </c>
      <c r="B519" t="s">
        <v>662</v>
      </c>
      <c r="C519" t="s">
        <v>258</v>
      </c>
      <c r="D519" t="s">
        <v>671</v>
      </c>
      <c r="E519">
        <v>1851361.26</v>
      </c>
      <c r="F519">
        <v>1851361.26</v>
      </c>
      <c r="G519">
        <v>5916360.0999999996</v>
      </c>
      <c r="H519">
        <v>18440624.260000002</v>
      </c>
      <c r="I519">
        <v>25559917.609999999</v>
      </c>
      <c r="J519">
        <v>190.62498299999999</v>
      </c>
      <c r="K519">
        <v>31.865462000000001</v>
      </c>
      <c r="L519">
        <v>348.79468200000002</v>
      </c>
      <c r="M519" t="s">
        <v>15</v>
      </c>
      <c r="N519" s="24">
        <f t="shared" si="82"/>
        <v>1.851361</v>
      </c>
      <c r="O519" s="24">
        <f t="shared" si="83"/>
        <v>1.851361</v>
      </c>
      <c r="P519">
        <f t="shared" si="84"/>
        <v>5.9163600000000001</v>
      </c>
      <c r="Q519">
        <f t="shared" si="85"/>
        <v>18.440624</v>
      </c>
      <c r="R519">
        <f t="shared" si="86"/>
        <v>25.559918</v>
      </c>
      <c r="S519" s="24">
        <f t="shared" si="87"/>
        <v>190.62</v>
      </c>
      <c r="T519" s="24">
        <f t="shared" si="88"/>
        <v>31.87</v>
      </c>
      <c r="U519" s="24">
        <f t="shared" si="89"/>
        <v>348.79</v>
      </c>
      <c r="V519" s="24">
        <f>+VLOOKUP(A519,[1]DQS4_AUX!$A:$M,13,FALSE)</f>
        <v>1.851361</v>
      </c>
      <c r="W519" s="24">
        <f t="shared" si="90"/>
        <v>0</v>
      </c>
    </row>
    <row r="520" spans="1:23" x14ac:dyDescent="0.25">
      <c r="A520" t="str">
        <f t="shared" si="81"/>
        <v>S96.09EU1</v>
      </c>
      <c r="B520" t="s">
        <v>662</v>
      </c>
      <c r="C520" t="s">
        <v>258</v>
      </c>
      <c r="D520" t="s">
        <v>672</v>
      </c>
      <c r="E520">
        <v>7331279.3199999901</v>
      </c>
      <c r="F520">
        <v>7331461.8499999903</v>
      </c>
      <c r="G520">
        <v>1944906.64</v>
      </c>
      <c r="H520">
        <v>9426525.0500000007</v>
      </c>
      <c r="I520">
        <v>15412025.6</v>
      </c>
      <c r="J520">
        <v>632.11345800000004</v>
      </c>
      <c r="K520">
        <v>105.666212</v>
      </c>
      <c r="L520">
        <v>1156.604916</v>
      </c>
      <c r="M520" t="s">
        <v>15</v>
      </c>
      <c r="N520" s="24">
        <f t="shared" si="82"/>
        <v>7.3312790000000003</v>
      </c>
      <c r="O520" s="24">
        <f t="shared" si="83"/>
        <v>7.3314620000000001</v>
      </c>
      <c r="P520">
        <f t="shared" si="84"/>
        <v>1.9449069999999999</v>
      </c>
      <c r="Q520">
        <f t="shared" si="85"/>
        <v>9.4265249999999998</v>
      </c>
      <c r="R520">
        <f t="shared" si="86"/>
        <v>15.412025999999999</v>
      </c>
      <c r="S520" s="24">
        <f t="shared" si="87"/>
        <v>632.11</v>
      </c>
      <c r="T520" s="24">
        <f t="shared" si="88"/>
        <v>105.67</v>
      </c>
      <c r="U520" s="24">
        <f t="shared" si="89"/>
        <v>1156.5999999999999</v>
      </c>
      <c r="V520" s="24">
        <f>+VLOOKUP(A520,[1]DQS4_AUX!$A:$M,13,FALSE)</f>
        <v>7.3314620000000001</v>
      </c>
      <c r="W520" s="24">
        <f t="shared" si="90"/>
        <v>0</v>
      </c>
    </row>
    <row r="521" spans="1:23" x14ac:dyDescent="0.25">
      <c r="A521" t="str">
        <f t="shared" si="81"/>
        <v>S95.22EU1</v>
      </c>
      <c r="B521" t="s">
        <v>662</v>
      </c>
      <c r="C521" t="s">
        <v>258</v>
      </c>
      <c r="D521" t="s">
        <v>667</v>
      </c>
      <c r="E521">
        <v>300264.59000000003</v>
      </c>
      <c r="F521">
        <v>300264.59000000003</v>
      </c>
      <c r="G521">
        <v>955556.38</v>
      </c>
      <c r="H521">
        <v>1626003.79</v>
      </c>
      <c r="I521">
        <v>5248194.87</v>
      </c>
      <c r="J521">
        <v>20.547833000000001</v>
      </c>
      <c r="K521">
        <v>11.169953</v>
      </c>
      <c r="L521">
        <v>182.958088</v>
      </c>
      <c r="M521" t="s">
        <v>15</v>
      </c>
      <c r="N521" s="24">
        <f t="shared" si="82"/>
        <v>0.300265</v>
      </c>
      <c r="O521" s="24">
        <f t="shared" si="83"/>
        <v>0.300265</v>
      </c>
      <c r="P521">
        <f t="shared" si="84"/>
        <v>0.95555599999999996</v>
      </c>
      <c r="Q521">
        <f t="shared" si="85"/>
        <v>1.626004</v>
      </c>
      <c r="R521">
        <f t="shared" si="86"/>
        <v>5.2481949999999999</v>
      </c>
      <c r="S521" s="24">
        <f t="shared" si="87"/>
        <v>20.55</v>
      </c>
      <c r="T521" s="24">
        <f t="shared" si="88"/>
        <v>11.17</v>
      </c>
      <c r="U521" s="24">
        <f t="shared" si="89"/>
        <v>182.96</v>
      </c>
      <c r="V521" s="24">
        <f>+VLOOKUP(A521,[1]DQS4_AUX!$A:$M,13,FALSE)</f>
        <v>0.300265</v>
      </c>
      <c r="W521" s="24">
        <f t="shared" si="90"/>
        <v>0</v>
      </c>
    </row>
    <row r="522" spans="1:23" x14ac:dyDescent="0.25">
      <c r="A522" t="str">
        <f t="shared" si="81"/>
        <v>S95.11EU1</v>
      </c>
      <c r="B522" t="s">
        <v>662</v>
      </c>
      <c r="C522" t="s">
        <v>258</v>
      </c>
      <c r="D522" t="s">
        <v>668</v>
      </c>
      <c r="E522">
        <v>1791490.46</v>
      </c>
      <c r="F522">
        <v>1791490.46</v>
      </c>
      <c r="G522">
        <v>6689500.2400000002</v>
      </c>
      <c r="H522">
        <v>10605124.539999999</v>
      </c>
      <c r="I522">
        <v>22267014.949999999</v>
      </c>
      <c r="J522">
        <v>62.208488000000003</v>
      </c>
      <c r="K522">
        <v>27.947337000000001</v>
      </c>
      <c r="L522">
        <v>348.44701099999997</v>
      </c>
      <c r="M522" t="s">
        <v>15</v>
      </c>
      <c r="N522" s="24">
        <f t="shared" si="82"/>
        <v>1.79149</v>
      </c>
      <c r="O522" s="24">
        <f t="shared" si="83"/>
        <v>1.79149</v>
      </c>
      <c r="P522">
        <f t="shared" si="84"/>
        <v>6.6894999999999998</v>
      </c>
      <c r="Q522">
        <f t="shared" si="85"/>
        <v>10.605124999999999</v>
      </c>
      <c r="R522">
        <f t="shared" si="86"/>
        <v>22.267015000000001</v>
      </c>
      <c r="S522" s="24">
        <f t="shared" si="87"/>
        <v>62.21</v>
      </c>
      <c r="T522" s="24">
        <f t="shared" si="88"/>
        <v>27.95</v>
      </c>
      <c r="U522" s="24">
        <f t="shared" si="89"/>
        <v>348.45</v>
      </c>
      <c r="V522" s="24">
        <f>+VLOOKUP(A522,[1]DQS4_AUX!$A:$M,13,FALSE)</f>
        <v>1.79149</v>
      </c>
      <c r="W522" s="24">
        <f t="shared" si="90"/>
        <v>0</v>
      </c>
    </row>
    <row r="523" spans="1:23" x14ac:dyDescent="0.25">
      <c r="A523" t="str">
        <f t="shared" si="81"/>
        <v>S95.21EU1</v>
      </c>
      <c r="B523" t="s">
        <v>662</v>
      </c>
      <c r="C523" t="s">
        <v>258</v>
      </c>
      <c r="D523" t="s">
        <v>673</v>
      </c>
      <c r="E523">
        <v>128778.26</v>
      </c>
      <c r="F523">
        <v>128778.26</v>
      </c>
      <c r="G523">
        <v>279631.7</v>
      </c>
      <c r="H523">
        <v>246312.12</v>
      </c>
      <c r="I523">
        <v>1245192.74</v>
      </c>
      <c r="J523">
        <v>11.379911</v>
      </c>
      <c r="K523">
        <v>5.4053560000000003</v>
      </c>
      <c r="L523">
        <v>51.769345000000001</v>
      </c>
      <c r="M523" t="s">
        <v>15</v>
      </c>
      <c r="N523" s="24">
        <f t="shared" si="82"/>
        <v>0.128778</v>
      </c>
      <c r="O523" s="24">
        <f t="shared" si="83"/>
        <v>0.128778</v>
      </c>
      <c r="P523">
        <f t="shared" si="84"/>
        <v>0.27963199999999999</v>
      </c>
      <c r="Q523">
        <f t="shared" si="85"/>
        <v>0.246312</v>
      </c>
      <c r="R523">
        <f t="shared" si="86"/>
        <v>1.245193</v>
      </c>
      <c r="S523" s="24">
        <f t="shared" si="87"/>
        <v>11.38</v>
      </c>
      <c r="T523" s="24">
        <f t="shared" si="88"/>
        <v>5.41</v>
      </c>
      <c r="U523" s="24">
        <f t="shared" si="89"/>
        <v>51.77</v>
      </c>
      <c r="V523" s="24">
        <f>+VLOOKUP(A523,[1]DQS4_AUX!$A:$M,13,FALSE)</f>
        <v>0.128778</v>
      </c>
      <c r="W523" s="24">
        <f t="shared" si="90"/>
        <v>0</v>
      </c>
    </row>
    <row r="524" spans="1:23" x14ac:dyDescent="0.25">
      <c r="A524" t="str">
        <f t="shared" si="81"/>
        <v>S94.99EU1</v>
      </c>
      <c r="B524" t="s">
        <v>662</v>
      </c>
      <c r="C524" t="s">
        <v>258</v>
      </c>
      <c r="D524" t="s">
        <v>675</v>
      </c>
      <c r="E524">
        <v>77886.929999999993</v>
      </c>
      <c r="F524">
        <v>77886.929999999993</v>
      </c>
      <c r="G524">
        <v>4516102.97</v>
      </c>
      <c r="H524">
        <v>24271662.539999999</v>
      </c>
      <c r="I524">
        <v>28769788.940000001</v>
      </c>
      <c r="J524">
        <v>3.2530359999999998</v>
      </c>
      <c r="K524">
        <v>0.54378599999999999</v>
      </c>
      <c r="L524">
        <v>5.9522180000000002</v>
      </c>
      <c r="M524" t="s">
        <v>15</v>
      </c>
      <c r="N524" s="24">
        <f t="shared" si="82"/>
        <v>7.7886999999999998E-2</v>
      </c>
      <c r="O524" s="24">
        <f t="shared" si="83"/>
        <v>7.7886999999999998E-2</v>
      </c>
      <c r="P524">
        <f t="shared" si="84"/>
        <v>4.5161030000000002</v>
      </c>
      <c r="Q524">
        <f t="shared" si="85"/>
        <v>24.271663</v>
      </c>
      <c r="R524">
        <f t="shared" si="86"/>
        <v>28.769788999999999</v>
      </c>
      <c r="S524" s="24">
        <f t="shared" si="87"/>
        <v>3.25</v>
      </c>
      <c r="T524" s="24">
        <f t="shared" si="88"/>
        <v>0.54</v>
      </c>
      <c r="U524" s="24">
        <f t="shared" si="89"/>
        <v>5.95</v>
      </c>
      <c r="V524" s="24">
        <f>+VLOOKUP(A524,[1]DQS4_AUX!$A:$M,13,FALSE)</f>
        <v>7.7886999999999998E-2</v>
      </c>
      <c r="W524" s="24">
        <f t="shared" si="90"/>
        <v>0</v>
      </c>
    </row>
    <row r="525" spans="1:23" x14ac:dyDescent="0.25">
      <c r="A525" t="str">
        <f t="shared" si="81"/>
        <v>S95.29EU1</v>
      </c>
      <c r="B525" t="s">
        <v>662</v>
      </c>
      <c r="C525" t="s">
        <v>258</v>
      </c>
      <c r="D525" t="s">
        <v>669</v>
      </c>
      <c r="E525">
        <v>62672.34</v>
      </c>
      <c r="F525">
        <v>62672.34</v>
      </c>
      <c r="G525">
        <v>452247.91</v>
      </c>
      <c r="H525">
        <v>522134.62</v>
      </c>
      <c r="I525">
        <v>4897009.25</v>
      </c>
      <c r="J525">
        <v>19.948658999999999</v>
      </c>
      <c r="K525">
        <v>7.2585230000000003</v>
      </c>
      <c r="L525">
        <v>69.724202000000005</v>
      </c>
      <c r="M525" t="s">
        <v>15</v>
      </c>
      <c r="N525" s="24">
        <f t="shared" si="82"/>
        <v>6.2672000000000005E-2</v>
      </c>
      <c r="O525" s="24">
        <f t="shared" si="83"/>
        <v>6.2672000000000005E-2</v>
      </c>
      <c r="P525">
        <f t="shared" si="84"/>
        <v>0.45224799999999998</v>
      </c>
      <c r="Q525">
        <f t="shared" si="85"/>
        <v>0.52213500000000002</v>
      </c>
      <c r="R525">
        <f t="shared" si="86"/>
        <v>4.8970089999999997</v>
      </c>
      <c r="S525" s="24">
        <f t="shared" si="87"/>
        <v>19.95</v>
      </c>
      <c r="T525" s="24">
        <f t="shared" si="88"/>
        <v>7.26</v>
      </c>
      <c r="U525" s="24">
        <f t="shared" si="89"/>
        <v>69.72</v>
      </c>
      <c r="V525" s="24">
        <f>+VLOOKUP(A525,[1]DQS4_AUX!$A:$M,13,FALSE)</f>
        <v>6.2672000000000005E-2</v>
      </c>
      <c r="W525" s="24">
        <f t="shared" si="90"/>
        <v>0</v>
      </c>
    </row>
    <row r="526" spans="1:23" x14ac:dyDescent="0.25">
      <c r="A526" t="str">
        <f t="shared" si="81"/>
        <v>S96.02EU1</v>
      </c>
      <c r="B526" t="s">
        <v>662</v>
      </c>
      <c r="C526" t="s">
        <v>258</v>
      </c>
      <c r="D526" t="s">
        <v>670</v>
      </c>
      <c r="E526">
        <v>2610254.5399999898</v>
      </c>
      <c r="F526">
        <v>2610711.9299999899</v>
      </c>
      <c r="G526">
        <v>9130681.6899999995</v>
      </c>
      <c r="H526">
        <v>7031909.3300000001</v>
      </c>
      <c r="I526">
        <v>27277721.879999999</v>
      </c>
      <c r="J526">
        <v>471.120294</v>
      </c>
      <c r="K526">
        <v>78.753958999999995</v>
      </c>
      <c r="L526">
        <v>862.02894200000003</v>
      </c>
      <c r="M526" t="s">
        <v>15</v>
      </c>
      <c r="N526" s="24">
        <f t="shared" si="82"/>
        <v>2.610255</v>
      </c>
      <c r="O526" s="24">
        <f t="shared" si="83"/>
        <v>2.6107119999999999</v>
      </c>
      <c r="P526">
        <f t="shared" si="84"/>
        <v>9.1306820000000002</v>
      </c>
      <c r="Q526">
        <f t="shared" si="85"/>
        <v>7.0319089999999997</v>
      </c>
      <c r="R526">
        <f t="shared" si="86"/>
        <v>27.277722000000001</v>
      </c>
      <c r="S526" s="24">
        <f t="shared" si="87"/>
        <v>471.12</v>
      </c>
      <c r="T526" s="24">
        <f t="shared" si="88"/>
        <v>78.75</v>
      </c>
      <c r="U526" s="24">
        <f t="shared" si="89"/>
        <v>862.03</v>
      </c>
      <c r="V526" s="24">
        <f>+VLOOKUP(A526,[1]DQS4_AUX!$A:$M,13,FALSE)</f>
        <v>2.6107119999999999</v>
      </c>
      <c r="W526" s="24">
        <f t="shared" si="90"/>
        <v>0</v>
      </c>
    </row>
    <row r="527" spans="1:23" x14ac:dyDescent="0.25">
      <c r="A527" t="str">
        <f t="shared" si="81"/>
        <v>S95.23EU1</v>
      </c>
      <c r="B527" t="s">
        <v>662</v>
      </c>
      <c r="C527" t="s">
        <v>258</v>
      </c>
      <c r="D527" t="s">
        <v>674</v>
      </c>
      <c r="E527">
        <v>200538.26</v>
      </c>
      <c r="F527">
        <v>200538.26</v>
      </c>
      <c r="G527">
        <v>326389.40000000002</v>
      </c>
      <c r="H527">
        <v>851171.56</v>
      </c>
      <c r="I527">
        <v>1823669.78</v>
      </c>
      <c r="J527">
        <v>11.621415000000001</v>
      </c>
      <c r="K527">
        <v>5.5200690000000003</v>
      </c>
      <c r="L527">
        <v>52.867986000000002</v>
      </c>
      <c r="M527" t="s">
        <v>15</v>
      </c>
      <c r="N527" s="24">
        <f t="shared" si="82"/>
        <v>0.20053799999999999</v>
      </c>
      <c r="O527" s="24">
        <f t="shared" si="83"/>
        <v>0.20053799999999999</v>
      </c>
      <c r="P527">
        <f t="shared" si="84"/>
        <v>0.32638899999999998</v>
      </c>
      <c r="Q527">
        <f t="shared" si="85"/>
        <v>0.85117200000000004</v>
      </c>
      <c r="R527">
        <f t="shared" si="86"/>
        <v>1.8236699999999999</v>
      </c>
      <c r="S527" s="24">
        <f t="shared" si="87"/>
        <v>11.62</v>
      </c>
      <c r="T527" s="24">
        <f t="shared" si="88"/>
        <v>5.52</v>
      </c>
      <c r="U527" s="24">
        <f t="shared" si="89"/>
        <v>52.87</v>
      </c>
      <c r="V527" s="24">
        <f>+VLOOKUP(A527,[1]DQS4_AUX!$A:$M,13,FALSE)</f>
        <v>0.20053799999999999</v>
      </c>
      <c r="W527" s="24">
        <f t="shared" si="90"/>
        <v>0</v>
      </c>
    </row>
    <row r="528" spans="1:23" x14ac:dyDescent="0.25">
      <c r="A528" t="str">
        <f t="shared" si="81"/>
        <v>S95.12EU1</v>
      </c>
      <c r="B528" t="s">
        <v>662</v>
      </c>
      <c r="C528" t="s">
        <v>258</v>
      </c>
      <c r="D528" t="s">
        <v>676</v>
      </c>
      <c r="E528">
        <v>181136.45</v>
      </c>
      <c r="F528">
        <v>181136.45</v>
      </c>
      <c r="G528">
        <v>543597.48</v>
      </c>
      <c r="H528">
        <v>2586300.71</v>
      </c>
      <c r="I528">
        <v>18007937.719999999</v>
      </c>
      <c r="J528">
        <v>83.985239000000007</v>
      </c>
      <c r="K528">
        <v>45.655025000000002</v>
      </c>
      <c r="L528">
        <v>747.80495599999995</v>
      </c>
      <c r="M528" t="s">
        <v>15</v>
      </c>
      <c r="N528" s="24">
        <f t="shared" si="82"/>
        <v>0.18113599999999999</v>
      </c>
      <c r="O528" s="24">
        <f t="shared" si="83"/>
        <v>0.18113599999999999</v>
      </c>
      <c r="P528">
        <f t="shared" si="84"/>
        <v>0.543597</v>
      </c>
      <c r="Q528">
        <f t="shared" si="85"/>
        <v>2.5863010000000002</v>
      </c>
      <c r="R528">
        <f t="shared" si="86"/>
        <v>18.007937999999999</v>
      </c>
      <c r="S528" s="24">
        <f t="shared" si="87"/>
        <v>83.99</v>
      </c>
      <c r="T528" s="24">
        <f t="shared" si="88"/>
        <v>45.66</v>
      </c>
      <c r="U528" s="24">
        <f t="shared" si="89"/>
        <v>747.8</v>
      </c>
      <c r="V528" s="24">
        <f>+VLOOKUP(A528,[1]DQS4_AUX!$A:$M,13,FALSE)</f>
        <v>0.18113599999999999</v>
      </c>
      <c r="W528" s="24">
        <f t="shared" si="90"/>
        <v>0</v>
      </c>
    </row>
    <row r="529" spans="1:23" x14ac:dyDescent="0.25">
      <c r="A529" t="str">
        <f t="shared" si="81"/>
        <v>T98.10EU1</v>
      </c>
      <c r="B529" t="s">
        <v>677</v>
      </c>
      <c r="C529" t="s">
        <v>258</v>
      </c>
      <c r="D529" t="s">
        <v>678</v>
      </c>
      <c r="E529">
        <v>52086.45</v>
      </c>
      <c r="F529">
        <v>52086.45</v>
      </c>
      <c r="G529">
        <v>372919.5</v>
      </c>
      <c r="H529">
        <v>140832.92000000001</v>
      </c>
      <c r="I529">
        <v>561442.55000000005</v>
      </c>
      <c r="J529">
        <v>5.7922830000000003</v>
      </c>
      <c r="K529">
        <v>0.96825499999999998</v>
      </c>
      <c r="L529">
        <v>10.598388</v>
      </c>
      <c r="M529" t="s">
        <v>15</v>
      </c>
      <c r="N529" s="24">
        <f t="shared" si="82"/>
        <v>5.2086E-2</v>
      </c>
      <c r="O529" s="24">
        <f t="shared" si="83"/>
        <v>5.2086E-2</v>
      </c>
      <c r="P529">
        <f t="shared" si="84"/>
        <v>0.37291999999999997</v>
      </c>
      <c r="Q529">
        <f t="shared" si="85"/>
        <v>0.14083300000000001</v>
      </c>
      <c r="R529">
        <f t="shared" si="86"/>
        <v>0.56144300000000003</v>
      </c>
      <c r="S529" s="24">
        <f t="shared" si="87"/>
        <v>5.79</v>
      </c>
      <c r="T529" s="24">
        <f t="shared" si="88"/>
        <v>0.97</v>
      </c>
      <c r="U529" s="24">
        <f t="shared" si="89"/>
        <v>10.6</v>
      </c>
      <c r="V529" s="24">
        <f>+VLOOKUP(A529,[1]DQS4_AUX!$A:$M,13,FALSE)</f>
        <v>5.2086E-2</v>
      </c>
      <c r="W529" s="24">
        <f t="shared" si="90"/>
        <v>0</v>
      </c>
    </row>
    <row r="530" spans="1:23" x14ac:dyDescent="0.25">
      <c r="A530" t="str">
        <f t="shared" si="81"/>
        <v>U99.00EU1</v>
      </c>
      <c r="B530" t="s">
        <v>679</v>
      </c>
      <c r="C530" t="s">
        <v>258</v>
      </c>
      <c r="D530" t="s">
        <v>680</v>
      </c>
      <c r="E530">
        <v>153986.26</v>
      </c>
      <c r="F530">
        <v>153986.26</v>
      </c>
      <c r="G530">
        <v>3162488.65</v>
      </c>
      <c r="H530">
        <v>5653652.8499999996</v>
      </c>
      <c r="I530">
        <v>16973385.469999999</v>
      </c>
      <c r="J530">
        <v>27.651768000000001</v>
      </c>
      <c r="K530">
        <v>4.6222649999999996</v>
      </c>
      <c r="L530">
        <v>50.595709999999997</v>
      </c>
      <c r="M530" t="s">
        <v>15</v>
      </c>
      <c r="N530" s="24">
        <f t="shared" si="82"/>
        <v>0.15398600000000001</v>
      </c>
      <c r="O530" s="24">
        <f t="shared" si="83"/>
        <v>0.15398600000000001</v>
      </c>
      <c r="P530">
        <f t="shared" si="84"/>
        <v>3.1624889999999999</v>
      </c>
      <c r="Q530">
        <f t="shared" si="85"/>
        <v>5.6536530000000003</v>
      </c>
      <c r="R530">
        <f t="shared" si="86"/>
        <v>16.973385</v>
      </c>
      <c r="S530" s="24">
        <f t="shared" si="87"/>
        <v>27.65</v>
      </c>
      <c r="T530" s="24">
        <f t="shared" si="88"/>
        <v>4.62</v>
      </c>
      <c r="U530" s="24">
        <f t="shared" si="89"/>
        <v>50.6</v>
      </c>
      <c r="V530" s="24">
        <f>+VLOOKUP(A530,[1]DQS4_AUX!$A:$M,13,FALSE)</f>
        <v>0.15398600000000001</v>
      </c>
      <c r="W530" s="24">
        <f t="shared" si="90"/>
        <v>0</v>
      </c>
    </row>
  </sheetData>
  <autoFilter ref="B1:M530">
    <sortState ref="B2:M530">
      <sortCondition ref="B1:B530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555"/>
  <sheetViews>
    <sheetView zoomScale="75" workbookViewId="0">
      <selection activeCell="E1" sqref="E1"/>
    </sheetView>
  </sheetViews>
  <sheetFormatPr defaultColWidth="11.42578125" defaultRowHeight="15" x14ac:dyDescent="0.25"/>
  <cols>
    <col min="1" max="1" width="6.28515625" customWidth="1"/>
    <col min="2" max="2" width="20.7109375" customWidth="1"/>
    <col min="3" max="3" width="15.42578125" bestFit="1" customWidth="1"/>
    <col min="4" max="4" width="21.28515625" customWidth="1"/>
    <col min="5" max="7" width="26.85546875" customWidth="1"/>
    <col min="8" max="10" width="24.28515625" customWidth="1"/>
  </cols>
  <sheetData>
    <row r="1" spans="2:10" ht="15.75" thickBot="1" x14ac:dyDescent="0.3"/>
    <row r="2" spans="2:10" ht="18.75" x14ac:dyDescent="0.25">
      <c r="B2" s="17" t="s">
        <v>26</v>
      </c>
      <c r="C2" s="18"/>
      <c r="D2" s="19"/>
      <c r="E2" s="6"/>
      <c r="F2" s="6"/>
      <c r="G2" s="6"/>
      <c r="H2" s="6"/>
      <c r="I2" s="6"/>
      <c r="J2" s="6"/>
    </row>
    <row r="3" spans="2:10" ht="36" customHeight="1" thickBot="1" x14ac:dyDescent="0.3">
      <c r="B3" s="20"/>
      <c r="C3" s="21"/>
      <c r="D3" s="22"/>
      <c r="E3" s="6"/>
      <c r="F3" s="6"/>
      <c r="G3" s="6"/>
      <c r="H3" s="6"/>
      <c r="I3" s="6"/>
      <c r="J3" s="6"/>
    </row>
    <row r="4" spans="2:10" ht="18.75" x14ac:dyDescent="0.25">
      <c r="B4" s="6"/>
      <c r="C4" s="6"/>
      <c r="D4" s="6"/>
      <c r="E4" s="6"/>
      <c r="F4" s="6"/>
      <c r="G4" s="6"/>
      <c r="H4" s="6"/>
      <c r="I4" s="6"/>
      <c r="J4" s="6"/>
    </row>
    <row r="5" spans="2:10" ht="18.75" x14ac:dyDescent="0.25">
      <c r="B5" s="6"/>
      <c r="C5" s="6"/>
      <c r="D5" s="6"/>
      <c r="E5" s="6"/>
      <c r="F5" s="6"/>
      <c r="G5" s="6"/>
      <c r="H5" s="6"/>
      <c r="I5" s="6"/>
      <c r="J5" s="6"/>
    </row>
    <row r="6" spans="2:10" ht="18.75" x14ac:dyDescent="0.25">
      <c r="B6" s="6"/>
      <c r="C6" s="6"/>
      <c r="D6" s="6"/>
      <c r="E6" s="6"/>
      <c r="F6" s="6"/>
      <c r="G6" s="6"/>
      <c r="H6" s="6"/>
      <c r="I6" s="6"/>
      <c r="J6" s="6"/>
    </row>
    <row r="7" spans="2:10" ht="19.5" thickBot="1" x14ac:dyDescent="0.3">
      <c r="B7" s="6"/>
      <c r="C7" s="6"/>
      <c r="D7" s="13">
        <f>+SUM(D9:D553)</f>
        <v>2436.6059690000006</v>
      </c>
      <c r="E7" s="23" t="s">
        <v>24</v>
      </c>
      <c r="F7" s="23"/>
      <c r="G7" s="23"/>
      <c r="H7" s="13">
        <f t="shared" ref="H7:J7" si="0">+SUM(H9:H553)</f>
        <v>193024.78000000006</v>
      </c>
      <c r="I7" s="13">
        <f t="shared" si="0"/>
        <v>26692.490000000023</v>
      </c>
      <c r="J7" s="13">
        <f t="shared" si="0"/>
        <v>298279.65000000002</v>
      </c>
    </row>
    <row r="8" spans="2:10" s="1" customFormat="1" ht="39.75" customHeight="1" thickBot="1" x14ac:dyDescent="0.3">
      <c r="B8" s="2" t="s">
        <v>14</v>
      </c>
      <c r="C8" s="3" t="s">
        <v>9</v>
      </c>
      <c r="D8" s="3" t="s">
        <v>22</v>
      </c>
      <c r="E8" s="4" t="s">
        <v>13</v>
      </c>
      <c r="F8" s="4" t="s">
        <v>12</v>
      </c>
      <c r="G8" s="4" t="s">
        <v>11</v>
      </c>
      <c r="H8" s="3" t="s">
        <v>2</v>
      </c>
      <c r="I8" s="3" t="s">
        <v>1</v>
      </c>
      <c r="J8" s="5" t="s">
        <v>0</v>
      </c>
    </row>
    <row r="9" spans="2:10" ht="18.75" x14ac:dyDescent="0.25">
      <c r="B9" s="7" t="s">
        <v>15</v>
      </c>
      <c r="C9" s="7" t="s">
        <v>483</v>
      </c>
      <c r="D9" s="12">
        <v>1.7555620000000001</v>
      </c>
      <c r="E9" s="7"/>
      <c r="F9" s="7"/>
      <c r="G9" s="7"/>
      <c r="H9" s="12">
        <v>55.72</v>
      </c>
      <c r="I9" s="12">
        <v>26.47</v>
      </c>
      <c r="J9" s="12">
        <v>253.5</v>
      </c>
    </row>
    <row r="10" spans="2:10" ht="18.75" x14ac:dyDescent="0.25">
      <c r="B10" s="7" t="s">
        <v>15</v>
      </c>
      <c r="C10" s="7" t="s">
        <v>484</v>
      </c>
      <c r="D10" s="12">
        <v>0.371249</v>
      </c>
      <c r="E10" s="7"/>
      <c r="F10" s="7"/>
      <c r="G10" s="7"/>
      <c r="H10" s="12">
        <v>11.78</v>
      </c>
      <c r="I10" s="12">
        <v>5.6</v>
      </c>
      <c r="J10" s="12">
        <v>53.61</v>
      </c>
    </row>
    <row r="11" spans="2:10" ht="18.75" x14ac:dyDescent="0.25">
      <c r="B11" s="7" t="s">
        <v>15</v>
      </c>
      <c r="C11" s="7" t="s">
        <v>295</v>
      </c>
      <c r="D11" s="12">
        <v>2.3088000000000001E-2</v>
      </c>
      <c r="E11" s="7"/>
      <c r="F11" s="7"/>
      <c r="G11" s="7"/>
      <c r="H11" s="12">
        <v>0.52</v>
      </c>
      <c r="I11" s="12">
        <v>0.28000000000000003</v>
      </c>
      <c r="J11" s="12">
        <v>4.6100000000000003</v>
      </c>
    </row>
    <row r="12" spans="2:10" ht="18.75" x14ac:dyDescent="0.25">
      <c r="B12" s="7" t="s">
        <v>15</v>
      </c>
      <c r="C12" s="7" t="s">
        <v>296</v>
      </c>
      <c r="D12" s="12">
        <v>0.13839199999999999</v>
      </c>
      <c r="E12" s="7"/>
      <c r="F12" s="7"/>
      <c r="G12" s="7"/>
      <c r="H12" s="12">
        <v>1.98</v>
      </c>
      <c r="I12" s="12">
        <v>3.67</v>
      </c>
      <c r="J12" s="12">
        <v>25.36</v>
      </c>
    </row>
    <row r="13" spans="2:10" ht="18.75" x14ac:dyDescent="0.25">
      <c r="B13" s="7" t="s">
        <v>15</v>
      </c>
      <c r="C13" s="7" t="s">
        <v>297</v>
      </c>
      <c r="D13" s="12">
        <v>0.252475</v>
      </c>
      <c r="E13" s="7"/>
      <c r="F13" s="7"/>
      <c r="G13" s="7"/>
      <c r="H13" s="12">
        <v>10.28</v>
      </c>
      <c r="I13" s="12">
        <v>3.74</v>
      </c>
      <c r="J13" s="12">
        <v>35.93</v>
      </c>
    </row>
    <row r="14" spans="2:10" ht="18.75" x14ac:dyDescent="0.25">
      <c r="B14" s="7" t="s">
        <v>15</v>
      </c>
      <c r="C14" s="7" t="s">
        <v>568</v>
      </c>
      <c r="D14" s="12">
        <v>8.1709999999999994E-3</v>
      </c>
      <c r="E14" s="7"/>
      <c r="F14" s="7"/>
      <c r="G14" s="7"/>
      <c r="H14" s="12">
        <v>0.01</v>
      </c>
      <c r="I14" s="12">
        <v>0</v>
      </c>
      <c r="J14" s="12">
        <v>0.04</v>
      </c>
    </row>
    <row r="15" spans="2:10" ht="18.75" x14ac:dyDescent="0.25">
      <c r="B15" s="7" t="s">
        <v>15</v>
      </c>
      <c r="C15" s="7" t="s">
        <v>485</v>
      </c>
      <c r="D15" s="12">
        <v>3.8742619999999999</v>
      </c>
      <c r="E15" s="7"/>
      <c r="F15" s="7"/>
      <c r="G15" s="7"/>
      <c r="H15" s="12">
        <v>122.99</v>
      </c>
      <c r="I15" s="12">
        <v>58.42</v>
      </c>
      <c r="J15" s="12">
        <v>559.52</v>
      </c>
    </row>
    <row r="16" spans="2:10" ht="18.75" x14ac:dyDescent="0.25">
      <c r="B16" s="7" t="s">
        <v>682</v>
      </c>
      <c r="C16" s="7" t="s">
        <v>55</v>
      </c>
      <c r="D16" s="12">
        <v>6.6799999999999997E-4</v>
      </c>
      <c r="E16" s="7"/>
      <c r="F16" s="7"/>
      <c r="G16" s="7"/>
      <c r="H16" s="12">
        <v>0</v>
      </c>
      <c r="I16" s="12">
        <v>0</v>
      </c>
      <c r="J16" s="12">
        <v>0</v>
      </c>
    </row>
    <row r="17" spans="2:16" ht="18.75" x14ac:dyDescent="0.25">
      <c r="B17" s="7" t="s">
        <v>15</v>
      </c>
      <c r="C17" s="7" t="s">
        <v>226</v>
      </c>
      <c r="D17" s="12">
        <v>5.7590969999999997</v>
      </c>
      <c r="E17" s="7"/>
      <c r="F17" s="7"/>
      <c r="G17" s="7"/>
      <c r="H17" s="12">
        <v>362.77</v>
      </c>
      <c r="I17" s="12">
        <v>26.08</v>
      </c>
      <c r="J17" s="12">
        <v>565.62</v>
      </c>
    </row>
    <row r="18" spans="2:16" ht="18.75" x14ac:dyDescent="0.25">
      <c r="B18" s="7" t="s">
        <v>15</v>
      </c>
      <c r="C18" s="7" t="s">
        <v>298</v>
      </c>
      <c r="D18" s="12">
        <v>0.13580300000000001</v>
      </c>
      <c r="E18" s="7"/>
      <c r="F18" s="7"/>
      <c r="G18" s="7"/>
      <c r="H18" s="12">
        <v>3.04</v>
      </c>
      <c r="I18" s="12">
        <v>1.65</v>
      </c>
      <c r="J18" s="12">
        <v>27.09</v>
      </c>
    </row>
    <row r="19" spans="2:16" ht="18.75" x14ac:dyDescent="0.25">
      <c r="B19" s="7" t="s">
        <v>682</v>
      </c>
      <c r="C19" s="7" t="s">
        <v>243</v>
      </c>
      <c r="D19" s="12">
        <v>0.53878300000000001</v>
      </c>
      <c r="E19" s="7"/>
      <c r="F19" s="7"/>
      <c r="G19" s="7"/>
      <c r="H19" s="12">
        <v>0.49</v>
      </c>
      <c r="I19" s="12">
        <v>0.23</v>
      </c>
      <c r="J19" s="12">
        <v>2.83</v>
      </c>
    </row>
    <row r="20" spans="2:16" ht="18.75" x14ac:dyDescent="0.25">
      <c r="B20" s="7" t="s">
        <v>682</v>
      </c>
      <c r="C20" s="7" t="s">
        <v>163</v>
      </c>
      <c r="D20" s="12">
        <v>1.6200000000000001E-4</v>
      </c>
      <c r="E20" s="7"/>
      <c r="F20" s="7"/>
      <c r="G20" s="7"/>
      <c r="H20" s="12">
        <v>0</v>
      </c>
      <c r="I20" s="12">
        <v>0</v>
      </c>
      <c r="J20" s="12">
        <v>0</v>
      </c>
    </row>
    <row r="21" spans="2:16" ht="18.75" x14ac:dyDescent="0.25">
      <c r="B21" s="7" t="s">
        <v>15</v>
      </c>
      <c r="C21" s="7" t="s">
        <v>685</v>
      </c>
      <c r="D21" s="12">
        <v>1.292E-3</v>
      </c>
      <c r="E21" s="7"/>
      <c r="F21" s="7"/>
      <c r="G21" s="7"/>
      <c r="H21" s="12">
        <v>0.04</v>
      </c>
      <c r="I21" s="12">
        <v>0.01</v>
      </c>
      <c r="J21" s="12">
        <v>7.0000000000000007E-2</v>
      </c>
    </row>
    <row r="22" spans="2:16" ht="18.75" x14ac:dyDescent="0.25">
      <c r="B22" s="7" t="s">
        <v>15</v>
      </c>
      <c r="C22" s="7" t="s">
        <v>486</v>
      </c>
      <c r="D22" s="12">
        <v>0.69099600000000005</v>
      </c>
      <c r="E22" s="7"/>
      <c r="F22" s="7"/>
      <c r="G22" s="7"/>
      <c r="H22" s="12">
        <v>21.97</v>
      </c>
      <c r="I22" s="12">
        <v>10.44</v>
      </c>
      <c r="J22" s="12">
        <v>99.96</v>
      </c>
    </row>
    <row r="23" spans="2:16" ht="18.75" x14ac:dyDescent="0.25">
      <c r="B23" s="7" t="s">
        <v>15</v>
      </c>
      <c r="C23" s="7" t="s">
        <v>336</v>
      </c>
      <c r="D23" s="12">
        <v>1.7308079999999999</v>
      </c>
      <c r="E23" s="7"/>
      <c r="F23" s="7"/>
      <c r="G23" s="7"/>
      <c r="H23" s="12">
        <v>206.6</v>
      </c>
      <c r="I23" s="12">
        <v>48.89</v>
      </c>
      <c r="J23" s="12">
        <v>672.22</v>
      </c>
    </row>
    <row r="24" spans="2:16" ht="18.75" x14ac:dyDescent="0.25">
      <c r="B24" s="7" t="s">
        <v>15</v>
      </c>
      <c r="C24" s="7" t="s">
        <v>300</v>
      </c>
      <c r="D24" s="12">
        <v>0.170825</v>
      </c>
      <c r="E24" s="7"/>
      <c r="F24" s="7"/>
      <c r="G24" s="7"/>
      <c r="H24" s="12">
        <v>32.54</v>
      </c>
      <c r="I24" s="12">
        <v>6.58</v>
      </c>
      <c r="J24" s="12">
        <v>52.18</v>
      </c>
    </row>
    <row r="25" spans="2:16" ht="18.75" x14ac:dyDescent="0.25">
      <c r="B25" s="7" t="s">
        <v>15</v>
      </c>
      <c r="C25" s="7" t="s">
        <v>301</v>
      </c>
      <c r="D25" s="12">
        <v>4.5539999999999999E-3</v>
      </c>
      <c r="E25" s="7"/>
      <c r="F25" s="7"/>
      <c r="G25" s="7"/>
      <c r="H25" s="12">
        <v>0.1</v>
      </c>
      <c r="I25" s="12">
        <v>0.06</v>
      </c>
      <c r="J25" s="12">
        <v>0.91</v>
      </c>
      <c r="P25" s="11"/>
    </row>
    <row r="26" spans="2:16" ht="18.75" x14ac:dyDescent="0.25">
      <c r="B26" s="7" t="s">
        <v>15</v>
      </c>
      <c r="C26" s="7" t="s">
        <v>302</v>
      </c>
      <c r="D26" s="12">
        <v>1.9375E-2</v>
      </c>
      <c r="E26" s="7"/>
      <c r="F26" s="7"/>
      <c r="G26" s="7"/>
      <c r="H26" s="12">
        <v>1.07</v>
      </c>
      <c r="I26" s="12">
        <v>0.73</v>
      </c>
      <c r="J26" s="12">
        <v>13.08</v>
      </c>
    </row>
    <row r="27" spans="2:16" ht="18.75" x14ac:dyDescent="0.25">
      <c r="B27" s="7" t="s">
        <v>15</v>
      </c>
      <c r="C27" s="7" t="s">
        <v>647</v>
      </c>
      <c r="D27" s="12">
        <v>6.2740000000000001E-3</v>
      </c>
      <c r="E27" s="7"/>
      <c r="F27" s="7"/>
      <c r="G27" s="7"/>
      <c r="H27" s="12">
        <v>0.19</v>
      </c>
      <c r="I27" s="12">
        <v>0.03</v>
      </c>
      <c r="J27" s="12">
        <v>0.35</v>
      </c>
    </row>
    <row r="28" spans="2:16" ht="18.75" x14ac:dyDescent="0.25">
      <c r="B28" s="7" t="s">
        <v>15</v>
      </c>
      <c r="C28" s="7" t="s">
        <v>303</v>
      </c>
      <c r="D28" s="12">
        <v>5.0590000000000003E-2</v>
      </c>
      <c r="E28" s="7"/>
      <c r="F28" s="7"/>
      <c r="G28" s="7"/>
      <c r="H28" s="12">
        <v>2.35</v>
      </c>
      <c r="I28" s="12">
        <v>2.13</v>
      </c>
      <c r="J28" s="12">
        <v>11</v>
      </c>
    </row>
    <row r="29" spans="2:16" ht="18.75" x14ac:dyDescent="0.25">
      <c r="B29" s="7" t="s">
        <v>15</v>
      </c>
      <c r="C29" s="7" t="s">
        <v>122</v>
      </c>
      <c r="D29" s="12">
        <v>6.7000000000000002E-5</v>
      </c>
      <c r="E29" s="7"/>
      <c r="F29" s="7"/>
      <c r="G29" s="7"/>
      <c r="H29" s="12">
        <v>0</v>
      </c>
      <c r="I29" s="12">
        <v>0</v>
      </c>
      <c r="J29" s="12">
        <v>0.01</v>
      </c>
    </row>
    <row r="30" spans="2:16" ht="18.75" x14ac:dyDescent="0.25">
      <c r="B30" s="7" t="s">
        <v>15</v>
      </c>
      <c r="C30" s="7" t="s">
        <v>72</v>
      </c>
      <c r="D30" s="12">
        <v>0.50240499999999999</v>
      </c>
      <c r="E30" s="7"/>
      <c r="F30" s="7"/>
      <c r="G30" s="7"/>
      <c r="H30" s="12">
        <v>2.44</v>
      </c>
      <c r="I30" s="12">
        <v>5.43</v>
      </c>
      <c r="J30" s="12">
        <v>21.71</v>
      </c>
    </row>
    <row r="31" spans="2:16" ht="18.75" x14ac:dyDescent="0.25">
      <c r="B31" s="7" t="s">
        <v>15</v>
      </c>
      <c r="C31" s="7" t="s">
        <v>101</v>
      </c>
      <c r="D31" s="12">
        <v>0.97368500000000002</v>
      </c>
      <c r="E31" s="7"/>
      <c r="F31" s="7"/>
      <c r="G31" s="7"/>
      <c r="H31" s="12">
        <v>0.92</v>
      </c>
      <c r="I31" s="12">
        <v>0.41</v>
      </c>
      <c r="J31" s="12">
        <v>5.17</v>
      </c>
    </row>
    <row r="32" spans="2:16" ht="18.75" x14ac:dyDescent="0.25">
      <c r="B32" s="7" t="s">
        <v>15</v>
      </c>
      <c r="C32" s="7" t="s">
        <v>58</v>
      </c>
      <c r="D32" s="12">
        <v>4.9511810000000001</v>
      </c>
      <c r="E32" s="7"/>
      <c r="F32" s="7"/>
      <c r="G32" s="7"/>
      <c r="H32" s="12">
        <v>71.040000000000006</v>
      </c>
      <c r="I32" s="12">
        <v>131.37</v>
      </c>
      <c r="J32" s="12">
        <v>907.81</v>
      </c>
    </row>
    <row r="33" spans="2:10" ht="18.75" x14ac:dyDescent="0.25">
      <c r="B33" s="7" t="s">
        <v>15</v>
      </c>
      <c r="C33" s="7" t="s">
        <v>198</v>
      </c>
      <c r="D33" s="12">
        <v>2.8466000000000002E-2</v>
      </c>
      <c r="E33" s="7"/>
      <c r="F33" s="7"/>
      <c r="G33" s="7"/>
      <c r="H33" s="12">
        <v>0.78</v>
      </c>
      <c r="I33" s="12">
        <v>0.11</v>
      </c>
      <c r="J33" s="12">
        <v>6.09</v>
      </c>
    </row>
    <row r="34" spans="2:10" ht="18.75" x14ac:dyDescent="0.25">
      <c r="B34" s="7" t="s">
        <v>15</v>
      </c>
      <c r="C34" s="7" t="s">
        <v>487</v>
      </c>
      <c r="D34" s="12">
        <v>0.17544999999999999</v>
      </c>
      <c r="E34" s="7"/>
      <c r="F34" s="7"/>
      <c r="G34" s="7"/>
      <c r="H34" s="12">
        <v>5.57</v>
      </c>
      <c r="I34" s="12">
        <v>2.64</v>
      </c>
      <c r="J34" s="12">
        <v>25.33</v>
      </c>
    </row>
    <row r="35" spans="2:10" ht="18.75" x14ac:dyDescent="0.25">
      <c r="B35" s="7" t="s">
        <v>15</v>
      </c>
      <c r="C35" s="7" t="s">
        <v>304</v>
      </c>
      <c r="D35" s="12">
        <v>5.8542999999999998E-2</v>
      </c>
      <c r="E35" s="7"/>
      <c r="F35" s="7"/>
      <c r="G35" s="7"/>
      <c r="H35" s="12">
        <v>2.72</v>
      </c>
      <c r="I35" s="12">
        <v>2.46</v>
      </c>
      <c r="J35" s="12">
        <v>12.73</v>
      </c>
    </row>
    <row r="36" spans="2:10" ht="18.75" x14ac:dyDescent="0.25">
      <c r="B36" s="7" t="s">
        <v>15</v>
      </c>
      <c r="C36" s="7" t="s">
        <v>680</v>
      </c>
      <c r="D36" s="12">
        <v>71.635328000000001</v>
      </c>
      <c r="E36" s="7"/>
      <c r="F36" s="7"/>
      <c r="G36" s="7"/>
      <c r="H36" s="12">
        <v>2200.67</v>
      </c>
      <c r="I36" s="12">
        <v>367.87</v>
      </c>
      <c r="J36" s="12">
        <v>4026.66</v>
      </c>
    </row>
    <row r="37" spans="2:10" ht="18.75" x14ac:dyDescent="0.25">
      <c r="B37" s="7" t="s">
        <v>15</v>
      </c>
      <c r="C37" s="7" t="s">
        <v>561</v>
      </c>
      <c r="D37" s="12">
        <v>1.509423</v>
      </c>
      <c r="E37" s="7"/>
      <c r="F37" s="7"/>
      <c r="G37" s="7"/>
      <c r="H37" s="12">
        <v>47.92</v>
      </c>
      <c r="I37" s="12">
        <v>22.76</v>
      </c>
      <c r="J37" s="12">
        <v>217.98</v>
      </c>
    </row>
    <row r="38" spans="2:10" ht="18.75" x14ac:dyDescent="0.25">
      <c r="B38" s="7" t="s">
        <v>15</v>
      </c>
      <c r="C38" s="7" t="s">
        <v>581</v>
      </c>
      <c r="D38" s="12">
        <v>6.7212999999999995E-2</v>
      </c>
      <c r="E38" s="7"/>
      <c r="F38" s="7"/>
      <c r="G38" s="7"/>
      <c r="H38" s="12">
        <v>0.06</v>
      </c>
      <c r="I38" s="12">
        <v>0.03</v>
      </c>
      <c r="J38" s="12">
        <v>0.36</v>
      </c>
    </row>
    <row r="39" spans="2:10" ht="18.75" x14ac:dyDescent="0.25">
      <c r="B39" s="7" t="s">
        <v>15</v>
      </c>
      <c r="C39" s="7" t="s">
        <v>206</v>
      </c>
      <c r="D39" s="12">
        <v>6.4204999999999998E-2</v>
      </c>
      <c r="E39" s="7"/>
      <c r="F39" s="7"/>
      <c r="G39" s="7"/>
      <c r="H39" s="12">
        <v>2.04</v>
      </c>
      <c r="I39" s="12">
        <v>0.97</v>
      </c>
      <c r="J39" s="12">
        <v>9.27</v>
      </c>
    </row>
    <row r="40" spans="2:10" ht="18.75" x14ac:dyDescent="0.25">
      <c r="B40" s="7" t="s">
        <v>15</v>
      </c>
      <c r="C40" s="7" t="s">
        <v>571</v>
      </c>
      <c r="D40" s="12">
        <v>1.74E-4</v>
      </c>
      <c r="E40" s="7"/>
      <c r="F40" s="7"/>
      <c r="G40" s="7"/>
      <c r="H40" s="12">
        <v>0.01</v>
      </c>
      <c r="I40" s="12">
        <v>0</v>
      </c>
      <c r="J40" s="12">
        <v>0.01</v>
      </c>
    </row>
    <row r="41" spans="2:10" ht="18.75" x14ac:dyDescent="0.25">
      <c r="B41" s="7" t="s">
        <v>15</v>
      </c>
      <c r="C41" s="7" t="s">
        <v>465</v>
      </c>
      <c r="D41" s="12">
        <v>1.554E-3</v>
      </c>
      <c r="E41" s="7"/>
      <c r="F41" s="7"/>
      <c r="G41" s="7"/>
      <c r="H41" s="12">
        <v>0.05</v>
      </c>
      <c r="I41" s="12">
        <v>0.01</v>
      </c>
      <c r="J41" s="12">
        <v>0.09</v>
      </c>
    </row>
    <row r="42" spans="2:10" ht="18.75" x14ac:dyDescent="0.25">
      <c r="B42" s="7" t="s">
        <v>15</v>
      </c>
      <c r="C42" s="7" t="s">
        <v>269</v>
      </c>
      <c r="D42" s="12">
        <v>0.41003400000000001</v>
      </c>
      <c r="E42" s="7"/>
      <c r="F42" s="7"/>
      <c r="G42" s="7"/>
      <c r="H42" s="12">
        <v>506.52</v>
      </c>
      <c r="I42" s="12">
        <v>38.799999999999997</v>
      </c>
      <c r="J42" s="12">
        <v>204.66</v>
      </c>
    </row>
    <row r="43" spans="2:10" ht="18.75" x14ac:dyDescent="0.25">
      <c r="B43" s="7" t="s">
        <v>15</v>
      </c>
      <c r="C43" s="7" t="s">
        <v>194</v>
      </c>
      <c r="D43" s="12">
        <v>0.67081400000000002</v>
      </c>
      <c r="E43" s="7"/>
      <c r="F43" s="7"/>
      <c r="G43" s="7"/>
      <c r="H43" s="12">
        <v>80.069999999999993</v>
      </c>
      <c r="I43" s="12">
        <v>18.95</v>
      </c>
      <c r="J43" s="12">
        <v>260.52999999999997</v>
      </c>
    </row>
    <row r="44" spans="2:10" ht="18.75" x14ac:dyDescent="0.25">
      <c r="B44" s="7" t="s">
        <v>15</v>
      </c>
      <c r="C44" s="7" t="s">
        <v>667</v>
      </c>
      <c r="D44" s="12">
        <v>9.6742999999999996E-2</v>
      </c>
      <c r="E44" s="7"/>
      <c r="F44" s="7"/>
      <c r="G44" s="7"/>
      <c r="H44" s="12">
        <v>2.17</v>
      </c>
      <c r="I44" s="12">
        <v>1.18</v>
      </c>
      <c r="J44" s="12">
        <v>19.3</v>
      </c>
    </row>
    <row r="45" spans="2:10" ht="18.75" x14ac:dyDescent="0.25">
      <c r="B45" s="7" t="s">
        <v>15</v>
      </c>
      <c r="C45" s="7" t="s">
        <v>498</v>
      </c>
      <c r="D45" s="12">
        <v>0.24393500000000001</v>
      </c>
      <c r="E45" s="7"/>
      <c r="F45" s="7"/>
      <c r="G45" s="7"/>
      <c r="H45" s="12">
        <v>7.74</v>
      </c>
      <c r="I45" s="12">
        <v>3.68</v>
      </c>
      <c r="J45" s="12">
        <v>35.22</v>
      </c>
    </row>
    <row r="46" spans="2:10" ht="18.75" x14ac:dyDescent="0.25">
      <c r="B46" s="7" t="s">
        <v>15</v>
      </c>
      <c r="C46" s="7" t="s">
        <v>663</v>
      </c>
      <c r="D46" s="12">
        <v>3.1040489999999998</v>
      </c>
      <c r="E46" s="7"/>
      <c r="F46" s="7"/>
      <c r="G46" s="7"/>
      <c r="H46" s="12">
        <v>95.35</v>
      </c>
      <c r="I46" s="12">
        <v>15.94</v>
      </c>
      <c r="J46" s="12">
        <v>174.47</v>
      </c>
    </row>
    <row r="47" spans="2:10" ht="18.75" x14ac:dyDescent="0.25">
      <c r="B47" s="7" t="s">
        <v>15</v>
      </c>
      <c r="C47" s="7" t="s">
        <v>627</v>
      </c>
      <c r="D47" s="12">
        <v>0.31233300000000003</v>
      </c>
      <c r="E47" s="7"/>
      <c r="F47" s="7"/>
      <c r="G47" s="7"/>
      <c r="H47" s="12">
        <v>9.6</v>
      </c>
      <c r="I47" s="12">
        <v>1.6</v>
      </c>
      <c r="J47" s="12">
        <v>17.559999999999999</v>
      </c>
    </row>
    <row r="48" spans="2:10" ht="18.75" x14ac:dyDescent="0.25">
      <c r="B48" s="7" t="s">
        <v>15</v>
      </c>
      <c r="C48" s="7" t="s">
        <v>590</v>
      </c>
      <c r="D48" s="12">
        <v>1.228618</v>
      </c>
      <c r="E48" s="7"/>
      <c r="F48" s="7"/>
      <c r="G48" s="7"/>
      <c r="H48" s="12">
        <v>1.1599999999999999</v>
      </c>
      <c r="I48" s="12">
        <v>0.52</v>
      </c>
      <c r="J48" s="12">
        <v>6.52</v>
      </c>
    </row>
    <row r="49" spans="2:10" ht="18.75" x14ac:dyDescent="0.25">
      <c r="B49" s="7" t="s">
        <v>15</v>
      </c>
      <c r="C49" s="7" t="s">
        <v>593</v>
      </c>
      <c r="D49" s="12">
        <v>2.5901E-2</v>
      </c>
      <c r="E49" s="7"/>
      <c r="F49" s="7"/>
      <c r="G49" s="7"/>
      <c r="H49" s="12">
        <v>0.02</v>
      </c>
      <c r="I49" s="12">
        <v>0.01</v>
      </c>
      <c r="J49" s="12">
        <v>0.14000000000000001</v>
      </c>
    </row>
    <row r="50" spans="2:10" ht="18.75" x14ac:dyDescent="0.25">
      <c r="B50" s="7" t="s">
        <v>15</v>
      </c>
      <c r="C50" s="7" t="s">
        <v>89</v>
      </c>
      <c r="D50" s="12">
        <v>6.7070000000000003E-3</v>
      </c>
      <c r="E50" s="7"/>
      <c r="F50" s="7"/>
      <c r="G50" s="7"/>
      <c r="H50" s="12">
        <v>0.11</v>
      </c>
      <c r="I50" s="12">
        <v>0.05</v>
      </c>
      <c r="J50" s="12">
        <v>1.49</v>
      </c>
    </row>
    <row r="51" spans="2:10" ht="18.75" x14ac:dyDescent="0.25">
      <c r="B51" s="7" t="s">
        <v>15</v>
      </c>
      <c r="C51" s="7" t="s">
        <v>348</v>
      </c>
      <c r="D51" s="12">
        <v>2.9558999999999998E-2</v>
      </c>
      <c r="E51" s="7"/>
      <c r="F51" s="7"/>
      <c r="G51" s="7"/>
      <c r="H51" s="12">
        <v>0.42</v>
      </c>
      <c r="I51" s="12">
        <v>0.78</v>
      </c>
      <c r="J51" s="12">
        <v>5.42</v>
      </c>
    </row>
    <row r="52" spans="2:10" ht="18.75" x14ac:dyDescent="0.25">
      <c r="B52" s="7" t="s">
        <v>15</v>
      </c>
      <c r="C52" s="7" t="s">
        <v>664</v>
      </c>
      <c r="D52" s="12">
        <v>0.29295500000000002</v>
      </c>
      <c r="E52" s="7"/>
      <c r="F52" s="7"/>
      <c r="G52" s="7"/>
      <c r="H52" s="12">
        <v>9</v>
      </c>
      <c r="I52" s="12">
        <v>1.5</v>
      </c>
      <c r="J52" s="12">
        <v>16.47</v>
      </c>
    </row>
    <row r="53" spans="2:10" ht="18.75" x14ac:dyDescent="0.25">
      <c r="B53" s="7" t="s">
        <v>682</v>
      </c>
      <c r="C53" s="7" t="s">
        <v>680</v>
      </c>
      <c r="D53" s="12">
        <v>15.083466</v>
      </c>
      <c r="E53" s="7"/>
      <c r="F53" s="7"/>
      <c r="G53" s="7"/>
      <c r="H53" s="12">
        <v>323.77999999999997</v>
      </c>
      <c r="I53" s="12">
        <v>43.2</v>
      </c>
      <c r="J53" s="12">
        <v>671.4</v>
      </c>
    </row>
    <row r="54" spans="2:10" ht="18.75" x14ac:dyDescent="0.25">
      <c r="B54" s="7" t="s">
        <v>15</v>
      </c>
      <c r="C54" s="7" t="s">
        <v>306</v>
      </c>
      <c r="D54" s="12">
        <v>0.121195</v>
      </c>
      <c r="E54" s="7"/>
      <c r="F54" s="7"/>
      <c r="G54" s="7"/>
      <c r="H54" s="12">
        <v>14.47</v>
      </c>
      <c r="I54" s="12">
        <v>3.42</v>
      </c>
      <c r="J54" s="12">
        <v>47.07</v>
      </c>
    </row>
    <row r="55" spans="2:10" ht="18.75" x14ac:dyDescent="0.25">
      <c r="B55" s="7" t="s">
        <v>15</v>
      </c>
      <c r="C55" s="7" t="s">
        <v>307</v>
      </c>
      <c r="D55" s="12">
        <v>4.2431000000000003E-2</v>
      </c>
      <c r="E55" s="7"/>
      <c r="F55" s="7"/>
      <c r="G55" s="7"/>
      <c r="H55" s="12">
        <v>1.73</v>
      </c>
      <c r="I55" s="12">
        <v>0.63</v>
      </c>
      <c r="J55" s="12">
        <v>6.05</v>
      </c>
    </row>
    <row r="56" spans="2:10" ht="18.75" x14ac:dyDescent="0.25">
      <c r="B56" s="7" t="s">
        <v>15</v>
      </c>
      <c r="C56" s="7" t="s">
        <v>308</v>
      </c>
      <c r="D56" s="12">
        <v>3.6809999999999998E-3</v>
      </c>
      <c r="E56" s="7"/>
      <c r="F56" s="7"/>
      <c r="G56" s="7"/>
      <c r="H56" s="12">
        <v>0.08</v>
      </c>
      <c r="I56" s="12">
        <v>0.04</v>
      </c>
      <c r="J56" s="12">
        <v>0.73</v>
      </c>
    </row>
    <row r="57" spans="2:10" ht="18.75" x14ac:dyDescent="0.25">
      <c r="B57" s="7" t="s">
        <v>15</v>
      </c>
      <c r="C57" s="7" t="s">
        <v>179</v>
      </c>
      <c r="D57" s="12">
        <v>0.164801</v>
      </c>
      <c r="E57" s="7"/>
      <c r="F57" s="7"/>
      <c r="G57" s="7"/>
      <c r="H57" s="12">
        <v>31.4</v>
      </c>
      <c r="I57" s="12">
        <v>6.35</v>
      </c>
      <c r="J57" s="12">
        <v>50.35</v>
      </c>
    </row>
    <row r="58" spans="2:10" ht="18.75" x14ac:dyDescent="0.25">
      <c r="B58" s="7" t="s">
        <v>15</v>
      </c>
      <c r="C58" s="7" t="s">
        <v>309</v>
      </c>
      <c r="D58" s="12">
        <v>8.1282999999999994E-2</v>
      </c>
      <c r="E58" s="7"/>
      <c r="F58" s="7"/>
      <c r="G58" s="7"/>
      <c r="H58" s="12">
        <v>1.82</v>
      </c>
      <c r="I58" s="12">
        <v>0.99</v>
      </c>
      <c r="J58" s="12">
        <v>16.22</v>
      </c>
    </row>
    <row r="59" spans="2:10" ht="18.75" x14ac:dyDescent="0.25">
      <c r="B59" s="7" t="s">
        <v>15</v>
      </c>
      <c r="C59" s="7" t="s">
        <v>141</v>
      </c>
      <c r="D59" s="12">
        <v>7.4828979999999996</v>
      </c>
      <c r="E59" s="7"/>
      <c r="F59" s="7"/>
      <c r="G59" s="7"/>
      <c r="H59" s="12">
        <v>3.03</v>
      </c>
      <c r="I59" s="12">
        <v>3.19</v>
      </c>
      <c r="J59" s="12">
        <v>39.75</v>
      </c>
    </row>
    <row r="60" spans="2:10" ht="18.75" x14ac:dyDescent="0.25">
      <c r="B60" s="7" t="s">
        <v>15</v>
      </c>
      <c r="C60" s="7" t="s">
        <v>192</v>
      </c>
      <c r="D60" s="12">
        <v>8.3335999999999993E-2</v>
      </c>
      <c r="E60" s="7"/>
      <c r="F60" s="7"/>
      <c r="G60" s="7"/>
      <c r="H60" s="12">
        <v>1.87</v>
      </c>
      <c r="I60" s="12">
        <v>1.02</v>
      </c>
      <c r="J60" s="12">
        <v>16.63</v>
      </c>
    </row>
    <row r="61" spans="2:10" ht="18.75" x14ac:dyDescent="0.25">
      <c r="B61" s="7" t="s">
        <v>15</v>
      </c>
      <c r="C61" s="7" t="s">
        <v>158</v>
      </c>
      <c r="D61" s="12">
        <v>0.107947</v>
      </c>
      <c r="E61" s="7"/>
      <c r="F61" s="7"/>
      <c r="G61" s="7"/>
      <c r="H61" s="12">
        <v>0.52</v>
      </c>
      <c r="I61" s="12">
        <v>1.17</v>
      </c>
      <c r="J61" s="12">
        <v>4.66</v>
      </c>
    </row>
    <row r="62" spans="2:10" ht="18.75" x14ac:dyDescent="0.25">
      <c r="B62" s="7" t="s">
        <v>15</v>
      </c>
      <c r="C62" s="7" t="s">
        <v>64</v>
      </c>
      <c r="D62" s="12">
        <v>1.258E-3</v>
      </c>
      <c r="E62" s="7"/>
      <c r="F62" s="7"/>
      <c r="G62" s="7"/>
      <c r="H62" s="12">
        <v>0.06</v>
      </c>
      <c r="I62" s="12">
        <v>0.05</v>
      </c>
      <c r="J62" s="12">
        <v>0.27</v>
      </c>
    </row>
    <row r="63" spans="2:10" ht="18.75" x14ac:dyDescent="0.25">
      <c r="B63" s="7" t="s">
        <v>682</v>
      </c>
      <c r="C63" s="7" t="s">
        <v>194</v>
      </c>
      <c r="D63" s="12">
        <v>1.2066E-2</v>
      </c>
      <c r="E63" s="7"/>
      <c r="F63" s="7"/>
      <c r="G63" s="7"/>
      <c r="H63" s="12">
        <v>1.51</v>
      </c>
      <c r="I63" s="12">
        <v>1.61</v>
      </c>
      <c r="J63" s="12">
        <v>7.57</v>
      </c>
    </row>
    <row r="64" spans="2:10" ht="18.75" x14ac:dyDescent="0.25">
      <c r="B64" s="7" t="s">
        <v>15</v>
      </c>
      <c r="C64" s="7" t="s">
        <v>351</v>
      </c>
      <c r="D64" s="12">
        <v>3.6949999999999999E-3</v>
      </c>
      <c r="E64" s="7"/>
      <c r="F64" s="7"/>
      <c r="G64" s="7"/>
      <c r="H64" s="12">
        <v>0.15</v>
      </c>
      <c r="I64" s="12">
        <v>0.05</v>
      </c>
      <c r="J64" s="12">
        <v>0.53</v>
      </c>
    </row>
    <row r="65" spans="2:10" ht="18.75" x14ac:dyDescent="0.25">
      <c r="B65" s="7" t="s">
        <v>682</v>
      </c>
      <c r="C65" s="7" t="s">
        <v>542</v>
      </c>
      <c r="D65" s="12">
        <v>1.3745E-2</v>
      </c>
      <c r="E65" s="7"/>
      <c r="F65" s="7"/>
      <c r="G65" s="7"/>
      <c r="H65" s="12">
        <v>0.44</v>
      </c>
      <c r="I65" s="12">
        <v>0.21</v>
      </c>
      <c r="J65" s="12">
        <v>1.98</v>
      </c>
    </row>
    <row r="66" spans="2:10" ht="18.75" x14ac:dyDescent="0.25">
      <c r="B66" s="7" t="s">
        <v>15</v>
      </c>
      <c r="C66" s="7" t="s">
        <v>312</v>
      </c>
      <c r="D66" s="12">
        <v>0.42792999999999998</v>
      </c>
      <c r="E66" s="7"/>
      <c r="F66" s="7"/>
      <c r="G66" s="7"/>
      <c r="H66" s="12">
        <v>6.14</v>
      </c>
      <c r="I66" s="12">
        <v>11.35</v>
      </c>
      <c r="J66" s="12">
        <v>78.430000000000007</v>
      </c>
    </row>
    <row r="67" spans="2:10" ht="18.75" x14ac:dyDescent="0.25">
      <c r="B67" s="7" t="s">
        <v>15</v>
      </c>
      <c r="C67" s="7" t="s">
        <v>137</v>
      </c>
      <c r="D67" s="12">
        <v>3.9999999999999998E-6</v>
      </c>
      <c r="E67" s="7"/>
      <c r="F67" s="7"/>
      <c r="G67" s="7"/>
      <c r="H67" s="12">
        <v>0</v>
      </c>
      <c r="I67" s="12">
        <v>0</v>
      </c>
      <c r="J67" s="12">
        <v>0</v>
      </c>
    </row>
    <row r="68" spans="2:10" ht="18.75" x14ac:dyDescent="0.25">
      <c r="B68" s="7" t="s">
        <v>15</v>
      </c>
      <c r="C68" s="7" t="s">
        <v>52</v>
      </c>
      <c r="D68" s="12">
        <v>0.26681100000000002</v>
      </c>
      <c r="E68" s="7"/>
      <c r="F68" s="7"/>
      <c r="G68" s="7"/>
      <c r="H68" s="12">
        <v>50.83</v>
      </c>
      <c r="I68" s="12">
        <v>10.29</v>
      </c>
      <c r="J68" s="12">
        <v>81.510000000000005</v>
      </c>
    </row>
    <row r="69" spans="2:10" ht="18.75" x14ac:dyDescent="0.25">
      <c r="B69" s="7" t="s">
        <v>15</v>
      </c>
      <c r="C69" s="7" t="s">
        <v>107</v>
      </c>
      <c r="D69" s="12">
        <v>0.152889</v>
      </c>
      <c r="E69" s="7"/>
      <c r="F69" s="7"/>
      <c r="G69" s="7"/>
      <c r="H69" s="12">
        <v>3.43</v>
      </c>
      <c r="I69" s="12">
        <v>1.86</v>
      </c>
      <c r="J69" s="12">
        <v>30.51</v>
      </c>
    </row>
    <row r="70" spans="2:10" ht="18.75" x14ac:dyDescent="0.25">
      <c r="B70" s="7" t="s">
        <v>15</v>
      </c>
      <c r="C70" s="7" t="s">
        <v>155</v>
      </c>
      <c r="D70" s="12">
        <v>2.5020660000000001</v>
      </c>
      <c r="E70" s="7"/>
      <c r="F70" s="7"/>
      <c r="G70" s="7"/>
      <c r="H70" s="12">
        <v>79.430000000000007</v>
      </c>
      <c r="I70" s="12">
        <v>37.729999999999997</v>
      </c>
      <c r="J70" s="12">
        <v>361.32</v>
      </c>
    </row>
    <row r="71" spans="2:10" ht="18.75" x14ac:dyDescent="0.25">
      <c r="B71" s="7" t="s">
        <v>15</v>
      </c>
      <c r="C71" s="7" t="s">
        <v>313</v>
      </c>
      <c r="D71" s="12">
        <v>6.7999999999999999E-5</v>
      </c>
      <c r="E71" s="7"/>
      <c r="F71" s="7"/>
      <c r="G71" s="7"/>
      <c r="H71" s="12">
        <v>0.01</v>
      </c>
      <c r="I71" s="12">
        <v>0</v>
      </c>
      <c r="J71" s="12">
        <v>0.03</v>
      </c>
    </row>
    <row r="72" spans="2:10" ht="18.75" x14ac:dyDescent="0.25">
      <c r="B72" s="7" t="s">
        <v>15</v>
      </c>
      <c r="C72" s="7" t="s">
        <v>488</v>
      </c>
      <c r="D72" s="12">
        <v>1.2802690000000001</v>
      </c>
      <c r="E72" s="7"/>
      <c r="F72" s="7"/>
      <c r="G72" s="7"/>
      <c r="H72" s="12">
        <v>40.68</v>
      </c>
      <c r="I72" s="12">
        <v>19.32</v>
      </c>
      <c r="J72" s="12">
        <v>185.06</v>
      </c>
    </row>
    <row r="73" spans="2:10" ht="18.75" x14ac:dyDescent="0.25">
      <c r="B73" s="7" t="s">
        <v>15</v>
      </c>
      <c r="C73" s="7" t="s">
        <v>96</v>
      </c>
      <c r="D73" s="12">
        <v>0.15073700000000001</v>
      </c>
      <c r="E73" s="7"/>
      <c r="F73" s="7"/>
      <c r="G73" s="7"/>
      <c r="H73" s="12">
        <v>0.14000000000000001</v>
      </c>
      <c r="I73" s="12">
        <v>0.06</v>
      </c>
      <c r="J73" s="12">
        <v>0.8</v>
      </c>
    </row>
    <row r="74" spans="2:10" ht="18.75" x14ac:dyDescent="0.25">
      <c r="B74" s="7" t="s">
        <v>15</v>
      </c>
      <c r="C74" s="7" t="s">
        <v>310</v>
      </c>
      <c r="D74" s="12">
        <v>1.2719999999999999E-3</v>
      </c>
      <c r="E74" s="7"/>
      <c r="F74" s="7"/>
      <c r="G74" s="7"/>
      <c r="H74" s="12">
        <v>0.15</v>
      </c>
      <c r="I74" s="12">
        <v>0.04</v>
      </c>
      <c r="J74" s="12">
        <v>0.49</v>
      </c>
    </row>
    <row r="75" spans="2:10" ht="18.75" x14ac:dyDescent="0.25">
      <c r="B75" s="7" t="s">
        <v>15</v>
      </c>
      <c r="C75" s="7" t="s">
        <v>224</v>
      </c>
      <c r="D75" s="12">
        <v>12.768082</v>
      </c>
      <c r="E75" s="7"/>
      <c r="F75" s="7"/>
      <c r="G75" s="7"/>
      <c r="H75" s="12">
        <v>804.4</v>
      </c>
      <c r="I75" s="12">
        <v>57.83</v>
      </c>
      <c r="J75" s="12">
        <v>1254.21</v>
      </c>
    </row>
    <row r="76" spans="2:10" ht="18.75" x14ac:dyDescent="0.25">
      <c r="B76" s="7" t="s">
        <v>15</v>
      </c>
      <c r="C76" s="7" t="s">
        <v>182</v>
      </c>
      <c r="D76" s="12">
        <v>1.9741690000000001</v>
      </c>
      <c r="E76" s="7"/>
      <c r="F76" s="7"/>
      <c r="G76" s="7"/>
      <c r="H76" s="12">
        <v>109.33</v>
      </c>
      <c r="I76" s="12">
        <v>74.33</v>
      </c>
      <c r="J76" s="12">
        <v>1332.32</v>
      </c>
    </row>
    <row r="77" spans="2:10" ht="18.75" x14ac:dyDescent="0.25">
      <c r="B77" s="7" t="s">
        <v>15</v>
      </c>
      <c r="C77" s="7" t="s">
        <v>686</v>
      </c>
      <c r="D77" s="12">
        <v>-1.1180000000000001E-3</v>
      </c>
      <c r="E77" s="7"/>
      <c r="F77" s="7"/>
      <c r="G77" s="7"/>
      <c r="H77" s="12">
        <v>0</v>
      </c>
      <c r="I77" s="12">
        <v>0</v>
      </c>
      <c r="J77" s="12">
        <v>0</v>
      </c>
    </row>
    <row r="78" spans="2:10" ht="18.75" x14ac:dyDescent="0.25">
      <c r="B78" s="7" t="s">
        <v>15</v>
      </c>
      <c r="C78" s="7" t="s">
        <v>583</v>
      </c>
      <c r="D78" s="12">
        <v>1.498E-2</v>
      </c>
      <c r="E78" s="7"/>
      <c r="F78" s="7"/>
      <c r="G78" s="7"/>
      <c r="H78" s="12">
        <v>0.01</v>
      </c>
      <c r="I78" s="12">
        <v>0.01</v>
      </c>
      <c r="J78" s="12">
        <v>0.08</v>
      </c>
    </row>
    <row r="79" spans="2:10" ht="18.75" x14ac:dyDescent="0.25">
      <c r="B79" s="7" t="s">
        <v>682</v>
      </c>
      <c r="C79" s="7" t="s">
        <v>477</v>
      </c>
      <c r="D79" s="12">
        <v>5.1500000000000005E-4</v>
      </c>
      <c r="E79" s="7"/>
      <c r="F79" s="7"/>
      <c r="G79" s="7"/>
      <c r="H79" s="12">
        <v>0.01</v>
      </c>
      <c r="I79" s="12">
        <v>0</v>
      </c>
      <c r="J79" s="12">
        <v>0.11</v>
      </c>
    </row>
    <row r="80" spans="2:10" ht="18.75" x14ac:dyDescent="0.25">
      <c r="B80" s="7" t="s">
        <v>15</v>
      </c>
      <c r="C80" s="7" t="s">
        <v>259</v>
      </c>
      <c r="D80" s="12">
        <v>0.89127100000000004</v>
      </c>
      <c r="E80" s="7"/>
      <c r="F80" s="7"/>
      <c r="G80" s="7"/>
      <c r="H80" s="12">
        <v>1101.01</v>
      </c>
      <c r="I80" s="12">
        <v>84.34</v>
      </c>
      <c r="J80" s="12">
        <v>444.87</v>
      </c>
    </row>
    <row r="81" spans="2:10" ht="18.75" x14ac:dyDescent="0.25">
      <c r="B81" s="7" t="s">
        <v>15</v>
      </c>
      <c r="C81" s="7" t="s">
        <v>314</v>
      </c>
      <c r="D81" s="12">
        <v>6.5419000000000005E-2</v>
      </c>
      <c r="E81" s="7"/>
      <c r="F81" s="7"/>
      <c r="G81" s="7"/>
      <c r="H81" s="12">
        <v>3.04</v>
      </c>
      <c r="I81" s="12">
        <v>2.75</v>
      </c>
      <c r="J81" s="12">
        <v>14.21</v>
      </c>
    </row>
    <row r="82" spans="2:10" ht="18.75" x14ac:dyDescent="0.25">
      <c r="B82" s="7" t="s">
        <v>15</v>
      </c>
      <c r="C82" s="7" t="s">
        <v>175</v>
      </c>
      <c r="D82" s="12">
        <v>0.33625500000000003</v>
      </c>
      <c r="E82" s="7"/>
      <c r="F82" s="7"/>
      <c r="G82" s="7"/>
      <c r="H82" s="12">
        <v>18.63</v>
      </c>
      <c r="I82" s="12">
        <v>12.67</v>
      </c>
      <c r="J82" s="12">
        <v>227.02</v>
      </c>
    </row>
    <row r="83" spans="2:10" ht="18.75" x14ac:dyDescent="0.25">
      <c r="B83" s="7" t="s">
        <v>15</v>
      </c>
      <c r="C83" s="7" t="s">
        <v>591</v>
      </c>
      <c r="D83" s="12">
        <v>1.086679</v>
      </c>
      <c r="E83" s="7"/>
      <c r="F83" s="7"/>
      <c r="G83" s="7"/>
      <c r="H83" s="12">
        <v>1.03</v>
      </c>
      <c r="I83" s="12">
        <v>0.46</v>
      </c>
      <c r="J83" s="12">
        <v>5.77</v>
      </c>
    </row>
    <row r="84" spans="2:10" ht="18.75" x14ac:dyDescent="0.25">
      <c r="B84" s="7" t="s">
        <v>15</v>
      </c>
      <c r="C84" s="7" t="s">
        <v>601</v>
      </c>
      <c r="D84" s="12">
        <v>0.50722599999999995</v>
      </c>
      <c r="E84" s="7"/>
      <c r="F84" s="7"/>
      <c r="G84" s="7"/>
      <c r="H84" s="12">
        <v>0.48</v>
      </c>
      <c r="I84" s="12">
        <v>0.22</v>
      </c>
      <c r="J84" s="12">
        <v>2.69</v>
      </c>
    </row>
    <row r="85" spans="2:10" ht="18.75" x14ac:dyDescent="0.25">
      <c r="B85" s="7" t="s">
        <v>15</v>
      </c>
      <c r="C85" s="7" t="s">
        <v>229</v>
      </c>
      <c r="D85" s="12">
        <v>0.34478399999999998</v>
      </c>
      <c r="E85" s="7"/>
      <c r="F85" s="7"/>
      <c r="G85" s="7"/>
      <c r="H85" s="12">
        <v>10.59</v>
      </c>
      <c r="I85" s="12">
        <v>1.77</v>
      </c>
      <c r="J85" s="12">
        <v>19.38</v>
      </c>
    </row>
    <row r="86" spans="2:10" ht="18.75" x14ac:dyDescent="0.25">
      <c r="B86" s="7" t="s">
        <v>15</v>
      </c>
      <c r="C86" s="7" t="s">
        <v>261</v>
      </c>
      <c r="D86" s="12">
        <v>2.0844999999999999E-2</v>
      </c>
      <c r="E86" s="7"/>
      <c r="F86" s="7"/>
      <c r="G86" s="7"/>
      <c r="H86" s="12">
        <v>25.74</v>
      </c>
      <c r="I86" s="12">
        <v>1.97</v>
      </c>
      <c r="J86" s="12">
        <v>10.4</v>
      </c>
    </row>
    <row r="87" spans="2:10" ht="18.75" x14ac:dyDescent="0.25">
      <c r="B87" s="7" t="s">
        <v>15</v>
      </c>
      <c r="C87" s="7" t="s">
        <v>262</v>
      </c>
      <c r="D87" s="12">
        <v>3.3350179999999998</v>
      </c>
      <c r="E87" s="7"/>
      <c r="F87" s="7"/>
      <c r="G87" s="7"/>
      <c r="H87" s="12">
        <v>4119.8100000000004</v>
      </c>
      <c r="I87" s="12">
        <v>315.58999999999997</v>
      </c>
      <c r="J87" s="12">
        <v>1664.64</v>
      </c>
    </row>
    <row r="88" spans="2:10" ht="18.75" x14ac:dyDescent="0.25">
      <c r="B88" s="7" t="s">
        <v>15</v>
      </c>
      <c r="C88" s="7" t="s">
        <v>687</v>
      </c>
      <c r="D88" s="12">
        <v>0.121004</v>
      </c>
      <c r="E88" s="7"/>
      <c r="F88" s="7"/>
      <c r="G88" s="7"/>
      <c r="H88" s="12">
        <v>2.71</v>
      </c>
      <c r="I88" s="12">
        <v>1.47</v>
      </c>
      <c r="J88" s="12">
        <v>24.15</v>
      </c>
    </row>
    <row r="89" spans="2:10" ht="18.75" x14ac:dyDescent="0.25">
      <c r="B89" s="7" t="s">
        <v>15</v>
      </c>
      <c r="C89" s="7" t="s">
        <v>315</v>
      </c>
      <c r="D89" s="12">
        <v>7.6117840000000001</v>
      </c>
      <c r="E89" s="7"/>
      <c r="F89" s="7"/>
      <c r="G89" s="7"/>
      <c r="H89" s="12">
        <v>310.64999999999998</v>
      </c>
      <c r="I89" s="12">
        <v>113.03</v>
      </c>
      <c r="J89" s="12">
        <v>1085.78</v>
      </c>
    </row>
    <row r="90" spans="2:10" ht="18.75" x14ac:dyDescent="0.25">
      <c r="B90" s="7" t="s">
        <v>15</v>
      </c>
      <c r="C90" s="7" t="s">
        <v>316</v>
      </c>
      <c r="D90" s="12">
        <v>0.44791900000000001</v>
      </c>
      <c r="E90" s="7"/>
      <c r="F90" s="7"/>
      <c r="G90" s="7"/>
      <c r="H90" s="12">
        <v>85.37</v>
      </c>
      <c r="I90" s="12">
        <v>17.28</v>
      </c>
      <c r="J90" s="12">
        <v>136.9</v>
      </c>
    </row>
    <row r="91" spans="2:10" ht="18.75" x14ac:dyDescent="0.25">
      <c r="B91" s="7" t="s">
        <v>15</v>
      </c>
      <c r="C91" s="7" t="s">
        <v>688</v>
      </c>
      <c r="D91" s="12">
        <v>3.1100000000000002E-4</v>
      </c>
      <c r="E91" s="7"/>
      <c r="F91" s="7"/>
      <c r="G91" s="7"/>
      <c r="H91" s="12">
        <v>0</v>
      </c>
      <c r="I91" s="12">
        <v>0</v>
      </c>
      <c r="J91" s="12">
        <v>0</v>
      </c>
    </row>
    <row r="92" spans="2:10" ht="18.75" x14ac:dyDescent="0.25">
      <c r="B92" s="7" t="s">
        <v>15</v>
      </c>
      <c r="C92" s="7" t="s">
        <v>260</v>
      </c>
      <c r="D92" s="12">
        <v>8.2624000000000003E-2</v>
      </c>
      <c r="E92" s="7"/>
      <c r="F92" s="7"/>
      <c r="G92" s="7"/>
      <c r="H92" s="12">
        <v>102.05</v>
      </c>
      <c r="I92" s="12">
        <v>7.82</v>
      </c>
      <c r="J92" s="12">
        <v>41.23</v>
      </c>
    </row>
    <row r="93" spans="2:10" ht="18.75" x14ac:dyDescent="0.25">
      <c r="B93" s="7" t="s">
        <v>15</v>
      </c>
      <c r="C93" s="7" t="s">
        <v>318</v>
      </c>
      <c r="D93" s="12">
        <v>0.50506600000000001</v>
      </c>
      <c r="E93" s="7"/>
      <c r="F93" s="7"/>
      <c r="G93" s="7"/>
      <c r="H93" s="12">
        <v>96.19</v>
      </c>
      <c r="I93" s="12">
        <v>19.47</v>
      </c>
      <c r="J93" s="12">
        <v>154.26</v>
      </c>
    </row>
    <row r="94" spans="2:10" ht="18.75" x14ac:dyDescent="0.25">
      <c r="B94" s="7" t="s">
        <v>15</v>
      </c>
      <c r="C94" s="7" t="s">
        <v>118</v>
      </c>
      <c r="D94" s="12">
        <v>8.34E-4</v>
      </c>
      <c r="E94" s="7"/>
      <c r="F94" s="7"/>
      <c r="G94" s="7"/>
      <c r="H94" s="12">
        <v>0.02</v>
      </c>
      <c r="I94" s="12">
        <v>0</v>
      </c>
      <c r="J94" s="12">
        <v>0.18</v>
      </c>
    </row>
    <row r="95" spans="2:10" ht="18.75" x14ac:dyDescent="0.25">
      <c r="B95" s="7" t="s">
        <v>15</v>
      </c>
      <c r="C95" s="7" t="s">
        <v>76</v>
      </c>
      <c r="D95" s="12">
        <v>0.54647800000000002</v>
      </c>
      <c r="E95" s="7"/>
      <c r="F95" s="7"/>
      <c r="G95" s="7"/>
      <c r="H95" s="12">
        <v>17.350000000000001</v>
      </c>
      <c r="I95" s="12">
        <v>8.24</v>
      </c>
      <c r="J95" s="12">
        <v>78.91</v>
      </c>
    </row>
    <row r="96" spans="2:10" ht="18.75" x14ac:dyDescent="0.25">
      <c r="B96" s="7" t="s">
        <v>15</v>
      </c>
      <c r="C96" s="7" t="s">
        <v>489</v>
      </c>
      <c r="D96" s="12">
        <v>0.225547</v>
      </c>
      <c r="E96" s="7"/>
      <c r="F96" s="7"/>
      <c r="G96" s="7"/>
      <c r="H96" s="12">
        <v>7.16</v>
      </c>
      <c r="I96" s="12">
        <v>3.4</v>
      </c>
      <c r="J96" s="12">
        <v>32.57</v>
      </c>
    </row>
    <row r="97" spans="2:10" ht="18.75" x14ac:dyDescent="0.25">
      <c r="B97" s="7" t="s">
        <v>15</v>
      </c>
      <c r="C97" s="7" t="s">
        <v>202</v>
      </c>
      <c r="D97" s="12">
        <v>1.4201809999999999</v>
      </c>
      <c r="E97" s="7"/>
      <c r="F97" s="7"/>
      <c r="G97" s="7"/>
      <c r="H97" s="12">
        <v>39.08</v>
      </c>
      <c r="I97" s="12">
        <v>5.49</v>
      </c>
      <c r="J97" s="12">
        <v>303.87</v>
      </c>
    </row>
    <row r="98" spans="2:10" ht="18.75" x14ac:dyDescent="0.25">
      <c r="B98" s="7" t="s">
        <v>15</v>
      </c>
      <c r="C98" s="7" t="s">
        <v>319</v>
      </c>
      <c r="D98" s="12">
        <v>4.8799999999999999E-4</v>
      </c>
      <c r="E98" s="7"/>
      <c r="F98" s="7"/>
      <c r="G98" s="7"/>
      <c r="H98" s="12">
        <v>0.06</v>
      </c>
      <c r="I98" s="12">
        <v>0.01</v>
      </c>
      <c r="J98" s="12">
        <v>0.19</v>
      </c>
    </row>
    <row r="99" spans="2:10" ht="18.75" x14ac:dyDescent="0.25">
      <c r="B99" s="7" t="s">
        <v>15</v>
      </c>
      <c r="C99" s="7" t="s">
        <v>320</v>
      </c>
      <c r="D99" s="12">
        <v>1.5782099999999999</v>
      </c>
      <c r="E99" s="7"/>
      <c r="F99" s="7"/>
      <c r="G99" s="7"/>
      <c r="H99" s="12">
        <v>87.43</v>
      </c>
      <c r="I99" s="12">
        <v>59.45</v>
      </c>
      <c r="J99" s="12">
        <v>1065.53</v>
      </c>
    </row>
    <row r="100" spans="2:10" ht="18.75" x14ac:dyDescent="0.25">
      <c r="B100" s="7" t="s">
        <v>15</v>
      </c>
      <c r="C100" s="7" t="s">
        <v>665</v>
      </c>
      <c r="D100" s="12">
        <v>6.8625000000000005E-2</v>
      </c>
      <c r="E100" s="7"/>
      <c r="F100" s="7"/>
      <c r="G100" s="7"/>
      <c r="H100" s="12">
        <v>2.8</v>
      </c>
      <c r="I100" s="12">
        <v>1.02</v>
      </c>
      <c r="J100" s="12">
        <v>9.7899999999999991</v>
      </c>
    </row>
    <row r="101" spans="2:10" ht="18.75" x14ac:dyDescent="0.25">
      <c r="B101" s="7" t="s">
        <v>15</v>
      </c>
      <c r="C101" s="7" t="s">
        <v>263</v>
      </c>
      <c r="D101" s="12">
        <v>3.0208219999999999</v>
      </c>
      <c r="E101" s="7"/>
      <c r="F101" s="7"/>
      <c r="G101" s="7"/>
      <c r="H101" s="12">
        <v>3731.71</v>
      </c>
      <c r="I101" s="12">
        <v>285.86</v>
      </c>
      <c r="J101" s="12">
        <v>1507.82</v>
      </c>
    </row>
    <row r="102" spans="2:10" ht="18.75" x14ac:dyDescent="0.25">
      <c r="B102" s="7" t="s">
        <v>15</v>
      </c>
      <c r="C102" s="7" t="s">
        <v>689</v>
      </c>
      <c r="D102" s="12">
        <v>1.0039999999999999E-3</v>
      </c>
      <c r="E102" s="7"/>
      <c r="F102" s="7"/>
      <c r="G102" s="7"/>
      <c r="H102" s="12">
        <v>0</v>
      </c>
      <c r="I102" s="12">
        <v>0</v>
      </c>
      <c r="J102" s="12">
        <v>0.01</v>
      </c>
    </row>
    <row r="103" spans="2:10" ht="18.75" x14ac:dyDescent="0.25">
      <c r="B103" s="7" t="s">
        <v>15</v>
      </c>
      <c r="C103" s="7" t="s">
        <v>86</v>
      </c>
      <c r="D103" s="12">
        <v>0.14710200000000001</v>
      </c>
      <c r="E103" s="7"/>
      <c r="F103" s="7"/>
      <c r="G103" s="7"/>
      <c r="H103" s="12">
        <v>28.02</v>
      </c>
      <c r="I103" s="12">
        <v>5.67</v>
      </c>
      <c r="J103" s="12">
        <v>44.94</v>
      </c>
    </row>
    <row r="104" spans="2:10" ht="18.75" x14ac:dyDescent="0.25">
      <c r="B104" s="7" t="s">
        <v>15</v>
      </c>
      <c r="C104" s="7" t="s">
        <v>170</v>
      </c>
      <c r="D104" s="12">
        <v>58.101833999999997</v>
      </c>
      <c r="E104" s="7"/>
      <c r="F104" s="7"/>
      <c r="G104" s="7"/>
      <c r="H104" s="12">
        <v>3218.98</v>
      </c>
      <c r="I104" s="12">
        <v>2188.61</v>
      </c>
      <c r="J104" s="12">
        <v>39228.79</v>
      </c>
    </row>
    <row r="105" spans="2:10" ht="18.75" x14ac:dyDescent="0.25">
      <c r="B105" s="7" t="s">
        <v>15</v>
      </c>
      <c r="C105" s="7" t="s">
        <v>666</v>
      </c>
      <c r="D105" s="12">
        <v>0.27239600000000003</v>
      </c>
      <c r="E105" s="7"/>
      <c r="F105" s="7"/>
      <c r="G105" s="7"/>
      <c r="H105" s="12">
        <v>8.3699999999999992</v>
      </c>
      <c r="I105" s="12">
        <v>1.4</v>
      </c>
      <c r="J105" s="12">
        <v>15.31</v>
      </c>
    </row>
    <row r="106" spans="2:10" ht="18.75" x14ac:dyDescent="0.25">
      <c r="B106" s="7" t="s">
        <v>15</v>
      </c>
      <c r="C106" s="7" t="s">
        <v>247</v>
      </c>
      <c r="D106" s="12">
        <v>0.557145</v>
      </c>
      <c r="E106" s="7"/>
      <c r="F106" s="7"/>
      <c r="G106" s="7"/>
      <c r="H106" s="12">
        <v>0.53</v>
      </c>
      <c r="I106" s="12">
        <v>0.24</v>
      </c>
      <c r="J106" s="12">
        <v>2.96</v>
      </c>
    </row>
    <row r="107" spans="2:10" ht="18.75" x14ac:dyDescent="0.25">
      <c r="B107" s="7" t="s">
        <v>15</v>
      </c>
      <c r="C107" s="7" t="s">
        <v>265</v>
      </c>
      <c r="D107" s="12">
        <v>6.5630550000000003</v>
      </c>
      <c r="E107" s="7"/>
      <c r="F107" s="7"/>
      <c r="G107" s="7"/>
      <c r="H107" s="12">
        <v>8107.29</v>
      </c>
      <c r="I107" s="12">
        <v>621.04999999999995</v>
      </c>
      <c r="J107" s="12">
        <v>3275.8</v>
      </c>
    </row>
    <row r="108" spans="2:10" ht="18.75" x14ac:dyDescent="0.25">
      <c r="B108" s="7" t="s">
        <v>15</v>
      </c>
      <c r="C108" s="7" t="s">
        <v>490</v>
      </c>
      <c r="D108" s="12">
        <v>9.1706999999999997E-2</v>
      </c>
      <c r="E108" s="7"/>
      <c r="F108" s="7"/>
      <c r="G108" s="7"/>
      <c r="H108" s="12">
        <v>2.91</v>
      </c>
      <c r="I108" s="12">
        <v>1.38</v>
      </c>
      <c r="J108" s="12">
        <v>13.24</v>
      </c>
    </row>
    <row r="109" spans="2:10" ht="18.75" x14ac:dyDescent="0.25">
      <c r="B109" s="7" t="s">
        <v>15</v>
      </c>
      <c r="C109" s="7" t="s">
        <v>264</v>
      </c>
      <c r="D109" s="12">
        <v>0.12741</v>
      </c>
      <c r="E109" s="7"/>
      <c r="F109" s="7"/>
      <c r="G109" s="7"/>
      <c r="H109" s="12">
        <v>157.38</v>
      </c>
      <c r="I109" s="12">
        <v>12.06</v>
      </c>
      <c r="J109" s="12">
        <v>63.59</v>
      </c>
    </row>
    <row r="110" spans="2:10" ht="18.75" x14ac:dyDescent="0.25">
      <c r="B110" s="7" t="s">
        <v>15</v>
      </c>
      <c r="C110" s="7" t="s">
        <v>602</v>
      </c>
      <c r="D110" s="12">
        <v>0.103712</v>
      </c>
      <c r="E110" s="7"/>
      <c r="F110" s="7"/>
      <c r="G110" s="7"/>
      <c r="H110" s="12">
        <v>0.1</v>
      </c>
      <c r="I110" s="12">
        <v>0.04</v>
      </c>
      <c r="J110" s="12">
        <v>0.55000000000000004</v>
      </c>
    </row>
    <row r="111" spans="2:10" ht="18.75" x14ac:dyDescent="0.25">
      <c r="B111" s="7" t="s">
        <v>15</v>
      </c>
      <c r="C111" s="7" t="s">
        <v>266</v>
      </c>
      <c r="D111" s="12">
        <v>3.5025000000000001E-2</v>
      </c>
      <c r="E111" s="7"/>
      <c r="F111" s="7"/>
      <c r="G111" s="7"/>
      <c r="H111" s="12">
        <v>43.26</v>
      </c>
      <c r="I111" s="12">
        <v>3.31</v>
      </c>
      <c r="J111" s="12">
        <v>17.48</v>
      </c>
    </row>
    <row r="112" spans="2:10" ht="18.75" x14ac:dyDescent="0.25">
      <c r="B112" s="7" t="s">
        <v>15</v>
      </c>
      <c r="C112" s="7" t="s">
        <v>232</v>
      </c>
      <c r="D112" s="12">
        <v>0.31923299999999999</v>
      </c>
      <c r="E112" s="7"/>
      <c r="F112" s="7"/>
      <c r="G112" s="7"/>
      <c r="H112" s="12">
        <v>0.3</v>
      </c>
      <c r="I112" s="12">
        <v>0.14000000000000001</v>
      </c>
      <c r="J112" s="12">
        <v>1.7</v>
      </c>
    </row>
    <row r="113" spans="2:10" ht="18.75" x14ac:dyDescent="0.25">
      <c r="B113" s="7" t="s">
        <v>15</v>
      </c>
      <c r="C113" s="7" t="s">
        <v>323</v>
      </c>
      <c r="D113" s="12">
        <v>8.6231000000000002E-2</v>
      </c>
      <c r="E113" s="7"/>
      <c r="F113" s="7"/>
      <c r="G113" s="7"/>
      <c r="H113" s="12">
        <v>3.51</v>
      </c>
      <c r="I113" s="12">
        <v>1.28</v>
      </c>
      <c r="J113" s="12">
        <v>12.27</v>
      </c>
    </row>
    <row r="114" spans="2:10" ht="18.75" x14ac:dyDescent="0.25">
      <c r="B114" s="7" t="s">
        <v>15</v>
      </c>
      <c r="C114" s="7" t="s">
        <v>324</v>
      </c>
      <c r="D114" s="12">
        <v>1.5543039999999999</v>
      </c>
      <c r="E114" s="7"/>
      <c r="F114" s="7"/>
      <c r="G114" s="7"/>
      <c r="H114" s="12">
        <v>25.54</v>
      </c>
      <c r="I114" s="12">
        <v>11.74</v>
      </c>
      <c r="J114" s="12">
        <v>344.94</v>
      </c>
    </row>
    <row r="115" spans="2:10" ht="18.75" x14ac:dyDescent="0.25">
      <c r="B115" s="7" t="s">
        <v>15</v>
      </c>
      <c r="C115" s="7" t="s">
        <v>492</v>
      </c>
      <c r="D115" s="12">
        <v>0.34710999999999997</v>
      </c>
      <c r="E115" s="7"/>
      <c r="F115" s="7"/>
      <c r="G115" s="7"/>
      <c r="H115" s="12">
        <v>11.02</v>
      </c>
      <c r="I115" s="12">
        <v>5.23</v>
      </c>
      <c r="J115" s="12">
        <v>50.12</v>
      </c>
    </row>
    <row r="116" spans="2:10" ht="18.75" x14ac:dyDescent="0.25">
      <c r="B116" s="7" t="s">
        <v>15</v>
      </c>
      <c r="C116" s="7" t="s">
        <v>569</v>
      </c>
      <c r="D116" s="12">
        <v>6.0770999999999999E-2</v>
      </c>
      <c r="E116" s="7"/>
      <c r="F116" s="7"/>
      <c r="G116" s="7"/>
      <c r="H116" s="12">
        <v>1.87</v>
      </c>
      <c r="I116" s="12">
        <v>0.31</v>
      </c>
      <c r="J116" s="12">
        <v>3.42</v>
      </c>
    </row>
    <row r="117" spans="2:10" ht="18.75" x14ac:dyDescent="0.25">
      <c r="B117" s="7" t="s">
        <v>15</v>
      </c>
      <c r="C117" s="7" t="s">
        <v>218</v>
      </c>
      <c r="D117" s="12">
        <v>6.5963999999999995E-2</v>
      </c>
      <c r="E117" s="7"/>
      <c r="F117" s="7"/>
      <c r="G117" s="7"/>
      <c r="H117" s="12">
        <v>2.09</v>
      </c>
      <c r="I117" s="12">
        <v>0.99</v>
      </c>
      <c r="J117" s="12">
        <v>9.52</v>
      </c>
    </row>
    <row r="118" spans="2:10" ht="18.75" x14ac:dyDescent="0.25">
      <c r="B118" s="7" t="s">
        <v>15</v>
      </c>
      <c r="C118" s="7" t="s">
        <v>586</v>
      </c>
      <c r="D118" s="12">
        <v>5.7232659999999997</v>
      </c>
      <c r="E118" s="7"/>
      <c r="F118" s="7"/>
      <c r="G118" s="7"/>
      <c r="H118" s="12">
        <v>5.43</v>
      </c>
      <c r="I118" s="12">
        <v>2.44</v>
      </c>
      <c r="J118" s="12">
        <v>30.39</v>
      </c>
    </row>
    <row r="119" spans="2:10" ht="18.75" x14ac:dyDescent="0.25">
      <c r="B119" s="7" t="s">
        <v>15</v>
      </c>
      <c r="C119" s="7" t="s">
        <v>340</v>
      </c>
      <c r="D119" s="12">
        <v>2.4501849999999998</v>
      </c>
      <c r="E119" s="7"/>
      <c r="F119" s="7"/>
      <c r="G119" s="7"/>
      <c r="H119" s="12">
        <v>135.74</v>
      </c>
      <c r="I119" s="12">
        <v>92.29</v>
      </c>
      <c r="J119" s="12">
        <v>1654.25</v>
      </c>
    </row>
    <row r="120" spans="2:10" ht="18.75" x14ac:dyDescent="0.25">
      <c r="B120" s="7" t="s">
        <v>682</v>
      </c>
      <c r="C120" s="7" t="s">
        <v>432</v>
      </c>
      <c r="D120" s="12">
        <v>8.8800000000000001E-4</v>
      </c>
      <c r="E120" s="7"/>
      <c r="F120" s="7"/>
      <c r="G120" s="7"/>
      <c r="H120" s="12">
        <v>0.03</v>
      </c>
      <c r="I120" s="12">
        <v>0.1</v>
      </c>
      <c r="J120" s="12">
        <v>0.52</v>
      </c>
    </row>
    <row r="121" spans="2:10" ht="18.75" x14ac:dyDescent="0.25">
      <c r="B121" s="7" t="s">
        <v>15</v>
      </c>
      <c r="C121" s="7" t="s">
        <v>268</v>
      </c>
      <c r="D121" s="12">
        <v>9.9825999999999998E-2</v>
      </c>
      <c r="E121" s="7"/>
      <c r="F121" s="7"/>
      <c r="G121" s="7"/>
      <c r="H121" s="12">
        <v>123.91</v>
      </c>
      <c r="I121" s="12">
        <v>9.49</v>
      </c>
      <c r="J121" s="12">
        <v>50.07</v>
      </c>
    </row>
    <row r="122" spans="2:10" ht="18.75" x14ac:dyDescent="0.25">
      <c r="B122" s="7" t="s">
        <v>15</v>
      </c>
      <c r="C122" s="7" t="s">
        <v>35</v>
      </c>
      <c r="D122" s="12">
        <v>2.948664</v>
      </c>
      <c r="E122" s="7"/>
      <c r="F122" s="7"/>
      <c r="G122" s="7"/>
      <c r="H122" s="12">
        <v>93.6</v>
      </c>
      <c r="I122" s="12">
        <v>44.46</v>
      </c>
      <c r="J122" s="12">
        <v>425.8</v>
      </c>
    </row>
    <row r="123" spans="2:10" ht="18.75" x14ac:dyDescent="0.25">
      <c r="B123" s="7" t="s">
        <v>15</v>
      </c>
      <c r="C123" s="7" t="s">
        <v>491</v>
      </c>
      <c r="D123" s="12">
        <v>0.122513</v>
      </c>
      <c r="E123" s="7"/>
      <c r="F123" s="7"/>
      <c r="G123" s="7"/>
      <c r="H123" s="12">
        <v>3.89</v>
      </c>
      <c r="I123" s="12">
        <v>1.85</v>
      </c>
      <c r="J123" s="12">
        <v>17.7</v>
      </c>
    </row>
    <row r="124" spans="2:10" ht="18.75" x14ac:dyDescent="0.25">
      <c r="B124" s="7" t="s">
        <v>15</v>
      </c>
      <c r="C124" s="7" t="s">
        <v>496</v>
      </c>
      <c r="D124" s="12">
        <v>9.3642000000000003E-2</v>
      </c>
      <c r="E124" s="7"/>
      <c r="F124" s="7"/>
      <c r="G124" s="7"/>
      <c r="H124" s="12">
        <v>2.97</v>
      </c>
      <c r="I124" s="12">
        <v>1.41</v>
      </c>
      <c r="J124" s="12">
        <v>13.52</v>
      </c>
    </row>
    <row r="125" spans="2:10" ht="18.75" x14ac:dyDescent="0.25">
      <c r="B125" s="7" t="s">
        <v>15</v>
      </c>
      <c r="C125" s="7" t="s">
        <v>690</v>
      </c>
      <c r="D125" s="12">
        <v>3.9999999999999998E-6</v>
      </c>
      <c r="E125" s="7"/>
      <c r="F125" s="7"/>
      <c r="G125" s="7"/>
      <c r="H125" s="12">
        <v>0</v>
      </c>
      <c r="I125" s="12">
        <v>0</v>
      </c>
      <c r="J125" s="12">
        <v>0</v>
      </c>
    </row>
    <row r="126" spans="2:10" ht="18.75" x14ac:dyDescent="0.25">
      <c r="B126" s="7" t="s">
        <v>15</v>
      </c>
      <c r="C126" s="7" t="s">
        <v>231</v>
      </c>
      <c r="D126" s="12">
        <v>0.23105600000000001</v>
      </c>
      <c r="E126" s="7"/>
      <c r="F126" s="7"/>
      <c r="G126" s="7"/>
      <c r="H126" s="12">
        <v>0.22</v>
      </c>
      <c r="I126" s="12">
        <v>0.1</v>
      </c>
      <c r="J126" s="12">
        <v>1.23</v>
      </c>
    </row>
    <row r="127" spans="2:10" ht="18.75" x14ac:dyDescent="0.25">
      <c r="B127" s="7" t="s">
        <v>15</v>
      </c>
      <c r="C127" s="7" t="s">
        <v>497</v>
      </c>
      <c r="D127" s="12">
        <v>0.119424</v>
      </c>
      <c r="E127" s="7"/>
      <c r="F127" s="7"/>
      <c r="G127" s="7"/>
      <c r="H127" s="12">
        <v>3.79</v>
      </c>
      <c r="I127" s="12">
        <v>1.8</v>
      </c>
      <c r="J127" s="12">
        <v>17.260000000000002</v>
      </c>
    </row>
    <row r="128" spans="2:10" ht="18.75" x14ac:dyDescent="0.25">
      <c r="B128" s="7" t="s">
        <v>15</v>
      </c>
      <c r="C128" s="7" t="s">
        <v>592</v>
      </c>
      <c r="D128" s="12">
        <v>1.2695E-2</v>
      </c>
      <c r="E128" s="7"/>
      <c r="F128" s="7"/>
      <c r="G128" s="7"/>
      <c r="H128" s="12">
        <v>0.01</v>
      </c>
      <c r="I128" s="12">
        <v>0.01</v>
      </c>
      <c r="J128" s="12">
        <v>7.0000000000000007E-2</v>
      </c>
    </row>
    <row r="129" spans="2:10" ht="18.75" x14ac:dyDescent="0.25">
      <c r="B129" s="7" t="s">
        <v>15</v>
      </c>
      <c r="C129" s="7" t="s">
        <v>84</v>
      </c>
      <c r="D129" s="12">
        <v>2.4393410000000002</v>
      </c>
      <c r="E129" s="7"/>
      <c r="F129" s="7"/>
      <c r="G129" s="7"/>
      <c r="H129" s="12">
        <v>77.430000000000007</v>
      </c>
      <c r="I129" s="12">
        <v>36.78</v>
      </c>
      <c r="J129" s="12">
        <v>352.25</v>
      </c>
    </row>
    <row r="130" spans="2:10" ht="18.75" x14ac:dyDescent="0.25">
      <c r="B130" s="7" t="s">
        <v>15</v>
      </c>
      <c r="C130" s="7" t="s">
        <v>493</v>
      </c>
      <c r="D130" s="12">
        <v>0.232015</v>
      </c>
      <c r="E130" s="7"/>
      <c r="F130" s="7"/>
      <c r="G130" s="7"/>
      <c r="H130" s="12">
        <v>7.36</v>
      </c>
      <c r="I130" s="12">
        <v>3.5</v>
      </c>
      <c r="J130" s="12">
        <v>33.5</v>
      </c>
    </row>
    <row r="131" spans="2:10" ht="18.75" x14ac:dyDescent="0.25">
      <c r="B131" s="7" t="s">
        <v>15</v>
      </c>
      <c r="C131" s="7" t="s">
        <v>62</v>
      </c>
      <c r="D131" s="12">
        <v>1.001719</v>
      </c>
      <c r="E131" s="7"/>
      <c r="F131" s="7"/>
      <c r="G131" s="7"/>
      <c r="H131" s="12">
        <v>63.1</v>
      </c>
      <c r="I131" s="12">
        <v>4.54</v>
      </c>
      <c r="J131" s="12">
        <v>98.38</v>
      </c>
    </row>
    <row r="132" spans="2:10" ht="18.75" x14ac:dyDescent="0.25">
      <c r="B132" s="7" t="s">
        <v>15</v>
      </c>
      <c r="C132" s="7" t="s">
        <v>628</v>
      </c>
      <c r="D132" s="12">
        <v>0.39368199999999998</v>
      </c>
      <c r="E132" s="7"/>
      <c r="F132" s="7"/>
      <c r="G132" s="7"/>
      <c r="H132" s="12">
        <v>12.09</v>
      </c>
      <c r="I132" s="12">
        <v>2.02</v>
      </c>
      <c r="J132" s="12">
        <v>22.13</v>
      </c>
    </row>
    <row r="133" spans="2:10" ht="18.75" x14ac:dyDescent="0.25">
      <c r="B133" s="7" t="s">
        <v>15</v>
      </c>
      <c r="C133" s="7" t="s">
        <v>326</v>
      </c>
      <c r="D133" s="12">
        <v>6.6959000000000005E-2</v>
      </c>
      <c r="E133" s="7"/>
      <c r="F133" s="7"/>
      <c r="G133" s="7"/>
      <c r="H133" s="12">
        <v>1.5</v>
      </c>
      <c r="I133" s="12">
        <v>0.82</v>
      </c>
      <c r="J133" s="12">
        <v>13.36</v>
      </c>
    </row>
    <row r="134" spans="2:10" ht="18.75" x14ac:dyDescent="0.25">
      <c r="B134" s="7" t="s">
        <v>15</v>
      </c>
      <c r="C134" s="7" t="s">
        <v>325</v>
      </c>
      <c r="D134" s="12">
        <v>4.1523999999999998E-2</v>
      </c>
      <c r="E134" s="7"/>
      <c r="F134" s="7"/>
      <c r="G134" s="7"/>
      <c r="H134" s="12">
        <v>7.91</v>
      </c>
      <c r="I134" s="12">
        <v>1.6</v>
      </c>
      <c r="J134" s="12">
        <v>12.69</v>
      </c>
    </row>
    <row r="135" spans="2:10" ht="18.75" x14ac:dyDescent="0.25">
      <c r="B135" s="7" t="s">
        <v>15</v>
      </c>
      <c r="C135" s="7" t="s">
        <v>156</v>
      </c>
      <c r="D135" s="12">
        <v>2.9030000000000002E-3</v>
      </c>
      <c r="E135" s="7"/>
      <c r="F135" s="7"/>
      <c r="G135" s="7"/>
      <c r="H135" s="12">
        <v>0.09</v>
      </c>
      <c r="I135" s="12">
        <v>0.01</v>
      </c>
      <c r="J135" s="12">
        <v>0.16</v>
      </c>
    </row>
    <row r="136" spans="2:10" ht="18.75" x14ac:dyDescent="0.25">
      <c r="B136" s="7" t="s">
        <v>15</v>
      </c>
      <c r="C136" s="7" t="s">
        <v>605</v>
      </c>
      <c r="D136" s="12">
        <v>0.80154099999999995</v>
      </c>
      <c r="E136" s="7"/>
      <c r="F136" s="7"/>
      <c r="G136" s="7"/>
      <c r="H136" s="12">
        <v>0.76</v>
      </c>
      <c r="I136" s="12">
        <v>0.34</v>
      </c>
      <c r="J136" s="12">
        <v>4.26</v>
      </c>
    </row>
    <row r="137" spans="2:10" ht="18.75" x14ac:dyDescent="0.25">
      <c r="B137" s="7" t="s">
        <v>15</v>
      </c>
      <c r="C137" s="7" t="s">
        <v>344</v>
      </c>
      <c r="D137" s="12">
        <v>0.85679399999999994</v>
      </c>
      <c r="E137" s="7"/>
      <c r="F137" s="7"/>
      <c r="G137" s="7"/>
      <c r="H137" s="12">
        <v>47.47</v>
      </c>
      <c r="I137" s="12">
        <v>32.270000000000003</v>
      </c>
      <c r="J137" s="12">
        <v>578.47</v>
      </c>
    </row>
    <row r="138" spans="2:10" ht="18.75" x14ac:dyDescent="0.25">
      <c r="B138" s="7" t="s">
        <v>15</v>
      </c>
      <c r="C138" s="7" t="s">
        <v>499</v>
      </c>
      <c r="D138" s="12">
        <v>0.101524</v>
      </c>
      <c r="E138" s="7"/>
      <c r="F138" s="7"/>
      <c r="G138" s="7"/>
      <c r="H138" s="12">
        <v>3.23</v>
      </c>
      <c r="I138" s="12">
        <v>1.53</v>
      </c>
      <c r="J138" s="12">
        <v>14.68</v>
      </c>
    </row>
    <row r="139" spans="2:10" ht="18.75" x14ac:dyDescent="0.25">
      <c r="B139" s="7" t="s">
        <v>15</v>
      </c>
      <c r="C139" s="7" t="s">
        <v>345</v>
      </c>
      <c r="D139" s="12">
        <v>0.12976199999999999</v>
      </c>
      <c r="E139" s="7"/>
      <c r="F139" s="7"/>
      <c r="G139" s="7"/>
      <c r="H139" s="12">
        <v>1.86</v>
      </c>
      <c r="I139" s="12">
        <v>3.44</v>
      </c>
      <c r="J139" s="12">
        <v>23.77</v>
      </c>
    </row>
    <row r="140" spans="2:10" ht="18.75" x14ac:dyDescent="0.25">
      <c r="B140" s="7" t="s">
        <v>15</v>
      </c>
      <c r="C140" s="7" t="s">
        <v>346</v>
      </c>
      <c r="D140" s="12">
        <v>9.9999999999999995E-7</v>
      </c>
      <c r="E140" s="7"/>
      <c r="F140" s="7"/>
      <c r="G140" s="7"/>
      <c r="H140" s="12">
        <v>0</v>
      </c>
      <c r="I140" s="12">
        <v>0</v>
      </c>
      <c r="J140" s="12">
        <v>0</v>
      </c>
    </row>
    <row r="141" spans="2:10" ht="18.75" x14ac:dyDescent="0.25">
      <c r="B141" s="7" t="s">
        <v>15</v>
      </c>
      <c r="C141" s="7" t="s">
        <v>629</v>
      </c>
      <c r="D141" s="12">
        <v>0.66154800000000002</v>
      </c>
      <c r="E141" s="7"/>
      <c r="F141" s="7"/>
      <c r="G141" s="7"/>
      <c r="H141" s="12">
        <v>20.32</v>
      </c>
      <c r="I141" s="12">
        <v>3.4</v>
      </c>
      <c r="J141" s="12">
        <v>37.18</v>
      </c>
    </row>
    <row r="142" spans="2:10" ht="18.75" x14ac:dyDescent="0.25">
      <c r="B142" s="7" t="s">
        <v>15</v>
      </c>
      <c r="C142" s="7" t="s">
        <v>327</v>
      </c>
      <c r="D142" s="12">
        <v>0.30471100000000001</v>
      </c>
      <c r="E142" s="7"/>
      <c r="F142" s="7"/>
      <c r="G142" s="7"/>
      <c r="H142" s="12">
        <v>6.83</v>
      </c>
      <c r="I142" s="12">
        <v>3.71</v>
      </c>
      <c r="J142" s="12">
        <v>60.81</v>
      </c>
    </row>
    <row r="143" spans="2:10" ht="18.75" x14ac:dyDescent="0.25">
      <c r="B143" s="7" t="s">
        <v>15</v>
      </c>
      <c r="C143" s="7" t="s">
        <v>500</v>
      </c>
      <c r="D143" s="12">
        <v>1.4221200000000001</v>
      </c>
      <c r="E143" s="7"/>
      <c r="F143" s="7"/>
      <c r="G143" s="7"/>
      <c r="H143" s="12">
        <v>45.15</v>
      </c>
      <c r="I143" s="12">
        <v>21.44</v>
      </c>
      <c r="J143" s="12">
        <v>205.39</v>
      </c>
    </row>
    <row r="144" spans="2:10" ht="18.75" x14ac:dyDescent="0.25">
      <c r="B144" s="7" t="s">
        <v>15</v>
      </c>
      <c r="C144" s="7" t="s">
        <v>691</v>
      </c>
      <c r="D144" s="12">
        <v>1.4300000000000001E-4</v>
      </c>
      <c r="E144" s="7"/>
      <c r="F144" s="7"/>
      <c r="G144" s="7"/>
      <c r="H144" s="12">
        <v>0</v>
      </c>
      <c r="I144" s="12">
        <v>0</v>
      </c>
      <c r="J144" s="12">
        <v>0</v>
      </c>
    </row>
    <row r="145" spans="2:10" ht="18.75" x14ac:dyDescent="0.25">
      <c r="B145" s="7" t="s">
        <v>15</v>
      </c>
      <c r="C145" s="7" t="s">
        <v>270</v>
      </c>
      <c r="D145" s="12">
        <v>0.45192500000000002</v>
      </c>
      <c r="E145" s="7"/>
      <c r="F145" s="7"/>
      <c r="G145" s="7"/>
      <c r="H145" s="12">
        <v>558.25</v>
      </c>
      <c r="I145" s="12">
        <v>42.76</v>
      </c>
      <c r="J145" s="12">
        <v>225.56</v>
      </c>
    </row>
    <row r="146" spans="2:10" ht="18.75" x14ac:dyDescent="0.25">
      <c r="B146" s="7" t="s">
        <v>15</v>
      </c>
      <c r="C146" s="7" t="s">
        <v>350</v>
      </c>
      <c r="D146" s="12">
        <v>1.114E-3</v>
      </c>
      <c r="E146" s="7"/>
      <c r="F146" s="7"/>
      <c r="G146" s="7"/>
      <c r="H146" s="12">
        <v>0.06</v>
      </c>
      <c r="I146" s="12">
        <v>0.04</v>
      </c>
      <c r="J146" s="12">
        <v>0.75</v>
      </c>
    </row>
    <row r="147" spans="2:10" ht="18.75" x14ac:dyDescent="0.25">
      <c r="B147" s="7" t="s">
        <v>15</v>
      </c>
      <c r="C147" s="7" t="s">
        <v>501</v>
      </c>
      <c r="D147" s="12">
        <v>1.5845999999999999E-2</v>
      </c>
      <c r="E147" s="7"/>
      <c r="F147" s="7"/>
      <c r="G147" s="7"/>
      <c r="H147" s="12">
        <v>0.5</v>
      </c>
      <c r="I147" s="12">
        <v>0.24</v>
      </c>
      <c r="J147" s="12">
        <v>2.29</v>
      </c>
    </row>
    <row r="148" spans="2:10" ht="18.75" x14ac:dyDescent="0.25">
      <c r="B148" s="7" t="s">
        <v>15</v>
      </c>
      <c r="C148" s="7" t="s">
        <v>68</v>
      </c>
      <c r="D148" s="12">
        <v>0.13633600000000001</v>
      </c>
      <c r="E148" s="7"/>
      <c r="F148" s="7"/>
      <c r="G148" s="7"/>
      <c r="H148" s="12">
        <v>0.13</v>
      </c>
      <c r="I148" s="12">
        <v>0.06</v>
      </c>
      <c r="J148" s="12">
        <v>0.73</v>
      </c>
    </row>
    <row r="149" spans="2:10" ht="18.75" x14ac:dyDescent="0.25">
      <c r="B149" s="7" t="s">
        <v>15</v>
      </c>
      <c r="C149" s="7" t="s">
        <v>359</v>
      </c>
      <c r="D149" s="12">
        <v>1.2300000000000001E-4</v>
      </c>
      <c r="E149" s="7"/>
      <c r="F149" s="7"/>
      <c r="G149" s="7"/>
      <c r="H149" s="12">
        <v>0</v>
      </c>
      <c r="I149" s="12">
        <v>0</v>
      </c>
      <c r="J149" s="12">
        <v>0.02</v>
      </c>
    </row>
    <row r="150" spans="2:10" ht="18.75" x14ac:dyDescent="0.25">
      <c r="B150" s="7" t="s">
        <v>15</v>
      </c>
      <c r="C150" s="7" t="s">
        <v>42</v>
      </c>
      <c r="D150" s="12">
        <v>0.212946</v>
      </c>
      <c r="E150" s="7"/>
      <c r="F150" s="7"/>
      <c r="G150" s="7"/>
      <c r="H150" s="12">
        <v>1.03</v>
      </c>
      <c r="I150" s="12">
        <v>2.2999999999999998</v>
      </c>
      <c r="J150" s="12">
        <v>9.1999999999999993</v>
      </c>
    </row>
    <row r="151" spans="2:10" ht="18.75" x14ac:dyDescent="0.25">
      <c r="B151" s="7" t="s">
        <v>15</v>
      </c>
      <c r="C151" s="7" t="s">
        <v>329</v>
      </c>
      <c r="D151" s="12">
        <v>9.6019999999999994E-3</v>
      </c>
      <c r="E151" s="7"/>
      <c r="F151" s="7"/>
      <c r="G151" s="7"/>
      <c r="H151" s="12">
        <v>1.1399999999999999</v>
      </c>
      <c r="I151" s="12">
        <v>0.27</v>
      </c>
      <c r="J151" s="12">
        <v>3.72</v>
      </c>
    </row>
    <row r="152" spans="2:10" ht="18.75" x14ac:dyDescent="0.25">
      <c r="B152" s="7" t="s">
        <v>15</v>
      </c>
      <c r="C152" s="7" t="s">
        <v>352</v>
      </c>
      <c r="D152" s="12">
        <v>3.3569000000000002E-2</v>
      </c>
      <c r="E152" s="7"/>
      <c r="F152" s="7"/>
      <c r="G152" s="7"/>
      <c r="H152" s="12">
        <v>0.75</v>
      </c>
      <c r="I152" s="12">
        <v>0.41</v>
      </c>
      <c r="J152" s="12">
        <v>6.7</v>
      </c>
    </row>
    <row r="153" spans="2:10" ht="18.75" x14ac:dyDescent="0.25">
      <c r="B153" s="7" t="s">
        <v>15</v>
      </c>
      <c r="C153" s="7" t="s">
        <v>163</v>
      </c>
      <c r="D153" s="12">
        <v>54.076433000000002</v>
      </c>
      <c r="E153" s="7"/>
      <c r="F153" s="7"/>
      <c r="G153" s="7"/>
      <c r="H153" s="12">
        <v>51.27</v>
      </c>
      <c r="I153" s="12">
        <v>23.04</v>
      </c>
      <c r="J153" s="12">
        <v>287.19</v>
      </c>
    </row>
    <row r="154" spans="2:10" ht="18.75" x14ac:dyDescent="0.25">
      <c r="B154" s="7" t="s">
        <v>15</v>
      </c>
      <c r="C154" s="7" t="s">
        <v>353</v>
      </c>
      <c r="D154" s="12">
        <v>2.0799999999999998E-3</v>
      </c>
      <c r="E154" s="7"/>
      <c r="F154" s="7"/>
      <c r="G154" s="7"/>
      <c r="H154" s="12">
        <v>0.12</v>
      </c>
      <c r="I154" s="12">
        <v>0.08</v>
      </c>
      <c r="J154" s="12">
        <v>1.4</v>
      </c>
    </row>
    <row r="155" spans="2:10" ht="18.75" x14ac:dyDescent="0.25">
      <c r="B155" s="7" t="s">
        <v>15</v>
      </c>
      <c r="C155" s="7" t="s">
        <v>354</v>
      </c>
      <c r="D155" s="12">
        <v>1.9184E-2</v>
      </c>
      <c r="E155" s="7"/>
      <c r="F155" s="7"/>
      <c r="G155" s="7"/>
      <c r="H155" s="12">
        <v>0.43</v>
      </c>
      <c r="I155" s="12">
        <v>0.23</v>
      </c>
      <c r="J155" s="12">
        <v>3.83</v>
      </c>
    </row>
    <row r="156" spans="2:10" ht="18.75" x14ac:dyDescent="0.25">
      <c r="B156" s="7" t="s">
        <v>15</v>
      </c>
      <c r="C156" s="7" t="s">
        <v>355</v>
      </c>
      <c r="D156" s="12">
        <v>0.105238</v>
      </c>
      <c r="E156" s="7"/>
      <c r="F156" s="7"/>
      <c r="G156" s="7"/>
      <c r="H156" s="12">
        <v>4.9000000000000004</v>
      </c>
      <c r="I156" s="12">
        <v>4.43</v>
      </c>
      <c r="J156" s="12">
        <v>22.89</v>
      </c>
    </row>
    <row r="157" spans="2:10" ht="18.75" x14ac:dyDescent="0.25">
      <c r="B157" s="7" t="s">
        <v>15</v>
      </c>
      <c r="C157" s="7" t="s">
        <v>59</v>
      </c>
      <c r="D157" s="12">
        <v>6.2799999999999998E-4</v>
      </c>
      <c r="E157" s="7"/>
      <c r="F157" s="7"/>
      <c r="G157" s="7"/>
      <c r="H157" s="12">
        <v>0.12</v>
      </c>
      <c r="I157" s="12">
        <v>0.02</v>
      </c>
      <c r="J157" s="12">
        <v>0.19</v>
      </c>
    </row>
    <row r="158" spans="2:10" ht="18.75" x14ac:dyDescent="0.25">
      <c r="B158" s="7" t="s">
        <v>15</v>
      </c>
      <c r="C158" s="7" t="s">
        <v>692</v>
      </c>
      <c r="D158" s="12">
        <v>4.6705000000000003E-2</v>
      </c>
      <c r="E158" s="7"/>
      <c r="F158" s="7"/>
      <c r="G158" s="7"/>
      <c r="H158" s="12">
        <v>5.57</v>
      </c>
      <c r="I158" s="12">
        <v>1.32</v>
      </c>
      <c r="J158" s="12">
        <v>18.14</v>
      </c>
    </row>
    <row r="159" spans="2:10" ht="18.75" x14ac:dyDescent="0.25">
      <c r="B159" s="7" t="s">
        <v>15</v>
      </c>
      <c r="C159" s="7" t="s">
        <v>463</v>
      </c>
      <c r="D159" s="12">
        <v>1.5457019999999999</v>
      </c>
      <c r="E159" s="7"/>
      <c r="F159" s="7"/>
      <c r="G159" s="7"/>
      <c r="H159" s="12">
        <v>47.49</v>
      </c>
      <c r="I159" s="12">
        <v>7.94</v>
      </c>
      <c r="J159" s="12">
        <v>86.89</v>
      </c>
    </row>
    <row r="160" spans="2:10" ht="18.75" x14ac:dyDescent="0.25">
      <c r="B160" s="7" t="s">
        <v>15</v>
      </c>
      <c r="C160" s="7" t="s">
        <v>214</v>
      </c>
      <c r="D160" s="12">
        <v>0.140374</v>
      </c>
      <c r="E160" s="7"/>
      <c r="F160" s="7"/>
      <c r="G160" s="7"/>
      <c r="H160" s="12">
        <v>4.46</v>
      </c>
      <c r="I160" s="12">
        <v>2.12</v>
      </c>
      <c r="J160" s="12">
        <v>20.27</v>
      </c>
    </row>
    <row r="161" spans="2:10" ht="18.75" x14ac:dyDescent="0.25">
      <c r="B161" s="7" t="s">
        <v>15</v>
      </c>
      <c r="C161" s="7" t="s">
        <v>330</v>
      </c>
      <c r="D161" s="12">
        <v>0</v>
      </c>
      <c r="E161" s="7"/>
      <c r="F161" s="7"/>
      <c r="G161" s="7"/>
      <c r="H161" s="12">
        <v>0</v>
      </c>
      <c r="I161" s="12">
        <v>0</v>
      </c>
      <c r="J161" s="12">
        <v>0</v>
      </c>
    </row>
    <row r="162" spans="2:10" ht="18.75" x14ac:dyDescent="0.25">
      <c r="B162" s="7" t="s">
        <v>15</v>
      </c>
      <c r="C162" s="7" t="s">
        <v>648</v>
      </c>
      <c r="D162" s="12">
        <v>3.7300000000000001E-4</v>
      </c>
      <c r="E162" s="7"/>
      <c r="F162" s="7"/>
      <c r="G162" s="7"/>
      <c r="H162" s="12">
        <v>0.01</v>
      </c>
      <c r="I162" s="12">
        <v>0</v>
      </c>
      <c r="J162" s="12">
        <v>0.02</v>
      </c>
    </row>
    <row r="163" spans="2:10" ht="18.75" x14ac:dyDescent="0.25">
      <c r="B163" s="7" t="s">
        <v>15</v>
      </c>
      <c r="C163" s="7" t="s">
        <v>550</v>
      </c>
      <c r="D163" s="12">
        <v>1.2490939999999999</v>
      </c>
      <c r="E163" s="7"/>
      <c r="F163" s="7"/>
      <c r="G163" s="7"/>
      <c r="H163" s="12">
        <v>78.680000000000007</v>
      </c>
      <c r="I163" s="12">
        <v>5.66</v>
      </c>
      <c r="J163" s="12">
        <v>122.68</v>
      </c>
    </row>
    <row r="164" spans="2:10" ht="18.75" x14ac:dyDescent="0.25">
      <c r="B164" s="7" t="s">
        <v>15</v>
      </c>
      <c r="C164" s="7" t="s">
        <v>494</v>
      </c>
      <c r="D164" s="12">
        <v>4.3684149999999997</v>
      </c>
      <c r="E164" s="7"/>
      <c r="F164" s="7"/>
      <c r="G164" s="7"/>
      <c r="H164" s="12">
        <v>138.66999999999999</v>
      </c>
      <c r="I164" s="12">
        <v>65.87</v>
      </c>
      <c r="J164" s="12">
        <v>630.84</v>
      </c>
    </row>
    <row r="165" spans="2:10" ht="18.75" x14ac:dyDescent="0.25">
      <c r="B165" s="7" t="s">
        <v>15</v>
      </c>
      <c r="C165" s="7" t="s">
        <v>637</v>
      </c>
      <c r="D165" s="12">
        <v>3.6095830000000002</v>
      </c>
      <c r="E165" s="7"/>
      <c r="F165" s="7"/>
      <c r="G165" s="7"/>
      <c r="H165" s="12">
        <v>110.88</v>
      </c>
      <c r="I165" s="12">
        <v>18.54</v>
      </c>
      <c r="J165" s="12">
        <v>202.88</v>
      </c>
    </row>
    <row r="166" spans="2:10" ht="18.75" x14ac:dyDescent="0.25">
      <c r="B166" s="7" t="s">
        <v>15</v>
      </c>
      <c r="C166" s="7" t="s">
        <v>203</v>
      </c>
      <c r="D166" s="12">
        <v>0.120643</v>
      </c>
      <c r="E166" s="7"/>
      <c r="F166" s="7"/>
      <c r="G166" s="7"/>
      <c r="H166" s="12">
        <v>3.83</v>
      </c>
      <c r="I166" s="12">
        <v>1.82</v>
      </c>
      <c r="J166" s="12">
        <v>17.420000000000002</v>
      </c>
    </row>
    <row r="167" spans="2:10" ht="18.75" x14ac:dyDescent="0.25">
      <c r="B167" s="7" t="s">
        <v>15</v>
      </c>
      <c r="C167" s="7" t="s">
        <v>128</v>
      </c>
      <c r="D167" s="12">
        <v>3.1300000000000002E-4</v>
      </c>
      <c r="E167" s="7"/>
      <c r="F167" s="7"/>
      <c r="G167" s="7"/>
      <c r="H167" s="12">
        <v>0.06</v>
      </c>
      <c r="I167" s="12">
        <v>0.01</v>
      </c>
      <c r="J167" s="12">
        <v>0.1</v>
      </c>
    </row>
    <row r="168" spans="2:10" ht="18.75" x14ac:dyDescent="0.25">
      <c r="B168" s="7" t="s">
        <v>15</v>
      </c>
      <c r="C168" s="7" t="s">
        <v>470</v>
      </c>
      <c r="D168" s="12">
        <v>1.437845</v>
      </c>
      <c r="E168" s="7"/>
      <c r="F168" s="7"/>
      <c r="G168" s="7"/>
      <c r="H168" s="12">
        <v>39.53</v>
      </c>
      <c r="I168" s="12">
        <v>5.55</v>
      </c>
      <c r="J168" s="12">
        <v>307.39999999999998</v>
      </c>
    </row>
    <row r="169" spans="2:10" ht="18.75" x14ac:dyDescent="0.25">
      <c r="B169" s="7" t="s">
        <v>15</v>
      </c>
      <c r="C169" s="7" t="s">
        <v>149</v>
      </c>
      <c r="D169" s="12">
        <v>2.7099999999999999E-2</v>
      </c>
      <c r="E169" s="7"/>
      <c r="F169" s="7"/>
      <c r="G169" s="7"/>
      <c r="H169" s="12">
        <v>0.83</v>
      </c>
      <c r="I169" s="12">
        <v>0.14000000000000001</v>
      </c>
      <c r="J169" s="12">
        <v>1.52</v>
      </c>
    </row>
    <row r="170" spans="2:10" ht="18.75" x14ac:dyDescent="0.25">
      <c r="B170" s="7" t="s">
        <v>15</v>
      </c>
      <c r="C170" s="7" t="s">
        <v>358</v>
      </c>
      <c r="D170" s="12">
        <v>1.4430000000000001E-3</v>
      </c>
      <c r="E170" s="7"/>
      <c r="F170" s="7"/>
      <c r="G170" s="7"/>
      <c r="H170" s="12">
        <v>0.03</v>
      </c>
      <c r="I170" s="12">
        <v>0.02</v>
      </c>
      <c r="J170" s="12">
        <v>0.28999999999999998</v>
      </c>
    </row>
    <row r="171" spans="2:10" ht="18.75" x14ac:dyDescent="0.25">
      <c r="B171" s="7" t="s">
        <v>15</v>
      </c>
      <c r="C171" s="7" t="s">
        <v>551</v>
      </c>
      <c r="D171" s="12">
        <v>0.11217199999999999</v>
      </c>
      <c r="E171" s="7"/>
      <c r="F171" s="7"/>
      <c r="G171" s="7"/>
      <c r="H171" s="12">
        <v>7.06</v>
      </c>
      <c r="I171" s="12">
        <v>0.51</v>
      </c>
      <c r="J171" s="12">
        <v>11.02</v>
      </c>
    </row>
    <row r="172" spans="2:10" ht="18.75" x14ac:dyDescent="0.25">
      <c r="B172" s="7" t="s">
        <v>15</v>
      </c>
      <c r="C172" s="7" t="s">
        <v>603</v>
      </c>
      <c r="D172" s="12">
        <v>0.39673399999999998</v>
      </c>
      <c r="E172" s="7"/>
      <c r="F172" s="7"/>
      <c r="G172" s="7"/>
      <c r="H172" s="12">
        <v>0.38</v>
      </c>
      <c r="I172" s="12">
        <v>0.17</v>
      </c>
      <c r="J172" s="12">
        <v>2.11</v>
      </c>
    </row>
    <row r="173" spans="2:10" ht="18.75" x14ac:dyDescent="0.25">
      <c r="B173" s="7" t="s">
        <v>15</v>
      </c>
      <c r="C173" s="7" t="s">
        <v>464</v>
      </c>
      <c r="D173" s="12">
        <v>0.187829</v>
      </c>
      <c r="E173" s="7"/>
      <c r="F173" s="7"/>
      <c r="G173" s="7"/>
      <c r="H173" s="12">
        <v>7.67</v>
      </c>
      <c r="I173" s="12">
        <v>2.79</v>
      </c>
      <c r="J173" s="12">
        <v>26.79</v>
      </c>
    </row>
    <row r="174" spans="2:10" ht="18.75" x14ac:dyDescent="0.25">
      <c r="B174" s="7" t="s">
        <v>15</v>
      </c>
      <c r="C174" s="7" t="s">
        <v>331</v>
      </c>
      <c r="D174" s="12">
        <v>0.58618499999999996</v>
      </c>
      <c r="E174" s="7"/>
      <c r="F174" s="7"/>
      <c r="G174" s="7"/>
      <c r="H174" s="12">
        <v>111.66</v>
      </c>
      <c r="I174" s="12">
        <v>22.6</v>
      </c>
      <c r="J174" s="12">
        <v>179.08</v>
      </c>
    </row>
    <row r="175" spans="2:10" ht="18.75" x14ac:dyDescent="0.25">
      <c r="B175" s="7" t="s">
        <v>15</v>
      </c>
      <c r="C175" s="7" t="s">
        <v>332</v>
      </c>
      <c r="D175" s="12">
        <v>8.0000000000000007E-5</v>
      </c>
      <c r="E175" s="7"/>
      <c r="F175" s="7"/>
      <c r="G175" s="7"/>
      <c r="H175" s="12">
        <v>0</v>
      </c>
      <c r="I175" s="12">
        <v>0</v>
      </c>
      <c r="J175" s="12">
        <v>0.02</v>
      </c>
    </row>
    <row r="176" spans="2:10" ht="18.75" x14ac:dyDescent="0.25">
      <c r="B176" s="7" t="s">
        <v>15</v>
      </c>
      <c r="C176" s="7" t="s">
        <v>638</v>
      </c>
      <c r="D176" s="12">
        <v>0.19248399999999999</v>
      </c>
      <c r="E176" s="7"/>
      <c r="F176" s="7"/>
      <c r="G176" s="7"/>
      <c r="H176" s="12">
        <v>5.91</v>
      </c>
      <c r="I176" s="12">
        <v>0.99</v>
      </c>
      <c r="J176" s="12">
        <v>10.82</v>
      </c>
    </row>
    <row r="177" spans="2:10" ht="18.75" x14ac:dyDescent="0.25">
      <c r="B177" s="7" t="s">
        <v>15</v>
      </c>
      <c r="C177" s="7" t="s">
        <v>572</v>
      </c>
      <c r="D177" s="12">
        <v>0.113673</v>
      </c>
      <c r="E177" s="7"/>
      <c r="F177" s="7"/>
      <c r="G177" s="7"/>
      <c r="H177" s="12">
        <v>0.11</v>
      </c>
      <c r="I177" s="12">
        <v>0.05</v>
      </c>
      <c r="J177" s="12">
        <v>0.6</v>
      </c>
    </row>
    <row r="178" spans="2:10" ht="18.75" x14ac:dyDescent="0.25">
      <c r="B178" s="7" t="s">
        <v>15</v>
      </c>
      <c r="C178" s="7" t="s">
        <v>693</v>
      </c>
      <c r="D178" s="12">
        <v>6.29E-4</v>
      </c>
      <c r="E178" s="7"/>
      <c r="F178" s="7"/>
      <c r="G178" s="7"/>
      <c r="H178" s="12">
        <v>0.01</v>
      </c>
      <c r="I178" s="12">
        <v>0.01</v>
      </c>
      <c r="J178" s="12">
        <v>0.13</v>
      </c>
    </row>
    <row r="179" spans="2:10" ht="18.75" x14ac:dyDescent="0.25">
      <c r="B179" s="7" t="s">
        <v>15</v>
      </c>
      <c r="C179" s="7" t="s">
        <v>55</v>
      </c>
      <c r="D179" s="12">
        <v>0.1366</v>
      </c>
      <c r="E179" s="7"/>
      <c r="F179" s="7"/>
      <c r="G179" s="7"/>
      <c r="H179" s="12">
        <v>0.13</v>
      </c>
      <c r="I179" s="12">
        <v>0.06</v>
      </c>
      <c r="J179" s="12">
        <v>0.73</v>
      </c>
    </row>
    <row r="180" spans="2:10" ht="18.75" x14ac:dyDescent="0.25">
      <c r="B180" s="7" t="s">
        <v>15</v>
      </c>
      <c r="C180" s="7" t="s">
        <v>365</v>
      </c>
      <c r="D180" s="12">
        <v>2.0305E-2</v>
      </c>
      <c r="E180" s="7"/>
      <c r="F180" s="7"/>
      <c r="G180" s="7"/>
      <c r="H180" s="12">
        <v>2.42</v>
      </c>
      <c r="I180" s="12">
        <v>0.56999999999999995</v>
      </c>
      <c r="J180" s="12">
        <v>7.89</v>
      </c>
    </row>
    <row r="181" spans="2:10" ht="18.75" x14ac:dyDescent="0.25">
      <c r="B181" s="7" t="s">
        <v>15</v>
      </c>
      <c r="C181" s="7" t="s">
        <v>272</v>
      </c>
      <c r="D181" s="12">
        <v>2.1814E-2</v>
      </c>
      <c r="E181" s="7"/>
      <c r="F181" s="7"/>
      <c r="G181" s="7"/>
      <c r="H181" s="12">
        <v>26.95</v>
      </c>
      <c r="I181" s="12">
        <v>2.06</v>
      </c>
      <c r="J181" s="12">
        <v>10.89</v>
      </c>
    </row>
    <row r="182" spans="2:10" ht="18.75" x14ac:dyDescent="0.25">
      <c r="B182" s="7" t="s">
        <v>15</v>
      </c>
      <c r="C182" s="7" t="s">
        <v>360</v>
      </c>
      <c r="D182" s="12">
        <v>9.3084E-2</v>
      </c>
      <c r="E182" s="7"/>
      <c r="F182" s="7"/>
      <c r="G182" s="7"/>
      <c r="H182" s="12">
        <v>3.8</v>
      </c>
      <c r="I182" s="12">
        <v>1.38</v>
      </c>
      <c r="J182" s="12">
        <v>13.28</v>
      </c>
    </row>
    <row r="183" spans="2:10" ht="18.75" x14ac:dyDescent="0.25">
      <c r="B183" s="7" t="s">
        <v>15</v>
      </c>
      <c r="C183" s="7" t="s">
        <v>168</v>
      </c>
      <c r="D183" s="12">
        <v>0.50434000000000001</v>
      </c>
      <c r="E183" s="7"/>
      <c r="F183" s="7"/>
      <c r="G183" s="7"/>
      <c r="H183" s="12">
        <v>13.87</v>
      </c>
      <c r="I183" s="12">
        <v>1.95</v>
      </c>
      <c r="J183" s="12">
        <v>107.85</v>
      </c>
    </row>
    <row r="184" spans="2:10" ht="18.75" x14ac:dyDescent="0.25">
      <c r="B184" s="7" t="s">
        <v>15</v>
      </c>
      <c r="C184" s="7" t="s">
        <v>80</v>
      </c>
      <c r="D184" s="12">
        <v>25.750385000000001</v>
      </c>
      <c r="E184" s="7"/>
      <c r="F184" s="7"/>
      <c r="G184" s="7"/>
      <c r="H184" s="12">
        <v>4905.5600000000004</v>
      </c>
      <c r="I184" s="12">
        <v>992.75</v>
      </c>
      <c r="J184" s="12">
        <v>7867.11</v>
      </c>
    </row>
    <row r="185" spans="2:10" ht="18.75" x14ac:dyDescent="0.25">
      <c r="B185" s="7" t="s">
        <v>15</v>
      </c>
      <c r="C185" s="7" t="s">
        <v>361</v>
      </c>
      <c r="D185" s="12">
        <v>3.4175999999999998E-2</v>
      </c>
      <c r="E185" s="7"/>
      <c r="F185" s="7"/>
      <c r="G185" s="7"/>
      <c r="H185" s="12">
        <v>0.77</v>
      </c>
      <c r="I185" s="12">
        <v>0.42</v>
      </c>
      <c r="J185" s="12">
        <v>6.82</v>
      </c>
    </row>
    <row r="186" spans="2:10" ht="18.75" x14ac:dyDescent="0.25">
      <c r="B186" s="7" t="s">
        <v>15</v>
      </c>
      <c r="C186" s="7" t="s">
        <v>362</v>
      </c>
      <c r="D186" s="12">
        <v>4.2700000000000002E-4</v>
      </c>
      <c r="E186" s="7"/>
      <c r="F186" s="7"/>
      <c r="G186" s="7"/>
      <c r="H186" s="12">
        <v>0.02</v>
      </c>
      <c r="I186" s="12">
        <v>0.02</v>
      </c>
      <c r="J186" s="12">
        <v>0.09</v>
      </c>
    </row>
    <row r="187" spans="2:10" ht="18.75" x14ac:dyDescent="0.25">
      <c r="B187" s="7" t="s">
        <v>15</v>
      </c>
      <c r="C187" s="7" t="s">
        <v>694</v>
      </c>
      <c r="D187" s="12">
        <v>1.5460000000000001E-3</v>
      </c>
      <c r="E187" s="7"/>
      <c r="F187" s="7"/>
      <c r="G187" s="7"/>
      <c r="H187" s="12">
        <v>0.18</v>
      </c>
      <c r="I187" s="12">
        <v>0.04</v>
      </c>
      <c r="J187" s="12">
        <v>0.6</v>
      </c>
    </row>
    <row r="188" spans="2:10" ht="18.75" x14ac:dyDescent="0.25">
      <c r="B188" s="7" t="s">
        <v>15</v>
      </c>
      <c r="C188" s="7" t="s">
        <v>503</v>
      </c>
      <c r="D188" s="12">
        <v>0.92289100000000002</v>
      </c>
      <c r="E188" s="7"/>
      <c r="F188" s="7"/>
      <c r="G188" s="7"/>
      <c r="H188" s="12">
        <v>29.29</v>
      </c>
      <c r="I188" s="12">
        <v>13.91</v>
      </c>
      <c r="J188" s="12">
        <v>133.26</v>
      </c>
    </row>
    <row r="189" spans="2:10" ht="18.75" x14ac:dyDescent="0.25">
      <c r="B189" s="7" t="s">
        <v>15</v>
      </c>
      <c r="C189" s="7" t="s">
        <v>695</v>
      </c>
      <c r="D189" s="12">
        <v>2.114E-3</v>
      </c>
      <c r="E189" s="7"/>
      <c r="F189" s="7"/>
      <c r="G189" s="7"/>
      <c r="H189" s="12">
        <v>0.06</v>
      </c>
      <c r="I189" s="12">
        <v>0.01</v>
      </c>
      <c r="J189" s="12">
        <v>0.12</v>
      </c>
    </row>
    <row r="190" spans="2:10" ht="18.75" x14ac:dyDescent="0.25">
      <c r="B190" s="7" t="s">
        <v>15</v>
      </c>
      <c r="C190" s="7" t="s">
        <v>553</v>
      </c>
      <c r="D190" s="12">
        <v>0.101831</v>
      </c>
      <c r="E190" s="7"/>
      <c r="F190" s="7"/>
      <c r="G190" s="7"/>
      <c r="H190" s="12">
        <v>0.49</v>
      </c>
      <c r="I190" s="12">
        <v>1.1000000000000001</v>
      </c>
      <c r="J190" s="12">
        <v>4.4000000000000004</v>
      </c>
    </row>
    <row r="191" spans="2:10" ht="18.75" x14ac:dyDescent="0.25">
      <c r="B191" s="7" t="s">
        <v>15</v>
      </c>
      <c r="C191" s="7" t="s">
        <v>469</v>
      </c>
      <c r="D191" s="12">
        <v>0.67077900000000001</v>
      </c>
      <c r="E191" s="7"/>
      <c r="F191" s="7"/>
      <c r="G191" s="7"/>
      <c r="H191" s="12">
        <v>18.440000000000001</v>
      </c>
      <c r="I191" s="12">
        <v>2.59</v>
      </c>
      <c r="J191" s="12">
        <v>143.43</v>
      </c>
    </row>
    <row r="192" spans="2:10" ht="18.75" x14ac:dyDescent="0.25">
      <c r="B192" s="7" t="s">
        <v>15</v>
      </c>
      <c r="C192" s="7" t="s">
        <v>495</v>
      </c>
      <c r="D192" s="12">
        <v>48.388379</v>
      </c>
      <c r="E192" s="7"/>
      <c r="F192" s="7"/>
      <c r="G192" s="7"/>
      <c r="H192" s="12">
        <v>1536.05</v>
      </c>
      <c r="I192" s="12">
        <v>729.6</v>
      </c>
      <c r="J192" s="12">
        <v>6987.74</v>
      </c>
    </row>
    <row r="193" spans="2:10" ht="18.75" x14ac:dyDescent="0.25">
      <c r="B193" s="7" t="s">
        <v>15</v>
      </c>
      <c r="C193" s="7" t="s">
        <v>668</v>
      </c>
      <c r="D193" s="12">
        <v>8.4390000000000007E-2</v>
      </c>
      <c r="E193" s="7"/>
      <c r="F193" s="7"/>
      <c r="G193" s="7"/>
      <c r="H193" s="12">
        <v>0.08</v>
      </c>
      <c r="I193" s="12">
        <v>0.04</v>
      </c>
      <c r="J193" s="12">
        <v>0.45</v>
      </c>
    </row>
    <row r="194" spans="2:10" ht="18.75" x14ac:dyDescent="0.25">
      <c r="B194" s="7" t="s">
        <v>15</v>
      </c>
      <c r="C194" s="7" t="s">
        <v>504</v>
      </c>
      <c r="D194" s="12">
        <v>1.5728629999999999</v>
      </c>
      <c r="E194" s="7"/>
      <c r="F194" s="7"/>
      <c r="G194" s="7"/>
      <c r="H194" s="12">
        <v>49.87</v>
      </c>
      <c r="I194" s="12">
        <v>23.69</v>
      </c>
      <c r="J194" s="12">
        <v>226.88</v>
      </c>
    </row>
    <row r="195" spans="2:10" ht="18.75" x14ac:dyDescent="0.25">
      <c r="B195" s="7" t="s">
        <v>15</v>
      </c>
      <c r="C195" s="7" t="s">
        <v>82</v>
      </c>
      <c r="D195" s="12">
        <v>118.81417</v>
      </c>
      <c r="E195" s="7"/>
      <c r="F195" s="7"/>
      <c r="G195" s="7"/>
      <c r="H195" s="12">
        <v>5666.78</v>
      </c>
      <c r="I195" s="12">
        <v>538.05999999999995</v>
      </c>
      <c r="J195" s="12">
        <v>11669.16</v>
      </c>
    </row>
    <row r="196" spans="2:10" ht="18.75" x14ac:dyDescent="0.25">
      <c r="B196" s="7" t="s">
        <v>15</v>
      </c>
      <c r="C196" s="7" t="s">
        <v>507</v>
      </c>
      <c r="D196" s="12">
        <v>4.1678E-2</v>
      </c>
      <c r="E196" s="7"/>
      <c r="F196" s="7"/>
      <c r="G196" s="7"/>
      <c r="H196" s="12">
        <v>1.32</v>
      </c>
      <c r="I196" s="12">
        <v>0.63</v>
      </c>
      <c r="J196" s="12">
        <v>6.02</v>
      </c>
    </row>
    <row r="197" spans="2:10" ht="18.75" x14ac:dyDescent="0.25">
      <c r="B197" s="7" t="s">
        <v>15</v>
      </c>
      <c r="C197" s="7" t="s">
        <v>228</v>
      </c>
      <c r="D197" s="12">
        <v>0.54305700000000001</v>
      </c>
      <c r="E197" s="7"/>
      <c r="F197" s="7"/>
      <c r="G197" s="7"/>
      <c r="H197" s="12">
        <v>0.52</v>
      </c>
      <c r="I197" s="12">
        <v>0.23</v>
      </c>
      <c r="J197" s="12">
        <v>2.89</v>
      </c>
    </row>
    <row r="198" spans="2:10" ht="18.75" x14ac:dyDescent="0.25">
      <c r="B198" s="7" t="s">
        <v>15</v>
      </c>
      <c r="C198" s="7" t="s">
        <v>669</v>
      </c>
      <c r="D198" s="12">
        <v>7.0623000000000005E-2</v>
      </c>
      <c r="E198" s="7"/>
      <c r="F198" s="7"/>
      <c r="G198" s="7"/>
      <c r="H198" s="12">
        <v>2.88</v>
      </c>
      <c r="I198" s="12">
        <v>1.05</v>
      </c>
      <c r="J198" s="12">
        <v>10.07</v>
      </c>
    </row>
    <row r="199" spans="2:10" ht="18.75" x14ac:dyDescent="0.25">
      <c r="B199" s="7" t="s">
        <v>15</v>
      </c>
      <c r="C199" s="7" t="s">
        <v>639</v>
      </c>
      <c r="D199" s="12">
        <v>3.5333420000000002</v>
      </c>
      <c r="E199" s="7"/>
      <c r="F199" s="7"/>
      <c r="G199" s="7"/>
      <c r="H199" s="12">
        <v>108.36</v>
      </c>
      <c r="I199" s="12">
        <v>18.11</v>
      </c>
      <c r="J199" s="12">
        <v>198.27</v>
      </c>
    </row>
    <row r="200" spans="2:10" ht="18.75" x14ac:dyDescent="0.25">
      <c r="B200" s="7" t="s">
        <v>15</v>
      </c>
      <c r="C200" s="7" t="s">
        <v>570</v>
      </c>
      <c r="D200" s="12">
        <v>0.26714199999999999</v>
      </c>
      <c r="E200" s="7"/>
      <c r="F200" s="7"/>
      <c r="G200" s="7"/>
      <c r="H200" s="12">
        <v>12.43</v>
      </c>
      <c r="I200" s="12">
        <v>11.25</v>
      </c>
      <c r="J200" s="12">
        <v>58.11</v>
      </c>
    </row>
    <row r="201" spans="2:10" ht="18.75" x14ac:dyDescent="0.25">
      <c r="B201" s="7" t="s">
        <v>15</v>
      </c>
      <c r="C201" s="7" t="s">
        <v>333</v>
      </c>
      <c r="D201" s="12">
        <v>0.72584099999999996</v>
      </c>
      <c r="E201" s="7"/>
      <c r="F201" s="7"/>
      <c r="G201" s="7"/>
      <c r="H201" s="12">
        <v>33.770000000000003</v>
      </c>
      <c r="I201" s="12">
        <v>30.56</v>
      </c>
      <c r="J201" s="12">
        <v>157.88999999999999</v>
      </c>
    </row>
    <row r="202" spans="2:10" ht="18.75" x14ac:dyDescent="0.25">
      <c r="B202" s="7" t="s">
        <v>15</v>
      </c>
      <c r="C202" s="7" t="s">
        <v>334</v>
      </c>
      <c r="D202" s="12">
        <v>0.18113599999999999</v>
      </c>
      <c r="E202" s="7"/>
      <c r="F202" s="7"/>
      <c r="G202" s="7"/>
      <c r="H202" s="12">
        <v>34.450000000000003</v>
      </c>
      <c r="I202" s="12">
        <v>6.97</v>
      </c>
      <c r="J202" s="12">
        <v>55.25</v>
      </c>
    </row>
    <row r="203" spans="2:10" ht="18.75" x14ac:dyDescent="0.25">
      <c r="B203" s="7" t="s">
        <v>15</v>
      </c>
      <c r="C203" s="7" t="s">
        <v>335</v>
      </c>
      <c r="D203" s="12">
        <v>0.108836</v>
      </c>
      <c r="E203" s="7"/>
      <c r="F203" s="7"/>
      <c r="G203" s="7"/>
      <c r="H203" s="12">
        <v>6.03</v>
      </c>
      <c r="I203" s="12">
        <v>4.0999999999999996</v>
      </c>
      <c r="J203" s="12">
        <v>73.48</v>
      </c>
    </row>
    <row r="204" spans="2:10" ht="18.75" x14ac:dyDescent="0.25">
      <c r="B204" s="7" t="s">
        <v>15</v>
      </c>
      <c r="C204" s="7" t="s">
        <v>97</v>
      </c>
      <c r="D204" s="12">
        <v>3.6059999999999998E-3</v>
      </c>
      <c r="E204" s="7"/>
      <c r="F204" s="7"/>
      <c r="G204" s="7"/>
      <c r="H204" s="12">
        <v>0.2</v>
      </c>
      <c r="I204" s="12">
        <v>0.14000000000000001</v>
      </c>
      <c r="J204" s="12">
        <v>2.4300000000000002</v>
      </c>
    </row>
    <row r="205" spans="2:10" ht="18.75" x14ac:dyDescent="0.25">
      <c r="B205" s="7" t="s">
        <v>15</v>
      </c>
      <c r="C205" s="7" t="s">
        <v>129</v>
      </c>
      <c r="D205" s="12">
        <v>0.55460399999999999</v>
      </c>
      <c r="E205" s="7"/>
      <c r="F205" s="7"/>
      <c r="G205" s="7"/>
      <c r="H205" s="12">
        <v>17.61</v>
      </c>
      <c r="I205" s="12">
        <v>8.36</v>
      </c>
      <c r="J205" s="12">
        <v>80.09</v>
      </c>
    </row>
    <row r="206" spans="2:10" ht="18.75" x14ac:dyDescent="0.25">
      <c r="B206" s="7" t="s">
        <v>15</v>
      </c>
      <c r="C206" s="7" t="s">
        <v>273</v>
      </c>
      <c r="D206" s="12">
        <v>3.7901999999999998E-2</v>
      </c>
      <c r="E206" s="7"/>
      <c r="F206" s="7"/>
      <c r="G206" s="7"/>
      <c r="H206" s="12">
        <v>46.81</v>
      </c>
      <c r="I206" s="12">
        <v>3.59</v>
      </c>
      <c r="J206" s="12">
        <v>18.91</v>
      </c>
    </row>
    <row r="207" spans="2:10" ht="18.75" x14ac:dyDescent="0.25">
      <c r="B207" s="7" t="s">
        <v>15</v>
      </c>
      <c r="C207" s="7" t="s">
        <v>554</v>
      </c>
      <c r="D207" s="12">
        <v>4.9984000000000001E-2</v>
      </c>
      <c r="E207" s="7"/>
      <c r="F207" s="7"/>
      <c r="G207" s="7"/>
      <c r="H207" s="12">
        <v>3.15</v>
      </c>
      <c r="I207" s="12">
        <v>0.23</v>
      </c>
      <c r="J207" s="12">
        <v>4.91</v>
      </c>
    </row>
    <row r="208" spans="2:10" ht="18.75" x14ac:dyDescent="0.25">
      <c r="B208" s="7" t="s">
        <v>15</v>
      </c>
      <c r="C208" s="7" t="s">
        <v>39</v>
      </c>
      <c r="D208" s="12">
        <v>7.5500000000000003E-4</v>
      </c>
      <c r="E208" s="7"/>
      <c r="F208" s="7"/>
      <c r="G208" s="7"/>
      <c r="H208" s="12">
        <v>0.02</v>
      </c>
      <c r="I208" s="12">
        <v>0.01</v>
      </c>
      <c r="J208" s="12">
        <v>0.15</v>
      </c>
    </row>
    <row r="209" spans="2:10" ht="18.75" x14ac:dyDescent="0.25">
      <c r="B209" s="7" t="s">
        <v>15</v>
      </c>
      <c r="C209" s="7" t="s">
        <v>271</v>
      </c>
      <c r="D209" s="12">
        <v>0.171129</v>
      </c>
      <c r="E209" s="7"/>
      <c r="F209" s="7"/>
      <c r="G209" s="7"/>
      <c r="H209" s="12">
        <v>211.39</v>
      </c>
      <c r="I209" s="12">
        <v>16.190000000000001</v>
      </c>
      <c r="J209" s="12">
        <v>85.41</v>
      </c>
    </row>
    <row r="210" spans="2:10" ht="18.75" x14ac:dyDescent="0.25">
      <c r="B210" s="7" t="s">
        <v>15</v>
      </c>
      <c r="C210" s="7" t="s">
        <v>502</v>
      </c>
      <c r="D210" s="12">
        <v>2.4433189999999998</v>
      </c>
      <c r="E210" s="7"/>
      <c r="F210" s="7"/>
      <c r="G210" s="7"/>
      <c r="H210" s="12">
        <v>77.56</v>
      </c>
      <c r="I210" s="12">
        <v>36.840000000000003</v>
      </c>
      <c r="J210" s="12">
        <v>352.83</v>
      </c>
    </row>
    <row r="211" spans="2:10" ht="18.75" x14ac:dyDescent="0.25">
      <c r="B211" s="7" t="s">
        <v>15</v>
      </c>
      <c r="C211" s="7" t="s">
        <v>587</v>
      </c>
      <c r="D211" s="12">
        <v>6.222226</v>
      </c>
      <c r="E211" s="7"/>
      <c r="F211" s="7"/>
      <c r="G211" s="7"/>
      <c r="H211" s="12">
        <v>5.9</v>
      </c>
      <c r="I211" s="12">
        <v>2.65</v>
      </c>
      <c r="J211" s="12">
        <v>33.04</v>
      </c>
    </row>
    <row r="212" spans="2:10" ht="18.75" x14ac:dyDescent="0.25">
      <c r="B212" s="7" t="s">
        <v>15</v>
      </c>
      <c r="C212" s="7" t="s">
        <v>606</v>
      </c>
      <c r="D212" s="12">
        <v>1.5543E-2</v>
      </c>
      <c r="E212" s="7"/>
      <c r="F212" s="7"/>
      <c r="G212" s="7"/>
      <c r="H212" s="12">
        <v>0.01</v>
      </c>
      <c r="I212" s="12">
        <v>0.01</v>
      </c>
      <c r="J212" s="12">
        <v>0.08</v>
      </c>
    </row>
    <row r="213" spans="2:10" ht="18.75" x14ac:dyDescent="0.25">
      <c r="B213" s="7" t="s">
        <v>15</v>
      </c>
      <c r="C213" s="7" t="s">
        <v>143</v>
      </c>
      <c r="D213" s="12">
        <v>0.39385500000000001</v>
      </c>
      <c r="E213" s="7"/>
      <c r="F213" s="7"/>
      <c r="G213" s="7"/>
      <c r="H213" s="12">
        <v>8.82</v>
      </c>
      <c r="I213" s="12">
        <v>4.79</v>
      </c>
      <c r="J213" s="12">
        <v>78.540000000000006</v>
      </c>
    </row>
    <row r="214" spans="2:10" ht="18.75" x14ac:dyDescent="0.25">
      <c r="B214" s="7" t="s">
        <v>15</v>
      </c>
      <c r="C214" s="7" t="s">
        <v>274</v>
      </c>
      <c r="D214" s="12">
        <v>5.8500000000000003E-2</v>
      </c>
      <c r="E214" s="7"/>
      <c r="F214" s="7"/>
      <c r="G214" s="7"/>
      <c r="H214" s="12">
        <v>72.260000000000005</v>
      </c>
      <c r="I214" s="12">
        <v>5.54</v>
      </c>
      <c r="J214" s="12">
        <v>29.2</v>
      </c>
    </row>
    <row r="215" spans="2:10" ht="18.75" x14ac:dyDescent="0.25">
      <c r="B215" s="7" t="s">
        <v>682</v>
      </c>
      <c r="C215" s="7" t="s">
        <v>342</v>
      </c>
      <c r="D215" s="12">
        <v>9.0948089999999997</v>
      </c>
      <c r="E215" s="7"/>
      <c r="F215" s="7"/>
      <c r="G215" s="7"/>
      <c r="H215" s="12">
        <v>149.46</v>
      </c>
      <c r="I215" s="12">
        <v>68.72</v>
      </c>
      <c r="J215" s="12">
        <v>2018.38</v>
      </c>
    </row>
    <row r="216" spans="2:10" ht="18.75" x14ac:dyDescent="0.25">
      <c r="B216" s="7" t="s">
        <v>15</v>
      </c>
      <c r="C216" s="7" t="s">
        <v>509</v>
      </c>
      <c r="D216" s="12">
        <v>0.111042</v>
      </c>
      <c r="E216" s="7"/>
      <c r="F216" s="7"/>
      <c r="G216" s="7"/>
      <c r="H216" s="12">
        <v>3.52</v>
      </c>
      <c r="I216" s="12">
        <v>1.67</v>
      </c>
      <c r="J216" s="12">
        <v>16.04</v>
      </c>
    </row>
    <row r="217" spans="2:10" ht="18.75" x14ac:dyDescent="0.25">
      <c r="B217" s="7" t="s">
        <v>15</v>
      </c>
      <c r="C217" s="7" t="s">
        <v>472</v>
      </c>
      <c r="D217" s="12">
        <v>0.127499</v>
      </c>
      <c r="E217" s="7"/>
      <c r="F217" s="7"/>
      <c r="G217" s="7"/>
      <c r="H217" s="12">
        <v>3.51</v>
      </c>
      <c r="I217" s="12">
        <v>0.49</v>
      </c>
      <c r="J217" s="12">
        <v>27.26</v>
      </c>
    </row>
    <row r="218" spans="2:10" ht="18.75" x14ac:dyDescent="0.25">
      <c r="B218" s="7" t="s">
        <v>15</v>
      </c>
      <c r="C218" s="7" t="s">
        <v>337</v>
      </c>
      <c r="D218" s="12">
        <v>1.9090000000000001E-3</v>
      </c>
      <c r="E218" s="7"/>
      <c r="F218" s="7"/>
      <c r="G218" s="7"/>
      <c r="H218" s="12">
        <v>0.23</v>
      </c>
      <c r="I218" s="12">
        <v>0.05</v>
      </c>
      <c r="J218" s="12">
        <v>0.74</v>
      </c>
    </row>
    <row r="219" spans="2:10" ht="18.75" x14ac:dyDescent="0.25">
      <c r="B219" s="7" t="s">
        <v>15</v>
      </c>
      <c r="C219" s="7" t="s">
        <v>99</v>
      </c>
      <c r="D219" s="12">
        <v>7.7091099999999999</v>
      </c>
      <c r="E219" s="7"/>
      <c r="F219" s="7"/>
      <c r="G219" s="7"/>
      <c r="H219" s="12">
        <v>244.77</v>
      </c>
      <c r="I219" s="12">
        <v>116.26</v>
      </c>
      <c r="J219" s="12">
        <v>1113.51</v>
      </c>
    </row>
    <row r="220" spans="2:10" ht="18.75" x14ac:dyDescent="0.25">
      <c r="B220" s="7" t="s">
        <v>15</v>
      </c>
      <c r="C220" s="7" t="s">
        <v>267</v>
      </c>
      <c r="D220" s="12">
        <v>10.925407</v>
      </c>
      <c r="E220" s="7"/>
      <c r="F220" s="7"/>
      <c r="G220" s="7"/>
      <c r="H220" s="12">
        <v>13496.6</v>
      </c>
      <c r="I220" s="12">
        <v>1033.8900000000001</v>
      </c>
      <c r="J220" s="12">
        <v>5453.39</v>
      </c>
    </row>
    <row r="221" spans="2:10" ht="18.75" x14ac:dyDescent="0.25">
      <c r="B221" s="7" t="s">
        <v>15</v>
      </c>
      <c r="C221" s="7" t="s">
        <v>552</v>
      </c>
      <c r="D221" s="12">
        <v>38.424256</v>
      </c>
      <c r="E221" s="7"/>
      <c r="F221" s="7"/>
      <c r="G221" s="7"/>
      <c r="H221" s="12">
        <v>2420.33</v>
      </c>
      <c r="I221" s="12">
        <v>174</v>
      </c>
      <c r="J221" s="12">
        <v>3773.72</v>
      </c>
    </row>
    <row r="222" spans="2:10" ht="18.75" x14ac:dyDescent="0.25">
      <c r="B222" s="7" t="s">
        <v>15</v>
      </c>
      <c r="C222" s="7" t="s">
        <v>134</v>
      </c>
      <c r="D222" s="12">
        <v>0.27232800000000001</v>
      </c>
      <c r="E222" s="7"/>
      <c r="F222" s="7"/>
      <c r="G222" s="7"/>
      <c r="H222" s="12">
        <v>8.64</v>
      </c>
      <c r="I222" s="12">
        <v>4.1100000000000003</v>
      </c>
      <c r="J222" s="12">
        <v>39.32</v>
      </c>
    </row>
    <row r="223" spans="2:10" ht="18.75" x14ac:dyDescent="0.25">
      <c r="B223" s="7" t="s">
        <v>15</v>
      </c>
      <c r="C223" s="7" t="s">
        <v>604</v>
      </c>
      <c r="D223" s="12">
        <v>0.14071600000000001</v>
      </c>
      <c r="E223" s="7"/>
      <c r="F223" s="7"/>
      <c r="G223" s="7"/>
      <c r="H223" s="12">
        <v>0.13</v>
      </c>
      <c r="I223" s="12">
        <v>0.06</v>
      </c>
      <c r="J223" s="12">
        <v>0.75</v>
      </c>
    </row>
    <row r="224" spans="2:10" ht="18.75" x14ac:dyDescent="0.25">
      <c r="B224" s="7" t="s">
        <v>15</v>
      </c>
      <c r="C224" s="7" t="s">
        <v>339</v>
      </c>
      <c r="D224" s="12">
        <v>0.335729</v>
      </c>
      <c r="E224" s="7"/>
      <c r="F224" s="7"/>
      <c r="G224" s="7"/>
      <c r="H224" s="12">
        <v>7.52</v>
      </c>
      <c r="I224" s="12">
        <v>4.09</v>
      </c>
      <c r="J224" s="12">
        <v>67</v>
      </c>
    </row>
    <row r="225" spans="2:10" ht="18.75" x14ac:dyDescent="0.25">
      <c r="B225" s="7" t="s">
        <v>15</v>
      </c>
      <c r="C225" s="7" t="s">
        <v>78</v>
      </c>
      <c r="D225" s="12">
        <v>2.0124360000000001</v>
      </c>
      <c r="E225" s="7"/>
      <c r="F225" s="7"/>
      <c r="G225" s="7"/>
      <c r="H225" s="12">
        <v>55.33</v>
      </c>
      <c r="I225" s="12">
        <v>7.77</v>
      </c>
      <c r="J225" s="12">
        <v>430.28</v>
      </c>
    </row>
    <row r="226" spans="2:10" ht="18.75" x14ac:dyDescent="0.25">
      <c r="B226" s="7" t="s">
        <v>15</v>
      </c>
      <c r="C226" s="7" t="s">
        <v>473</v>
      </c>
      <c r="D226" s="12">
        <v>0.22434599999999999</v>
      </c>
      <c r="E226" s="7"/>
      <c r="F226" s="7"/>
      <c r="G226" s="7"/>
      <c r="H226" s="12">
        <v>6.17</v>
      </c>
      <c r="I226" s="12">
        <v>0.87</v>
      </c>
      <c r="J226" s="12">
        <v>47.97</v>
      </c>
    </row>
    <row r="227" spans="2:10" ht="18.75" x14ac:dyDescent="0.25">
      <c r="B227" s="7" t="s">
        <v>15</v>
      </c>
      <c r="C227" s="7" t="s">
        <v>575</v>
      </c>
      <c r="D227" s="12">
        <v>1.596E-3</v>
      </c>
      <c r="E227" s="7"/>
      <c r="F227" s="7"/>
      <c r="G227" s="7"/>
      <c r="H227" s="12">
        <v>0</v>
      </c>
      <c r="I227" s="12">
        <v>0</v>
      </c>
      <c r="J227" s="12">
        <v>0.01</v>
      </c>
    </row>
    <row r="228" spans="2:10" ht="18.75" x14ac:dyDescent="0.25">
      <c r="B228" s="7" t="s">
        <v>15</v>
      </c>
      <c r="C228" s="7" t="s">
        <v>630</v>
      </c>
      <c r="D228" s="12">
        <v>0.33959800000000001</v>
      </c>
      <c r="E228" s="7"/>
      <c r="F228" s="7"/>
      <c r="G228" s="7"/>
      <c r="H228" s="12">
        <v>10.43</v>
      </c>
      <c r="I228" s="12">
        <v>1.74</v>
      </c>
      <c r="J228" s="12">
        <v>19.09</v>
      </c>
    </row>
    <row r="229" spans="2:10" ht="18.75" x14ac:dyDescent="0.25">
      <c r="B229" s="7" t="s">
        <v>15</v>
      </c>
      <c r="C229" s="7" t="s">
        <v>580</v>
      </c>
      <c r="D229" s="12">
        <v>1.6691999999999999E-2</v>
      </c>
      <c r="E229" s="7"/>
      <c r="F229" s="7"/>
      <c r="G229" s="7"/>
      <c r="H229" s="12">
        <v>0.02</v>
      </c>
      <c r="I229" s="12">
        <v>0.01</v>
      </c>
      <c r="J229" s="12">
        <v>0.09</v>
      </c>
    </row>
    <row r="230" spans="2:10" ht="18.75" x14ac:dyDescent="0.25">
      <c r="B230" s="7" t="s">
        <v>15</v>
      </c>
      <c r="C230" s="7" t="s">
        <v>341</v>
      </c>
      <c r="D230" s="12">
        <v>2.2716E-2</v>
      </c>
      <c r="E230" s="7"/>
      <c r="F230" s="7"/>
      <c r="G230" s="7"/>
      <c r="H230" s="12">
        <v>0.51</v>
      </c>
      <c r="I230" s="12">
        <v>0.28000000000000003</v>
      </c>
      <c r="J230" s="12">
        <v>4.53</v>
      </c>
    </row>
    <row r="231" spans="2:10" ht="18.75" x14ac:dyDescent="0.25">
      <c r="B231" s="7" t="s">
        <v>15</v>
      </c>
      <c r="C231" s="7" t="s">
        <v>649</v>
      </c>
      <c r="D231" s="12">
        <v>3.797E-3</v>
      </c>
      <c r="E231" s="7"/>
      <c r="F231" s="7"/>
      <c r="G231" s="7"/>
      <c r="H231" s="12">
        <v>0.12</v>
      </c>
      <c r="I231" s="12">
        <v>0.02</v>
      </c>
      <c r="J231" s="12">
        <v>0.21</v>
      </c>
    </row>
    <row r="232" spans="2:10" ht="18.75" x14ac:dyDescent="0.25">
      <c r="B232" s="7" t="s">
        <v>15</v>
      </c>
      <c r="C232" s="7" t="s">
        <v>57</v>
      </c>
      <c r="D232" s="12">
        <v>5.5000000000000002E-5</v>
      </c>
      <c r="E232" s="7"/>
      <c r="F232" s="7"/>
      <c r="G232" s="7"/>
      <c r="H232" s="12">
        <v>0</v>
      </c>
      <c r="I232" s="12">
        <v>0</v>
      </c>
      <c r="J232" s="12">
        <v>0.01</v>
      </c>
    </row>
    <row r="233" spans="2:10" ht="18.75" x14ac:dyDescent="0.25">
      <c r="B233" s="7" t="s">
        <v>15</v>
      </c>
      <c r="C233" s="7" t="s">
        <v>126</v>
      </c>
      <c r="D233" s="12">
        <v>0.277306</v>
      </c>
      <c r="E233" s="7"/>
      <c r="F233" s="7"/>
      <c r="G233" s="7"/>
      <c r="H233" s="12">
        <v>342.54</v>
      </c>
      <c r="I233" s="12">
        <v>26.24</v>
      </c>
      <c r="J233" s="12">
        <v>138.41</v>
      </c>
    </row>
    <row r="234" spans="2:10" ht="18.75" x14ac:dyDescent="0.25">
      <c r="B234" s="7" t="s">
        <v>15</v>
      </c>
      <c r="C234" s="7" t="s">
        <v>651</v>
      </c>
      <c r="D234" s="12">
        <v>0.391704</v>
      </c>
      <c r="E234" s="7"/>
      <c r="F234" s="7"/>
      <c r="G234" s="7"/>
      <c r="H234" s="12">
        <v>12.02</v>
      </c>
      <c r="I234" s="12">
        <v>2.0099999999999998</v>
      </c>
      <c r="J234" s="12">
        <v>21.99</v>
      </c>
    </row>
    <row r="235" spans="2:10" ht="18.75" x14ac:dyDescent="0.25">
      <c r="B235" s="7" t="s">
        <v>15</v>
      </c>
      <c r="C235" s="7" t="s">
        <v>582</v>
      </c>
      <c r="D235" s="12">
        <v>2.0999999999999999E-5</v>
      </c>
      <c r="E235" s="7"/>
      <c r="F235" s="7"/>
      <c r="G235" s="7"/>
      <c r="H235" s="12">
        <v>0</v>
      </c>
      <c r="I235" s="12">
        <v>0</v>
      </c>
      <c r="J235" s="12">
        <v>0</v>
      </c>
    </row>
    <row r="236" spans="2:10" ht="18.75" x14ac:dyDescent="0.25">
      <c r="B236" s="7" t="s">
        <v>15</v>
      </c>
      <c r="C236" s="7" t="s">
        <v>342</v>
      </c>
      <c r="D236" s="12">
        <v>65.785115000000005</v>
      </c>
      <c r="E236" s="7"/>
      <c r="F236" s="7"/>
      <c r="G236" s="7"/>
      <c r="H236" s="12">
        <v>1081.05</v>
      </c>
      <c r="I236" s="12">
        <v>497.03</v>
      </c>
      <c r="J236" s="12">
        <v>14599.06</v>
      </c>
    </row>
    <row r="237" spans="2:10" ht="18.75" x14ac:dyDescent="0.25">
      <c r="B237" s="7" t="s">
        <v>15</v>
      </c>
      <c r="C237" s="7" t="s">
        <v>363</v>
      </c>
      <c r="D237" s="12">
        <v>4.7800000000000002E-4</v>
      </c>
      <c r="E237" s="7"/>
      <c r="F237" s="7"/>
      <c r="G237" s="7"/>
      <c r="H237" s="12">
        <v>0.03</v>
      </c>
      <c r="I237" s="12">
        <v>0.02</v>
      </c>
      <c r="J237" s="12">
        <v>0.32</v>
      </c>
    </row>
    <row r="238" spans="2:10" ht="18.75" x14ac:dyDescent="0.25">
      <c r="B238" s="7" t="s">
        <v>15</v>
      </c>
      <c r="C238" s="7" t="s">
        <v>364</v>
      </c>
      <c r="D238" s="12">
        <v>6.6E-4</v>
      </c>
      <c r="E238" s="7"/>
      <c r="F238" s="7"/>
      <c r="G238" s="7"/>
      <c r="H238" s="12">
        <v>0.01</v>
      </c>
      <c r="I238" s="12">
        <v>0.01</v>
      </c>
      <c r="J238" s="12">
        <v>0.13</v>
      </c>
    </row>
    <row r="239" spans="2:10" ht="18.75" x14ac:dyDescent="0.25">
      <c r="B239" s="7" t="s">
        <v>15</v>
      </c>
      <c r="C239" s="7" t="s">
        <v>120</v>
      </c>
      <c r="D239" s="12">
        <v>1.4487999999999999E-2</v>
      </c>
      <c r="E239" s="7"/>
      <c r="F239" s="7"/>
      <c r="G239" s="7"/>
      <c r="H239" s="12">
        <v>0.8</v>
      </c>
      <c r="I239" s="12">
        <v>0.55000000000000004</v>
      </c>
      <c r="J239" s="12">
        <v>9.7799999999999994</v>
      </c>
    </row>
    <row r="240" spans="2:10" ht="18.75" x14ac:dyDescent="0.25">
      <c r="B240" s="7" t="s">
        <v>15</v>
      </c>
      <c r="C240" s="7" t="s">
        <v>513</v>
      </c>
      <c r="D240" s="12">
        <v>1.3014E-2</v>
      </c>
      <c r="E240" s="7"/>
      <c r="F240" s="7"/>
      <c r="G240" s="7"/>
      <c r="H240" s="12">
        <v>0.41</v>
      </c>
      <c r="I240" s="12">
        <v>0.2</v>
      </c>
      <c r="J240" s="12">
        <v>1.88</v>
      </c>
    </row>
    <row r="241" spans="2:10" ht="18.75" x14ac:dyDescent="0.25">
      <c r="B241" s="7" t="s">
        <v>15</v>
      </c>
      <c r="C241" s="7" t="s">
        <v>277</v>
      </c>
      <c r="D241" s="12">
        <v>0.40165200000000001</v>
      </c>
      <c r="E241" s="7"/>
      <c r="F241" s="7"/>
      <c r="G241" s="7"/>
      <c r="H241" s="12">
        <v>496.17</v>
      </c>
      <c r="I241" s="12">
        <v>38.01</v>
      </c>
      <c r="J241" s="12">
        <v>200.48</v>
      </c>
    </row>
    <row r="242" spans="2:10" ht="18.75" x14ac:dyDescent="0.25">
      <c r="B242" s="7" t="s">
        <v>15</v>
      </c>
      <c r="C242" s="7" t="s">
        <v>379</v>
      </c>
      <c r="D242" s="12">
        <v>8.1569000000000003E-2</v>
      </c>
      <c r="E242" s="7"/>
      <c r="F242" s="7"/>
      <c r="G242" s="7"/>
      <c r="H242" s="12">
        <v>15.53</v>
      </c>
      <c r="I242" s="12">
        <v>3.14</v>
      </c>
      <c r="J242" s="12">
        <v>24.91</v>
      </c>
    </row>
    <row r="243" spans="2:10" ht="18.75" x14ac:dyDescent="0.25">
      <c r="B243" s="7" t="s">
        <v>15</v>
      </c>
      <c r="C243" s="7" t="s">
        <v>380</v>
      </c>
      <c r="D243" s="12">
        <v>6.06426</v>
      </c>
      <c r="E243" s="7"/>
      <c r="F243" s="7"/>
      <c r="G243" s="7"/>
      <c r="H243" s="12">
        <v>335.97</v>
      </c>
      <c r="I243" s="12">
        <v>228.43</v>
      </c>
      <c r="J243" s="12">
        <v>4094.41</v>
      </c>
    </row>
    <row r="244" spans="2:10" ht="18.75" x14ac:dyDescent="0.25">
      <c r="B244" s="7" t="s">
        <v>15</v>
      </c>
      <c r="C244" s="7" t="s">
        <v>383</v>
      </c>
      <c r="D244" s="12">
        <v>7.1056999999999995E-2</v>
      </c>
      <c r="E244" s="7"/>
      <c r="F244" s="7"/>
      <c r="G244" s="7"/>
      <c r="H244" s="12">
        <v>2.9</v>
      </c>
      <c r="I244" s="12">
        <v>1.06</v>
      </c>
      <c r="J244" s="12">
        <v>10.14</v>
      </c>
    </row>
    <row r="245" spans="2:10" ht="18.75" x14ac:dyDescent="0.25">
      <c r="B245" s="7" t="s">
        <v>15</v>
      </c>
      <c r="C245" s="7" t="s">
        <v>633</v>
      </c>
      <c r="D245" s="12">
        <v>3.848E-2</v>
      </c>
      <c r="E245" s="7"/>
      <c r="F245" s="7"/>
      <c r="G245" s="7"/>
      <c r="H245" s="12">
        <v>1.18</v>
      </c>
      <c r="I245" s="12">
        <v>0.2</v>
      </c>
      <c r="J245" s="12">
        <v>2.16</v>
      </c>
    </row>
    <row r="246" spans="2:10" ht="18.75" x14ac:dyDescent="0.25">
      <c r="B246" s="7" t="s">
        <v>682</v>
      </c>
      <c r="C246" s="7" t="s">
        <v>696</v>
      </c>
      <c r="D246" s="12">
        <v>2.1220000000000002E-3</v>
      </c>
      <c r="E246" s="7"/>
      <c r="F246" s="7"/>
      <c r="G246" s="7"/>
      <c r="H246" s="12">
        <v>0</v>
      </c>
      <c r="I246" s="12">
        <v>0</v>
      </c>
      <c r="J246" s="12">
        <v>0.01</v>
      </c>
    </row>
    <row r="247" spans="2:10" ht="18.75" x14ac:dyDescent="0.25">
      <c r="B247" s="7" t="s">
        <v>15</v>
      </c>
      <c r="C247" s="7" t="s">
        <v>292</v>
      </c>
      <c r="D247" s="12">
        <v>5.3499999999999999E-4</v>
      </c>
      <c r="E247" s="7"/>
      <c r="F247" s="7"/>
      <c r="G247" s="7"/>
      <c r="H247" s="12">
        <v>0.3</v>
      </c>
      <c r="I247" s="12">
        <v>0.04</v>
      </c>
      <c r="J247" s="12">
        <v>0.19</v>
      </c>
    </row>
    <row r="248" spans="2:10" ht="18.75" x14ac:dyDescent="0.25">
      <c r="B248" s="7" t="s">
        <v>15</v>
      </c>
      <c r="C248" s="7" t="s">
        <v>505</v>
      </c>
      <c r="D248" s="12">
        <v>0.63015399999999999</v>
      </c>
      <c r="E248" s="7"/>
      <c r="F248" s="7"/>
      <c r="G248" s="7"/>
      <c r="H248" s="12">
        <v>20</v>
      </c>
      <c r="I248" s="12">
        <v>9.5</v>
      </c>
      <c r="J248" s="12">
        <v>90.99</v>
      </c>
    </row>
    <row r="249" spans="2:10" ht="18.75" x14ac:dyDescent="0.25">
      <c r="B249" s="7" t="s">
        <v>15</v>
      </c>
      <c r="C249" s="7" t="s">
        <v>573</v>
      </c>
      <c r="D249" s="12">
        <v>7.0473999999999995E-2</v>
      </c>
      <c r="E249" s="7"/>
      <c r="F249" s="7"/>
      <c r="G249" s="7"/>
      <c r="H249" s="12">
        <v>2.16</v>
      </c>
      <c r="I249" s="12">
        <v>0.36</v>
      </c>
      <c r="J249" s="12">
        <v>3.96</v>
      </c>
    </row>
    <row r="250" spans="2:10" ht="18.75" x14ac:dyDescent="0.25">
      <c r="B250" s="7" t="s">
        <v>15</v>
      </c>
      <c r="C250" s="7" t="s">
        <v>366</v>
      </c>
      <c r="D250" s="12">
        <v>3.5904999999999999E-2</v>
      </c>
      <c r="E250" s="7"/>
      <c r="F250" s="7"/>
      <c r="G250" s="7"/>
      <c r="H250" s="12">
        <v>1.47</v>
      </c>
      <c r="I250" s="12">
        <v>0.53</v>
      </c>
      <c r="J250" s="12">
        <v>5.12</v>
      </c>
    </row>
    <row r="251" spans="2:10" ht="18.75" x14ac:dyDescent="0.25">
      <c r="B251" s="7" t="s">
        <v>15</v>
      </c>
      <c r="C251" s="7" t="s">
        <v>367</v>
      </c>
      <c r="D251" s="12">
        <v>6.4999999999999994E-5</v>
      </c>
      <c r="E251" s="7"/>
      <c r="F251" s="7"/>
      <c r="G251" s="7"/>
      <c r="H251" s="12">
        <v>0</v>
      </c>
      <c r="I251" s="12">
        <v>0</v>
      </c>
      <c r="J251" s="12">
        <v>0.01</v>
      </c>
    </row>
    <row r="252" spans="2:10" ht="18.75" x14ac:dyDescent="0.25">
      <c r="B252" s="7" t="s">
        <v>15</v>
      </c>
      <c r="C252" s="7" t="s">
        <v>112</v>
      </c>
      <c r="D252" s="12">
        <v>0.93295799999999995</v>
      </c>
      <c r="E252" s="7"/>
      <c r="F252" s="7"/>
      <c r="G252" s="7"/>
      <c r="H252" s="12">
        <v>177.73</v>
      </c>
      <c r="I252" s="12">
        <v>35.97</v>
      </c>
      <c r="J252" s="12">
        <v>285.02999999999997</v>
      </c>
    </row>
    <row r="253" spans="2:10" ht="18.75" x14ac:dyDescent="0.25">
      <c r="B253" s="7" t="s">
        <v>15</v>
      </c>
      <c r="C253" s="7" t="s">
        <v>607</v>
      </c>
      <c r="D253" s="12">
        <v>1.6919949999999999</v>
      </c>
      <c r="E253" s="7"/>
      <c r="F253" s="7"/>
      <c r="G253" s="7"/>
      <c r="H253" s="12">
        <v>106.69</v>
      </c>
      <c r="I253" s="12">
        <v>7.67</v>
      </c>
      <c r="J253" s="12">
        <v>166.35</v>
      </c>
    </row>
    <row r="254" spans="2:10" ht="18.75" x14ac:dyDescent="0.25">
      <c r="B254" s="7" t="s">
        <v>15</v>
      </c>
      <c r="C254" s="7" t="s">
        <v>471</v>
      </c>
      <c r="D254" s="12">
        <v>119.37355599999999</v>
      </c>
      <c r="E254" s="7"/>
      <c r="F254" s="7"/>
      <c r="G254" s="7"/>
      <c r="H254" s="12">
        <v>113.18</v>
      </c>
      <c r="I254" s="12">
        <v>50.85</v>
      </c>
      <c r="J254" s="12">
        <v>633.96</v>
      </c>
    </row>
    <row r="255" spans="2:10" ht="18.75" x14ac:dyDescent="0.25">
      <c r="B255" s="7" t="s">
        <v>15</v>
      </c>
      <c r="C255" s="7" t="s">
        <v>631</v>
      </c>
      <c r="D255" s="12">
        <v>0.60325600000000001</v>
      </c>
      <c r="E255" s="7"/>
      <c r="F255" s="7"/>
      <c r="G255" s="7"/>
      <c r="H255" s="12">
        <v>18.53</v>
      </c>
      <c r="I255" s="12">
        <v>3.1</v>
      </c>
      <c r="J255" s="12">
        <v>33.909999999999997</v>
      </c>
    </row>
    <row r="256" spans="2:10" ht="18.75" x14ac:dyDescent="0.25">
      <c r="B256" s="7" t="s">
        <v>15</v>
      </c>
      <c r="C256" s="7" t="s">
        <v>388</v>
      </c>
      <c r="D256" s="12">
        <v>1.168E-3</v>
      </c>
      <c r="E256" s="7"/>
      <c r="F256" s="7"/>
      <c r="G256" s="7"/>
      <c r="H256" s="12">
        <v>0.22</v>
      </c>
      <c r="I256" s="12">
        <v>0.04</v>
      </c>
      <c r="J256" s="12">
        <v>0.36</v>
      </c>
    </row>
    <row r="257" spans="2:10" ht="18.75" x14ac:dyDescent="0.25">
      <c r="B257" s="7" t="s">
        <v>682</v>
      </c>
      <c r="C257" s="7" t="s">
        <v>42</v>
      </c>
      <c r="D257" s="12">
        <v>2.2599999999999999E-4</v>
      </c>
      <c r="E257" s="7"/>
      <c r="F257" s="7"/>
      <c r="G257" s="7"/>
      <c r="H257" s="12">
        <v>0</v>
      </c>
      <c r="I257" s="12">
        <v>0</v>
      </c>
      <c r="J257" s="12">
        <v>0.01</v>
      </c>
    </row>
    <row r="258" spans="2:10" ht="18.75" x14ac:dyDescent="0.25">
      <c r="B258" s="7" t="s">
        <v>15</v>
      </c>
      <c r="C258" s="7" t="s">
        <v>462</v>
      </c>
      <c r="D258" s="12">
        <v>1.129E-3</v>
      </c>
      <c r="E258" s="7"/>
      <c r="F258" s="7"/>
      <c r="G258" s="7"/>
      <c r="H258" s="12">
        <v>0.7</v>
      </c>
      <c r="I258" s="12">
        <v>0.03</v>
      </c>
      <c r="J258" s="12">
        <v>0.22</v>
      </c>
    </row>
    <row r="259" spans="2:10" ht="18.75" x14ac:dyDescent="0.25">
      <c r="B259" s="7" t="s">
        <v>15</v>
      </c>
      <c r="C259" s="7" t="s">
        <v>152</v>
      </c>
      <c r="D259" s="12">
        <v>0.52721700000000005</v>
      </c>
      <c r="E259" s="7"/>
      <c r="F259" s="7"/>
      <c r="G259" s="7"/>
      <c r="H259" s="12">
        <v>16.75</v>
      </c>
      <c r="I259" s="12">
        <v>7.95</v>
      </c>
      <c r="J259" s="12">
        <v>76.180000000000007</v>
      </c>
    </row>
    <row r="260" spans="2:10" ht="18.75" x14ac:dyDescent="0.25">
      <c r="B260" s="7" t="s">
        <v>15</v>
      </c>
      <c r="C260" s="7" t="s">
        <v>697</v>
      </c>
      <c r="D260" s="12">
        <v>3.9999999999999998E-6</v>
      </c>
      <c r="E260" s="7"/>
      <c r="F260" s="7"/>
      <c r="G260" s="7"/>
      <c r="H260" s="12">
        <v>0</v>
      </c>
      <c r="I260" s="12">
        <v>0</v>
      </c>
      <c r="J260" s="12">
        <v>0</v>
      </c>
    </row>
    <row r="261" spans="2:10" ht="18.75" x14ac:dyDescent="0.25">
      <c r="B261" s="7" t="s">
        <v>15</v>
      </c>
      <c r="C261" s="7" t="s">
        <v>103</v>
      </c>
      <c r="D261" s="12">
        <v>1.58E-3</v>
      </c>
      <c r="E261" s="7"/>
      <c r="F261" s="7"/>
      <c r="G261" s="7"/>
      <c r="H261" s="12">
        <v>0.3</v>
      </c>
      <c r="I261" s="12">
        <v>0.06</v>
      </c>
      <c r="J261" s="12">
        <v>0.48</v>
      </c>
    </row>
    <row r="262" spans="2:10" ht="18.75" x14ac:dyDescent="0.25">
      <c r="B262" s="7" t="s">
        <v>15</v>
      </c>
      <c r="C262" s="7" t="s">
        <v>698</v>
      </c>
      <c r="D262" s="12">
        <v>2.5630000000000002E-3</v>
      </c>
      <c r="E262" s="7"/>
      <c r="F262" s="7"/>
      <c r="G262" s="7"/>
      <c r="H262" s="12">
        <v>0</v>
      </c>
      <c r="I262" s="12">
        <v>0</v>
      </c>
      <c r="J262" s="12">
        <v>0.01</v>
      </c>
    </row>
    <row r="263" spans="2:10" ht="18.75" x14ac:dyDescent="0.25">
      <c r="B263" s="7" t="s">
        <v>15</v>
      </c>
      <c r="C263" s="7" t="s">
        <v>508</v>
      </c>
      <c r="D263" s="12">
        <v>0.87645300000000004</v>
      </c>
      <c r="E263" s="7"/>
      <c r="F263" s="7"/>
      <c r="G263" s="7"/>
      <c r="H263" s="12">
        <v>27.84</v>
      </c>
      <c r="I263" s="12">
        <v>13.22</v>
      </c>
      <c r="J263" s="12">
        <v>126.64</v>
      </c>
    </row>
    <row r="264" spans="2:10" ht="18.75" x14ac:dyDescent="0.25">
      <c r="B264" s="7" t="s">
        <v>15</v>
      </c>
      <c r="C264" s="7" t="s">
        <v>369</v>
      </c>
      <c r="D264" s="12">
        <v>2.0274E-2</v>
      </c>
      <c r="E264" s="7"/>
      <c r="F264" s="7"/>
      <c r="G264" s="7"/>
      <c r="H264" s="12">
        <v>3.86</v>
      </c>
      <c r="I264" s="12">
        <v>0.78</v>
      </c>
      <c r="J264" s="12">
        <v>6.19</v>
      </c>
    </row>
    <row r="265" spans="2:10" ht="18.75" x14ac:dyDescent="0.25">
      <c r="B265" s="7" t="s">
        <v>15</v>
      </c>
      <c r="C265" s="7" t="s">
        <v>370</v>
      </c>
      <c r="D265" s="12">
        <v>0.16528000000000001</v>
      </c>
      <c r="E265" s="7"/>
      <c r="F265" s="7"/>
      <c r="G265" s="7"/>
      <c r="H265" s="12">
        <v>3.7</v>
      </c>
      <c r="I265" s="12">
        <v>2.0099999999999998</v>
      </c>
      <c r="J265" s="12">
        <v>32.979999999999997</v>
      </c>
    </row>
    <row r="266" spans="2:10" ht="18.75" x14ac:dyDescent="0.25">
      <c r="B266" s="7" t="s">
        <v>15</v>
      </c>
      <c r="C266" s="7" t="s">
        <v>92</v>
      </c>
      <c r="D266" s="12">
        <v>157.35512199999999</v>
      </c>
      <c r="E266" s="7"/>
      <c r="F266" s="7"/>
      <c r="G266" s="7"/>
      <c r="H266" s="12">
        <v>97371.5</v>
      </c>
      <c r="I266" s="12">
        <v>3614.92</v>
      </c>
      <c r="J266" s="12">
        <v>30230.91</v>
      </c>
    </row>
    <row r="267" spans="2:10" ht="18.75" x14ac:dyDescent="0.25">
      <c r="B267" s="7" t="s">
        <v>15</v>
      </c>
      <c r="C267" s="7" t="s">
        <v>574</v>
      </c>
      <c r="D267" s="12">
        <v>7.4802999999999994E-2</v>
      </c>
      <c r="E267" s="7"/>
      <c r="F267" s="7"/>
      <c r="G267" s="7"/>
      <c r="H267" s="12">
        <v>7.0000000000000007E-2</v>
      </c>
      <c r="I267" s="12">
        <v>0.03</v>
      </c>
      <c r="J267" s="12">
        <v>0.4</v>
      </c>
    </row>
    <row r="268" spans="2:10" ht="18.75" x14ac:dyDescent="0.25">
      <c r="B268" s="7" t="s">
        <v>15</v>
      </c>
      <c r="C268" s="7" t="s">
        <v>372</v>
      </c>
      <c r="D268" s="12">
        <v>1.0468200000000001</v>
      </c>
      <c r="E268" s="7"/>
      <c r="F268" s="7"/>
      <c r="G268" s="7"/>
      <c r="H268" s="12">
        <v>15.02</v>
      </c>
      <c r="I268" s="12">
        <v>27.78</v>
      </c>
      <c r="J268" s="12">
        <v>191.96</v>
      </c>
    </row>
    <row r="269" spans="2:10" ht="18.75" x14ac:dyDescent="0.25">
      <c r="B269" s="7" t="s">
        <v>682</v>
      </c>
      <c r="C269" s="7" t="s">
        <v>607</v>
      </c>
      <c r="D269" s="12">
        <v>5.31E-4</v>
      </c>
      <c r="E269" s="7"/>
      <c r="F269" s="7"/>
      <c r="G269" s="7"/>
      <c r="H269" s="12">
        <v>0.12</v>
      </c>
      <c r="I269" s="12">
        <v>0.01</v>
      </c>
      <c r="J269" s="12">
        <v>0.08</v>
      </c>
    </row>
    <row r="270" spans="2:10" ht="18.75" x14ac:dyDescent="0.25">
      <c r="B270" s="7" t="s">
        <v>15</v>
      </c>
      <c r="C270" s="7" t="s">
        <v>650</v>
      </c>
      <c r="D270" s="12">
        <v>0.28877900000000001</v>
      </c>
      <c r="E270" s="7"/>
      <c r="F270" s="7"/>
      <c r="G270" s="7"/>
      <c r="H270" s="12">
        <v>8.8699999999999992</v>
      </c>
      <c r="I270" s="12">
        <v>1.48</v>
      </c>
      <c r="J270" s="12">
        <v>16.23</v>
      </c>
    </row>
    <row r="271" spans="2:10" ht="18.75" x14ac:dyDescent="0.25">
      <c r="B271" s="7" t="s">
        <v>15</v>
      </c>
      <c r="C271" s="7" t="s">
        <v>157</v>
      </c>
      <c r="D271" s="12">
        <v>0.15177099999999999</v>
      </c>
      <c r="E271" s="7"/>
      <c r="F271" s="7"/>
      <c r="G271" s="7"/>
      <c r="H271" s="12">
        <v>4.17</v>
      </c>
      <c r="I271" s="12">
        <v>0.59</v>
      </c>
      <c r="J271" s="12">
        <v>32.450000000000003</v>
      </c>
    </row>
    <row r="272" spans="2:10" ht="18.75" x14ac:dyDescent="0.25">
      <c r="B272" s="7" t="s">
        <v>15</v>
      </c>
      <c r="C272" s="7" t="s">
        <v>276</v>
      </c>
      <c r="D272" s="12">
        <v>1.91639</v>
      </c>
      <c r="E272" s="7"/>
      <c r="F272" s="7"/>
      <c r="G272" s="7"/>
      <c r="H272" s="12">
        <v>2367.2600000000002</v>
      </c>
      <c r="I272" s="12">
        <v>181.34</v>
      </c>
      <c r="J272" s="12">
        <v>956.51</v>
      </c>
    </row>
    <row r="273" spans="2:10" ht="18.75" x14ac:dyDescent="0.25">
      <c r="B273" s="7" t="s">
        <v>15</v>
      </c>
      <c r="C273" s="7" t="s">
        <v>474</v>
      </c>
      <c r="D273" s="12">
        <v>0.47889199999999998</v>
      </c>
      <c r="E273" s="7"/>
      <c r="F273" s="7"/>
      <c r="G273" s="7"/>
      <c r="H273" s="12">
        <v>13.16</v>
      </c>
      <c r="I273" s="12">
        <v>1.85</v>
      </c>
      <c r="J273" s="12">
        <v>102.35</v>
      </c>
    </row>
    <row r="274" spans="2:10" ht="18.75" x14ac:dyDescent="0.25">
      <c r="B274" s="7" t="s">
        <v>15</v>
      </c>
      <c r="C274" s="7" t="s">
        <v>512</v>
      </c>
      <c r="D274" s="12">
        <v>6.3981510000000004</v>
      </c>
      <c r="E274" s="7"/>
      <c r="F274" s="7"/>
      <c r="G274" s="7"/>
      <c r="H274" s="12">
        <v>203.1</v>
      </c>
      <c r="I274" s="12">
        <v>96.47</v>
      </c>
      <c r="J274" s="12">
        <v>923.95</v>
      </c>
    </row>
    <row r="275" spans="2:10" ht="18.75" x14ac:dyDescent="0.25">
      <c r="B275" s="7" t="s">
        <v>15</v>
      </c>
      <c r="C275" s="7" t="s">
        <v>220</v>
      </c>
      <c r="D275" s="12">
        <v>3.4261509999999999</v>
      </c>
      <c r="E275" s="7"/>
      <c r="F275" s="7"/>
      <c r="G275" s="7"/>
      <c r="H275" s="12">
        <v>108.76</v>
      </c>
      <c r="I275" s="12">
        <v>51.66</v>
      </c>
      <c r="J275" s="12">
        <v>494.76</v>
      </c>
    </row>
    <row r="276" spans="2:10" ht="18.75" x14ac:dyDescent="0.25">
      <c r="B276" s="7" t="s">
        <v>15</v>
      </c>
      <c r="C276" s="7" t="s">
        <v>184</v>
      </c>
      <c r="D276" s="12">
        <v>0.80362900000000004</v>
      </c>
      <c r="E276" s="7"/>
      <c r="F276" s="7"/>
      <c r="G276" s="7"/>
      <c r="H276" s="12">
        <v>18.010000000000002</v>
      </c>
      <c r="I276" s="12">
        <v>9.7899999999999991</v>
      </c>
      <c r="J276" s="12">
        <v>160.36000000000001</v>
      </c>
    </row>
    <row r="277" spans="2:10" ht="18.75" x14ac:dyDescent="0.25">
      <c r="B277" s="7" t="s">
        <v>15</v>
      </c>
      <c r="C277" s="7" t="s">
        <v>381</v>
      </c>
      <c r="D277" s="12">
        <v>1.6372000000000001E-2</v>
      </c>
      <c r="E277" s="7"/>
      <c r="F277" s="7"/>
      <c r="G277" s="7"/>
      <c r="H277" s="12">
        <v>1.95</v>
      </c>
      <c r="I277" s="12">
        <v>0.46</v>
      </c>
      <c r="J277" s="12">
        <v>6.36</v>
      </c>
    </row>
    <row r="278" spans="2:10" ht="18.75" x14ac:dyDescent="0.25">
      <c r="B278" s="7" t="s">
        <v>15</v>
      </c>
      <c r="C278" s="7" t="s">
        <v>563</v>
      </c>
      <c r="D278" s="12">
        <v>6.3755940000000004</v>
      </c>
      <c r="E278" s="7"/>
      <c r="F278" s="7"/>
      <c r="G278" s="7"/>
      <c r="H278" s="12">
        <v>202.41</v>
      </c>
      <c r="I278" s="12">
        <v>96.14</v>
      </c>
      <c r="J278" s="12">
        <v>920.81</v>
      </c>
    </row>
    <row r="279" spans="2:10" ht="18.75" x14ac:dyDescent="0.25">
      <c r="B279" s="7" t="s">
        <v>15</v>
      </c>
      <c r="C279" s="7" t="s">
        <v>564</v>
      </c>
      <c r="D279" s="12">
        <v>0.38192900000000002</v>
      </c>
      <c r="E279" s="7"/>
      <c r="F279" s="7"/>
      <c r="G279" s="7"/>
      <c r="H279" s="12">
        <v>12.14</v>
      </c>
      <c r="I279" s="12">
        <v>5.77</v>
      </c>
      <c r="J279" s="12">
        <v>55.22</v>
      </c>
    </row>
    <row r="280" spans="2:10" ht="18.75" x14ac:dyDescent="0.25">
      <c r="B280" s="7" t="s">
        <v>15</v>
      </c>
      <c r="C280" s="7" t="s">
        <v>384</v>
      </c>
      <c r="D280" s="12">
        <v>1.7539999999999999E-3</v>
      </c>
      <c r="E280" s="7"/>
      <c r="F280" s="7"/>
      <c r="G280" s="7"/>
      <c r="H280" s="12">
        <v>0.21</v>
      </c>
      <c r="I280" s="12">
        <v>0.05</v>
      </c>
      <c r="J280" s="12">
        <v>0.68</v>
      </c>
    </row>
    <row r="281" spans="2:10" ht="18.75" x14ac:dyDescent="0.25">
      <c r="B281" s="7" t="s">
        <v>15</v>
      </c>
      <c r="C281" s="7" t="s">
        <v>594</v>
      </c>
      <c r="D281" s="12">
        <v>0.48049199999999997</v>
      </c>
      <c r="E281" s="7"/>
      <c r="F281" s="7"/>
      <c r="G281" s="7"/>
      <c r="H281" s="12">
        <v>14.76</v>
      </c>
      <c r="I281" s="12">
        <v>2.4700000000000002</v>
      </c>
      <c r="J281" s="12">
        <v>27.01</v>
      </c>
    </row>
    <row r="282" spans="2:10" ht="18.75" x14ac:dyDescent="0.25">
      <c r="B282" s="7" t="s">
        <v>682</v>
      </c>
      <c r="C282" s="7" t="s">
        <v>239</v>
      </c>
      <c r="D282" s="12">
        <v>6.3E-5</v>
      </c>
      <c r="E282" s="7"/>
      <c r="F282" s="7"/>
      <c r="G282" s="7"/>
      <c r="H282" s="12">
        <v>0</v>
      </c>
      <c r="I282" s="12">
        <v>0</v>
      </c>
      <c r="J282" s="12">
        <v>0</v>
      </c>
    </row>
    <row r="283" spans="2:10" ht="18.75" x14ac:dyDescent="0.25">
      <c r="B283" s="7" t="s">
        <v>15</v>
      </c>
      <c r="C283" s="7" t="s">
        <v>510</v>
      </c>
      <c r="D283" s="12">
        <v>0.16802600000000001</v>
      </c>
      <c r="E283" s="7"/>
      <c r="F283" s="7"/>
      <c r="G283" s="7"/>
      <c r="H283" s="12">
        <v>5.33</v>
      </c>
      <c r="I283" s="12">
        <v>2.5299999999999998</v>
      </c>
      <c r="J283" s="12">
        <v>24.26</v>
      </c>
    </row>
    <row r="284" spans="2:10" ht="18.75" x14ac:dyDescent="0.25">
      <c r="B284" s="7" t="s">
        <v>15</v>
      </c>
      <c r="C284" s="7" t="s">
        <v>670</v>
      </c>
      <c r="D284" s="12">
        <v>1.983527</v>
      </c>
      <c r="E284" s="7"/>
      <c r="F284" s="7"/>
      <c r="G284" s="7"/>
      <c r="H284" s="12">
        <v>60.92</v>
      </c>
      <c r="I284" s="12">
        <v>10.18</v>
      </c>
      <c r="J284" s="12">
        <v>111.46</v>
      </c>
    </row>
    <row r="285" spans="2:10" ht="18.75" x14ac:dyDescent="0.25">
      <c r="B285" s="7" t="s">
        <v>15</v>
      </c>
      <c r="C285" s="7" t="s">
        <v>275</v>
      </c>
      <c r="D285" s="12">
        <v>4.6810999999999998E-2</v>
      </c>
      <c r="E285" s="7"/>
      <c r="F285" s="7"/>
      <c r="G285" s="7"/>
      <c r="H285" s="12">
        <v>57.82</v>
      </c>
      <c r="I285" s="12">
        <v>4.43</v>
      </c>
      <c r="J285" s="12">
        <v>23.36</v>
      </c>
    </row>
    <row r="286" spans="2:10" ht="18.75" x14ac:dyDescent="0.25">
      <c r="B286" s="7" t="s">
        <v>15</v>
      </c>
      <c r="C286" s="7" t="s">
        <v>516</v>
      </c>
      <c r="D286" s="12">
        <v>0.172263</v>
      </c>
      <c r="E286" s="7"/>
      <c r="F286" s="7"/>
      <c r="G286" s="7"/>
      <c r="H286" s="12">
        <v>5.47</v>
      </c>
      <c r="I286" s="12">
        <v>2.6</v>
      </c>
      <c r="J286" s="12">
        <v>24.87</v>
      </c>
    </row>
    <row r="287" spans="2:10" ht="18.75" x14ac:dyDescent="0.25">
      <c r="B287" s="7" t="s">
        <v>15</v>
      </c>
      <c r="C287" s="7" t="s">
        <v>177</v>
      </c>
      <c r="D287" s="12">
        <v>2.8E-5</v>
      </c>
      <c r="E287" s="7"/>
      <c r="F287" s="7"/>
      <c r="G287" s="7"/>
      <c r="H287" s="12">
        <v>0</v>
      </c>
      <c r="I287" s="12">
        <v>0</v>
      </c>
      <c r="J287" s="12">
        <v>0.01</v>
      </c>
    </row>
    <row r="288" spans="2:10" ht="18.75" x14ac:dyDescent="0.25">
      <c r="B288" s="7" t="s">
        <v>15</v>
      </c>
      <c r="C288" s="7" t="s">
        <v>109</v>
      </c>
      <c r="D288" s="12">
        <v>4.4630229999999997</v>
      </c>
      <c r="E288" s="7"/>
      <c r="F288" s="7"/>
      <c r="G288" s="7"/>
      <c r="H288" s="12">
        <v>4.2300000000000004</v>
      </c>
      <c r="I288" s="12">
        <v>1.9</v>
      </c>
      <c r="J288" s="12">
        <v>23.71</v>
      </c>
    </row>
    <row r="289" spans="2:10" ht="18.75" x14ac:dyDescent="0.25">
      <c r="B289" s="7" t="s">
        <v>15</v>
      </c>
      <c r="C289" s="7" t="s">
        <v>517</v>
      </c>
      <c r="D289" s="12">
        <v>0.411441</v>
      </c>
      <c r="E289" s="7"/>
      <c r="F289" s="7"/>
      <c r="G289" s="7"/>
      <c r="H289" s="12">
        <v>13.06</v>
      </c>
      <c r="I289" s="12">
        <v>6.2</v>
      </c>
      <c r="J289" s="12">
        <v>59.42</v>
      </c>
    </row>
    <row r="290" spans="2:10" ht="18.75" x14ac:dyDescent="0.25">
      <c r="B290" s="7" t="s">
        <v>15</v>
      </c>
      <c r="C290" s="7" t="s">
        <v>389</v>
      </c>
      <c r="D290" s="12">
        <v>2.732602</v>
      </c>
      <c r="E290" s="7"/>
      <c r="F290" s="7"/>
      <c r="G290" s="7"/>
      <c r="H290" s="12">
        <v>127.11</v>
      </c>
      <c r="I290" s="12">
        <v>115.04</v>
      </c>
      <c r="J290" s="12">
        <v>594.34</v>
      </c>
    </row>
    <row r="291" spans="2:10" ht="18.75" x14ac:dyDescent="0.25">
      <c r="B291" s="7" t="s">
        <v>15</v>
      </c>
      <c r="C291" s="7" t="s">
        <v>138</v>
      </c>
      <c r="D291" s="12">
        <v>1.667117</v>
      </c>
      <c r="E291" s="7"/>
      <c r="F291" s="7"/>
      <c r="G291" s="7"/>
      <c r="H291" s="12">
        <v>1.58</v>
      </c>
      <c r="I291" s="12">
        <v>0.71</v>
      </c>
      <c r="J291" s="12">
        <v>8.85</v>
      </c>
    </row>
    <row r="292" spans="2:10" ht="18.75" x14ac:dyDescent="0.25">
      <c r="B292" s="7" t="s">
        <v>15</v>
      </c>
      <c r="C292" s="7" t="s">
        <v>393</v>
      </c>
      <c r="D292" s="12">
        <v>0.45229599999999998</v>
      </c>
      <c r="E292" s="7"/>
      <c r="F292" s="7"/>
      <c r="G292" s="7"/>
      <c r="H292" s="12">
        <v>6.49</v>
      </c>
      <c r="I292" s="12">
        <v>12</v>
      </c>
      <c r="J292" s="12">
        <v>82.89</v>
      </c>
    </row>
    <row r="293" spans="2:10" ht="18.75" x14ac:dyDescent="0.25">
      <c r="B293" s="7" t="s">
        <v>15</v>
      </c>
      <c r="C293" s="7" t="s">
        <v>519</v>
      </c>
      <c r="D293" s="12">
        <v>0.214138</v>
      </c>
      <c r="E293" s="7"/>
      <c r="F293" s="7"/>
      <c r="G293" s="7"/>
      <c r="H293" s="12">
        <v>6.8</v>
      </c>
      <c r="I293" s="12">
        <v>3.23</v>
      </c>
      <c r="J293" s="12">
        <v>30.92</v>
      </c>
    </row>
    <row r="294" spans="2:10" ht="18.75" x14ac:dyDescent="0.25">
      <c r="B294" s="7" t="s">
        <v>15</v>
      </c>
      <c r="C294" s="7" t="s">
        <v>674</v>
      </c>
      <c r="D294" s="12">
        <v>1.5100000000000001E-3</v>
      </c>
      <c r="E294" s="7"/>
      <c r="F294" s="7"/>
      <c r="G294" s="7"/>
      <c r="H294" s="12">
        <v>0.05</v>
      </c>
      <c r="I294" s="12">
        <v>0.02</v>
      </c>
      <c r="J294" s="12">
        <v>0.22</v>
      </c>
    </row>
    <row r="295" spans="2:10" ht="18.75" x14ac:dyDescent="0.25">
      <c r="B295" s="7" t="s">
        <v>15</v>
      </c>
      <c r="C295" s="7" t="s">
        <v>281</v>
      </c>
      <c r="D295" s="12">
        <v>1.11E-4</v>
      </c>
      <c r="E295" s="7"/>
      <c r="F295" s="7"/>
      <c r="G295" s="7"/>
      <c r="H295" s="12">
        <v>0.14000000000000001</v>
      </c>
      <c r="I295" s="12">
        <v>0.01</v>
      </c>
      <c r="J295" s="12">
        <v>0.05</v>
      </c>
    </row>
    <row r="296" spans="2:10" ht="18.75" x14ac:dyDescent="0.25">
      <c r="B296" s="7" t="s">
        <v>15</v>
      </c>
      <c r="C296" s="7" t="s">
        <v>394</v>
      </c>
      <c r="D296" s="12">
        <v>2.7779999999999999E-2</v>
      </c>
      <c r="E296" s="7"/>
      <c r="F296" s="7"/>
      <c r="G296" s="7"/>
      <c r="H296" s="12">
        <v>5.29</v>
      </c>
      <c r="I296" s="12">
        <v>1.07</v>
      </c>
      <c r="J296" s="12">
        <v>8.49</v>
      </c>
    </row>
    <row r="297" spans="2:10" ht="18.75" x14ac:dyDescent="0.25">
      <c r="B297" s="7" t="s">
        <v>15</v>
      </c>
      <c r="C297" s="7" t="s">
        <v>640</v>
      </c>
      <c r="D297" s="12">
        <v>7.3150000000000003E-3</v>
      </c>
      <c r="E297" s="7"/>
      <c r="F297" s="7"/>
      <c r="G297" s="7"/>
      <c r="H297" s="12">
        <v>0.22</v>
      </c>
      <c r="I297" s="12">
        <v>0.04</v>
      </c>
      <c r="J297" s="12">
        <v>0.41</v>
      </c>
    </row>
    <row r="298" spans="2:10" ht="18.75" x14ac:dyDescent="0.25">
      <c r="B298" s="7" t="s">
        <v>15</v>
      </c>
      <c r="C298" s="7" t="s">
        <v>373</v>
      </c>
      <c r="D298" s="12">
        <v>2.8110000000000001E-3</v>
      </c>
      <c r="E298" s="7"/>
      <c r="F298" s="7"/>
      <c r="G298" s="7"/>
      <c r="H298" s="12">
        <v>0.06</v>
      </c>
      <c r="I298" s="12">
        <v>0.03</v>
      </c>
      <c r="J298" s="12">
        <v>0.56000000000000005</v>
      </c>
    </row>
    <row r="299" spans="2:10" ht="18.75" x14ac:dyDescent="0.25">
      <c r="B299" s="7" t="s">
        <v>15</v>
      </c>
      <c r="C299" s="7" t="s">
        <v>511</v>
      </c>
      <c r="D299" s="12">
        <v>7.4099999999999999E-2</v>
      </c>
      <c r="E299" s="7"/>
      <c r="F299" s="7"/>
      <c r="G299" s="7"/>
      <c r="H299" s="12">
        <v>2.35</v>
      </c>
      <c r="I299" s="12">
        <v>1.1200000000000001</v>
      </c>
      <c r="J299" s="12">
        <v>10.7</v>
      </c>
    </row>
    <row r="300" spans="2:10" ht="18.75" x14ac:dyDescent="0.25">
      <c r="B300" s="7" t="s">
        <v>15</v>
      </c>
      <c r="C300" s="7" t="s">
        <v>186</v>
      </c>
      <c r="D300" s="12">
        <v>0.116187</v>
      </c>
      <c r="E300" s="7"/>
      <c r="F300" s="7"/>
      <c r="G300" s="7"/>
      <c r="H300" s="12">
        <v>22.13</v>
      </c>
      <c r="I300" s="12">
        <v>4.4800000000000004</v>
      </c>
      <c r="J300" s="12">
        <v>35.49</v>
      </c>
    </row>
    <row r="301" spans="2:10" ht="18.75" x14ac:dyDescent="0.25">
      <c r="B301" s="7" t="s">
        <v>15</v>
      </c>
      <c r="C301" s="7" t="s">
        <v>374</v>
      </c>
      <c r="D301" s="12">
        <v>0.76164299999999996</v>
      </c>
      <c r="E301" s="7"/>
      <c r="F301" s="7"/>
      <c r="G301" s="7"/>
      <c r="H301" s="12">
        <v>17.07</v>
      </c>
      <c r="I301" s="12">
        <v>9.2799999999999994</v>
      </c>
      <c r="J301" s="12">
        <v>151.96</v>
      </c>
    </row>
    <row r="302" spans="2:10" ht="18.75" x14ac:dyDescent="0.25">
      <c r="B302" s="7" t="s">
        <v>15</v>
      </c>
      <c r="C302" s="7" t="s">
        <v>66</v>
      </c>
      <c r="D302" s="12">
        <v>1.3539559999999999</v>
      </c>
      <c r="E302" s="7"/>
      <c r="F302" s="7"/>
      <c r="G302" s="7"/>
      <c r="H302" s="12">
        <v>85.29</v>
      </c>
      <c r="I302" s="12">
        <v>6.13</v>
      </c>
      <c r="J302" s="12">
        <v>132.97</v>
      </c>
    </row>
    <row r="303" spans="2:10" ht="18.75" x14ac:dyDescent="0.25">
      <c r="B303" s="7" t="s">
        <v>15</v>
      </c>
      <c r="C303" s="7" t="s">
        <v>375</v>
      </c>
      <c r="D303" s="12">
        <v>0.23772499999999999</v>
      </c>
      <c r="E303" s="7"/>
      <c r="F303" s="7"/>
      <c r="G303" s="7"/>
      <c r="H303" s="12">
        <v>13.17</v>
      </c>
      <c r="I303" s="12">
        <v>8.9499999999999993</v>
      </c>
      <c r="J303" s="12">
        <v>160.49</v>
      </c>
    </row>
    <row r="304" spans="2:10" ht="18.75" x14ac:dyDescent="0.25">
      <c r="B304" s="7" t="s">
        <v>15</v>
      </c>
      <c r="C304" s="7" t="s">
        <v>208</v>
      </c>
      <c r="D304" s="12">
        <v>1.20472</v>
      </c>
      <c r="E304" s="7"/>
      <c r="F304" s="7"/>
      <c r="G304" s="7"/>
      <c r="H304" s="12">
        <v>38.32</v>
      </c>
      <c r="I304" s="12">
        <v>18.2</v>
      </c>
      <c r="J304" s="12">
        <v>174.35</v>
      </c>
    </row>
    <row r="305" spans="2:10" ht="18.75" x14ac:dyDescent="0.25">
      <c r="B305" s="7" t="s">
        <v>15</v>
      </c>
      <c r="C305" s="7" t="s">
        <v>245</v>
      </c>
      <c r="D305" s="12">
        <v>0.37895800000000002</v>
      </c>
      <c r="E305" s="7"/>
      <c r="F305" s="7"/>
      <c r="G305" s="7"/>
      <c r="H305" s="12">
        <v>0.36</v>
      </c>
      <c r="I305" s="12">
        <v>0.16</v>
      </c>
      <c r="J305" s="12">
        <v>2.0099999999999998</v>
      </c>
    </row>
    <row r="306" spans="2:10" ht="18.75" x14ac:dyDescent="0.25">
      <c r="B306" s="7" t="s">
        <v>15</v>
      </c>
      <c r="C306" s="7" t="s">
        <v>282</v>
      </c>
      <c r="D306" s="12">
        <v>0.79448099999999999</v>
      </c>
      <c r="E306" s="7"/>
      <c r="F306" s="7"/>
      <c r="G306" s="7"/>
      <c r="H306" s="12">
        <v>981.15</v>
      </c>
      <c r="I306" s="12">
        <v>75.16</v>
      </c>
      <c r="J306" s="12">
        <v>396.44</v>
      </c>
    </row>
    <row r="307" spans="2:10" ht="18.75" x14ac:dyDescent="0.25">
      <c r="B307" s="7" t="s">
        <v>15</v>
      </c>
      <c r="C307" s="7" t="s">
        <v>555</v>
      </c>
      <c r="D307" s="12">
        <v>9.0000000000000002E-6</v>
      </c>
      <c r="E307" s="7"/>
      <c r="F307" s="7"/>
      <c r="G307" s="7"/>
      <c r="H307" s="12">
        <v>0</v>
      </c>
      <c r="I307" s="12">
        <v>0</v>
      </c>
      <c r="J307" s="12">
        <v>0</v>
      </c>
    </row>
    <row r="308" spans="2:10" ht="18.75" x14ac:dyDescent="0.25">
      <c r="B308" s="7" t="s">
        <v>15</v>
      </c>
      <c r="C308" s="7" t="s">
        <v>396</v>
      </c>
      <c r="D308" s="12">
        <v>0.142012</v>
      </c>
      <c r="E308" s="7"/>
      <c r="F308" s="7"/>
      <c r="G308" s="7"/>
      <c r="H308" s="12">
        <v>27.05</v>
      </c>
      <c r="I308" s="12">
        <v>5.47</v>
      </c>
      <c r="J308" s="12">
        <v>43.39</v>
      </c>
    </row>
    <row r="309" spans="2:10" ht="18.75" x14ac:dyDescent="0.25">
      <c r="B309" s="7" t="s">
        <v>15</v>
      </c>
      <c r="C309" s="7" t="s">
        <v>595</v>
      </c>
      <c r="D309" s="12">
        <v>0.20732900000000001</v>
      </c>
      <c r="E309" s="7"/>
      <c r="F309" s="7"/>
      <c r="G309" s="7"/>
      <c r="H309" s="12">
        <v>0.2</v>
      </c>
      <c r="I309" s="12">
        <v>0.09</v>
      </c>
      <c r="J309" s="12">
        <v>1.1000000000000001</v>
      </c>
    </row>
    <row r="310" spans="2:10" ht="18.75" x14ac:dyDescent="0.25">
      <c r="B310" s="7" t="s">
        <v>15</v>
      </c>
      <c r="C310" s="7" t="s">
        <v>407</v>
      </c>
      <c r="D310" s="12">
        <v>1.3074140000000001</v>
      </c>
      <c r="E310" s="7"/>
      <c r="F310" s="7"/>
      <c r="G310" s="7"/>
      <c r="H310" s="12">
        <v>21.48</v>
      </c>
      <c r="I310" s="12">
        <v>9.8800000000000008</v>
      </c>
      <c r="J310" s="12">
        <v>290.14</v>
      </c>
    </row>
    <row r="311" spans="2:10" ht="18.75" x14ac:dyDescent="0.25">
      <c r="B311" s="7" t="s">
        <v>15</v>
      </c>
      <c r="C311" s="7" t="s">
        <v>408</v>
      </c>
      <c r="D311" s="12">
        <v>8.1128000000000006E-2</v>
      </c>
      <c r="E311" s="7"/>
      <c r="F311" s="7"/>
      <c r="G311" s="7"/>
      <c r="H311" s="12">
        <v>1.82</v>
      </c>
      <c r="I311" s="12">
        <v>0.99</v>
      </c>
      <c r="J311" s="12">
        <v>16.18</v>
      </c>
    </row>
    <row r="312" spans="2:10" ht="18.75" x14ac:dyDescent="0.25">
      <c r="B312" s="7" t="s">
        <v>15</v>
      </c>
      <c r="C312" s="7" t="s">
        <v>174</v>
      </c>
      <c r="D312" s="12">
        <v>6.1780000000000003E-3</v>
      </c>
      <c r="E312" s="7"/>
      <c r="F312" s="7"/>
      <c r="G312" s="7"/>
      <c r="H312" s="12">
        <v>3.47</v>
      </c>
      <c r="I312" s="12">
        <v>0.42</v>
      </c>
      <c r="J312" s="12">
        <v>2.23</v>
      </c>
    </row>
    <row r="313" spans="2:10" ht="18.75" x14ac:dyDescent="0.25">
      <c r="B313" s="7" t="s">
        <v>15</v>
      </c>
      <c r="C313" s="7" t="s">
        <v>368</v>
      </c>
      <c r="D313" s="12">
        <v>1.6983999999999999E-2</v>
      </c>
      <c r="E313" s="7"/>
      <c r="F313" s="7"/>
      <c r="G313" s="7"/>
      <c r="H313" s="12">
        <v>0.38</v>
      </c>
      <c r="I313" s="12">
        <v>0.21</v>
      </c>
      <c r="J313" s="12">
        <v>3.39</v>
      </c>
    </row>
    <row r="314" spans="2:10" ht="18.75" x14ac:dyDescent="0.25">
      <c r="B314" s="7" t="s">
        <v>15</v>
      </c>
      <c r="C314" s="7" t="s">
        <v>699</v>
      </c>
      <c r="D314" s="12">
        <v>1.6673E-2</v>
      </c>
      <c r="E314" s="7"/>
      <c r="F314" s="7"/>
      <c r="G314" s="7"/>
      <c r="H314" s="12">
        <v>0.51</v>
      </c>
      <c r="I314" s="12">
        <v>0.09</v>
      </c>
      <c r="J314" s="12">
        <v>0.94</v>
      </c>
    </row>
    <row r="315" spans="2:10" ht="18.75" x14ac:dyDescent="0.25">
      <c r="B315" s="7" t="s">
        <v>15</v>
      </c>
      <c r="C315" s="7" t="s">
        <v>506</v>
      </c>
      <c r="D315" s="12">
        <v>36.843080999999998</v>
      </c>
      <c r="E315" s="7"/>
      <c r="F315" s="7"/>
      <c r="G315" s="7"/>
      <c r="H315" s="12">
        <v>1169.3</v>
      </c>
      <c r="I315" s="12">
        <v>555.4</v>
      </c>
      <c r="J315" s="12">
        <v>5319.38</v>
      </c>
    </row>
    <row r="316" spans="2:10" ht="18.75" x14ac:dyDescent="0.25">
      <c r="B316" s="7" t="s">
        <v>15</v>
      </c>
      <c r="C316" s="7" t="s">
        <v>608</v>
      </c>
      <c r="D316" s="12">
        <v>0.51195800000000002</v>
      </c>
      <c r="E316" s="7"/>
      <c r="F316" s="7"/>
      <c r="G316" s="7"/>
      <c r="H316" s="12">
        <v>0.49</v>
      </c>
      <c r="I316" s="12">
        <v>0.22</v>
      </c>
      <c r="J316" s="12">
        <v>2.72</v>
      </c>
    </row>
    <row r="317" spans="2:10" ht="18.75" x14ac:dyDescent="0.25">
      <c r="B317" s="7" t="s">
        <v>15</v>
      </c>
      <c r="C317" s="7" t="s">
        <v>523</v>
      </c>
      <c r="D317" s="12">
        <v>0.412074</v>
      </c>
      <c r="E317" s="7"/>
      <c r="F317" s="7"/>
      <c r="G317" s="7"/>
      <c r="H317" s="12">
        <v>13.08</v>
      </c>
      <c r="I317" s="12">
        <v>6.21</v>
      </c>
      <c r="J317" s="12">
        <v>59.5</v>
      </c>
    </row>
    <row r="318" spans="2:10" ht="18.75" x14ac:dyDescent="0.25">
      <c r="B318" s="7" t="s">
        <v>15</v>
      </c>
      <c r="C318" s="7" t="s">
        <v>671</v>
      </c>
      <c r="D318" s="12">
        <v>0.27868999999999999</v>
      </c>
      <c r="E318" s="7"/>
      <c r="F318" s="7"/>
      <c r="G318" s="7"/>
      <c r="H318" s="12">
        <v>8.58</v>
      </c>
      <c r="I318" s="12">
        <v>1.44</v>
      </c>
      <c r="J318" s="12">
        <v>15.71</v>
      </c>
    </row>
    <row r="319" spans="2:10" ht="18.75" x14ac:dyDescent="0.25">
      <c r="B319" s="7" t="s">
        <v>15</v>
      </c>
      <c r="C319" s="7" t="s">
        <v>371</v>
      </c>
      <c r="D319" s="12">
        <v>9.5100000000000002E-4</v>
      </c>
      <c r="E319" s="7"/>
      <c r="F319" s="7"/>
      <c r="G319" s="7"/>
      <c r="H319" s="12">
        <v>0.11</v>
      </c>
      <c r="I319" s="12">
        <v>0.03</v>
      </c>
      <c r="J319" s="12">
        <v>0.37</v>
      </c>
    </row>
    <row r="320" spans="2:10" ht="18.75" x14ac:dyDescent="0.25">
      <c r="B320" s="7" t="s">
        <v>15</v>
      </c>
      <c r="C320" s="7" t="s">
        <v>378</v>
      </c>
      <c r="D320" s="12">
        <v>7.3520770000000004</v>
      </c>
      <c r="E320" s="7"/>
      <c r="F320" s="7"/>
      <c r="G320" s="7"/>
      <c r="H320" s="12">
        <v>105.48</v>
      </c>
      <c r="I320" s="12">
        <v>195.06</v>
      </c>
      <c r="J320" s="12">
        <v>1347.91</v>
      </c>
    </row>
    <row r="321" spans="2:10" ht="18.75" x14ac:dyDescent="0.25">
      <c r="B321" s="7" t="s">
        <v>15</v>
      </c>
      <c r="C321" s="7" t="s">
        <v>234</v>
      </c>
      <c r="D321" s="12">
        <v>0.111543</v>
      </c>
      <c r="E321" s="7"/>
      <c r="F321" s="7"/>
      <c r="G321" s="7"/>
      <c r="H321" s="12">
        <v>5.19</v>
      </c>
      <c r="I321" s="12">
        <v>4.7</v>
      </c>
      <c r="J321" s="12">
        <v>24.26</v>
      </c>
    </row>
    <row r="322" spans="2:10" ht="18.75" x14ac:dyDescent="0.25">
      <c r="B322" s="7" t="s">
        <v>15</v>
      </c>
      <c r="C322" s="7" t="s">
        <v>609</v>
      </c>
      <c r="D322" s="12">
        <v>0.20821200000000001</v>
      </c>
      <c r="E322" s="7"/>
      <c r="F322" s="7"/>
      <c r="G322" s="7"/>
      <c r="H322" s="12">
        <v>0.2</v>
      </c>
      <c r="I322" s="12">
        <v>0.09</v>
      </c>
      <c r="J322" s="12">
        <v>1.1100000000000001</v>
      </c>
    </row>
    <row r="323" spans="2:10" ht="18.75" x14ac:dyDescent="0.25">
      <c r="B323" s="7" t="s">
        <v>15</v>
      </c>
      <c r="C323" s="7" t="s">
        <v>700</v>
      </c>
      <c r="D323" s="12">
        <v>3.0000000000000001E-5</v>
      </c>
      <c r="E323" s="7"/>
      <c r="F323" s="7"/>
      <c r="G323" s="7"/>
      <c r="H323" s="12">
        <v>0</v>
      </c>
      <c r="I323" s="12">
        <v>0</v>
      </c>
      <c r="J323" s="12">
        <v>0</v>
      </c>
    </row>
    <row r="324" spans="2:10" ht="18.75" x14ac:dyDescent="0.25">
      <c r="B324" s="7" t="s">
        <v>15</v>
      </c>
      <c r="C324" s="7" t="s">
        <v>403</v>
      </c>
      <c r="D324" s="12">
        <v>0.36588999999999999</v>
      </c>
      <c r="E324" s="7"/>
      <c r="F324" s="7"/>
      <c r="G324" s="7"/>
      <c r="H324" s="12">
        <v>5.25</v>
      </c>
      <c r="I324" s="12">
        <v>9.7100000000000009</v>
      </c>
      <c r="J324" s="12">
        <v>67.08</v>
      </c>
    </row>
    <row r="325" spans="2:10" ht="18.75" x14ac:dyDescent="0.25">
      <c r="B325" s="7" t="s">
        <v>15</v>
      </c>
      <c r="C325" s="7" t="s">
        <v>642</v>
      </c>
      <c r="D325" s="12">
        <v>3.0976880000000002</v>
      </c>
      <c r="E325" s="7"/>
      <c r="F325" s="7"/>
      <c r="G325" s="7"/>
      <c r="H325" s="12">
        <v>95.33</v>
      </c>
      <c r="I325" s="12">
        <v>15.93</v>
      </c>
      <c r="J325" s="12">
        <v>174.42</v>
      </c>
    </row>
    <row r="326" spans="2:10" ht="18.75" x14ac:dyDescent="0.25">
      <c r="B326" s="7" t="s">
        <v>15</v>
      </c>
      <c r="C326" s="7" t="s">
        <v>404</v>
      </c>
      <c r="D326" s="12">
        <v>2.1333839999999999</v>
      </c>
      <c r="E326" s="7"/>
      <c r="F326" s="7"/>
      <c r="G326" s="7"/>
      <c r="H326" s="12">
        <v>406.42</v>
      </c>
      <c r="I326" s="12">
        <v>82.25</v>
      </c>
      <c r="J326" s="12">
        <v>651.78</v>
      </c>
    </row>
    <row r="327" spans="2:10" ht="18.75" x14ac:dyDescent="0.25">
      <c r="B327" s="7" t="s">
        <v>15</v>
      </c>
      <c r="C327" s="7" t="s">
        <v>405</v>
      </c>
      <c r="D327" s="12">
        <v>6.1600000000000001E-4</v>
      </c>
      <c r="E327" s="7"/>
      <c r="F327" s="7"/>
      <c r="G327" s="7"/>
      <c r="H327" s="12">
        <v>7.0000000000000007E-2</v>
      </c>
      <c r="I327" s="12">
        <v>0.02</v>
      </c>
      <c r="J327" s="12">
        <v>0.24</v>
      </c>
    </row>
    <row r="328" spans="2:10" ht="18.75" x14ac:dyDescent="0.25">
      <c r="B328" s="7" t="s">
        <v>15</v>
      </c>
      <c r="C328" s="7" t="s">
        <v>596</v>
      </c>
      <c r="D328" s="12">
        <v>0.33022099999999999</v>
      </c>
      <c r="E328" s="7"/>
      <c r="F328" s="7"/>
      <c r="G328" s="7"/>
      <c r="H328" s="12">
        <v>0.31</v>
      </c>
      <c r="I328" s="12">
        <v>0.14000000000000001</v>
      </c>
      <c r="J328" s="12">
        <v>1.75</v>
      </c>
    </row>
    <row r="329" spans="2:10" ht="18.75" x14ac:dyDescent="0.25">
      <c r="B329" s="7" t="s">
        <v>15</v>
      </c>
      <c r="C329" s="7" t="s">
        <v>701</v>
      </c>
      <c r="D329" s="12">
        <v>3.7198000000000002E-2</v>
      </c>
      <c r="E329" s="7"/>
      <c r="F329" s="7"/>
      <c r="G329" s="7"/>
      <c r="H329" s="12">
        <v>0.04</v>
      </c>
      <c r="I329" s="12">
        <v>0.02</v>
      </c>
      <c r="J329" s="12">
        <v>0.2</v>
      </c>
    </row>
    <row r="330" spans="2:10" ht="18.75" x14ac:dyDescent="0.25">
      <c r="B330" s="7" t="s">
        <v>15</v>
      </c>
      <c r="C330" s="7" t="s">
        <v>161</v>
      </c>
      <c r="D330" s="12">
        <v>2.2887999999999999E-2</v>
      </c>
      <c r="E330" s="7"/>
      <c r="F330" s="7"/>
      <c r="G330" s="7"/>
      <c r="H330" s="12">
        <v>0.11</v>
      </c>
      <c r="I330" s="12">
        <v>0.25</v>
      </c>
      <c r="J330" s="12">
        <v>0.99</v>
      </c>
    </row>
    <row r="331" spans="2:10" ht="18.75" x14ac:dyDescent="0.25">
      <c r="B331" s="7" t="s">
        <v>15</v>
      </c>
      <c r="C331" s="7" t="s">
        <v>188</v>
      </c>
      <c r="D331" s="12">
        <v>1.539347</v>
      </c>
      <c r="E331" s="7"/>
      <c r="F331" s="7"/>
      <c r="G331" s="7"/>
      <c r="H331" s="12">
        <v>183.77</v>
      </c>
      <c r="I331" s="12">
        <v>43.48</v>
      </c>
      <c r="J331" s="12">
        <v>597.95000000000005</v>
      </c>
    </row>
    <row r="332" spans="2:10" ht="18.75" x14ac:dyDescent="0.25">
      <c r="B332" s="7" t="s">
        <v>15</v>
      </c>
      <c r="C332" s="7" t="s">
        <v>613</v>
      </c>
      <c r="D332" s="12">
        <v>2.8249999999999998E-3</v>
      </c>
      <c r="E332" s="7"/>
      <c r="F332" s="7"/>
      <c r="G332" s="7"/>
      <c r="H332" s="12">
        <v>0</v>
      </c>
      <c r="I332" s="12">
        <v>0</v>
      </c>
      <c r="J332" s="12">
        <v>0.01</v>
      </c>
    </row>
    <row r="333" spans="2:10" ht="18.75" x14ac:dyDescent="0.25">
      <c r="B333" s="7" t="s">
        <v>15</v>
      </c>
      <c r="C333" s="7" t="s">
        <v>93</v>
      </c>
      <c r="D333" s="12">
        <v>1.785598</v>
      </c>
      <c r="E333" s="7"/>
      <c r="F333" s="7"/>
      <c r="G333" s="7"/>
      <c r="H333" s="12">
        <v>83.07</v>
      </c>
      <c r="I333" s="12">
        <v>75.180000000000007</v>
      </c>
      <c r="J333" s="12">
        <v>388.41</v>
      </c>
    </row>
    <row r="334" spans="2:10" ht="18.75" x14ac:dyDescent="0.25">
      <c r="B334" s="7" t="s">
        <v>15</v>
      </c>
      <c r="C334" s="7" t="s">
        <v>524</v>
      </c>
      <c r="D334" s="12">
        <v>0.207931</v>
      </c>
      <c r="E334" s="7"/>
      <c r="F334" s="7"/>
      <c r="G334" s="7"/>
      <c r="H334" s="12">
        <v>6.6</v>
      </c>
      <c r="I334" s="12">
        <v>3.14</v>
      </c>
      <c r="J334" s="12">
        <v>30.03</v>
      </c>
    </row>
    <row r="335" spans="2:10" ht="18.75" x14ac:dyDescent="0.25">
      <c r="B335" s="7" t="s">
        <v>15</v>
      </c>
      <c r="C335" s="7" t="s">
        <v>476</v>
      </c>
      <c r="D335" s="12">
        <v>4.7702000000000001E-2</v>
      </c>
      <c r="E335" s="7"/>
      <c r="F335" s="7"/>
      <c r="G335" s="7"/>
      <c r="H335" s="12">
        <v>1.31</v>
      </c>
      <c r="I335" s="12">
        <v>0.18</v>
      </c>
      <c r="J335" s="12">
        <v>10.199999999999999</v>
      </c>
    </row>
    <row r="336" spans="2:10" ht="18.75" x14ac:dyDescent="0.25">
      <c r="B336" s="7" t="s">
        <v>15</v>
      </c>
      <c r="C336" s="7" t="s">
        <v>562</v>
      </c>
      <c r="D336" s="12">
        <v>24.665904000000001</v>
      </c>
      <c r="E336" s="7"/>
      <c r="F336" s="7"/>
      <c r="G336" s="7"/>
      <c r="H336" s="12">
        <v>783.01</v>
      </c>
      <c r="I336" s="12">
        <v>371.92</v>
      </c>
      <c r="J336" s="12">
        <v>3562.03</v>
      </c>
    </row>
    <row r="337" spans="2:10" ht="18.75" x14ac:dyDescent="0.25">
      <c r="B337" s="7" t="s">
        <v>15</v>
      </c>
      <c r="C337" s="7" t="s">
        <v>376</v>
      </c>
      <c r="D337" s="12">
        <v>0.13789599999999999</v>
      </c>
      <c r="E337" s="7"/>
      <c r="F337" s="7"/>
      <c r="G337" s="7"/>
      <c r="H337" s="12">
        <v>26.27</v>
      </c>
      <c r="I337" s="12">
        <v>5.32</v>
      </c>
      <c r="J337" s="12">
        <v>42.13</v>
      </c>
    </row>
    <row r="338" spans="2:10" ht="18.75" x14ac:dyDescent="0.25">
      <c r="B338" s="7" t="s">
        <v>15</v>
      </c>
      <c r="C338" s="7" t="s">
        <v>377</v>
      </c>
      <c r="D338" s="12">
        <v>6.0506999999999998E-2</v>
      </c>
      <c r="E338" s="7"/>
      <c r="F338" s="7"/>
      <c r="G338" s="7"/>
      <c r="H338" s="12">
        <v>0.99</v>
      </c>
      <c r="I338" s="12">
        <v>0.46</v>
      </c>
      <c r="J338" s="12">
        <v>13.43</v>
      </c>
    </row>
    <row r="339" spans="2:10" ht="18.75" x14ac:dyDescent="0.25">
      <c r="B339" s="7" t="s">
        <v>15</v>
      </c>
      <c r="C339" s="7" t="s">
        <v>180</v>
      </c>
      <c r="D339" s="12">
        <v>1.3140000000000001E-3</v>
      </c>
      <c r="E339" s="7"/>
      <c r="F339" s="7"/>
      <c r="G339" s="7"/>
      <c r="H339" s="12">
        <v>0.03</v>
      </c>
      <c r="I339" s="12">
        <v>0.02</v>
      </c>
      <c r="J339" s="12">
        <v>0.26</v>
      </c>
    </row>
    <row r="340" spans="2:10" ht="18.75" x14ac:dyDescent="0.25">
      <c r="B340" s="7" t="s">
        <v>15</v>
      </c>
      <c r="C340" s="7" t="s">
        <v>702</v>
      </c>
      <c r="D340" s="12">
        <v>3.5017499999999999</v>
      </c>
      <c r="E340" s="7"/>
      <c r="F340" s="7"/>
      <c r="G340" s="7"/>
      <c r="H340" s="12">
        <v>107.58</v>
      </c>
      <c r="I340" s="12">
        <v>17.98</v>
      </c>
      <c r="J340" s="12">
        <v>196.85</v>
      </c>
    </row>
    <row r="341" spans="2:10" ht="18.75" x14ac:dyDescent="0.25">
      <c r="B341" s="7" t="s">
        <v>15</v>
      </c>
      <c r="C341" s="7" t="s">
        <v>678</v>
      </c>
      <c r="D341" s="12">
        <v>3.6299999999999999E-4</v>
      </c>
      <c r="E341" s="7"/>
      <c r="F341" s="7"/>
      <c r="G341" s="7"/>
      <c r="H341" s="12">
        <v>0.01</v>
      </c>
      <c r="I341" s="12">
        <v>0</v>
      </c>
      <c r="J341" s="12">
        <v>0.02</v>
      </c>
    </row>
    <row r="342" spans="2:10" ht="18.75" x14ac:dyDescent="0.25">
      <c r="B342" s="7" t="s">
        <v>15</v>
      </c>
      <c r="C342" s="7" t="s">
        <v>283</v>
      </c>
      <c r="D342" s="12">
        <v>0.14630899999999999</v>
      </c>
      <c r="E342" s="7"/>
      <c r="F342" s="7"/>
      <c r="G342" s="7"/>
      <c r="H342" s="12">
        <v>180.72</v>
      </c>
      <c r="I342" s="12">
        <v>13.84</v>
      </c>
      <c r="J342" s="12">
        <v>73.02</v>
      </c>
    </row>
    <row r="343" spans="2:10" ht="18.75" x14ac:dyDescent="0.25">
      <c r="B343" s="7" t="s">
        <v>15</v>
      </c>
      <c r="C343" s="7" t="s">
        <v>382</v>
      </c>
      <c r="D343" s="12">
        <v>6.5547999999999995E-2</v>
      </c>
      <c r="E343" s="7"/>
      <c r="F343" s="7"/>
      <c r="G343" s="7"/>
      <c r="H343" s="12">
        <v>3.63</v>
      </c>
      <c r="I343" s="12">
        <v>2.4700000000000002</v>
      </c>
      <c r="J343" s="12">
        <v>44.25</v>
      </c>
    </row>
    <row r="344" spans="2:10" ht="18.75" x14ac:dyDescent="0.25">
      <c r="B344" s="7" t="s">
        <v>15</v>
      </c>
      <c r="C344" s="7" t="s">
        <v>514</v>
      </c>
      <c r="D344" s="12">
        <v>2.4250000000000001E-3</v>
      </c>
      <c r="E344" s="7"/>
      <c r="F344" s="7"/>
      <c r="G344" s="7"/>
      <c r="H344" s="12">
        <v>0.08</v>
      </c>
      <c r="I344" s="12">
        <v>0.04</v>
      </c>
      <c r="J344" s="12">
        <v>0.35</v>
      </c>
    </row>
    <row r="345" spans="2:10" ht="18.75" x14ac:dyDescent="0.25">
      <c r="B345" s="7" t="s">
        <v>15</v>
      </c>
      <c r="C345" s="7" t="s">
        <v>672</v>
      </c>
      <c r="D345" s="12">
        <v>0.24788399999999999</v>
      </c>
      <c r="E345" s="7"/>
      <c r="F345" s="7"/>
      <c r="G345" s="7"/>
      <c r="H345" s="12">
        <v>7.61</v>
      </c>
      <c r="I345" s="12">
        <v>1.27</v>
      </c>
      <c r="J345" s="12">
        <v>13.93</v>
      </c>
    </row>
    <row r="346" spans="2:10" ht="18.75" x14ac:dyDescent="0.25">
      <c r="B346" s="7" t="s">
        <v>15</v>
      </c>
      <c r="C346" s="7" t="s">
        <v>654</v>
      </c>
      <c r="D346" s="12">
        <v>1.26871</v>
      </c>
      <c r="E346" s="7"/>
      <c r="F346" s="7"/>
      <c r="G346" s="7"/>
      <c r="H346" s="12">
        <v>38.97</v>
      </c>
      <c r="I346" s="12">
        <v>6.51</v>
      </c>
      <c r="J346" s="12">
        <v>71.3</v>
      </c>
    </row>
    <row r="347" spans="2:10" ht="18.75" x14ac:dyDescent="0.25">
      <c r="B347" s="7" t="s">
        <v>15</v>
      </c>
      <c r="C347" s="7" t="s">
        <v>614</v>
      </c>
      <c r="D347" s="12">
        <v>6.6154000000000004E-2</v>
      </c>
      <c r="E347" s="7"/>
      <c r="F347" s="7"/>
      <c r="G347" s="7"/>
      <c r="H347" s="12">
        <v>0.06</v>
      </c>
      <c r="I347" s="12">
        <v>0.03</v>
      </c>
      <c r="J347" s="12">
        <v>0.35</v>
      </c>
    </row>
    <row r="348" spans="2:10" ht="18.75" x14ac:dyDescent="0.25">
      <c r="B348" s="7" t="s">
        <v>15</v>
      </c>
      <c r="C348" s="7" t="s">
        <v>610</v>
      </c>
      <c r="D348" s="12">
        <v>0.11700000000000001</v>
      </c>
      <c r="E348" s="7"/>
      <c r="F348" s="7"/>
      <c r="G348" s="7"/>
      <c r="H348" s="12">
        <v>7.37</v>
      </c>
      <c r="I348" s="12">
        <v>0.53</v>
      </c>
      <c r="J348" s="12">
        <v>11.49</v>
      </c>
    </row>
    <row r="349" spans="2:10" ht="18.75" x14ac:dyDescent="0.25">
      <c r="B349" s="7" t="s">
        <v>15</v>
      </c>
      <c r="C349" s="7" t="s">
        <v>641</v>
      </c>
      <c r="D349" s="12">
        <v>1.9189999999999999E-2</v>
      </c>
      <c r="E349" s="7"/>
      <c r="F349" s="7"/>
      <c r="G349" s="7"/>
      <c r="H349" s="12">
        <v>0.59</v>
      </c>
      <c r="I349" s="12">
        <v>0.1</v>
      </c>
      <c r="J349" s="12">
        <v>1.08</v>
      </c>
    </row>
    <row r="350" spans="2:10" ht="18.75" x14ac:dyDescent="0.25">
      <c r="B350" s="7" t="s">
        <v>15</v>
      </c>
      <c r="C350" s="7" t="s">
        <v>515</v>
      </c>
      <c r="D350" s="12">
        <v>0.39412700000000001</v>
      </c>
      <c r="E350" s="7"/>
      <c r="F350" s="7"/>
      <c r="G350" s="7"/>
      <c r="H350" s="12">
        <v>12.51</v>
      </c>
      <c r="I350" s="12">
        <v>5.94</v>
      </c>
      <c r="J350" s="12">
        <v>56.91</v>
      </c>
    </row>
    <row r="351" spans="2:10" ht="18.75" x14ac:dyDescent="0.25">
      <c r="B351" s="7" t="s">
        <v>15</v>
      </c>
      <c r="C351" s="7" t="s">
        <v>703</v>
      </c>
      <c r="D351" s="12">
        <v>1.3060000000000001E-3</v>
      </c>
      <c r="E351" s="7"/>
      <c r="F351" s="7"/>
      <c r="G351" s="7"/>
      <c r="H351" s="12">
        <v>0</v>
      </c>
      <c r="I351" s="12">
        <v>0</v>
      </c>
      <c r="J351" s="12">
        <v>0.01</v>
      </c>
    </row>
    <row r="352" spans="2:10" ht="18.75" x14ac:dyDescent="0.25">
      <c r="B352" s="7" t="s">
        <v>15</v>
      </c>
      <c r="C352" s="7" t="s">
        <v>632</v>
      </c>
      <c r="D352" s="12">
        <v>1.2571319999999999</v>
      </c>
      <c r="E352" s="7"/>
      <c r="F352" s="7"/>
      <c r="G352" s="7"/>
      <c r="H352" s="12">
        <v>38.630000000000003</v>
      </c>
      <c r="I352" s="12">
        <v>6.46</v>
      </c>
      <c r="J352" s="12">
        <v>70.680000000000007</v>
      </c>
    </row>
    <row r="353" spans="2:10" ht="18.75" x14ac:dyDescent="0.25">
      <c r="B353" s="7" t="s">
        <v>15</v>
      </c>
      <c r="C353" s="7" t="s">
        <v>293</v>
      </c>
      <c r="D353" s="12">
        <v>1.0248600000000001</v>
      </c>
      <c r="E353" s="7"/>
      <c r="F353" s="7"/>
      <c r="G353" s="7"/>
      <c r="H353" s="12">
        <v>575.42999999999995</v>
      </c>
      <c r="I353" s="12">
        <v>69.680000000000007</v>
      </c>
      <c r="J353" s="12">
        <v>370.34</v>
      </c>
    </row>
    <row r="354" spans="2:10" ht="18.75" x14ac:dyDescent="0.25">
      <c r="B354" s="7" t="s">
        <v>15</v>
      </c>
      <c r="C354" s="7" t="s">
        <v>196</v>
      </c>
      <c r="D354" s="12">
        <v>6.4583000000000002E-2</v>
      </c>
      <c r="E354" s="7"/>
      <c r="F354" s="7"/>
      <c r="G354" s="7"/>
      <c r="H354" s="12">
        <v>36.29</v>
      </c>
      <c r="I354" s="12">
        <v>4.3899999999999997</v>
      </c>
      <c r="J354" s="12">
        <v>23.36</v>
      </c>
    </row>
    <row r="355" spans="2:10" ht="18.75" x14ac:dyDescent="0.25">
      <c r="B355" s="7" t="s">
        <v>15</v>
      </c>
      <c r="C355" s="7" t="s">
        <v>617</v>
      </c>
      <c r="D355" s="12">
        <v>8.0671999999999994E-2</v>
      </c>
      <c r="E355" s="7"/>
      <c r="F355" s="7"/>
      <c r="G355" s="7"/>
      <c r="H355" s="12">
        <v>0.08</v>
      </c>
      <c r="I355" s="12">
        <v>0.03</v>
      </c>
      <c r="J355" s="12">
        <v>0.43</v>
      </c>
    </row>
    <row r="356" spans="2:10" ht="18.75" x14ac:dyDescent="0.25">
      <c r="B356" s="7" t="s">
        <v>15</v>
      </c>
      <c r="C356" s="7" t="s">
        <v>537</v>
      </c>
      <c r="D356" s="12">
        <v>0.472028</v>
      </c>
      <c r="E356" s="7"/>
      <c r="F356" s="7"/>
      <c r="G356" s="7"/>
      <c r="H356" s="12">
        <v>14.98</v>
      </c>
      <c r="I356" s="12">
        <v>7.12</v>
      </c>
      <c r="J356" s="12">
        <v>68.16</v>
      </c>
    </row>
    <row r="357" spans="2:10" ht="18.75" x14ac:dyDescent="0.25">
      <c r="B357" s="7" t="s">
        <v>15</v>
      </c>
      <c r="C357" s="7" t="s">
        <v>438</v>
      </c>
      <c r="D357" s="12">
        <v>0.148008</v>
      </c>
      <c r="E357" s="7"/>
      <c r="F357" s="7"/>
      <c r="G357" s="7"/>
      <c r="H357" s="12">
        <v>28.19</v>
      </c>
      <c r="I357" s="12">
        <v>5.71</v>
      </c>
      <c r="J357" s="12">
        <v>45.22</v>
      </c>
    </row>
    <row r="358" spans="2:10" ht="18.75" x14ac:dyDescent="0.25">
      <c r="B358" s="7" t="s">
        <v>15</v>
      </c>
      <c r="C358" s="7" t="s">
        <v>439</v>
      </c>
      <c r="D358" s="12">
        <v>0.41903000000000001</v>
      </c>
      <c r="E358" s="7"/>
      <c r="F358" s="7"/>
      <c r="G358" s="7"/>
      <c r="H358" s="12">
        <v>6.01</v>
      </c>
      <c r="I358" s="12">
        <v>11.11</v>
      </c>
      <c r="J358" s="12">
        <v>76.760000000000005</v>
      </c>
    </row>
    <row r="359" spans="2:10" ht="18.75" x14ac:dyDescent="0.25">
      <c r="B359" s="7" t="s">
        <v>15</v>
      </c>
      <c r="C359" s="7" t="s">
        <v>704</v>
      </c>
      <c r="D359" s="12">
        <v>3.9999999999999998E-6</v>
      </c>
      <c r="E359" s="7"/>
      <c r="F359" s="7"/>
      <c r="G359" s="7"/>
      <c r="H359" s="12">
        <v>0</v>
      </c>
      <c r="I359" s="12">
        <v>0</v>
      </c>
      <c r="J359" s="12">
        <v>0</v>
      </c>
    </row>
    <row r="360" spans="2:10" ht="18.75" x14ac:dyDescent="0.25">
      <c r="B360" s="7" t="s">
        <v>15</v>
      </c>
      <c r="C360" s="7" t="s">
        <v>239</v>
      </c>
      <c r="D360" s="12">
        <v>1.0194E-2</v>
      </c>
      <c r="E360" s="7"/>
      <c r="F360" s="7"/>
      <c r="G360" s="7"/>
      <c r="H360" s="12">
        <v>0.01</v>
      </c>
      <c r="I360" s="12">
        <v>0</v>
      </c>
      <c r="J360" s="12">
        <v>0.06</v>
      </c>
    </row>
    <row r="361" spans="2:10" ht="18.75" x14ac:dyDescent="0.25">
      <c r="B361" s="7" t="s">
        <v>15</v>
      </c>
      <c r="C361" s="7" t="s">
        <v>285</v>
      </c>
      <c r="D361" s="12">
        <v>2.3128609999999998</v>
      </c>
      <c r="E361" s="7"/>
      <c r="F361" s="7"/>
      <c r="G361" s="7"/>
      <c r="H361" s="12">
        <v>2857.06</v>
      </c>
      <c r="I361" s="12">
        <v>218.86</v>
      </c>
      <c r="J361" s="12">
        <v>1154.4100000000001</v>
      </c>
    </row>
    <row r="362" spans="2:10" ht="18.75" x14ac:dyDescent="0.25">
      <c r="B362" s="7" t="s">
        <v>15</v>
      </c>
      <c r="C362" s="7" t="s">
        <v>705</v>
      </c>
      <c r="D362" s="12">
        <v>25.499365999999998</v>
      </c>
      <c r="E362" s="7"/>
      <c r="F362" s="7"/>
      <c r="G362" s="7"/>
      <c r="H362" s="12">
        <v>783.39</v>
      </c>
      <c r="I362" s="12">
        <v>130.94999999999999</v>
      </c>
      <c r="J362" s="12">
        <v>1433.41</v>
      </c>
    </row>
    <row r="363" spans="2:10" ht="18.75" x14ac:dyDescent="0.25">
      <c r="B363" s="7" t="s">
        <v>15</v>
      </c>
      <c r="C363" s="7" t="s">
        <v>467</v>
      </c>
      <c r="D363" s="12">
        <v>3.9218000000000003E-2</v>
      </c>
      <c r="E363" s="7"/>
      <c r="F363" s="7"/>
      <c r="G363" s="7"/>
      <c r="H363" s="12">
        <v>24.27</v>
      </c>
      <c r="I363" s="12">
        <v>0.9</v>
      </c>
      <c r="J363" s="12">
        <v>7.53</v>
      </c>
    </row>
    <row r="364" spans="2:10" ht="18.75" x14ac:dyDescent="0.25">
      <c r="B364" s="7" t="s">
        <v>15</v>
      </c>
      <c r="C364" s="7" t="s">
        <v>130</v>
      </c>
      <c r="D364" s="12">
        <v>6.7216999999999999E-2</v>
      </c>
      <c r="E364" s="7"/>
      <c r="F364" s="7"/>
      <c r="G364" s="7"/>
      <c r="H364" s="12">
        <v>12.81</v>
      </c>
      <c r="I364" s="12">
        <v>2.59</v>
      </c>
      <c r="J364" s="12">
        <v>20.54</v>
      </c>
    </row>
    <row r="365" spans="2:10" ht="18.75" x14ac:dyDescent="0.25">
      <c r="B365" s="7" t="s">
        <v>15</v>
      </c>
      <c r="C365" s="7" t="s">
        <v>278</v>
      </c>
      <c r="D365" s="12">
        <v>2.5343000000000001E-2</v>
      </c>
      <c r="E365" s="7"/>
      <c r="F365" s="7"/>
      <c r="G365" s="7"/>
      <c r="H365" s="12">
        <v>31.45</v>
      </c>
      <c r="I365" s="12">
        <v>2.41</v>
      </c>
      <c r="J365" s="12">
        <v>12.71</v>
      </c>
    </row>
    <row r="366" spans="2:10" ht="18.75" x14ac:dyDescent="0.25">
      <c r="B366" s="7" t="s">
        <v>15</v>
      </c>
      <c r="C366" s="7" t="s">
        <v>385</v>
      </c>
      <c r="D366" s="12">
        <v>9.6400000000000001E-4</v>
      </c>
      <c r="E366" s="7"/>
      <c r="F366" s="7"/>
      <c r="G366" s="7"/>
      <c r="H366" s="12">
        <v>0.02</v>
      </c>
      <c r="I366" s="12">
        <v>0.01</v>
      </c>
      <c r="J366" s="12">
        <v>0.21</v>
      </c>
    </row>
    <row r="367" spans="2:10" ht="18.75" x14ac:dyDescent="0.25">
      <c r="B367" s="7" t="s">
        <v>15</v>
      </c>
      <c r="C367" s="7" t="s">
        <v>386</v>
      </c>
      <c r="D367" s="12">
        <v>3.8289999999999999E-3</v>
      </c>
      <c r="E367" s="7"/>
      <c r="F367" s="7"/>
      <c r="G367" s="7"/>
      <c r="H367" s="12">
        <v>0.09</v>
      </c>
      <c r="I367" s="12">
        <v>0.05</v>
      </c>
      <c r="J367" s="12">
        <v>0.76</v>
      </c>
    </row>
    <row r="368" spans="2:10" ht="18.75" x14ac:dyDescent="0.25">
      <c r="B368" s="7" t="s">
        <v>15</v>
      </c>
      <c r="C368" s="7" t="s">
        <v>387</v>
      </c>
      <c r="D368" s="12">
        <v>0.208262</v>
      </c>
      <c r="E368" s="7"/>
      <c r="F368" s="7"/>
      <c r="G368" s="7"/>
      <c r="H368" s="12">
        <v>2.99</v>
      </c>
      <c r="I368" s="12">
        <v>5.52</v>
      </c>
      <c r="J368" s="12">
        <v>38.18</v>
      </c>
    </row>
    <row r="369" spans="2:10" ht="18.75" x14ac:dyDescent="0.25">
      <c r="B369" s="7" t="s">
        <v>15</v>
      </c>
      <c r="C369" s="7" t="s">
        <v>243</v>
      </c>
      <c r="D369" s="12">
        <v>140.71061800000001</v>
      </c>
      <c r="E369" s="7"/>
      <c r="F369" s="7"/>
      <c r="G369" s="7"/>
      <c r="H369" s="12">
        <v>133.41</v>
      </c>
      <c r="I369" s="12">
        <v>59.94</v>
      </c>
      <c r="J369" s="12">
        <v>747.29</v>
      </c>
    </row>
    <row r="370" spans="2:10" ht="18.75" x14ac:dyDescent="0.25">
      <c r="B370" s="7" t="s">
        <v>15</v>
      </c>
      <c r="C370" s="7" t="s">
        <v>656</v>
      </c>
      <c r="D370" s="12">
        <v>0.953268</v>
      </c>
      <c r="E370" s="7"/>
      <c r="F370" s="7"/>
      <c r="G370" s="7"/>
      <c r="H370" s="12">
        <v>29.28</v>
      </c>
      <c r="I370" s="12">
        <v>4.8899999999999997</v>
      </c>
      <c r="J370" s="12">
        <v>53.57</v>
      </c>
    </row>
    <row r="371" spans="2:10" ht="18.75" x14ac:dyDescent="0.25">
      <c r="B371" s="7" t="s">
        <v>15</v>
      </c>
      <c r="C371" s="7" t="s">
        <v>466</v>
      </c>
      <c r="D371" s="12">
        <v>0.34009699999999998</v>
      </c>
      <c r="E371" s="7"/>
      <c r="F371" s="7"/>
      <c r="G371" s="7"/>
      <c r="H371" s="12">
        <v>13.88</v>
      </c>
      <c r="I371" s="12">
        <v>5.05</v>
      </c>
      <c r="J371" s="12">
        <v>48.51</v>
      </c>
    </row>
    <row r="372" spans="2:10" ht="18.75" x14ac:dyDescent="0.25">
      <c r="B372" s="7" t="s">
        <v>15</v>
      </c>
      <c r="C372" s="7" t="s">
        <v>18</v>
      </c>
      <c r="D372" s="12">
        <v>153.73282800000001</v>
      </c>
      <c r="E372" s="7"/>
      <c r="F372" s="7"/>
      <c r="G372" s="7"/>
      <c r="H372" s="12">
        <v>5056.47</v>
      </c>
      <c r="I372" s="12">
        <v>3531.71</v>
      </c>
      <c r="J372" s="12">
        <v>29535.040000000001</v>
      </c>
    </row>
    <row r="373" spans="2:10" ht="18.75" x14ac:dyDescent="0.25">
      <c r="B373" s="7" t="s">
        <v>15</v>
      </c>
      <c r="C373" s="7" t="s">
        <v>443</v>
      </c>
      <c r="D373" s="12">
        <v>6.4449999999999993E-2</v>
      </c>
      <c r="E373" s="7"/>
      <c r="F373" s="7"/>
      <c r="G373" s="7"/>
      <c r="H373" s="12">
        <v>0.92</v>
      </c>
      <c r="I373" s="12">
        <v>1.7</v>
      </c>
      <c r="J373" s="12">
        <v>11.74</v>
      </c>
    </row>
    <row r="374" spans="2:10" ht="18.75" x14ac:dyDescent="0.25">
      <c r="B374" s="7" t="s">
        <v>15</v>
      </c>
      <c r="C374" s="7" t="s">
        <v>643</v>
      </c>
      <c r="D374" s="12">
        <v>0.49863200000000002</v>
      </c>
      <c r="E374" s="7"/>
      <c r="F374" s="7"/>
      <c r="G374" s="7"/>
      <c r="H374" s="12">
        <v>15.32</v>
      </c>
      <c r="I374" s="12">
        <v>2.56</v>
      </c>
      <c r="J374" s="12">
        <v>28.02</v>
      </c>
    </row>
    <row r="375" spans="2:10" ht="18.75" x14ac:dyDescent="0.25">
      <c r="B375" s="7" t="s">
        <v>15</v>
      </c>
      <c r="C375" s="7" t="s">
        <v>657</v>
      </c>
      <c r="D375" s="12">
        <v>2.1599999999999999E-4</v>
      </c>
      <c r="E375" s="7"/>
      <c r="F375" s="7"/>
      <c r="G375" s="7"/>
      <c r="H375" s="12">
        <v>0.01</v>
      </c>
      <c r="I375" s="12">
        <v>0</v>
      </c>
      <c r="J375" s="12">
        <v>0.01</v>
      </c>
    </row>
    <row r="376" spans="2:10" ht="18.75" x14ac:dyDescent="0.25">
      <c r="B376" s="7" t="s">
        <v>15</v>
      </c>
      <c r="C376" s="7" t="s">
        <v>479</v>
      </c>
      <c r="D376" s="12">
        <v>3.0613000000000001E-2</v>
      </c>
      <c r="E376" s="7"/>
      <c r="F376" s="7"/>
      <c r="G376" s="7"/>
      <c r="H376" s="12">
        <v>0.84</v>
      </c>
      <c r="I376" s="12">
        <v>0.12</v>
      </c>
      <c r="J376" s="12">
        <v>6.54</v>
      </c>
    </row>
    <row r="377" spans="2:10" ht="18.75" x14ac:dyDescent="0.25">
      <c r="B377" s="7" t="s">
        <v>15</v>
      </c>
      <c r="C377" s="7" t="s">
        <v>556</v>
      </c>
      <c r="D377" s="12">
        <v>5.1060350000000003</v>
      </c>
      <c r="E377" s="7"/>
      <c r="F377" s="7"/>
      <c r="G377" s="7"/>
      <c r="H377" s="12">
        <v>321.64</v>
      </c>
      <c r="I377" s="12">
        <v>23.12</v>
      </c>
      <c r="J377" s="12">
        <v>501.49</v>
      </c>
    </row>
    <row r="378" spans="2:10" ht="18.75" x14ac:dyDescent="0.25">
      <c r="B378" s="7" t="s">
        <v>15</v>
      </c>
      <c r="C378" s="7" t="s">
        <v>521</v>
      </c>
      <c r="D378" s="12">
        <v>0.26281399999999999</v>
      </c>
      <c r="E378" s="7"/>
      <c r="F378" s="7"/>
      <c r="G378" s="7"/>
      <c r="H378" s="12">
        <v>8.34</v>
      </c>
      <c r="I378" s="12">
        <v>3.96</v>
      </c>
      <c r="J378" s="12">
        <v>37.950000000000003</v>
      </c>
    </row>
    <row r="379" spans="2:10" ht="18.75" x14ac:dyDescent="0.25">
      <c r="B379" s="7" t="s">
        <v>15</v>
      </c>
      <c r="C379" s="7" t="s">
        <v>706</v>
      </c>
      <c r="D379" s="12">
        <v>3.323E-3</v>
      </c>
      <c r="E379" s="7"/>
      <c r="F379" s="7"/>
      <c r="G379" s="7"/>
      <c r="H379" s="12">
        <v>0.1</v>
      </c>
      <c r="I379" s="12">
        <v>0.02</v>
      </c>
      <c r="J379" s="12">
        <v>0.19</v>
      </c>
    </row>
    <row r="380" spans="2:10" ht="18.75" x14ac:dyDescent="0.25">
      <c r="B380" s="7" t="s">
        <v>15</v>
      </c>
      <c r="C380" s="7" t="s">
        <v>397</v>
      </c>
      <c r="D380" s="12">
        <v>0.16528300000000001</v>
      </c>
      <c r="E380" s="7"/>
      <c r="F380" s="7"/>
      <c r="G380" s="7"/>
      <c r="H380" s="12">
        <v>2.37</v>
      </c>
      <c r="I380" s="12">
        <v>4.38</v>
      </c>
      <c r="J380" s="12">
        <v>30.3</v>
      </c>
    </row>
    <row r="381" spans="2:10" ht="18.75" x14ac:dyDescent="0.25">
      <c r="B381" s="7" t="s">
        <v>15</v>
      </c>
      <c r="C381" s="7" t="s">
        <v>100</v>
      </c>
      <c r="D381" s="12">
        <v>12.377127</v>
      </c>
      <c r="E381" s="7"/>
      <c r="F381" s="7"/>
      <c r="G381" s="7"/>
      <c r="H381" s="12">
        <v>685.71</v>
      </c>
      <c r="I381" s="12">
        <v>466.22</v>
      </c>
      <c r="J381" s="12">
        <v>8356.5499999999993</v>
      </c>
    </row>
    <row r="382" spans="2:10" ht="18.75" x14ac:dyDescent="0.25">
      <c r="B382" s="7" t="s">
        <v>15</v>
      </c>
      <c r="C382" s="7" t="s">
        <v>398</v>
      </c>
      <c r="D382" s="12">
        <v>1.8910000000000001E-3</v>
      </c>
      <c r="E382" s="7"/>
      <c r="F382" s="7"/>
      <c r="G382" s="7"/>
      <c r="H382" s="12">
        <v>0.04</v>
      </c>
      <c r="I382" s="12">
        <v>0.02</v>
      </c>
      <c r="J382" s="12">
        <v>0.38</v>
      </c>
    </row>
    <row r="383" spans="2:10" ht="18.75" x14ac:dyDescent="0.25">
      <c r="B383" s="7" t="s">
        <v>15</v>
      </c>
      <c r="C383" s="7" t="s">
        <v>399</v>
      </c>
      <c r="D383" s="12">
        <v>-2.5799999999999998E-4</v>
      </c>
      <c r="E383" s="7"/>
      <c r="F383" s="7"/>
      <c r="G383" s="7"/>
      <c r="H383" s="12">
        <v>0</v>
      </c>
      <c r="I383" s="12">
        <v>0</v>
      </c>
      <c r="J383" s="12">
        <v>0.02</v>
      </c>
    </row>
    <row r="384" spans="2:10" ht="18.75" x14ac:dyDescent="0.25">
      <c r="B384" s="7" t="s">
        <v>15</v>
      </c>
      <c r="C384" s="7" t="s">
        <v>673</v>
      </c>
      <c r="D384" s="12">
        <v>4.1998000000000001E-2</v>
      </c>
      <c r="E384" s="7"/>
      <c r="F384" s="7"/>
      <c r="G384" s="7"/>
      <c r="H384" s="12">
        <v>1.33</v>
      </c>
      <c r="I384" s="12">
        <v>0.63</v>
      </c>
      <c r="J384" s="12">
        <v>6.06</v>
      </c>
    </row>
    <row r="385" spans="2:10" ht="18.75" x14ac:dyDescent="0.25">
      <c r="B385" s="7" t="s">
        <v>15</v>
      </c>
      <c r="C385" s="7" t="s">
        <v>445</v>
      </c>
      <c r="D385" s="12">
        <v>8.9990000000000001E-3</v>
      </c>
      <c r="E385" s="7"/>
      <c r="F385" s="7"/>
      <c r="G385" s="7"/>
      <c r="H385" s="12">
        <v>0.42</v>
      </c>
      <c r="I385" s="12">
        <v>0.38</v>
      </c>
      <c r="J385" s="12">
        <v>1.96</v>
      </c>
    </row>
    <row r="386" spans="2:10" ht="18.75" x14ac:dyDescent="0.25">
      <c r="B386" s="7" t="s">
        <v>15</v>
      </c>
      <c r="C386" s="7" t="s">
        <v>542</v>
      </c>
      <c r="D386" s="12">
        <v>0.49388199999999999</v>
      </c>
      <c r="E386" s="7"/>
      <c r="F386" s="7"/>
      <c r="G386" s="7"/>
      <c r="H386" s="12">
        <v>15.67</v>
      </c>
      <c r="I386" s="12">
        <v>7.44</v>
      </c>
      <c r="J386" s="12">
        <v>71.3</v>
      </c>
    </row>
    <row r="387" spans="2:10" ht="18.75" x14ac:dyDescent="0.25">
      <c r="B387" s="7" t="s">
        <v>15</v>
      </c>
      <c r="C387" s="7" t="s">
        <v>286</v>
      </c>
      <c r="D387" s="12">
        <v>1.8883E-2</v>
      </c>
      <c r="E387" s="7"/>
      <c r="F387" s="7"/>
      <c r="G387" s="7"/>
      <c r="H387" s="12">
        <v>23.33</v>
      </c>
      <c r="I387" s="12">
        <v>1.79</v>
      </c>
      <c r="J387" s="12">
        <v>9.43</v>
      </c>
    </row>
    <row r="388" spans="2:10" ht="18.75" x14ac:dyDescent="0.25">
      <c r="B388" s="7" t="s">
        <v>15</v>
      </c>
      <c r="C388" s="7" t="s">
        <v>287</v>
      </c>
      <c r="D388" s="12">
        <v>1.8100000000000001E-4</v>
      </c>
      <c r="E388" s="7"/>
      <c r="F388" s="7"/>
      <c r="G388" s="7"/>
      <c r="H388" s="12">
        <v>0.22</v>
      </c>
      <c r="I388" s="12">
        <v>0.02</v>
      </c>
      <c r="J388" s="12">
        <v>0.09</v>
      </c>
    </row>
    <row r="389" spans="2:10" ht="18.75" x14ac:dyDescent="0.25">
      <c r="B389" s="7" t="s">
        <v>15</v>
      </c>
      <c r="C389" s="7" t="s">
        <v>543</v>
      </c>
      <c r="D389" s="12">
        <v>2.2138000000000001E-2</v>
      </c>
      <c r="E389" s="7"/>
      <c r="F389" s="7"/>
      <c r="G389" s="7"/>
      <c r="H389" s="12">
        <v>0.7</v>
      </c>
      <c r="I389" s="12">
        <v>0.33</v>
      </c>
      <c r="J389" s="12">
        <v>3.2</v>
      </c>
    </row>
    <row r="390" spans="2:10" ht="18.75" x14ac:dyDescent="0.25">
      <c r="B390" s="7" t="s">
        <v>15</v>
      </c>
      <c r="C390" s="7" t="s">
        <v>468</v>
      </c>
      <c r="D390" s="12">
        <v>2.81E-4</v>
      </c>
      <c r="E390" s="7"/>
      <c r="F390" s="7"/>
      <c r="G390" s="7"/>
      <c r="H390" s="12">
        <v>0.01</v>
      </c>
      <c r="I390" s="12">
        <v>0</v>
      </c>
      <c r="J390" s="12">
        <v>0.04</v>
      </c>
    </row>
    <row r="391" spans="2:10" ht="18.75" x14ac:dyDescent="0.25">
      <c r="B391" s="7" t="s">
        <v>15</v>
      </c>
      <c r="C391" s="7" t="s">
        <v>618</v>
      </c>
      <c r="D391" s="12">
        <v>0.86602699999999999</v>
      </c>
      <c r="E391" s="7"/>
      <c r="F391" s="7"/>
      <c r="G391" s="7"/>
      <c r="H391" s="12">
        <v>0.82</v>
      </c>
      <c r="I391" s="12">
        <v>0.37</v>
      </c>
      <c r="J391" s="12">
        <v>4.5999999999999996</v>
      </c>
    </row>
    <row r="392" spans="2:10" ht="18.75" x14ac:dyDescent="0.25">
      <c r="B392" s="7" t="s">
        <v>15</v>
      </c>
      <c r="C392" s="7" t="s">
        <v>619</v>
      </c>
      <c r="D392" s="12">
        <v>0.172099</v>
      </c>
      <c r="E392" s="7"/>
      <c r="F392" s="7"/>
      <c r="G392" s="7"/>
      <c r="H392" s="12">
        <v>0.16</v>
      </c>
      <c r="I392" s="12">
        <v>7.0000000000000007E-2</v>
      </c>
      <c r="J392" s="12">
        <v>0.91</v>
      </c>
    </row>
    <row r="393" spans="2:10" ht="18.75" x14ac:dyDescent="0.25">
      <c r="B393" s="7" t="s">
        <v>15</v>
      </c>
      <c r="C393" s="7" t="s">
        <v>205</v>
      </c>
      <c r="D393" s="12">
        <v>0.753556</v>
      </c>
      <c r="E393" s="7"/>
      <c r="F393" s="7"/>
      <c r="G393" s="7"/>
      <c r="H393" s="12">
        <v>23.92</v>
      </c>
      <c r="I393" s="12">
        <v>11.36</v>
      </c>
      <c r="J393" s="12">
        <v>108.82</v>
      </c>
    </row>
    <row r="394" spans="2:10" ht="18.75" x14ac:dyDescent="0.25">
      <c r="B394" s="7" t="s">
        <v>15</v>
      </c>
      <c r="C394" s="7" t="s">
        <v>409</v>
      </c>
      <c r="D394" s="12">
        <v>4.9175000000000003E-2</v>
      </c>
      <c r="E394" s="7"/>
      <c r="F394" s="7"/>
      <c r="G394" s="7"/>
      <c r="H394" s="12">
        <v>1.1000000000000001</v>
      </c>
      <c r="I394" s="12">
        <v>0.6</v>
      </c>
      <c r="J394" s="12">
        <v>9.81</v>
      </c>
    </row>
    <row r="395" spans="2:10" ht="18.75" x14ac:dyDescent="0.25">
      <c r="B395" s="7" t="s">
        <v>15</v>
      </c>
      <c r="C395" s="7" t="s">
        <v>576</v>
      </c>
      <c r="D395" s="12">
        <v>2.4965000000000001E-2</v>
      </c>
      <c r="E395" s="7"/>
      <c r="F395" s="7"/>
      <c r="G395" s="7"/>
      <c r="H395" s="12">
        <v>0.12</v>
      </c>
      <c r="I395" s="12">
        <v>0.27</v>
      </c>
      <c r="J395" s="12">
        <v>1.08</v>
      </c>
    </row>
    <row r="396" spans="2:10" ht="18.75" x14ac:dyDescent="0.25">
      <c r="B396" s="7" t="s">
        <v>15</v>
      </c>
      <c r="C396" s="7" t="s">
        <v>620</v>
      </c>
      <c r="D396" s="12">
        <v>7.8473000000000001E-2</v>
      </c>
      <c r="E396" s="7"/>
      <c r="F396" s="7"/>
      <c r="G396" s="7"/>
      <c r="H396" s="12">
        <v>4.97</v>
      </c>
      <c r="I396" s="12">
        <v>0.36</v>
      </c>
      <c r="J396" s="12">
        <v>7.75</v>
      </c>
    </row>
    <row r="397" spans="2:10" ht="18.75" x14ac:dyDescent="0.25">
      <c r="B397" s="7" t="s">
        <v>15</v>
      </c>
      <c r="C397" s="7" t="s">
        <v>544</v>
      </c>
      <c r="D397" s="12">
        <v>4.793558</v>
      </c>
      <c r="E397" s="7"/>
      <c r="F397" s="7"/>
      <c r="G397" s="7"/>
      <c r="H397" s="12">
        <v>152.16999999999999</v>
      </c>
      <c r="I397" s="12">
        <v>72.28</v>
      </c>
      <c r="J397" s="12">
        <v>692.24</v>
      </c>
    </row>
    <row r="398" spans="2:10" ht="18.75" x14ac:dyDescent="0.25">
      <c r="B398" s="7" t="s">
        <v>15</v>
      </c>
      <c r="C398" s="7" t="s">
        <v>447</v>
      </c>
      <c r="D398" s="12">
        <v>9.9099999999999991E-4</v>
      </c>
      <c r="E398" s="7"/>
      <c r="F398" s="7"/>
      <c r="G398" s="7"/>
      <c r="H398" s="12">
        <v>0.02</v>
      </c>
      <c r="I398" s="12">
        <v>0.01</v>
      </c>
      <c r="J398" s="12">
        <v>0.2</v>
      </c>
    </row>
    <row r="399" spans="2:10" ht="18.75" x14ac:dyDescent="0.25">
      <c r="B399" s="7" t="s">
        <v>15</v>
      </c>
      <c r="C399" s="7" t="s">
        <v>448</v>
      </c>
      <c r="D399" s="12">
        <v>0.57752199999999998</v>
      </c>
      <c r="E399" s="7"/>
      <c r="F399" s="7"/>
      <c r="G399" s="7"/>
      <c r="H399" s="12">
        <v>31.99</v>
      </c>
      <c r="I399" s="12">
        <v>21.75</v>
      </c>
      <c r="J399" s="12">
        <v>389.91</v>
      </c>
    </row>
    <row r="400" spans="2:10" ht="18.75" x14ac:dyDescent="0.25">
      <c r="B400" s="7" t="s">
        <v>15</v>
      </c>
      <c r="C400" s="7" t="s">
        <v>116</v>
      </c>
      <c r="D400" s="12">
        <v>1.4161999999999999E-2</v>
      </c>
      <c r="E400" s="7"/>
      <c r="F400" s="7"/>
      <c r="G400" s="7"/>
      <c r="H400" s="12">
        <v>0.89</v>
      </c>
      <c r="I400" s="12">
        <v>0.06</v>
      </c>
      <c r="J400" s="12">
        <v>1.39</v>
      </c>
    </row>
    <row r="401" spans="2:10" ht="18.75" x14ac:dyDescent="0.25">
      <c r="B401" s="7" t="s">
        <v>15</v>
      </c>
      <c r="C401" s="7" t="s">
        <v>612</v>
      </c>
      <c r="D401" s="12">
        <v>9.2575000000000005E-2</v>
      </c>
      <c r="E401" s="7"/>
      <c r="F401" s="7"/>
      <c r="G401" s="7"/>
      <c r="H401" s="12">
        <v>0.09</v>
      </c>
      <c r="I401" s="12">
        <v>0.04</v>
      </c>
      <c r="J401" s="12">
        <v>0.49</v>
      </c>
    </row>
    <row r="402" spans="2:10" ht="18.75" x14ac:dyDescent="0.25">
      <c r="B402" s="7" t="s">
        <v>15</v>
      </c>
      <c r="C402" s="7" t="s">
        <v>599</v>
      </c>
      <c r="D402" s="12">
        <v>1.086E-2</v>
      </c>
      <c r="E402" s="7"/>
      <c r="F402" s="7"/>
      <c r="G402" s="7"/>
      <c r="H402" s="12">
        <v>0.01</v>
      </c>
      <c r="I402" s="12">
        <v>0</v>
      </c>
      <c r="J402" s="12">
        <v>0.06</v>
      </c>
    </row>
    <row r="403" spans="2:10" ht="18.75" x14ac:dyDescent="0.25">
      <c r="B403" s="7" t="s">
        <v>15</v>
      </c>
      <c r="C403" s="7" t="s">
        <v>450</v>
      </c>
      <c r="D403" s="12">
        <v>8.8433999999999999E-2</v>
      </c>
      <c r="E403" s="7"/>
      <c r="F403" s="7"/>
      <c r="G403" s="7"/>
      <c r="H403" s="12">
        <v>1.27</v>
      </c>
      <c r="I403" s="12">
        <v>2.35</v>
      </c>
      <c r="J403" s="12">
        <v>16.21</v>
      </c>
    </row>
    <row r="404" spans="2:10" ht="18.75" x14ac:dyDescent="0.25">
      <c r="B404" s="7" t="s">
        <v>15</v>
      </c>
      <c r="C404" s="7" t="s">
        <v>481</v>
      </c>
      <c r="D404" s="12">
        <v>0.14729400000000001</v>
      </c>
      <c r="E404" s="7"/>
      <c r="F404" s="7"/>
      <c r="G404" s="7"/>
      <c r="H404" s="12">
        <v>4.05</v>
      </c>
      <c r="I404" s="12">
        <v>0.56999999999999995</v>
      </c>
      <c r="J404" s="12">
        <v>31.49</v>
      </c>
    </row>
    <row r="405" spans="2:10" ht="18.75" x14ac:dyDescent="0.25">
      <c r="B405" s="7" t="s">
        <v>15</v>
      </c>
      <c r="C405" s="7" t="s">
        <v>545</v>
      </c>
      <c r="D405" s="12">
        <v>1.0063279999999999</v>
      </c>
      <c r="E405" s="7"/>
      <c r="F405" s="7"/>
      <c r="G405" s="7"/>
      <c r="H405" s="12">
        <v>31.94</v>
      </c>
      <c r="I405" s="12">
        <v>15.17</v>
      </c>
      <c r="J405" s="12">
        <v>145.32</v>
      </c>
    </row>
    <row r="406" spans="2:10" ht="18.75" x14ac:dyDescent="0.25">
      <c r="B406" s="7" t="s">
        <v>15</v>
      </c>
      <c r="C406" s="7" t="s">
        <v>390</v>
      </c>
      <c r="D406" s="12">
        <v>8.1000000000000004E-5</v>
      </c>
      <c r="E406" s="7"/>
      <c r="F406" s="7"/>
      <c r="G406" s="7"/>
      <c r="H406" s="12">
        <v>0</v>
      </c>
      <c r="I406" s="12">
        <v>0</v>
      </c>
      <c r="J406" s="12">
        <v>0.02</v>
      </c>
    </row>
    <row r="407" spans="2:10" ht="18.75" x14ac:dyDescent="0.25">
      <c r="B407" s="7" t="s">
        <v>15</v>
      </c>
      <c r="C407" s="7" t="s">
        <v>115</v>
      </c>
      <c r="D407" s="12">
        <v>0.39259500000000003</v>
      </c>
      <c r="E407" s="7"/>
      <c r="F407" s="7"/>
      <c r="G407" s="7"/>
      <c r="H407" s="12">
        <v>12.46</v>
      </c>
      <c r="I407" s="12">
        <v>5.92</v>
      </c>
      <c r="J407" s="12">
        <v>56.69</v>
      </c>
    </row>
    <row r="408" spans="2:10" ht="18.75" x14ac:dyDescent="0.25">
      <c r="B408" s="7" t="s">
        <v>15</v>
      </c>
      <c r="C408" s="7" t="s">
        <v>391</v>
      </c>
      <c r="D408" s="12">
        <v>0.50954299999999997</v>
      </c>
      <c r="E408" s="7"/>
      <c r="F408" s="7"/>
      <c r="G408" s="7"/>
      <c r="H408" s="12">
        <v>97.04</v>
      </c>
      <c r="I408" s="12">
        <v>19.64</v>
      </c>
      <c r="J408" s="12">
        <v>155.62</v>
      </c>
    </row>
    <row r="409" spans="2:10" ht="18.75" x14ac:dyDescent="0.25">
      <c r="B409" s="7" t="s">
        <v>15</v>
      </c>
      <c r="C409" s="7" t="s">
        <v>611</v>
      </c>
      <c r="D409" s="12">
        <v>0.11051800000000001</v>
      </c>
      <c r="E409" s="7"/>
      <c r="F409" s="7"/>
      <c r="G409" s="7"/>
      <c r="H409" s="12">
        <v>0.1</v>
      </c>
      <c r="I409" s="12">
        <v>0.05</v>
      </c>
      <c r="J409" s="12">
        <v>0.59</v>
      </c>
    </row>
    <row r="410" spans="2:10" ht="18.75" x14ac:dyDescent="0.25">
      <c r="B410" s="7" t="s">
        <v>15</v>
      </c>
      <c r="C410" s="7" t="s">
        <v>279</v>
      </c>
      <c r="D410" s="12">
        <v>7.7463000000000004E-2</v>
      </c>
      <c r="E410" s="7"/>
      <c r="F410" s="7"/>
      <c r="G410" s="7"/>
      <c r="H410" s="12">
        <v>95.69</v>
      </c>
      <c r="I410" s="12">
        <v>7.33</v>
      </c>
      <c r="J410" s="12">
        <v>38.659999999999997</v>
      </c>
    </row>
    <row r="411" spans="2:10" ht="18.75" x14ac:dyDescent="0.25">
      <c r="B411" s="7" t="s">
        <v>15</v>
      </c>
      <c r="C411" s="7" t="s">
        <v>280</v>
      </c>
      <c r="D411" s="12">
        <v>3.9999999999999998E-6</v>
      </c>
      <c r="E411" s="7"/>
      <c r="F411" s="7"/>
      <c r="G411" s="7"/>
      <c r="H411" s="12">
        <v>0</v>
      </c>
      <c r="I411" s="12">
        <v>0</v>
      </c>
      <c r="J411" s="12">
        <v>0</v>
      </c>
    </row>
    <row r="412" spans="2:10" ht="18.75" x14ac:dyDescent="0.25">
      <c r="B412" s="7" t="s">
        <v>15</v>
      </c>
      <c r="C412" s="7" t="s">
        <v>518</v>
      </c>
      <c r="D412" s="12">
        <v>0.12657599999999999</v>
      </c>
      <c r="E412" s="7"/>
      <c r="F412" s="7"/>
      <c r="G412" s="7"/>
      <c r="H412" s="12">
        <v>4.0999999999999996</v>
      </c>
      <c r="I412" s="12">
        <v>1.95</v>
      </c>
      <c r="J412" s="12">
        <v>18.63</v>
      </c>
    </row>
    <row r="413" spans="2:10" ht="18.75" x14ac:dyDescent="0.25">
      <c r="B413" s="7" t="s">
        <v>15</v>
      </c>
      <c r="C413" s="7" t="s">
        <v>658</v>
      </c>
      <c r="D413" s="12">
        <v>2.1111000000000001E-2</v>
      </c>
      <c r="E413" s="7"/>
      <c r="F413" s="7"/>
      <c r="G413" s="7"/>
      <c r="H413" s="12">
        <v>0.65</v>
      </c>
      <c r="I413" s="12">
        <v>0.11</v>
      </c>
      <c r="J413" s="12">
        <v>1.19</v>
      </c>
    </row>
    <row r="414" spans="2:10" ht="18.75" x14ac:dyDescent="0.25">
      <c r="B414" s="7" t="s">
        <v>15</v>
      </c>
      <c r="C414" s="7" t="s">
        <v>579</v>
      </c>
      <c r="D414" s="12">
        <v>0.45375799999999999</v>
      </c>
      <c r="E414" s="7"/>
      <c r="F414" s="7"/>
      <c r="G414" s="7"/>
      <c r="H414" s="12">
        <v>21.11</v>
      </c>
      <c r="I414" s="12">
        <v>19.100000000000001</v>
      </c>
      <c r="J414" s="12">
        <v>98.7</v>
      </c>
    </row>
    <row r="415" spans="2:10" ht="18.75" x14ac:dyDescent="0.25">
      <c r="B415" s="7" t="s">
        <v>15</v>
      </c>
      <c r="C415" s="7" t="s">
        <v>288</v>
      </c>
      <c r="D415" s="12">
        <v>3.9487000000000001E-2</v>
      </c>
      <c r="E415" s="7"/>
      <c r="F415" s="7"/>
      <c r="G415" s="7"/>
      <c r="H415" s="12">
        <v>48.77</v>
      </c>
      <c r="I415" s="12">
        <v>3.74</v>
      </c>
      <c r="J415" s="12">
        <v>19.71</v>
      </c>
    </row>
    <row r="416" spans="2:10" ht="18.75" x14ac:dyDescent="0.25">
      <c r="B416" s="7" t="s">
        <v>15</v>
      </c>
      <c r="C416" s="7" t="s">
        <v>451</v>
      </c>
      <c r="D416" s="12">
        <v>5.9819999999999998E-2</v>
      </c>
      <c r="E416" s="7"/>
      <c r="F416" s="7"/>
      <c r="G416" s="7"/>
      <c r="H416" s="12">
        <v>3.31</v>
      </c>
      <c r="I416" s="12">
        <v>2.25</v>
      </c>
      <c r="J416" s="12">
        <v>40.39</v>
      </c>
    </row>
    <row r="417" spans="2:10" ht="18.75" x14ac:dyDescent="0.25">
      <c r="B417" s="7" t="s">
        <v>15</v>
      </c>
      <c r="C417" s="7" t="s">
        <v>659</v>
      </c>
      <c r="D417" s="12">
        <v>9.6405259999999995</v>
      </c>
      <c r="E417" s="7"/>
      <c r="F417" s="7"/>
      <c r="G417" s="7"/>
      <c r="H417" s="12">
        <v>296.37</v>
      </c>
      <c r="I417" s="12">
        <v>49.54</v>
      </c>
      <c r="J417" s="12">
        <v>542.28</v>
      </c>
    </row>
    <row r="418" spans="2:10" ht="18.75" x14ac:dyDescent="0.25">
      <c r="B418" s="7" t="s">
        <v>15</v>
      </c>
      <c r="C418" s="7" t="s">
        <v>546</v>
      </c>
      <c r="D418" s="12">
        <v>1.717347</v>
      </c>
      <c r="E418" s="7"/>
      <c r="F418" s="7"/>
      <c r="G418" s="7"/>
      <c r="H418" s="12">
        <v>54.52</v>
      </c>
      <c r="I418" s="12">
        <v>25.9</v>
      </c>
      <c r="J418" s="12">
        <v>248.04</v>
      </c>
    </row>
    <row r="419" spans="2:10" ht="18.75" x14ac:dyDescent="0.25">
      <c r="B419" s="7" t="s">
        <v>15</v>
      </c>
      <c r="C419" s="7" t="s">
        <v>70</v>
      </c>
      <c r="D419" s="12">
        <v>2.425386</v>
      </c>
      <c r="E419" s="7"/>
      <c r="F419" s="7"/>
      <c r="G419" s="7"/>
      <c r="H419" s="12">
        <v>77.03</v>
      </c>
      <c r="I419" s="12">
        <v>36.590000000000003</v>
      </c>
      <c r="J419" s="12">
        <v>350.44</v>
      </c>
    </row>
    <row r="420" spans="2:10" ht="18.75" x14ac:dyDescent="0.25">
      <c r="B420" s="7" t="s">
        <v>15</v>
      </c>
      <c r="C420" s="7" t="s">
        <v>212</v>
      </c>
      <c r="D420" s="12">
        <v>0.74214000000000002</v>
      </c>
      <c r="E420" s="7"/>
      <c r="F420" s="7"/>
      <c r="G420" s="7"/>
      <c r="H420" s="12">
        <v>23.63</v>
      </c>
      <c r="I420" s="12">
        <v>11.22</v>
      </c>
      <c r="J420" s="12">
        <v>107.49</v>
      </c>
    </row>
    <row r="421" spans="2:10" ht="18.75" x14ac:dyDescent="0.25">
      <c r="B421" s="7" t="s">
        <v>15</v>
      </c>
      <c r="C421" s="7" t="s">
        <v>547</v>
      </c>
      <c r="D421" s="12">
        <v>0.49875999999999998</v>
      </c>
      <c r="E421" s="7"/>
      <c r="F421" s="7"/>
      <c r="G421" s="7"/>
      <c r="H421" s="12">
        <v>15.83</v>
      </c>
      <c r="I421" s="12">
        <v>7.52</v>
      </c>
      <c r="J421" s="12">
        <v>72.02</v>
      </c>
    </row>
    <row r="422" spans="2:10" ht="18.75" x14ac:dyDescent="0.25">
      <c r="B422" s="7" t="s">
        <v>15</v>
      </c>
      <c r="C422" s="7" t="s">
        <v>558</v>
      </c>
      <c r="D422" s="12">
        <v>9.5685999999999993E-2</v>
      </c>
      <c r="E422" s="7"/>
      <c r="F422" s="7"/>
      <c r="G422" s="7"/>
      <c r="H422" s="12">
        <v>6.03</v>
      </c>
      <c r="I422" s="12">
        <v>0.43</v>
      </c>
      <c r="J422" s="12">
        <v>9.4</v>
      </c>
    </row>
    <row r="423" spans="2:10" ht="18.75" x14ac:dyDescent="0.25">
      <c r="B423" s="7" t="s">
        <v>15</v>
      </c>
      <c r="C423" s="7" t="s">
        <v>136</v>
      </c>
      <c r="D423" s="12">
        <v>352.890852</v>
      </c>
      <c r="E423" s="7"/>
      <c r="F423" s="7"/>
      <c r="G423" s="7"/>
      <c r="H423" s="12">
        <v>334.58</v>
      </c>
      <c r="I423" s="12">
        <v>150.33000000000001</v>
      </c>
      <c r="J423" s="12">
        <v>1874.13</v>
      </c>
    </row>
    <row r="424" spans="2:10" ht="18.75" x14ac:dyDescent="0.25">
      <c r="B424" s="7" t="s">
        <v>15</v>
      </c>
      <c r="C424" s="7" t="s">
        <v>634</v>
      </c>
      <c r="D424" s="12">
        <v>0.36025200000000002</v>
      </c>
      <c r="E424" s="7"/>
      <c r="F424" s="7"/>
      <c r="G424" s="7"/>
      <c r="H424" s="12">
        <v>11.07</v>
      </c>
      <c r="I424" s="12">
        <v>1.85</v>
      </c>
      <c r="J424" s="12">
        <v>20.25</v>
      </c>
    </row>
    <row r="425" spans="2:10" ht="18.75" x14ac:dyDescent="0.25">
      <c r="B425" s="7" t="s">
        <v>15</v>
      </c>
      <c r="C425" s="7" t="s">
        <v>565</v>
      </c>
      <c r="D425" s="12">
        <v>5.3766040000000004</v>
      </c>
      <c r="E425" s="7"/>
      <c r="F425" s="7"/>
      <c r="G425" s="7"/>
      <c r="H425" s="12">
        <v>170.68</v>
      </c>
      <c r="I425" s="12">
        <v>81.069999999999993</v>
      </c>
      <c r="J425" s="12">
        <v>776.47</v>
      </c>
    </row>
    <row r="426" spans="2:10" ht="18.75" x14ac:dyDescent="0.25">
      <c r="B426" s="7" t="s">
        <v>15</v>
      </c>
      <c r="C426" s="7" t="s">
        <v>414</v>
      </c>
      <c r="D426" s="12">
        <v>0.83665199999999995</v>
      </c>
      <c r="E426" s="7"/>
      <c r="F426" s="7"/>
      <c r="G426" s="7"/>
      <c r="H426" s="12">
        <v>38.92</v>
      </c>
      <c r="I426" s="12">
        <v>35.22</v>
      </c>
      <c r="J426" s="12">
        <v>181.99</v>
      </c>
    </row>
    <row r="427" spans="2:10" ht="18.75" x14ac:dyDescent="0.25">
      <c r="B427" s="7" t="s">
        <v>15</v>
      </c>
      <c r="C427" s="7" t="s">
        <v>415</v>
      </c>
      <c r="D427" s="12">
        <v>2.8837999999999999E-2</v>
      </c>
      <c r="E427" s="7"/>
      <c r="F427" s="7"/>
      <c r="G427" s="7"/>
      <c r="H427" s="12">
        <v>1.18</v>
      </c>
      <c r="I427" s="12">
        <v>0.43</v>
      </c>
      <c r="J427" s="12">
        <v>4.1100000000000003</v>
      </c>
    </row>
    <row r="428" spans="2:10" ht="18.75" x14ac:dyDescent="0.25">
      <c r="B428" s="7" t="s">
        <v>15</v>
      </c>
      <c r="C428" s="7" t="s">
        <v>416</v>
      </c>
      <c r="D428" s="12">
        <v>1.7E-5</v>
      </c>
      <c r="E428" s="7"/>
      <c r="F428" s="7"/>
      <c r="G428" s="7"/>
      <c r="H428" s="12">
        <v>0</v>
      </c>
      <c r="I428" s="12">
        <v>0</v>
      </c>
      <c r="J428" s="12">
        <v>0.01</v>
      </c>
    </row>
    <row r="429" spans="2:10" ht="18.75" x14ac:dyDescent="0.25">
      <c r="B429" s="7" t="s">
        <v>15</v>
      </c>
      <c r="C429" s="7" t="s">
        <v>452</v>
      </c>
      <c r="D429" s="12">
        <v>2.5997870000000001</v>
      </c>
      <c r="E429" s="7"/>
      <c r="F429" s="7"/>
      <c r="G429" s="7"/>
      <c r="H429" s="12">
        <v>310.35000000000002</v>
      </c>
      <c r="I429" s="12">
        <v>73.430000000000007</v>
      </c>
      <c r="J429" s="12">
        <v>1009.79</v>
      </c>
    </row>
    <row r="430" spans="2:10" ht="18.75" x14ac:dyDescent="0.25">
      <c r="B430" s="7" t="s">
        <v>15</v>
      </c>
      <c r="C430" s="7" t="s">
        <v>600</v>
      </c>
      <c r="D430" s="12">
        <v>1.038516</v>
      </c>
      <c r="E430" s="7"/>
      <c r="F430" s="7"/>
      <c r="G430" s="7"/>
      <c r="H430" s="12">
        <v>0.98</v>
      </c>
      <c r="I430" s="12">
        <v>0.44</v>
      </c>
      <c r="J430" s="12">
        <v>5.52</v>
      </c>
    </row>
    <row r="431" spans="2:10" ht="18.75" x14ac:dyDescent="0.25">
      <c r="B431" s="7" t="s">
        <v>15</v>
      </c>
      <c r="C431" s="7" t="s">
        <v>644</v>
      </c>
      <c r="D431" s="12">
        <v>1.2879769999999999</v>
      </c>
      <c r="E431" s="7"/>
      <c r="F431" s="7"/>
      <c r="G431" s="7"/>
      <c r="H431" s="12">
        <v>39.57</v>
      </c>
      <c r="I431" s="12">
        <v>6.61</v>
      </c>
      <c r="J431" s="12">
        <v>72.400000000000006</v>
      </c>
    </row>
    <row r="432" spans="2:10" ht="18.75" x14ac:dyDescent="0.25">
      <c r="B432" s="7" t="s">
        <v>15</v>
      </c>
      <c r="C432" s="7" t="s">
        <v>520</v>
      </c>
      <c r="D432" s="12">
        <v>0.17488300000000001</v>
      </c>
      <c r="E432" s="7"/>
      <c r="F432" s="7"/>
      <c r="G432" s="7"/>
      <c r="H432" s="12">
        <v>5.55</v>
      </c>
      <c r="I432" s="12">
        <v>2.64</v>
      </c>
      <c r="J432" s="12">
        <v>25.25</v>
      </c>
    </row>
    <row r="433" spans="2:10" ht="18.75" x14ac:dyDescent="0.25">
      <c r="B433" s="7" t="s">
        <v>682</v>
      </c>
      <c r="C433" s="7" t="s">
        <v>136</v>
      </c>
      <c r="D433" s="12">
        <v>24.121499</v>
      </c>
      <c r="E433" s="7"/>
      <c r="F433" s="7"/>
      <c r="G433" s="7"/>
      <c r="H433" s="12">
        <v>22.87</v>
      </c>
      <c r="I433" s="12">
        <v>10.28</v>
      </c>
      <c r="J433" s="12">
        <v>128.1</v>
      </c>
    </row>
    <row r="434" spans="2:10" ht="18.75" x14ac:dyDescent="0.25">
      <c r="B434" s="7" t="s">
        <v>15</v>
      </c>
      <c r="C434" s="7" t="s">
        <v>395</v>
      </c>
      <c r="D434" s="12">
        <v>4.1800000000000002E-4</v>
      </c>
      <c r="E434" s="7"/>
      <c r="F434" s="7"/>
      <c r="G434" s="7"/>
      <c r="H434" s="12">
        <v>0.08</v>
      </c>
      <c r="I434" s="12">
        <v>0.02</v>
      </c>
      <c r="J434" s="12">
        <v>0.13</v>
      </c>
    </row>
    <row r="435" spans="2:10" ht="18.75" x14ac:dyDescent="0.25">
      <c r="B435" s="7" t="s">
        <v>15</v>
      </c>
      <c r="C435" s="7" t="s">
        <v>588</v>
      </c>
      <c r="D435" s="12">
        <v>128.07977500000001</v>
      </c>
      <c r="E435" s="7"/>
      <c r="F435" s="7"/>
      <c r="G435" s="7"/>
      <c r="H435" s="12">
        <v>121.46</v>
      </c>
      <c r="I435" s="12">
        <v>54.57</v>
      </c>
      <c r="J435" s="12">
        <v>680.35</v>
      </c>
    </row>
    <row r="436" spans="2:10" ht="18.75" x14ac:dyDescent="0.25">
      <c r="B436" s="7" t="s">
        <v>15</v>
      </c>
      <c r="C436" s="7" t="s">
        <v>419</v>
      </c>
      <c r="D436" s="12">
        <v>1.0354E-2</v>
      </c>
      <c r="E436" s="7"/>
      <c r="F436" s="7"/>
      <c r="G436" s="7"/>
      <c r="H436" s="12">
        <v>1.97</v>
      </c>
      <c r="I436" s="12">
        <v>0.4</v>
      </c>
      <c r="J436" s="12">
        <v>3.16</v>
      </c>
    </row>
    <row r="437" spans="2:10" ht="18.75" x14ac:dyDescent="0.25">
      <c r="B437" s="7" t="s">
        <v>15</v>
      </c>
      <c r="C437" s="7" t="s">
        <v>420</v>
      </c>
      <c r="D437" s="12">
        <v>0.28731299999999999</v>
      </c>
      <c r="E437" s="7"/>
      <c r="F437" s="7"/>
      <c r="G437" s="7"/>
      <c r="H437" s="12">
        <v>34.29</v>
      </c>
      <c r="I437" s="12">
        <v>8.11</v>
      </c>
      <c r="J437" s="12">
        <v>111.57</v>
      </c>
    </row>
    <row r="438" spans="2:10" ht="18.75" x14ac:dyDescent="0.25">
      <c r="B438" s="7" t="s">
        <v>15</v>
      </c>
      <c r="C438" s="7" t="s">
        <v>566</v>
      </c>
      <c r="D438" s="12">
        <v>21.076957</v>
      </c>
      <c r="E438" s="7"/>
      <c r="F438" s="7"/>
      <c r="G438" s="7"/>
      <c r="H438" s="12">
        <v>669.03</v>
      </c>
      <c r="I438" s="12">
        <v>317.77999999999997</v>
      </c>
      <c r="J438" s="12">
        <v>3043.52</v>
      </c>
    </row>
    <row r="439" spans="2:10" ht="18.75" x14ac:dyDescent="0.25">
      <c r="B439" s="7" t="s">
        <v>15</v>
      </c>
      <c r="C439" s="7" t="s">
        <v>707</v>
      </c>
      <c r="D439" s="12">
        <v>5.4307000000000001E-2</v>
      </c>
      <c r="E439" s="7"/>
      <c r="F439" s="7"/>
      <c r="G439" s="7"/>
      <c r="H439" s="12">
        <v>10.35</v>
      </c>
      <c r="I439" s="12">
        <v>2.09</v>
      </c>
      <c r="J439" s="12">
        <v>16.59</v>
      </c>
    </row>
    <row r="440" spans="2:10" ht="18.75" x14ac:dyDescent="0.25">
      <c r="B440" s="7" t="s">
        <v>15</v>
      </c>
      <c r="C440" s="7" t="s">
        <v>453</v>
      </c>
      <c r="D440" s="12">
        <v>3.0300000000000001E-3</v>
      </c>
      <c r="E440" s="7"/>
      <c r="F440" s="7"/>
      <c r="G440" s="7"/>
      <c r="H440" s="12">
        <v>7.0000000000000007E-2</v>
      </c>
      <c r="I440" s="12">
        <v>0.04</v>
      </c>
      <c r="J440" s="12">
        <v>0.6</v>
      </c>
    </row>
    <row r="441" spans="2:10" ht="18.75" x14ac:dyDescent="0.25">
      <c r="B441" s="7" t="s">
        <v>15</v>
      </c>
      <c r="C441" s="7" t="s">
        <v>625</v>
      </c>
      <c r="D441" s="12">
        <v>7.3759999999999997E-3</v>
      </c>
      <c r="E441" s="7"/>
      <c r="F441" s="7"/>
      <c r="G441" s="7"/>
      <c r="H441" s="12">
        <v>0.23</v>
      </c>
      <c r="I441" s="12">
        <v>0.04</v>
      </c>
      <c r="J441" s="12">
        <v>0.41</v>
      </c>
    </row>
    <row r="442" spans="2:10" ht="18.75" x14ac:dyDescent="0.25">
      <c r="B442" s="7" t="s">
        <v>15</v>
      </c>
      <c r="C442" s="7" t="s">
        <v>167</v>
      </c>
      <c r="D442" s="12">
        <v>3.4010410000000002</v>
      </c>
      <c r="E442" s="7"/>
      <c r="F442" s="7"/>
      <c r="G442" s="7"/>
      <c r="H442" s="12">
        <v>108.01</v>
      </c>
      <c r="I442" s="12">
        <v>51.3</v>
      </c>
      <c r="J442" s="12">
        <v>491.34</v>
      </c>
    </row>
    <row r="443" spans="2:10" ht="18.75" x14ac:dyDescent="0.25">
      <c r="B443" s="7" t="s">
        <v>15</v>
      </c>
      <c r="C443" s="7" t="s">
        <v>454</v>
      </c>
      <c r="D443" s="12">
        <v>0.413074</v>
      </c>
      <c r="E443" s="7"/>
      <c r="F443" s="7"/>
      <c r="G443" s="7"/>
      <c r="H443" s="12">
        <v>78.69</v>
      </c>
      <c r="I443" s="12">
        <v>15.92</v>
      </c>
      <c r="J443" s="12">
        <v>126.2</v>
      </c>
    </row>
    <row r="444" spans="2:10" ht="18.75" x14ac:dyDescent="0.25">
      <c r="B444" s="7" t="s">
        <v>15</v>
      </c>
      <c r="C444" s="7" t="s">
        <v>105</v>
      </c>
      <c r="D444" s="12">
        <v>0.43037199999999998</v>
      </c>
      <c r="E444" s="7"/>
      <c r="F444" s="7"/>
      <c r="G444" s="7"/>
      <c r="H444" s="12">
        <v>13.66</v>
      </c>
      <c r="I444" s="12">
        <v>6.49</v>
      </c>
      <c r="J444" s="12">
        <v>62.14</v>
      </c>
    </row>
    <row r="445" spans="2:10" ht="18.75" x14ac:dyDescent="0.25">
      <c r="B445" s="7" t="s">
        <v>15</v>
      </c>
      <c r="C445" s="7" t="s">
        <v>114</v>
      </c>
      <c r="D445" s="12">
        <v>0.49708999999999998</v>
      </c>
      <c r="E445" s="7"/>
      <c r="F445" s="7"/>
      <c r="G445" s="7"/>
      <c r="H445" s="12">
        <v>15.78</v>
      </c>
      <c r="I445" s="12">
        <v>7.49</v>
      </c>
      <c r="J445" s="12">
        <v>71.78</v>
      </c>
    </row>
    <row r="446" spans="2:10" ht="18.75" x14ac:dyDescent="0.25">
      <c r="B446" s="7" t="s">
        <v>15</v>
      </c>
      <c r="C446" s="7" t="s">
        <v>289</v>
      </c>
      <c r="D446" s="12">
        <v>0.66186599999999995</v>
      </c>
      <c r="E446" s="7"/>
      <c r="F446" s="7"/>
      <c r="G446" s="7"/>
      <c r="H446" s="12">
        <v>817.56</v>
      </c>
      <c r="I446" s="12">
        <v>62.63</v>
      </c>
      <c r="J446" s="12">
        <v>330.34</v>
      </c>
    </row>
    <row r="447" spans="2:10" ht="18.75" x14ac:dyDescent="0.25">
      <c r="B447" s="7" t="s">
        <v>15</v>
      </c>
      <c r="C447" s="7" t="s">
        <v>455</v>
      </c>
      <c r="D447" s="12">
        <v>6.9700000000000003E-4</v>
      </c>
      <c r="E447" s="7"/>
      <c r="F447" s="7"/>
      <c r="G447" s="7"/>
      <c r="H447" s="12">
        <v>0.08</v>
      </c>
      <c r="I447" s="12">
        <v>0.02</v>
      </c>
      <c r="J447" s="12">
        <v>0.27</v>
      </c>
    </row>
    <row r="448" spans="2:10" ht="18.75" x14ac:dyDescent="0.25">
      <c r="B448" s="7" t="s">
        <v>15</v>
      </c>
      <c r="C448" s="7" t="s">
        <v>589</v>
      </c>
      <c r="D448" s="12">
        <v>50.203932000000002</v>
      </c>
      <c r="E448" s="7"/>
      <c r="F448" s="7"/>
      <c r="G448" s="7"/>
      <c r="H448" s="12">
        <v>47.6</v>
      </c>
      <c r="I448" s="12">
        <v>21.39</v>
      </c>
      <c r="J448" s="12">
        <v>266.62</v>
      </c>
    </row>
    <row r="449" spans="2:10" ht="18.75" x14ac:dyDescent="0.25">
      <c r="B449" s="7" t="s">
        <v>15</v>
      </c>
      <c r="C449" s="7" t="s">
        <v>660</v>
      </c>
      <c r="D449" s="12">
        <v>4.2534000000000002E-2</v>
      </c>
      <c r="E449" s="7"/>
      <c r="F449" s="7"/>
      <c r="G449" s="7"/>
      <c r="H449" s="12">
        <v>1.31</v>
      </c>
      <c r="I449" s="12">
        <v>0.22</v>
      </c>
      <c r="J449" s="12">
        <v>2.39</v>
      </c>
    </row>
    <row r="450" spans="2:10" ht="18.75" x14ac:dyDescent="0.25">
      <c r="B450" s="7" t="s">
        <v>15</v>
      </c>
      <c r="C450" s="7" t="s">
        <v>423</v>
      </c>
      <c r="D450" s="12">
        <v>4.7912410000000003</v>
      </c>
      <c r="E450" s="7"/>
      <c r="F450" s="7"/>
      <c r="G450" s="7"/>
      <c r="H450" s="12">
        <v>68.819999999999993</v>
      </c>
      <c r="I450" s="12">
        <v>127.26</v>
      </c>
      <c r="J450" s="12">
        <v>879.43</v>
      </c>
    </row>
    <row r="451" spans="2:10" ht="18.75" x14ac:dyDescent="0.25">
      <c r="B451" s="7" t="s">
        <v>15</v>
      </c>
      <c r="C451" s="7" t="s">
        <v>708</v>
      </c>
      <c r="D451" s="12">
        <v>1.2878149999999999</v>
      </c>
      <c r="E451" s="7"/>
      <c r="F451" s="7"/>
      <c r="G451" s="7"/>
      <c r="H451" s="12">
        <v>153.74</v>
      </c>
      <c r="I451" s="12">
        <v>36.380000000000003</v>
      </c>
      <c r="J451" s="12">
        <v>500.21</v>
      </c>
    </row>
    <row r="452" spans="2:10" ht="18.75" x14ac:dyDescent="0.25">
      <c r="B452" s="7" t="s">
        <v>682</v>
      </c>
      <c r="C452" s="7" t="s">
        <v>99</v>
      </c>
      <c r="D452" s="12">
        <v>1.883E-2</v>
      </c>
      <c r="E452" s="7"/>
      <c r="F452" s="7"/>
      <c r="G452" s="7"/>
      <c r="H452" s="12">
        <v>0.46</v>
      </c>
      <c r="I452" s="12">
        <v>0.08</v>
      </c>
      <c r="J452" s="12">
        <v>2.97</v>
      </c>
    </row>
    <row r="453" spans="2:10" ht="18.75" x14ac:dyDescent="0.25">
      <c r="B453" s="7" t="s">
        <v>15</v>
      </c>
      <c r="C453" s="7" t="s">
        <v>146</v>
      </c>
      <c r="D453" s="12">
        <v>10.216765000000001</v>
      </c>
      <c r="E453" s="7"/>
      <c r="F453" s="7"/>
      <c r="G453" s="7"/>
      <c r="H453" s="12">
        <v>324.32</v>
      </c>
      <c r="I453" s="12">
        <v>154.05000000000001</v>
      </c>
      <c r="J453" s="12">
        <v>1475.41</v>
      </c>
    </row>
    <row r="454" spans="2:10" ht="18.75" x14ac:dyDescent="0.25">
      <c r="B454" s="7" t="s">
        <v>15</v>
      </c>
      <c r="C454" s="7" t="s">
        <v>598</v>
      </c>
      <c r="D454" s="12">
        <v>0.20554600000000001</v>
      </c>
      <c r="E454" s="7"/>
      <c r="F454" s="7"/>
      <c r="G454" s="7"/>
      <c r="H454" s="12">
        <v>0.19</v>
      </c>
      <c r="I454" s="12">
        <v>0.09</v>
      </c>
      <c r="J454" s="12">
        <v>1.0900000000000001</v>
      </c>
    </row>
    <row r="455" spans="2:10" ht="18.75" x14ac:dyDescent="0.25">
      <c r="B455" s="7" t="s">
        <v>15</v>
      </c>
      <c r="C455" s="7" t="s">
        <v>123</v>
      </c>
      <c r="D455" s="12">
        <v>10.856890999999999</v>
      </c>
      <c r="E455" s="7"/>
      <c r="F455" s="7"/>
      <c r="G455" s="7"/>
      <c r="H455" s="12">
        <v>178.42</v>
      </c>
      <c r="I455" s="12">
        <v>82.03</v>
      </c>
      <c r="J455" s="12">
        <v>2409.42</v>
      </c>
    </row>
    <row r="456" spans="2:10" ht="18.75" x14ac:dyDescent="0.25">
      <c r="B456" s="7" t="s">
        <v>15</v>
      </c>
      <c r="C456" s="7" t="s">
        <v>621</v>
      </c>
      <c r="D456" s="12">
        <v>1.2724599999999999</v>
      </c>
      <c r="E456" s="7"/>
      <c r="F456" s="7"/>
      <c r="G456" s="7"/>
      <c r="H456" s="12">
        <v>1.21</v>
      </c>
      <c r="I456" s="12">
        <v>0.54</v>
      </c>
      <c r="J456" s="12">
        <v>6.76</v>
      </c>
    </row>
    <row r="457" spans="2:10" ht="18.75" x14ac:dyDescent="0.25">
      <c r="B457" s="7" t="s">
        <v>15</v>
      </c>
      <c r="C457" s="7" t="s">
        <v>456</v>
      </c>
      <c r="D457" s="12">
        <v>4.0867740000000001</v>
      </c>
      <c r="E457" s="7"/>
      <c r="F457" s="7"/>
      <c r="G457" s="7"/>
      <c r="H457" s="12">
        <v>778.55</v>
      </c>
      <c r="I457" s="12">
        <v>157.56</v>
      </c>
      <c r="J457" s="12">
        <v>1248.58</v>
      </c>
    </row>
    <row r="458" spans="2:10" ht="18.75" x14ac:dyDescent="0.25">
      <c r="B458" s="7" t="s">
        <v>15</v>
      </c>
      <c r="C458" s="7" t="s">
        <v>457</v>
      </c>
      <c r="D458" s="12">
        <v>3.0702E-2</v>
      </c>
      <c r="E458" s="7"/>
      <c r="F458" s="7"/>
      <c r="G458" s="7"/>
      <c r="H458" s="12">
        <v>3.66</v>
      </c>
      <c r="I458" s="12">
        <v>0.87</v>
      </c>
      <c r="J458" s="12">
        <v>11.92</v>
      </c>
    </row>
    <row r="459" spans="2:10" ht="18.75" x14ac:dyDescent="0.25">
      <c r="B459" s="7" t="s">
        <v>15</v>
      </c>
      <c r="C459" s="7" t="s">
        <v>645</v>
      </c>
      <c r="D459" s="12">
        <v>0.40246999999999999</v>
      </c>
      <c r="E459" s="7"/>
      <c r="F459" s="7"/>
      <c r="G459" s="7"/>
      <c r="H459" s="12">
        <v>12.36</v>
      </c>
      <c r="I459" s="12">
        <v>2.0699999999999998</v>
      </c>
      <c r="J459" s="12">
        <v>22.62</v>
      </c>
    </row>
    <row r="460" spans="2:10" ht="18.75" x14ac:dyDescent="0.25">
      <c r="B460" s="7" t="s">
        <v>15</v>
      </c>
      <c r="C460" s="7" t="s">
        <v>151</v>
      </c>
      <c r="D460" s="12">
        <v>0.37459700000000001</v>
      </c>
      <c r="E460" s="7"/>
      <c r="F460" s="7"/>
      <c r="G460" s="7"/>
      <c r="H460" s="12">
        <v>20.75</v>
      </c>
      <c r="I460" s="12">
        <v>14.11</v>
      </c>
      <c r="J460" s="12">
        <v>252.91</v>
      </c>
    </row>
    <row r="461" spans="2:10" ht="18.75" x14ac:dyDescent="0.25">
      <c r="B461" s="7" t="s">
        <v>15</v>
      </c>
      <c r="C461" s="7" t="s">
        <v>709</v>
      </c>
      <c r="D461" s="12">
        <v>2.405E-3</v>
      </c>
      <c r="E461" s="7"/>
      <c r="F461" s="7"/>
      <c r="G461" s="7"/>
      <c r="H461" s="12">
        <v>0.05</v>
      </c>
      <c r="I461" s="12">
        <v>0.03</v>
      </c>
      <c r="J461" s="12">
        <v>0.48</v>
      </c>
    </row>
    <row r="462" spans="2:10" ht="18.75" x14ac:dyDescent="0.25">
      <c r="B462" s="7" t="s">
        <v>15</v>
      </c>
      <c r="C462" s="7" t="s">
        <v>482</v>
      </c>
      <c r="D462" s="12">
        <v>0.64489300000000005</v>
      </c>
      <c r="E462" s="7"/>
      <c r="F462" s="7"/>
      <c r="G462" s="7"/>
      <c r="H462" s="12">
        <v>17.71</v>
      </c>
      <c r="I462" s="12">
        <v>2.4900000000000002</v>
      </c>
      <c r="J462" s="12">
        <v>137.76</v>
      </c>
    </row>
    <row r="463" spans="2:10" ht="18.75" x14ac:dyDescent="0.25">
      <c r="B463" s="7" t="s">
        <v>15</v>
      </c>
      <c r="C463" s="7" t="s">
        <v>548</v>
      </c>
      <c r="D463" s="12">
        <v>1.214108</v>
      </c>
      <c r="E463" s="7"/>
      <c r="F463" s="7"/>
      <c r="G463" s="7"/>
      <c r="H463" s="12">
        <v>38.54</v>
      </c>
      <c r="I463" s="12">
        <v>18.309999999999999</v>
      </c>
      <c r="J463" s="12">
        <v>175.32</v>
      </c>
    </row>
    <row r="464" spans="2:10" ht="18.75" x14ac:dyDescent="0.25">
      <c r="B464" s="7" t="s">
        <v>15</v>
      </c>
      <c r="C464" s="7" t="s">
        <v>400</v>
      </c>
      <c r="D464" s="12">
        <v>3.6277999999999998E-2</v>
      </c>
      <c r="E464" s="7"/>
      <c r="F464" s="7"/>
      <c r="G464" s="7"/>
      <c r="H464" s="12">
        <v>0.81</v>
      </c>
      <c r="I464" s="12">
        <v>0.44</v>
      </c>
      <c r="J464" s="12">
        <v>7.24</v>
      </c>
    </row>
    <row r="465" spans="2:10" ht="18.75" x14ac:dyDescent="0.25">
      <c r="B465" s="7" t="s">
        <v>15</v>
      </c>
      <c r="C465" s="7" t="s">
        <v>401</v>
      </c>
      <c r="D465" s="12">
        <v>0.34201700000000002</v>
      </c>
      <c r="E465" s="7"/>
      <c r="F465" s="7"/>
      <c r="G465" s="7"/>
      <c r="H465" s="12">
        <v>18.95</v>
      </c>
      <c r="I465" s="12">
        <v>12.88</v>
      </c>
      <c r="J465" s="12">
        <v>230.9</v>
      </c>
    </row>
    <row r="466" spans="2:10" ht="18.75" x14ac:dyDescent="0.25">
      <c r="B466" s="7" t="s">
        <v>15</v>
      </c>
      <c r="C466" s="7" t="s">
        <v>475</v>
      </c>
      <c r="D466" s="12">
        <v>2.3569870000000002</v>
      </c>
      <c r="E466" s="7"/>
      <c r="F466" s="7"/>
      <c r="G466" s="7"/>
      <c r="H466" s="12">
        <v>64.81</v>
      </c>
      <c r="I466" s="12">
        <v>9.11</v>
      </c>
      <c r="J466" s="12">
        <v>503.96</v>
      </c>
    </row>
    <row r="467" spans="2:10" ht="18.75" x14ac:dyDescent="0.25">
      <c r="B467" s="7" t="s">
        <v>15</v>
      </c>
      <c r="C467" s="7" t="s">
        <v>522</v>
      </c>
      <c r="D467" s="12">
        <v>0.47906700000000002</v>
      </c>
      <c r="E467" s="7"/>
      <c r="F467" s="7"/>
      <c r="G467" s="7"/>
      <c r="H467" s="12">
        <v>15.21</v>
      </c>
      <c r="I467" s="12">
        <v>7.22</v>
      </c>
      <c r="J467" s="12">
        <v>69.180000000000007</v>
      </c>
    </row>
    <row r="468" spans="2:10" ht="18.75" x14ac:dyDescent="0.25">
      <c r="B468" s="7" t="s">
        <v>15</v>
      </c>
      <c r="C468" s="7" t="s">
        <v>652</v>
      </c>
      <c r="D468" s="12">
        <v>0.45910899999999999</v>
      </c>
      <c r="E468" s="7"/>
      <c r="F468" s="7"/>
      <c r="G468" s="7"/>
      <c r="H468" s="12">
        <v>14.1</v>
      </c>
      <c r="I468" s="12">
        <v>2.36</v>
      </c>
      <c r="J468" s="12">
        <v>25.8</v>
      </c>
    </row>
    <row r="469" spans="2:10" ht="18.75" x14ac:dyDescent="0.25">
      <c r="B469" s="7" t="s">
        <v>15</v>
      </c>
      <c r="C469" s="7" t="s">
        <v>710</v>
      </c>
      <c r="D469" s="12">
        <v>2.1999999999999999E-5</v>
      </c>
      <c r="E469" s="7"/>
      <c r="F469" s="7"/>
      <c r="G469" s="7"/>
      <c r="H469" s="12">
        <v>0</v>
      </c>
      <c r="I469" s="12">
        <v>0</v>
      </c>
      <c r="J469" s="12">
        <v>0</v>
      </c>
    </row>
    <row r="470" spans="2:10" ht="18.75" x14ac:dyDescent="0.25">
      <c r="B470" s="7" t="s">
        <v>15</v>
      </c>
      <c r="C470" s="7" t="s">
        <v>653</v>
      </c>
      <c r="D470" s="12">
        <v>9.810000000000001E-4</v>
      </c>
      <c r="E470" s="7"/>
      <c r="F470" s="7"/>
      <c r="G470" s="7"/>
      <c r="H470" s="12">
        <v>0.03</v>
      </c>
      <c r="I470" s="12">
        <v>0.01</v>
      </c>
      <c r="J470" s="12">
        <v>0.06</v>
      </c>
    </row>
    <row r="471" spans="2:10" ht="18.75" x14ac:dyDescent="0.25">
      <c r="B471" s="7" t="s">
        <v>15</v>
      </c>
      <c r="C471" s="7" t="s">
        <v>284</v>
      </c>
      <c r="D471" s="12">
        <v>0.162463</v>
      </c>
      <c r="E471" s="7"/>
      <c r="F471" s="7"/>
      <c r="G471" s="7"/>
      <c r="H471" s="12">
        <v>200.51</v>
      </c>
      <c r="I471" s="12">
        <v>15.36</v>
      </c>
      <c r="J471" s="12">
        <v>81.02</v>
      </c>
    </row>
    <row r="472" spans="2:10" ht="18.75" x14ac:dyDescent="0.25">
      <c r="B472" s="7" t="s">
        <v>15</v>
      </c>
      <c r="C472" s="7" t="s">
        <v>139</v>
      </c>
      <c r="D472" s="12">
        <v>3.8720999999999998E-2</v>
      </c>
      <c r="E472" s="7"/>
      <c r="F472" s="7"/>
      <c r="G472" s="7"/>
      <c r="H472" s="12">
        <v>1.8</v>
      </c>
      <c r="I472" s="12">
        <v>1.63</v>
      </c>
      <c r="J472" s="12">
        <v>8.42</v>
      </c>
    </row>
    <row r="473" spans="2:10" ht="18.75" x14ac:dyDescent="0.25">
      <c r="B473" s="7" t="s">
        <v>15</v>
      </c>
      <c r="C473" s="7" t="s">
        <v>189</v>
      </c>
      <c r="D473" s="12">
        <v>0.54759199999999997</v>
      </c>
      <c r="E473" s="7"/>
      <c r="F473" s="7"/>
      <c r="G473" s="7"/>
      <c r="H473" s="12">
        <v>12.27</v>
      </c>
      <c r="I473" s="12">
        <v>6.67</v>
      </c>
      <c r="J473" s="12">
        <v>109.28</v>
      </c>
    </row>
    <row r="474" spans="2:10" ht="18.75" x14ac:dyDescent="0.25">
      <c r="B474" s="7" t="s">
        <v>15</v>
      </c>
      <c r="C474" s="7" t="s">
        <v>249</v>
      </c>
      <c r="D474" s="12">
        <v>6.2532220000000001</v>
      </c>
      <c r="E474" s="7"/>
      <c r="F474" s="7"/>
      <c r="G474" s="7"/>
      <c r="H474" s="12">
        <v>192.46</v>
      </c>
      <c r="I474" s="12">
        <v>32.17</v>
      </c>
      <c r="J474" s="12">
        <v>352.15</v>
      </c>
    </row>
    <row r="475" spans="2:10" ht="18.75" x14ac:dyDescent="0.25">
      <c r="B475" s="7" t="s">
        <v>15</v>
      </c>
      <c r="C475" s="7" t="s">
        <v>410</v>
      </c>
      <c r="D475" s="12">
        <v>1.08E-4</v>
      </c>
      <c r="E475" s="7"/>
      <c r="F475" s="7"/>
      <c r="G475" s="7"/>
      <c r="H475" s="12">
        <v>0</v>
      </c>
      <c r="I475" s="12">
        <v>0</v>
      </c>
      <c r="J475" s="12">
        <v>0.02</v>
      </c>
    </row>
    <row r="476" spans="2:10" ht="18.75" x14ac:dyDescent="0.25">
      <c r="B476" s="7" t="s">
        <v>15</v>
      </c>
      <c r="C476" s="7" t="s">
        <v>711</v>
      </c>
      <c r="D476" s="12">
        <v>5.5690000000000002E-3</v>
      </c>
      <c r="E476" s="7"/>
      <c r="F476" s="7"/>
      <c r="G476" s="7"/>
      <c r="H476" s="12">
        <v>0.66</v>
      </c>
      <c r="I476" s="12">
        <v>0.16</v>
      </c>
      <c r="J476" s="12">
        <v>2.16</v>
      </c>
    </row>
    <row r="477" spans="2:10" ht="18.75" x14ac:dyDescent="0.25">
      <c r="B477" s="7" t="s">
        <v>15</v>
      </c>
      <c r="C477" s="7" t="s">
        <v>584</v>
      </c>
      <c r="D477" s="12">
        <v>0.46120100000000003</v>
      </c>
      <c r="E477" s="7"/>
      <c r="F477" s="7"/>
      <c r="G477" s="7"/>
      <c r="H477" s="12">
        <v>0.44</v>
      </c>
      <c r="I477" s="12">
        <v>0.2</v>
      </c>
      <c r="J477" s="12">
        <v>2.4500000000000002</v>
      </c>
    </row>
    <row r="478" spans="2:10" ht="18.75" x14ac:dyDescent="0.25">
      <c r="B478" s="7" t="s">
        <v>15</v>
      </c>
      <c r="C478" s="7" t="s">
        <v>411</v>
      </c>
      <c r="D478" s="12">
        <v>0.194078</v>
      </c>
      <c r="E478" s="7"/>
      <c r="F478" s="7"/>
      <c r="G478" s="7"/>
      <c r="H478" s="12">
        <v>9.0399999999999991</v>
      </c>
      <c r="I478" s="12">
        <v>8.18</v>
      </c>
      <c r="J478" s="12">
        <v>42.25</v>
      </c>
    </row>
    <row r="479" spans="2:10" ht="18.75" x14ac:dyDescent="0.25">
      <c r="B479" s="7" t="s">
        <v>15</v>
      </c>
      <c r="C479" s="7" t="s">
        <v>164</v>
      </c>
      <c r="D479" s="12">
        <v>1.7648410000000001</v>
      </c>
      <c r="E479" s="7"/>
      <c r="F479" s="7"/>
      <c r="G479" s="7"/>
      <c r="H479" s="12">
        <v>1.67</v>
      </c>
      <c r="I479" s="12">
        <v>0.75</v>
      </c>
      <c r="J479" s="12">
        <v>9.3800000000000008</v>
      </c>
    </row>
    <row r="480" spans="2:10" ht="18.75" x14ac:dyDescent="0.25">
      <c r="B480" s="7" t="s">
        <v>15</v>
      </c>
      <c r="C480" s="7" t="s">
        <v>525</v>
      </c>
      <c r="D480" s="12">
        <v>0.23577100000000001</v>
      </c>
      <c r="E480" s="7"/>
      <c r="F480" s="7"/>
      <c r="G480" s="7"/>
      <c r="H480" s="12">
        <v>7.49</v>
      </c>
      <c r="I480" s="12">
        <v>3.56</v>
      </c>
      <c r="J480" s="12">
        <v>34.06</v>
      </c>
    </row>
    <row r="481" spans="2:10" ht="18.75" x14ac:dyDescent="0.25">
      <c r="B481" s="7" t="s">
        <v>15</v>
      </c>
      <c r="C481" s="7" t="s">
        <v>526</v>
      </c>
      <c r="D481" s="12">
        <v>0.55486599999999997</v>
      </c>
      <c r="E481" s="7"/>
      <c r="F481" s="7"/>
      <c r="G481" s="7"/>
      <c r="H481" s="12">
        <v>17.61</v>
      </c>
      <c r="I481" s="12">
        <v>8.3699999999999992</v>
      </c>
      <c r="J481" s="12">
        <v>80.12</v>
      </c>
    </row>
    <row r="482" spans="2:10" ht="18.75" x14ac:dyDescent="0.25">
      <c r="B482" s="7" t="s">
        <v>15</v>
      </c>
      <c r="C482" s="7" t="s">
        <v>557</v>
      </c>
      <c r="D482" s="12">
        <v>3.5462E-2</v>
      </c>
      <c r="E482" s="7"/>
      <c r="F482" s="7"/>
      <c r="G482" s="7"/>
      <c r="H482" s="12">
        <v>2.23</v>
      </c>
      <c r="I482" s="12">
        <v>0.16</v>
      </c>
      <c r="J482" s="12">
        <v>3.48</v>
      </c>
    </row>
    <row r="483" spans="2:10" ht="18.75" x14ac:dyDescent="0.25">
      <c r="B483" s="7" t="s">
        <v>15</v>
      </c>
      <c r="C483" s="7" t="s">
        <v>413</v>
      </c>
      <c r="D483" s="12">
        <v>0.25879200000000002</v>
      </c>
      <c r="E483" s="7"/>
      <c r="F483" s="7"/>
      <c r="G483" s="7"/>
      <c r="H483" s="12">
        <v>3.71</v>
      </c>
      <c r="I483" s="12">
        <v>6.87</v>
      </c>
      <c r="J483" s="12">
        <v>47.44</v>
      </c>
    </row>
    <row r="484" spans="2:10" ht="18.75" x14ac:dyDescent="0.25">
      <c r="B484" s="7" t="s">
        <v>15</v>
      </c>
      <c r="C484" s="7" t="s">
        <v>597</v>
      </c>
      <c r="D484" s="12">
        <v>0.80143900000000001</v>
      </c>
      <c r="E484" s="7"/>
      <c r="F484" s="7"/>
      <c r="G484" s="7"/>
      <c r="H484" s="12">
        <v>0.76</v>
      </c>
      <c r="I484" s="12">
        <v>0.34</v>
      </c>
      <c r="J484" s="12">
        <v>4.26</v>
      </c>
    </row>
    <row r="485" spans="2:10" ht="18.75" x14ac:dyDescent="0.25">
      <c r="B485" s="7" t="s">
        <v>15</v>
      </c>
      <c r="C485" s="7" t="s">
        <v>150</v>
      </c>
      <c r="D485" s="12">
        <v>2.6990400000000001</v>
      </c>
      <c r="E485" s="7"/>
      <c r="F485" s="7"/>
      <c r="G485" s="7"/>
      <c r="H485" s="12">
        <v>74.209999999999994</v>
      </c>
      <c r="I485" s="12">
        <v>10.43</v>
      </c>
      <c r="J485" s="12">
        <v>577.07000000000005</v>
      </c>
    </row>
    <row r="486" spans="2:10" ht="18.75" x14ac:dyDescent="0.25">
      <c r="B486" s="7" t="s">
        <v>15</v>
      </c>
      <c r="C486" s="7" t="s">
        <v>417</v>
      </c>
      <c r="D486" s="12">
        <v>8.2000000000000001E-5</v>
      </c>
      <c r="E486" s="7"/>
      <c r="F486" s="7"/>
      <c r="G486" s="7"/>
      <c r="H486" s="12">
        <v>0.02</v>
      </c>
      <c r="I486" s="12">
        <v>0</v>
      </c>
      <c r="J486" s="12">
        <v>0.03</v>
      </c>
    </row>
    <row r="487" spans="2:10" ht="18.75" x14ac:dyDescent="0.25">
      <c r="B487" s="7" t="s">
        <v>15</v>
      </c>
      <c r="C487" s="7" t="s">
        <v>418</v>
      </c>
      <c r="D487" s="12">
        <v>2.7292450000000001</v>
      </c>
      <c r="E487" s="7"/>
      <c r="F487" s="7"/>
      <c r="G487" s="7"/>
      <c r="H487" s="12">
        <v>151.19999999999999</v>
      </c>
      <c r="I487" s="12">
        <v>102.8</v>
      </c>
      <c r="J487" s="12">
        <v>1842.62</v>
      </c>
    </row>
    <row r="488" spans="2:10" ht="18.75" x14ac:dyDescent="0.25">
      <c r="B488" s="7" t="s">
        <v>15</v>
      </c>
      <c r="C488" s="7" t="s">
        <v>477</v>
      </c>
      <c r="D488" s="12">
        <v>35.141511999999999</v>
      </c>
      <c r="E488" s="7"/>
      <c r="F488" s="7"/>
      <c r="G488" s="7"/>
      <c r="H488" s="12">
        <v>966.36</v>
      </c>
      <c r="I488" s="12">
        <v>135.79</v>
      </c>
      <c r="J488" s="12">
        <v>7514.82</v>
      </c>
    </row>
    <row r="489" spans="2:10" ht="18.75" x14ac:dyDescent="0.25">
      <c r="B489" s="7" t="s">
        <v>15</v>
      </c>
      <c r="C489" s="7" t="s">
        <v>422</v>
      </c>
      <c r="D489" s="12">
        <v>0.53577300000000005</v>
      </c>
      <c r="E489" s="7"/>
      <c r="F489" s="7"/>
      <c r="G489" s="7"/>
      <c r="H489" s="12">
        <v>12.01</v>
      </c>
      <c r="I489" s="12">
        <v>6.53</v>
      </c>
      <c r="J489" s="12">
        <v>106.92</v>
      </c>
    </row>
    <row r="490" spans="2:10" ht="18.75" x14ac:dyDescent="0.25">
      <c r="B490" s="7" t="s">
        <v>15</v>
      </c>
      <c r="C490" s="7" t="s">
        <v>675</v>
      </c>
      <c r="D490" s="12">
        <v>0.15931500000000001</v>
      </c>
      <c r="E490" s="7"/>
      <c r="F490" s="7"/>
      <c r="G490" s="7"/>
      <c r="H490" s="12">
        <v>4.97</v>
      </c>
      <c r="I490" s="12">
        <v>0.83</v>
      </c>
      <c r="J490" s="12">
        <v>9.09</v>
      </c>
    </row>
    <row r="491" spans="2:10" ht="18.75" x14ac:dyDescent="0.25">
      <c r="B491" s="7" t="s">
        <v>15</v>
      </c>
      <c r="C491" s="7" t="s">
        <v>131</v>
      </c>
      <c r="D491" s="12">
        <v>0.29648400000000003</v>
      </c>
      <c r="E491" s="7"/>
      <c r="F491" s="7"/>
      <c r="G491" s="7"/>
      <c r="H491" s="12">
        <v>16.43</v>
      </c>
      <c r="I491" s="12">
        <v>11.17</v>
      </c>
      <c r="J491" s="12">
        <v>200.18</v>
      </c>
    </row>
    <row r="492" spans="2:10" ht="18.75" x14ac:dyDescent="0.25">
      <c r="B492" s="7" t="s">
        <v>15</v>
      </c>
      <c r="C492" s="7" t="s">
        <v>527</v>
      </c>
      <c r="D492" s="12">
        <v>0.82946699999999995</v>
      </c>
      <c r="E492" s="7"/>
      <c r="F492" s="7"/>
      <c r="G492" s="7"/>
      <c r="H492" s="12">
        <v>26.33</v>
      </c>
      <c r="I492" s="12">
        <v>12.51</v>
      </c>
      <c r="J492" s="12">
        <v>119.77</v>
      </c>
    </row>
    <row r="493" spans="2:10" ht="18.75" x14ac:dyDescent="0.25">
      <c r="B493" s="7" t="s">
        <v>15</v>
      </c>
      <c r="C493" s="7" t="s">
        <v>424</v>
      </c>
      <c r="D493" s="12">
        <v>0.38314599999999999</v>
      </c>
      <c r="E493" s="7"/>
      <c r="F493" s="7"/>
      <c r="G493" s="7"/>
      <c r="H493" s="12">
        <v>6.3</v>
      </c>
      <c r="I493" s="12">
        <v>2.89</v>
      </c>
      <c r="J493" s="12">
        <v>85.03</v>
      </c>
    </row>
    <row r="494" spans="2:10" ht="18.75" x14ac:dyDescent="0.25">
      <c r="B494" s="7" t="s">
        <v>15</v>
      </c>
      <c r="C494" s="7" t="s">
        <v>216</v>
      </c>
      <c r="D494" s="12">
        <v>2.7004260000000002</v>
      </c>
      <c r="E494" s="7"/>
      <c r="F494" s="7"/>
      <c r="G494" s="7"/>
      <c r="H494" s="12">
        <v>85.72</v>
      </c>
      <c r="I494" s="12">
        <v>40.72</v>
      </c>
      <c r="J494" s="12">
        <v>389.98</v>
      </c>
    </row>
    <row r="495" spans="2:10" ht="18.75" x14ac:dyDescent="0.25">
      <c r="B495" s="7" t="s">
        <v>15</v>
      </c>
      <c r="C495" s="7" t="s">
        <v>528</v>
      </c>
      <c r="D495" s="12">
        <v>0.566778</v>
      </c>
      <c r="E495" s="7"/>
      <c r="F495" s="7"/>
      <c r="G495" s="7"/>
      <c r="H495" s="12">
        <v>17.989999999999998</v>
      </c>
      <c r="I495" s="12">
        <v>8.5399999999999991</v>
      </c>
      <c r="J495" s="12">
        <v>81.83</v>
      </c>
    </row>
    <row r="496" spans="2:10" ht="18.75" x14ac:dyDescent="0.25">
      <c r="B496" s="7" t="s">
        <v>15</v>
      </c>
      <c r="C496" s="7" t="s">
        <v>425</v>
      </c>
      <c r="D496" s="12">
        <v>8.0195000000000002E-2</v>
      </c>
      <c r="E496" s="7"/>
      <c r="F496" s="7"/>
      <c r="G496" s="7"/>
      <c r="H496" s="12">
        <v>1.8</v>
      </c>
      <c r="I496" s="12">
        <v>0.98</v>
      </c>
      <c r="J496" s="12">
        <v>16</v>
      </c>
    </row>
    <row r="497" spans="2:10" ht="18.75" x14ac:dyDescent="0.25">
      <c r="B497" s="7" t="s">
        <v>15</v>
      </c>
      <c r="C497" s="7" t="s">
        <v>529</v>
      </c>
      <c r="D497" s="12">
        <v>2.0240710000000002</v>
      </c>
      <c r="E497" s="7"/>
      <c r="F497" s="7"/>
      <c r="G497" s="7"/>
      <c r="H497" s="12">
        <v>64.25</v>
      </c>
      <c r="I497" s="12">
        <v>30.52</v>
      </c>
      <c r="J497" s="12">
        <v>292.27999999999997</v>
      </c>
    </row>
    <row r="498" spans="2:10" ht="18.75" x14ac:dyDescent="0.25">
      <c r="B498" s="7" t="s">
        <v>15</v>
      </c>
      <c r="C498" s="7" t="s">
        <v>426</v>
      </c>
      <c r="D498" s="12">
        <v>1.1866E-2</v>
      </c>
      <c r="E498" s="7"/>
      <c r="F498" s="7"/>
      <c r="G498" s="7"/>
      <c r="H498" s="12">
        <v>0.17</v>
      </c>
      <c r="I498" s="12">
        <v>0.31</v>
      </c>
      <c r="J498" s="12">
        <v>2.17</v>
      </c>
    </row>
    <row r="499" spans="2:10" ht="18.75" x14ac:dyDescent="0.25">
      <c r="B499" s="7" t="s">
        <v>15</v>
      </c>
      <c r="C499" s="7" t="s">
        <v>427</v>
      </c>
      <c r="D499" s="12">
        <v>3.0980000000000001E-3</v>
      </c>
      <c r="E499" s="7"/>
      <c r="F499" s="7"/>
      <c r="G499" s="7"/>
      <c r="H499" s="12">
        <v>0.17</v>
      </c>
      <c r="I499" s="12">
        <v>0.12</v>
      </c>
      <c r="J499" s="12">
        <v>2.09</v>
      </c>
    </row>
    <row r="500" spans="2:10" ht="18.75" x14ac:dyDescent="0.25">
      <c r="B500" s="7" t="s">
        <v>15</v>
      </c>
      <c r="C500" s="7" t="s">
        <v>559</v>
      </c>
      <c r="D500" s="12">
        <v>3.2515499999999999</v>
      </c>
      <c r="E500" s="7"/>
      <c r="F500" s="7"/>
      <c r="G500" s="7"/>
      <c r="H500" s="12">
        <v>204.81</v>
      </c>
      <c r="I500" s="12">
        <v>14.72</v>
      </c>
      <c r="J500" s="12">
        <v>319.33999999999997</v>
      </c>
    </row>
    <row r="501" spans="2:10" ht="18.75" x14ac:dyDescent="0.25">
      <c r="B501" s="7" t="s">
        <v>15</v>
      </c>
      <c r="C501" s="7" t="s">
        <v>428</v>
      </c>
      <c r="D501" s="12">
        <v>3.6840000000000002E-3</v>
      </c>
      <c r="E501" s="7"/>
      <c r="F501" s="7"/>
      <c r="G501" s="7"/>
      <c r="H501" s="12">
        <v>0.7</v>
      </c>
      <c r="I501" s="12">
        <v>0.14000000000000001</v>
      </c>
      <c r="J501" s="12">
        <v>1.1200000000000001</v>
      </c>
    </row>
    <row r="502" spans="2:10" ht="18.75" x14ac:dyDescent="0.25">
      <c r="B502" s="7" t="s">
        <v>15</v>
      </c>
      <c r="C502" s="7" t="s">
        <v>429</v>
      </c>
      <c r="D502" s="12">
        <v>0.157281</v>
      </c>
      <c r="E502" s="7"/>
      <c r="F502" s="7"/>
      <c r="G502" s="7"/>
      <c r="H502" s="12">
        <v>18.77</v>
      </c>
      <c r="I502" s="12">
        <v>4.4400000000000004</v>
      </c>
      <c r="J502" s="12">
        <v>61.09</v>
      </c>
    </row>
    <row r="503" spans="2:10" ht="18.75" x14ac:dyDescent="0.25">
      <c r="B503" s="7" t="s">
        <v>15</v>
      </c>
      <c r="C503" s="7" t="s">
        <v>712</v>
      </c>
      <c r="D503" s="12">
        <v>1.5899999999999999E-4</v>
      </c>
      <c r="E503" s="7"/>
      <c r="F503" s="7"/>
      <c r="G503" s="7"/>
      <c r="H503" s="12">
        <v>0.2</v>
      </c>
      <c r="I503" s="12">
        <v>0.01</v>
      </c>
      <c r="J503" s="12">
        <v>0.08</v>
      </c>
    </row>
    <row r="504" spans="2:10" ht="18.75" x14ac:dyDescent="0.25">
      <c r="B504" s="7" t="s">
        <v>15</v>
      </c>
      <c r="C504" s="7" t="s">
        <v>430</v>
      </c>
      <c r="D504" s="12">
        <v>1.9120999999999999E-2</v>
      </c>
      <c r="E504" s="7"/>
      <c r="F504" s="7"/>
      <c r="G504" s="7"/>
      <c r="H504" s="12">
        <v>0.43</v>
      </c>
      <c r="I504" s="12">
        <v>0.23</v>
      </c>
      <c r="J504" s="12">
        <v>3.82</v>
      </c>
    </row>
    <row r="505" spans="2:10" ht="18.75" x14ac:dyDescent="0.25">
      <c r="B505" s="7" t="s">
        <v>15</v>
      </c>
      <c r="C505" s="7" t="s">
        <v>530</v>
      </c>
      <c r="D505" s="12">
        <v>6.9979E-2</v>
      </c>
      <c r="E505" s="7"/>
      <c r="F505" s="7"/>
      <c r="G505" s="7"/>
      <c r="H505" s="12">
        <v>2.2200000000000002</v>
      </c>
      <c r="I505" s="12">
        <v>1.05</v>
      </c>
      <c r="J505" s="12">
        <v>10.1</v>
      </c>
    </row>
    <row r="506" spans="2:10" ht="18.75" x14ac:dyDescent="0.25">
      <c r="B506" s="7" t="s">
        <v>15</v>
      </c>
      <c r="C506" s="7" t="s">
        <v>431</v>
      </c>
      <c r="D506" s="12">
        <v>0.17294499999999999</v>
      </c>
      <c r="E506" s="7"/>
      <c r="F506" s="7"/>
      <c r="G506" s="7"/>
      <c r="H506" s="12">
        <v>2.48</v>
      </c>
      <c r="I506" s="12">
        <v>4.59</v>
      </c>
      <c r="J506" s="12">
        <v>31.7</v>
      </c>
    </row>
    <row r="507" spans="2:10" ht="18.75" x14ac:dyDescent="0.25">
      <c r="B507" s="7" t="s">
        <v>15</v>
      </c>
      <c r="C507" s="7" t="s">
        <v>432</v>
      </c>
      <c r="D507" s="12">
        <v>0.55437700000000001</v>
      </c>
      <c r="E507" s="7"/>
      <c r="F507" s="7"/>
      <c r="G507" s="7"/>
      <c r="H507" s="12">
        <v>30.71</v>
      </c>
      <c r="I507" s="12">
        <v>20.88</v>
      </c>
      <c r="J507" s="12">
        <v>374.3</v>
      </c>
    </row>
    <row r="508" spans="2:10" ht="18.75" x14ac:dyDescent="0.25">
      <c r="B508" s="7" t="s">
        <v>15</v>
      </c>
      <c r="C508" s="7" t="s">
        <v>433</v>
      </c>
      <c r="D508" s="12">
        <v>3.1336999999999997E-2</v>
      </c>
      <c r="E508" s="7"/>
      <c r="F508" s="7"/>
      <c r="G508" s="7"/>
      <c r="H508" s="12">
        <v>0.7</v>
      </c>
      <c r="I508" s="12">
        <v>0.38</v>
      </c>
      <c r="J508" s="12">
        <v>6.25</v>
      </c>
    </row>
    <row r="509" spans="2:10" ht="18.75" x14ac:dyDescent="0.25">
      <c r="B509" s="7" t="s">
        <v>15</v>
      </c>
      <c r="C509" s="7" t="s">
        <v>531</v>
      </c>
      <c r="D509" s="12">
        <v>6.9193579999999999</v>
      </c>
      <c r="E509" s="7"/>
      <c r="F509" s="7"/>
      <c r="G509" s="7"/>
      <c r="H509" s="12">
        <v>219.65</v>
      </c>
      <c r="I509" s="12">
        <v>104.33</v>
      </c>
      <c r="J509" s="12">
        <v>999.22</v>
      </c>
    </row>
    <row r="510" spans="2:10" ht="18.75" x14ac:dyDescent="0.25">
      <c r="B510" s="7" t="s">
        <v>15</v>
      </c>
      <c r="C510" s="7" t="s">
        <v>241</v>
      </c>
      <c r="D510" s="12">
        <v>0.14287</v>
      </c>
      <c r="E510" s="7"/>
      <c r="F510" s="7"/>
      <c r="G510" s="7"/>
      <c r="H510" s="12">
        <v>0.14000000000000001</v>
      </c>
      <c r="I510" s="12">
        <v>0.06</v>
      </c>
      <c r="J510" s="12">
        <v>0.76</v>
      </c>
    </row>
    <row r="511" spans="2:10" ht="18.75" x14ac:dyDescent="0.25">
      <c r="B511" s="7" t="s">
        <v>15</v>
      </c>
      <c r="C511" s="7" t="s">
        <v>615</v>
      </c>
      <c r="D511" s="12">
        <v>2.6969E-2</v>
      </c>
      <c r="E511" s="7"/>
      <c r="F511" s="7"/>
      <c r="G511" s="7"/>
      <c r="H511" s="12">
        <v>0.03</v>
      </c>
      <c r="I511" s="12">
        <v>0.01</v>
      </c>
      <c r="J511" s="12">
        <v>0.14000000000000001</v>
      </c>
    </row>
    <row r="512" spans="2:10" ht="18.75" x14ac:dyDescent="0.25">
      <c r="B512" s="7" t="s">
        <v>15</v>
      </c>
      <c r="C512" s="7" t="s">
        <v>434</v>
      </c>
      <c r="D512" s="12">
        <v>3.1708E-2</v>
      </c>
      <c r="E512" s="7"/>
      <c r="F512" s="7"/>
      <c r="G512" s="7"/>
      <c r="H512" s="12">
        <v>1.47</v>
      </c>
      <c r="I512" s="12">
        <v>1.33</v>
      </c>
      <c r="J512" s="12">
        <v>6.9</v>
      </c>
    </row>
    <row r="513" spans="2:10" ht="18.75" x14ac:dyDescent="0.25">
      <c r="B513" s="7" t="s">
        <v>15</v>
      </c>
      <c r="C513" s="7" t="s">
        <v>622</v>
      </c>
      <c r="D513" s="12">
        <v>0.16777300000000001</v>
      </c>
      <c r="E513" s="7"/>
      <c r="F513" s="7"/>
      <c r="G513" s="7"/>
      <c r="H513" s="12">
        <v>0.16</v>
      </c>
      <c r="I513" s="12">
        <v>7.0000000000000007E-2</v>
      </c>
      <c r="J513" s="12">
        <v>0.89</v>
      </c>
    </row>
    <row r="514" spans="2:10" ht="18.75" x14ac:dyDescent="0.25">
      <c r="B514" s="7" t="s">
        <v>15</v>
      </c>
      <c r="C514" s="7" t="s">
        <v>713</v>
      </c>
      <c r="D514" s="12">
        <v>2.3019999999999998E-3</v>
      </c>
      <c r="E514" s="7"/>
      <c r="F514" s="7"/>
      <c r="G514" s="7"/>
      <c r="H514" s="12">
        <v>0.05</v>
      </c>
      <c r="I514" s="12">
        <v>0.03</v>
      </c>
      <c r="J514" s="12">
        <v>0.46</v>
      </c>
    </row>
    <row r="515" spans="2:10" ht="18.75" x14ac:dyDescent="0.25">
      <c r="B515" s="7" t="s">
        <v>15</v>
      </c>
      <c r="C515" s="7" t="s">
        <v>532</v>
      </c>
      <c r="D515" s="12">
        <v>0.218364</v>
      </c>
      <c r="E515" s="7"/>
      <c r="F515" s="7"/>
      <c r="G515" s="7"/>
      <c r="H515" s="12">
        <v>6.93</v>
      </c>
      <c r="I515" s="12">
        <v>3.29</v>
      </c>
      <c r="J515" s="12">
        <v>31.52</v>
      </c>
    </row>
    <row r="516" spans="2:10" ht="18.75" x14ac:dyDescent="0.25">
      <c r="B516" s="7" t="s">
        <v>15</v>
      </c>
      <c r="C516" s="7" t="s">
        <v>435</v>
      </c>
      <c r="D516" s="12">
        <v>0.83548699999999998</v>
      </c>
      <c r="E516" s="7"/>
      <c r="F516" s="7"/>
      <c r="G516" s="7"/>
      <c r="H516" s="12">
        <v>159.16</v>
      </c>
      <c r="I516" s="12">
        <v>32.21</v>
      </c>
      <c r="J516" s="12">
        <v>255.25</v>
      </c>
    </row>
    <row r="517" spans="2:10" ht="18.75" x14ac:dyDescent="0.25">
      <c r="B517" s="7" t="s">
        <v>15</v>
      </c>
      <c r="C517" s="7" t="s">
        <v>533</v>
      </c>
      <c r="D517" s="12">
        <v>0.33062900000000001</v>
      </c>
      <c r="E517" s="7"/>
      <c r="F517" s="7"/>
      <c r="G517" s="7"/>
      <c r="H517" s="12">
        <v>10.5</v>
      </c>
      <c r="I517" s="12">
        <v>4.99</v>
      </c>
      <c r="J517" s="12">
        <v>47.74</v>
      </c>
    </row>
    <row r="518" spans="2:10" ht="18.75" x14ac:dyDescent="0.25">
      <c r="B518" s="7" t="s">
        <v>15</v>
      </c>
      <c r="C518" s="7" t="s">
        <v>534</v>
      </c>
      <c r="D518" s="12">
        <v>0.64225100000000002</v>
      </c>
      <c r="E518" s="7"/>
      <c r="F518" s="7"/>
      <c r="G518" s="7"/>
      <c r="H518" s="12">
        <v>20.37</v>
      </c>
      <c r="I518" s="12">
        <v>9.68</v>
      </c>
      <c r="J518" s="12">
        <v>92.69</v>
      </c>
    </row>
    <row r="519" spans="2:10" ht="18.75" x14ac:dyDescent="0.25">
      <c r="B519" s="7" t="s">
        <v>15</v>
      </c>
      <c r="C519" s="7" t="s">
        <v>676</v>
      </c>
      <c r="D519" s="12">
        <v>1.6919E-2</v>
      </c>
      <c r="E519" s="7"/>
      <c r="F519" s="7"/>
      <c r="G519" s="7"/>
      <c r="H519" s="12">
        <v>0.38</v>
      </c>
      <c r="I519" s="12">
        <v>0.21</v>
      </c>
      <c r="J519" s="12">
        <v>3.38</v>
      </c>
    </row>
    <row r="520" spans="2:10" ht="18.75" x14ac:dyDescent="0.25">
      <c r="B520" s="7" t="s">
        <v>682</v>
      </c>
      <c r="C520" s="7" t="s">
        <v>518</v>
      </c>
      <c r="D520" s="12">
        <v>1.5899999999999999E-4</v>
      </c>
      <c r="E520" s="7"/>
      <c r="F520" s="7"/>
      <c r="G520" s="7"/>
      <c r="H520" s="12">
        <v>0.01</v>
      </c>
      <c r="I520" s="12">
        <v>0</v>
      </c>
      <c r="J520" s="12">
        <v>0.02</v>
      </c>
    </row>
    <row r="521" spans="2:10" ht="18.75" x14ac:dyDescent="0.25">
      <c r="B521" s="7" t="s">
        <v>15</v>
      </c>
      <c r="C521" s="7" t="s">
        <v>147</v>
      </c>
      <c r="D521" s="12">
        <v>7.6818999999999998E-2</v>
      </c>
      <c r="E521" s="7"/>
      <c r="F521" s="7"/>
      <c r="G521" s="7"/>
      <c r="H521" s="12">
        <v>4.26</v>
      </c>
      <c r="I521" s="12">
        <v>2.89</v>
      </c>
      <c r="J521" s="12">
        <v>51.86</v>
      </c>
    </row>
    <row r="522" spans="2:10" ht="18.75" x14ac:dyDescent="0.25">
      <c r="B522" s="7" t="s">
        <v>15</v>
      </c>
      <c r="C522" s="7" t="s">
        <v>714</v>
      </c>
      <c r="D522" s="12">
        <v>1.2E-4</v>
      </c>
      <c r="E522" s="7"/>
      <c r="F522" s="7"/>
      <c r="G522" s="7"/>
      <c r="H522" s="12">
        <v>0.02</v>
      </c>
      <c r="I522" s="12">
        <v>0</v>
      </c>
      <c r="J522" s="12">
        <v>0.04</v>
      </c>
    </row>
    <row r="523" spans="2:10" ht="18.75" x14ac:dyDescent="0.25">
      <c r="B523" s="7" t="s">
        <v>15</v>
      </c>
      <c r="C523" s="7" t="s">
        <v>50</v>
      </c>
      <c r="D523" s="12">
        <v>222.38749899999999</v>
      </c>
      <c r="E523" s="7"/>
      <c r="F523" s="7"/>
      <c r="G523" s="7"/>
      <c r="H523" s="12">
        <v>7059.64</v>
      </c>
      <c r="I523" s="12">
        <v>3353.26</v>
      </c>
      <c r="J523" s="12">
        <v>32115.52</v>
      </c>
    </row>
    <row r="524" spans="2:10" ht="18.75" x14ac:dyDescent="0.25">
      <c r="B524" s="7" t="s">
        <v>15</v>
      </c>
      <c r="C524" s="7" t="s">
        <v>74</v>
      </c>
      <c r="D524" s="12">
        <v>34.110047999999999</v>
      </c>
      <c r="E524" s="7"/>
      <c r="F524" s="7"/>
      <c r="G524" s="7"/>
      <c r="H524" s="12">
        <v>937.92</v>
      </c>
      <c r="I524" s="12">
        <v>131.79</v>
      </c>
      <c r="J524" s="12">
        <v>7293.7</v>
      </c>
    </row>
    <row r="525" spans="2:10" ht="18.75" x14ac:dyDescent="0.25">
      <c r="B525" s="7" t="s">
        <v>15</v>
      </c>
      <c r="C525" s="7" t="s">
        <v>436</v>
      </c>
      <c r="D525" s="12">
        <v>3.6700000000000003E-2</v>
      </c>
      <c r="E525" s="7"/>
      <c r="F525" s="7"/>
      <c r="G525" s="7"/>
      <c r="H525" s="12">
        <v>6.99</v>
      </c>
      <c r="I525" s="12">
        <v>1.41</v>
      </c>
      <c r="J525" s="12">
        <v>11.21</v>
      </c>
    </row>
    <row r="526" spans="2:10" ht="18.75" x14ac:dyDescent="0.25">
      <c r="B526" s="7" t="s">
        <v>15</v>
      </c>
      <c r="C526" s="7" t="s">
        <v>211</v>
      </c>
      <c r="D526" s="12">
        <v>8.6446999999999996E-2</v>
      </c>
      <c r="E526" s="7"/>
      <c r="F526" s="7"/>
      <c r="G526" s="7"/>
      <c r="H526" s="12">
        <v>2.74</v>
      </c>
      <c r="I526" s="12">
        <v>1.3</v>
      </c>
      <c r="J526" s="12">
        <v>12.48</v>
      </c>
    </row>
    <row r="527" spans="2:10" ht="18.75" x14ac:dyDescent="0.25">
      <c r="B527" s="7" t="s">
        <v>15</v>
      </c>
      <c r="C527" s="7" t="s">
        <v>535</v>
      </c>
      <c r="D527" s="12">
        <v>1.1002259999999999</v>
      </c>
      <c r="E527" s="7"/>
      <c r="F527" s="7"/>
      <c r="G527" s="7"/>
      <c r="H527" s="12">
        <v>34.92</v>
      </c>
      <c r="I527" s="12">
        <v>16.59</v>
      </c>
      <c r="J527" s="12">
        <v>158.87</v>
      </c>
    </row>
    <row r="528" spans="2:10" ht="18.75" x14ac:dyDescent="0.25">
      <c r="B528" s="7" t="s">
        <v>15</v>
      </c>
      <c r="C528" s="7" t="s">
        <v>560</v>
      </c>
      <c r="D528" s="12">
        <v>1.0377730000000001</v>
      </c>
      <c r="E528" s="7"/>
      <c r="F528" s="7"/>
      <c r="G528" s="7"/>
      <c r="H528" s="12">
        <v>5.03</v>
      </c>
      <c r="I528" s="12">
        <v>11.22</v>
      </c>
      <c r="J528" s="12">
        <v>44.86</v>
      </c>
    </row>
    <row r="529" spans="2:10" ht="18.75" x14ac:dyDescent="0.25">
      <c r="B529" s="7" t="s">
        <v>15</v>
      </c>
      <c r="C529" s="7" t="s">
        <v>437</v>
      </c>
      <c r="D529" s="12">
        <v>4.4799999999999996E-3</v>
      </c>
      <c r="E529" s="7"/>
      <c r="F529" s="7"/>
      <c r="G529" s="7"/>
      <c r="H529" s="12">
        <v>7.0000000000000007E-2</v>
      </c>
      <c r="I529" s="12">
        <v>0.03</v>
      </c>
      <c r="J529" s="12">
        <v>0.99</v>
      </c>
    </row>
    <row r="530" spans="2:10" ht="18.75" x14ac:dyDescent="0.25">
      <c r="B530" s="7" t="s">
        <v>15</v>
      </c>
      <c r="C530" s="7" t="s">
        <v>616</v>
      </c>
      <c r="D530" s="12">
        <v>0.10262400000000001</v>
      </c>
      <c r="E530" s="7"/>
      <c r="F530" s="7"/>
      <c r="G530" s="7"/>
      <c r="H530" s="12">
        <v>0.1</v>
      </c>
      <c r="I530" s="12">
        <v>0.04</v>
      </c>
      <c r="J530" s="12">
        <v>0.54</v>
      </c>
    </row>
    <row r="531" spans="2:10" ht="18.75" x14ac:dyDescent="0.25">
      <c r="B531" s="7" t="s">
        <v>15</v>
      </c>
      <c r="C531" s="7" t="s">
        <v>536</v>
      </c>
      <c r="D531" s="12">
        <v>0.97495500000000002</v>
      </c>
      <c r="E531" s="7"/>
      <c r="F531" s="7"/>
      <c r="G531" s="7"/>
      <c r="H531" s="12">
        <v>30.95</v>
      </c>
      <c r="I531" s="12">
        <v>14.7</v>
      </c>
      <c r="J531" s="12">
        <v>140.79</v>
      </c>
    </row>
    <row r="532" spans="2:10" ht="18.75" x14ac:dyDescent="0.25">
      <c r="B532" s="7" t="s">
        <v>15</v>
      </c>
      <c r="C532" s="7" t="s">
        <v>635</v>
      </c>
      <c r="D532" s="12">
        <v>7.9237000000000002E-2</v>
      </c>
      <c r="E532" s="7"/>
      <c r="F532" s="7"/>
      <c r="G532" s="7"/>
      <c r="H532" s="12">
        <v>2.4300000000000002</v>
      </c>
      <c r="I532" s="12">
        <v>0.41</v>
      </c>
      <c r="J532" s="12">
        <v>4.45</v>
      </c>
    </row>
    <row r="533" spans="2:10" ht="18.75" x14ac:dyDescent="0.25">
      <c r="B533" s="7" t="s">
        <v>15</v>
      </c>
      <c r="C533" s="7" t="s">
        <v>636</v>
      </c>
      <c r="D533" s="12">
        <v>0.65635699999999997</v>
      </c>
      <c r="E533" s="7"/>
      <c r="F533" s="7"/>
      <c r="G533" s="7"/>
      <c r="H533" s="12">
        <v>20.260000000000002</v>
      </c>
      <c r="I533" s="12">
        <v>3.39</v>
      </c>
      <c r="J533" s="12">
        <v>37.08</v>
      </c>
    </row>
    <row r="534" spans="2:10" ht="18.75" x14ac:dyDescent="0.25">
      <c r="B534" s="7" t="s">
        <v>15</v>
      </c>
      <c r="C534" s="7" t="s">
        <v>538</v>
      </c>
      <c r="D534" s="12">
        <v>2.6245690000000002</v>
      </c>
      <c r="E534" s="7"/>
      <c r="F534" s="7"/>
      <c r="G534" s="7"/>
      <c r="H534" s="12">
        <v>83.31</v>
      </c>
      <c r="I534" s="12">
        <v>39.57</v>
      </c>
      <c r="J534" s="12">
        <v>379</v>
      </c>
    </row>
    <row r="535" spans="2:10" ht="18.75" x14ac:dyDescent="0.25">
      <c r="B535" s="7" t="s">
        <v>15</v>
      </c>
      <c r="C535" s="7" t="s">
        <v>539</v>
      </c>
      <c r="D535" s="12">
        <v>0.602024</v>
      </c>
      <c r="E535" s="7"/>
      <c r="F535" s="7"/>
      <c r="G535" s="7"/>
      <c r="H535" s="12">
        <v>19.11</v>
      </c>
      <c r="I535" s="12">
        <v>9.08</v>
      </c>
      <c r="J535" s="12">
        <v>86.95</v>
      </c>
    </row>
    <row r="536" spans="2:10" ht="18.75" x14ac:dyDescent="0.25">
      <c r="B536" s="7" t="s">
        <v>15</v>
      </c>
      <c r="C536" s="7" t="s">
        <v>540</v>
      </c>
      <c r="D536" s="12">
        <v>0.12698999999999999</v>
      </c>
      <c r="E536" s="7"/>
      <c r="F536" s="7"/>
      <c r="G536" s="7"/>
      <c r="H536" s="12">
        <v>4.03</v>
      </c>
      <c r="I536" s="12">
        <v>1.91</v>
      </c>
      <c r="J536" s="12">
        <v>18.329999999999998</v>
      </c>
    </row>
    <row r="537" spans="2:10" ht="18.75" x14ac:dyDescent="0.25">
      <c r="B537" s="7" t="s">
        <v>15</v>
      </c>
      <c r="C537" s="7" t="s">
        <v>478</v>
      </c>
      <c r="D537" s="12">
        <v>0.80554199999999998</v>
      </c>
      <c r="E537" s="7"/>
      <c r="F537" s="7"/>
      <c r="G537" s="7"/>
      <c r="H537" s="12">
        <v>22.22</v>
      </c>
      <c r="I537" s="12">
        <v>3.12</v>
      </c>
      <c r="J537" s="12">
        <v>172.79</v>
      </c>
    </row>
    <row r="538" spans="2:10" ht="18.75" x14ac:dyDescent="0.25">
      <c r="B538" s="7" t="s">
        <v>15</v>
      </c>
      <c r="C538" s="7" t="s">
        <v>441</v>
      </c>
      <c r="D538" s="12">
        <v>1.2402E-2</v>
      </c>
      <c r="E538" s="7"/>
      <c r="F538" s="7"/>
      <c r="G538" s="7"/>
      <c r="H538" s="12">
        <v>0.2</v>
      </c>
      <c r="I538" s="12">
        <v>0.09</v>
      </c>
      <c r="J538" s="12">
        <v>2.75</v>
      </c>
    </row>
    <row r="539" spans="2:10" ht="18.75" x14ac:dyDescent="0.25">
      <c r="B539" s="7" t="s">
        <v>15</v>
      </c>
      <c r="C539" s="7" t="s">
        <v>442</v>
      </c>
      <c r="D539" s="12">
        <v>0.69711299999999998</v>
      </c>
      <c r="E539" s="7"/>
      <c r="F539" s="7"/>
      <c r="G539" s="7"/>
      <c r="H539" s="12">
        <v>83.21</v>
      </c>
      <c r="I539" s="12">
        <v>19.690000000000001</v>
      </c>
      <c r="J539" s="12">
        <v>270.75</v>
      </c>
    </row>
    <row r="540" spans="2:10" ht="18.75" x14ac:dyDescent="0.25">
      <c r="B540" s="7" t="s">
        <v>15</v>
      </c>
      <c r="C540" s="7" t="s">
        <v>237</v>
      </c>
      <c r="D540" s="12">
        <v>0.75780700000000001</v>
      </c>
      <c r="E540" s="7"/>
      <c r="F540" s="7"/>
      <c r="G540" s="7"/>
      <c r="H540" s="12">
        <v>0.72</v>
      </c>
      <c r="I540" s="12">
        <v>0.32</v>
      </c>
      <c r="J540" s="12">
        <v>4.03</v>
      </c>
    </row>
    <row r="541" spans="2:10" ht="18.75" x14ac:dyDescent="0.25">
      <c r="B541" s="7" t="s">
        <v>15</v>
      </c>
      <c r="C541" s="7" t="s">
        <v>715</v>
      </c>
      <c r="D541" s="12">
        <v>0</v>
      </c>
      <c r="E541" s="7"/>
      <c r="F541" s="7"/>
      <c r="G541" s="7"/>
      <c r="H541" s="12">
        <v>0</v>
      </c>
      <c r="I541" s="12">
        <v>0</v>
      </c>
      <c r="J541" s="12">
        <v>0</v>
      </c>
    </row>
    <row r="542" spans="2:10" ht="18.75" x14ac:dyDescent="0.25">
      <c r="B542" s="7" t="s">
        <v>15</v>
      </c>
      <c r="C542" s="7" t="s">
        <v>541</v>
      </c>
      <c r="D542" s="12">
        <v>5.3441000000000002E-2</v>
      </c>
      <c r="E542" s="7"/>
      <c r="F542" s="7"/>
      <c r="G542" s="7"/>
      <c r="H542" s="12">
        <v>1.7</v>
      </c>
      <c r="I542" s="12">
        <v>0.81</v>
      </c>
      <c r="J542" s="12">
        <v>7.72</v>
      </c>
    </row>
    <row r="543" spans="2:10" ht="18.75" x14ac:dyDescent="0.25">
      <c r="B543" s="7" t="s">
        <v>15</v>
      </c>
      <c r="C543" s="7" t="s">
        <v>577</v>
      </c>
      <c r="D543" s="12">
        <v>1.3339999999999999E-3</v>
      </c>
      <c r="E543" s="7"/>
      <c r="F543" s="7"/>
      <c r="G543" s="7"/>
      <c r="H543" s="12">
        <v>0.01</v>
      </c>
      <c r="I543" s="12">
        <v>0.01</v>
      </c>
      <c r="J543" s="12">
        <v>0.06</v>
      </c>
    </row>
    <row r="544" spans="2:10" ht="18.75" x14ac:dyDescent="0.25">
      <c r="B544" s="7" t="s">
        <v>15</v>
      </c>
      <c r="C544" s="7" t="s">
        <v>444</v>
      </c>
      <c r="D544" s="12">
        <v>1.0116999999999999E-2</v>
      </c>
      <c r="E544" s="7"/>
      <c r="F544" s="7"/>
      <c r="G544" s="7"/>
      <c r="H544" s="12">
        <v>0.47</v>
      </c>
      <c r="I544" s="12">
        <v>0.43</v>
      </c>
      <c r="J544" s="12">
        <v>2.2000000000000002</v>
      </c>
    </row>
    <row r="545" spans="2:10" ht="18.75" x14ac:dyDescent="0.25">
      <c r="B545" s="7" t="s">
        <v>15</v>
      </c>
      <c r="C545" s="7" t="s">
        <v>578</v>
      </c>
      <c r="D545" s="12">
        <v>9.9554000000000004E-2</v>
      </c>
      <c r="E545" s="7"/>
      <c r="F545" s="7"/>
      <c r="G545" s="7"/>
      <c r="H545" s="12">
        <v>4.63</v>
      </c>
      <c r="I545" s="12">
        <v>4.1900000000000004</v>
      </c>
      <c r="J545" s="12">
        <v>21.65</v>
      </c>
    </row>
    <row r="546" spans="2:10" ht="18.75" x14ac:dyDescent="0.25">
      <c r="B546" s="7" t="s">
        <v>15</v>
      </c>
      <c r="C546" s="7" t="s">
        <v>623</v>
      </c>
      <c r="D546" s="12">
        <v>0.26189899999999999</v>
      </c>
      <c r="E546" s="7"/>
      <c r="F546" s="7"/>
      <c r="G546" s="7"/>
      <c r="H546" s="12">
        <v>0.25</v>
      </c>
      <c r="I546" s="12">
        <v>0.11</v>
      </c>
      <c r="J546" s="12">
        <v>1.39</v>
      </c>
    </row>
    <row r="547" spans="2:10" ht="18.75" x14ac:dyDescent="0.25">
      <c r="B547" s="7" t="s">
        <v>15</v>
      </c>
      <c r="C547" s="7" t="s">
        <v>567</v>
      </c>
      <c r="D547" s="12">
        <v>0.163411</v>
      </c>
      <c r="E547" s="7"/>
      <c r="F547" s="7"/>
      <c r="G547" s="7"/>
      <c r="H547" s="12">
        <v>5.19</v>
      </c>
      <c r="I547" s="12">
        <v>2.46</v>
      </c>
      <c r="J547" s="12">
        <v>23.6</v>
      </c>
    </row>
    <row r="548" spans="2:10" ht="18.75" x14ac:dyDescent="0.25">
      <c r="B548" s="7" t="s">
        <v>15</v>
      </c>
      <c r="C548" s="7" t="s">
        <v>45</v>
      </c>
      <c r="D548" s="12">
        <v>1.2140869999999999</v>
      </c>
      <c r="E548" s="7"/>
      <c r="F548" s="7"/>
      <c r="G548" s="7"/>
      <c r="H548" s="12">
        <v>37.340000000000003</v>
      </c>
      <c r="I548" s="12">
        <v>6.24</v>
      </c>
      <c r="J548" s="12">
        <v>68.33</v>
      </c>
    </row>
    <row r="549" spans="2:10" ht="18.75" x14ac:dyDescent="0.25">
      <c r="B549" s="7" t="s">
        <v>15</v>
      </c>
      <c r="C549" s="7" t="s">
        <v>159</v>
      </c>
      <c r="D549" s="12">
        <v>2.6058000000000001E-2</v>
      </c>
      <c r="E549" s="7"/>
      <c r="F549" s="7"/>
      <c r="G549" s="7"/>
      <c r="H549" s="12">
        <v>0.02</v>
      </c>
      <c r="I549" s="12">
        <v>0.01</v>
      </c>
      <c r="J549" s="12">
        <v>0.14000000000000001</v>
      </c>
    </row>
    <row r="550" spans="2:10" ht="18.75" x14ac:dyDescent="0.25">
      <c r="B550" s="7" t="s">
        <v>15</v>
      </c>
      <c r="C550" s="7" t="s">
        <v>480</v>
      </c>
      <c r="D550" s="12">
        <v>0.92599500000000001</v>
      </c>
      <c r="E550" s="7"/>
      <c r="F550" s="7"/>
      <c r="G550" s="7"/>
      <c r="H550" s="12">
        <v>25.46</v>
      </c>
      <c r="I550" s="12">
        <v>3.58</v>
      </c>
      <c r="J550" s="12">
        <v>197.98</v>
      </c>
    </row>
    <row r="551" spans="2:10" ht="18.75" x14ac:dyDescent="0.25">
      <c r="B551" s="7" t="s">
        <v>15</v>
      </c>
      <c r="C551" s="7" t="s">
        <v>446</v>
      </c>
      <c r="D551" s="12">
        <v>3.2924000000000002E-2</v>
      </c>
      <c r="E551" s="7"/>
      <c r="F551" s="7"/>
      <c r="G551" s="7"/>
      <c r="H551" s="12">
        <v>1.82</v>
      </c>
      <c r="I551" s="12">
        <v>1.24</v>
      </c>
      <c r="J551" s="12">
        <v>22.23</v>
      </c>
    </row>
    <row r="552" spans="2:10" ht="18.75" x14ac:dyDescent="0.25">
      <c r="B552" s="7" t="s">
        <v>15</v>
      </c>
      <c r="C552" s="7" t="s">
        <v>460</v>
      </c>
      <c r="D552" s="12">
        <v>1.45E-4</v>
      </c>
      <c r="E552" s="7"/>
      <c r="F552" s="7"/>
      <c r="G552" s="7"/>
      <c r="H552" s="12">
        <v>0.02</v>
      </c>
      <c r="I552" s="12">
        <v>0</v>
      </c>
      <c r="J552" s="12">
        <v>0.06</v>
      </c>
    </row>
    <row r="553" spans="2:10" ht="18.75" x14ac:dyDescent="0.25">
      <c r="B553" s="7" t="s">
        <v>15</v>
      </c>
      <c r="C553" s="7" t="s">
        <v>661</v>
      </c>
      <c r="D553" s="12">
        <v>5.5517999999999998E-2</v>
      </c>
      <c r="E553" s="7"/>
      <c r="F553" s="7"/>
      <c r="G553" s="7"/>
      <c r="H553" s="12">
        <v>1.71</v>
      </c>
      <c r="I553" s="12">
        <v>0.28999999999999998</v>
      </c>
      <c r="J553" s="12">
        <v>3.12</v>
      </c>
    </row>
    <row r="555" spans="2:10" x14ac:dyDescent="0.25">
      <c r="B555" s="11" t="s">
        <v>25</v>
      </c>
    </row>
  </sheetData>
  <mergeCells count="2">
    <mergeCell ref="B2:D3"/>
    <mergeCell ref="E7:G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6"/>
  <sheetViews>
    <sheetView workbookViewId="0">
      <selection activeCell="I2" sqref="I2"/>
    </sheetView>
  </sheetViews>
  <sheetFormatPr defaultRowHeight="15" x14ac:dyDescent="0.25"/>
  <cols>
    <col min="4" max="5" width="13.5703125" bestFit="1" customWidth="1"/>
  </cols>
  <sheetData>
    <row r="1" spans="1:13" x14ac:dyDescent="0.25">
      <c r="A1" t="s">
        <v>27</v>
      </c>
      <c r="B1" t="s">
        <v>250</v>
      </c>
      <c r="C1" t="s">
        <v>28</v>
      </c>
      <c r="D1" t="s">
        <v>683</v>
      </c>
      <c r="E1" t="s">
        <v>684</v>
      </c>
      <c r="F1" t="s">
        <v>31</v>
      </c>
      <c r="G1" t="s">
        <v>32</v>
      </c>
      <c r="H1" t="s">
        <v>33</v>
      </c>
    </row>
    <row r="2" spans="1:13" x14ac:dyDescent="0.25">
      <c r="A2" t="s">
        <v>34</v>
      </c>
      <c r="B2" t="s">
        <v>258</v>
      </c>
      <c r="C2" t="s">
        <v>483</v>
      </c>
      <c r="D2" s="24">
        <v>1755427.1999999899</v>
      </c>
      <c r="E2" s="24">
        <v>1755562.3599999901</v>
      </c>
      <c r="F2" s="24">
        <v>55.723360999999997</v>
      </c>
      <c r="G2" s="24">
        <v>26.46799</v>
      </c>
      <c r="H2" s="24">
        <v>253.49543</v>
      </c>
      <c r="I2" t="s">
        <v>15</v>
      </c>
      <c r="J2" s="24">
        <f>+ROUND(E2,0)/1000000</f>
        <v>1.7555620000000001</v>
      </c>
      <c r="K2" s="24">
        <f>+ROUND(F2,2)</f>
        <v>55.72</v>
      </c>
      <c r="L2" s="24">
        <f t="shared" ref="L2:M2" si="0">+ROUND(G2,2)</f>
        <v>26.47</v>
      </c>
      <c r="M2" s="24">
        <f t="shared" si="0"/>
        <v>253.5</v>
      </c>
    </row>
    <row r="3" spans="1:13" x14ac:dyDescent="0.25">
      <c r="A3" t="s">
        <v>34</v>
      </c>
      <c r="B3" t="s">
        <v>258</v>
      </c>
      <c r="C3" t="s">
        <v>484</v>
      </c>
      <c r="D3" s="24">
        <v>371247.34999999899</v>
      </c>
      <c r="E3" s="24">
        <v>371248.76999999897</v>
      </c>
      <c r="F3" s="24">
        <v>11.783526</v>
      </c>
      <c r="G3" s="24">
        <v>5.5970319999999996</v>
      </c>
      <c r="H3" s="24">
        <v>53.605479000000003</v>
      </c>
      <c r="I3" t="s">
        <v>15</v>
      </c>
      <c r="J3" s="24">
        <f t="shared" ref="J3:J66" si="1">+ROUND(E3,0)/1000000</f>
        <v>0.371249</v>
      </c>
      <c r="K3" s="24">
        <f t="shared" ref="K3:K66" si="2">+ROUND(F3,2)</f>
        <v>11.78</v>
      </c>
      <c r="L3" s="24">
        <f t="shared" ref="L3:L66" si="3">+ROUND(G3,2)</f>
        <v>5.6</v>
      </c>
      <c r="M3" s="24">
        <f t="shared" ref="M3:M66" si="4">+ROUND(H3,2)</f>
        <v>53.61</v>
      </c>
    </row>
    <row r="4" spans="1:13" x14ac:dyDescent="0.25">
      <c r="A4" t="s">
        <v>38</v>
      </c>
      <c r="B4" t="s">
        <v>258</v>
      </c>
      <c r="C4" t="s">
        <v>295</v>
      </c>
      <c r="D4" s="24">
        <v>23087.93</v>
      </c>
      <c r="E4" s="24">
        <v>23087.93</v>
      </c>
      <c r="F4" s="24">
        <v>0.51744400000000002</v>
      </c>
      <c r="G4" s="24">
        <v>0.28128700000000001</v>
      </c>
      <c r="H4" s="24">
        <v>4.6073550000000001</v>
      </c>
      <c r="I4" t="s">
        <v>15</v>
      </c>
      <c r="J4" s="24">
        <f t="shared" si="1"/>
        <v>2.3088000000000001E-2</v>
      </c>
      <c r="K4" s="24">
        <f t="shared" si="2"/>
        <v>0.52</v>
      </c>
      <c r="L4" s="24">
        <f t="shared" si="3"/>
        <v>0.28000000000000003</v>
      </c>
      <c r="M4" s="24">
        <f t="shared" si="4"/>
        <v>4.6100000000000003</v>
      </c>
    </row>
    <row r="5" spans="1:13" x14ac:dyDescent="0.25">
      <c r="A5" t="s">
        <v>38</v>
      </c>
      <c r="B5" t="s">
        <v>258</v>
      </c>
      <c r="C5" t="s">
        <v>296</v>
      </c>
      <c r="D5" s="24">
        <v>138219.209999999</v>
      </c>
      <c r="E5" s="24">
        <v>138391.58999999901</v>
      </c>
      <c r="F5" s="24">
        <v>1.984631</v>
      </c>
      <c r="G5" s="24">
        <v>3.6700710000000001</v>
      </c>
      <c r="H5" s="24">
        <v>25.361727999999999</v>
      </c>
      <c r="I5" t="s">
        <v>15</v>
      </c>
      <c r="J5" s="24">
        <f t="shared" si="1"/>
        <v>0.13839199999999999</v>
      </c>
      <c r="K5" s="24">
        <f t="shared" si="2"/>
        <v>1.98</v>
      </c>
      <c r="L5" s="24">
        <f t="shared" si="3"/>
        <v>3.67</v>
      </c>
      <c r="M5" s="24">
        <f t="shared" si="4"/>
        <v>25.36</v>
      </c>
    </row>
    <row r="6" spans="1:13" x14ac:dyDescent="0.25">
      <c r="A6" t="s">
        <v>38</v>
      </c>
      <c r="B6" t="s">
        <v>258</v>
      </c>
      <c r="C6" t="s">
        <v>297</v>
      </c>
      <c r="D6" s="24">
        <v>251917.209999999</v>
      </c>
      <c r="E6" s="24">
        <v>252474.53999999899</v>
      </c>
      <c r="F6" s="24">
        <v>10.280874000000001</v>
      </c>
      <c r="G6" s="24">
        <v>3.740796</v>
      </c>
      <c r="H6" s="24">
        <v>35.933486000000002</v>
      </c>
      <c r="I6" t="s">
        <v>15</v>
      </c>
      <c r="J6" s="24">
        <f t="shared" si="1"/>
        <v>0.252475</v>
      </c>
      <c r="K6" s="24">
        <f t="shared" si="2"/>
        <v>10.28</v>
      </c>
      <c r="L6" s="24">
        <f t="shared" si="3"/>
        <v>3.74</v>
      </c>
      <c r="M6" s="24">
        <f t="shared" si="4"/>
        <v>35.93</v>
      </c>
    </row>
    <row r="7" spans="1:13" x14ac:dyDescent="0.25">
      <c r="A7" t="s">
        <v>41</v>
      </c>
      <c r="B7" t="s">
        <v>258</v>
      </c>
      <c r="C7" t="s">
        <v>568</v>
      </c>
      <c r="D7" s="24">
        <v>8171.07</v>
      </c>
      <c r="E7" s="24">
        <v>8171.07</v>
      </c>
      <c r="F7" s="24">
        <v>7.737E-3</v>
      </c>
      <c r="G7" s="24">
        <v>3.4749999999999998E-3</v>
      </c>
      <c r="H7" s="24">
        <v>4.3368999999999998E-2</v>
      </c>
      <c r="I7" t="s">
        <v>15</v>
      </c>
      <c r="J7" s="24">
        <f t="shared" si="1"/>
        <v>8.1709999999999994E-3</v>
      </c>
      <c r="K7" s="24">
        <f t="shared" si="2"/>
        <v>0.01</v>
      </c>
      <c r="L7" s="24">
        <f t="shared" si="3"/>
        <v>0</v>
      </c>
      <c r="M7" s="24">
        <f t="shared" si="4"/>
        <v>0.04</v>
      </c>
    </row>
    <row r="8" spans="1:13" x14ac:dyDescent="0.25">
      <c r="A8" t="s">
        <v>34</v>
      </c>
      <c r="B8" t="s">
        <v>258</v>
      </c>
      <c r="C8" t="s">
        <v>485</v>
      </c>
      <c r="D8" s="24">
        <v>3874055.9299999899</v>
      </c>
      <c r="E8" s="24">
        <v>3874262.3399999901</v>
      </c>
      <c r="F8" s="24">
        <v>122.992649</v>
      </c>
      <c r="G8" s="24">
        <v>58.420110999999999</v>
      </c>
      <c r="H8" s="24">
        <v>559.51599799999997</v>
      </c>
      <c r="I8" t="s">
        <v>15</v>
      </c>
      <c r="J8" s="24">
        <f t="shared" si="1"/>
        <v>3.8742619999999999</v>
      </c>
      <c r="K8" s="24">
        <f t="shared" si="2"/>
        <v>122.99</v>
      </c>
      <c r="L8" s="24">
        <f t="shared" si="3"/>
        <v>58.42</v>
      </c>
      <c r="M8" s="24">
        <f t="shared" si="4"/>
        <v>559.52</v>
      </c>
    </row>
    <row r="9" spans="1:13" x14ac:dyDescent="0.25">
      <c r="A9" t="s">
        <v>54</v>
      </c>
      <c r="B9" t="s">
        <v>321</v>
      </c>
      <c r="C9" t="s">
        <v>55</v>
      </c>
      <c r="D9" s="24">
        <v>667.91</v>
      </c>
      <c r="E9" s="24">
        <v>667.91</v>
      </c>
      <c r="F9" s="24">
        <v>6.3000000000000003E-4</v>
      </c>
      <c r="G9" s="24">
        <v>2.8200000000000002E-4</v>
      </c>
      <c r="H9" s="24">
        <v>3.5360000000000001E-3</v>
      </c>
      <c r="I9" t="s">
        <v>682</v>
      </c>
      <c r="J9" s="24">
        <f t="shared" si="1"/>
        <v>6.6799999999999997E-4</v>
      </c>
      <c r="K9" s="24">
        <f t="shared" si="2"/>
        <v>0</v>
      </c>
      <c r="L9" s="24">
        <f t="shared" si="3"/>
        <v>0</v>
      </c>
      <c r="M9" s="24">
        <f t="shared" si="4"/>
        <v>0</v>
      </c>
    </row>
    <row r="10" spans="1:13" x14ac:dyDescent="0.25">
      <c r="A10" t="s">
        <v>61</v>
      </c>
      <c r="B10" t="s">
        <v>258</v>
      </c>
      <c r="C10" t="s">
        <v>226</v>
      </c>
      <c r="D10" s="24">
        <v>5759096.7699999996</v>
      </c>
      <c r="E10" s="24">
        <v>5759096.7699999996</v>
      </c>
      <c r="F10" s="24">
        <v>362.76820800000002</v>
      </c>
      <c r="G10" s="24">
        <v>26.080631</v>
      </c>
      <c r="H10" s="24">
        <v>565.61962400000004</v>
      </c>
      <c r="I10" t="s">
        <v>15</v>
      </c>
      <c r="J10" s="24">
        <f t="shared" si="1"/>
        <v>5.7590969999999997</v>
      </c>
      <c r="K10" s="24">
        <f t="shared" si="2"/>
        <v>362.77</v>
      </c>
      <c r="L10" s="24">
        <f t="shared" si="3"/>
        <v>26.08</v>
      </c>
      <c r="M10" s="24">
        <f t="shared" si="4"/>
        <v>565.62</v>
      </c>
    </row>
    <row r="11" spans="1:13" x14ac:dyDescent="0.25">
      <c r="A11" t="s">
        <v>38</v>
      </c>
      <c r="B11" t="s">
        <v>258</v>
      </c>
      <c r="C11" t="s">
        <v>298</v>
      </c>
      <c r="D11" s="24">
        <v>135750.46999999901</v>
      </c>
      <c r="E11" s="24">
        <v>135803.139999999</v>
      </c>
      <c r="F11" s="24">
        <v>3.042316</v>
      </c>
      <c r="G11" s="24">
        <v>1.6538349999999999</v>
      </c>
      <c r="H11" s="24">
        <v>27.088941999999999</v>
      </c>
      <c r="I11" t="s">
        <v>15</v>
      </c>
      <c r="J11" s="24">
        <f t="shared" si="1"/>
        <v>0.13580300000000001</v>
      </c>
      <c r="K11" s="24">
        <f t="shared" si="2"/>
        <v>3.04</v>
      </c>
      <c r="L11" s="24">
        <f t="shared" si="3"/>
        <v>1.65</v>
      </c>
      <c r="M11" s="24">
        <f t="shared" si="4"/>
        <v>27.09</v>
      </c>
    </row>
    <row r="12" spans="1:13" x14ac:dyDescent="0.25">
      <c r="A12" t="s">
        <v>67</v>
      </c>
      <c r="B12" t="s">
        <v>321</v>
      </c>
      <c r="C12" t="s">
        <v>243</v>
      </c>
      <c r="D12" s="24">
        <v>538782.85</v>
      </c>
      <c r="E12" s="24">
        <v>538782.85</v>
      </c>
      <c r="F12" s="24">
        <v>0.48745899999999998</v>
      </c>
      <c r="G12" s="24">
        <v>0.22819500000000001</v>
      </c>
      <c r="H12" s="24">
        <v>2.833145</v>
      </c>
      <c r="I12" t="s">
        <v>682</v>
      </c>
      <c r="J12" s="24">
        <f t="shared" si="1"/>
        <v>0.53878300000000001</v>
      </c>
      <c r="K12" s="24">
        <f t="shared" si="2"/>
        <v>0.49</v>
      </c>
      <c r="L12" s="24">
        <f t="shared" si="3"/>
        <v>0.23</v>
      </c>
      <c r="M12" s="24">
        <f t="shared" si="4"/>
        <v>2.83</v>
      </c>
    </row>
    <row r="13" spans="1:13" x14ac:dyDescent="0.25">
      <c r="A13" t="s">
        <v>54</v>
      </c>
      <c r="B13" t="s">
        <v>321</v>
      </c>
      <c r="C13" t="s">
        <v>163</v>
      </c>
      <c r="D13" s="24">
        <v>162.24</v>
      </c>
      <c r="E13" s="24">
        <v>162.24</v>
      </c>
      <c r="F13" s="24">
        <v>9.5000000000000005E-5</v>
      </c>
      <c r="G13" s="24">
        <v>6.4999999999999994E-5</v>
      </c>
      <c r="H13" s="24">
        <v>7.9000000000000001E-4</v>
      </c>
      <c r="I13" t="s">
        <v>682</v>
      </c>
      <c r="J13" s="24">
        <f t="shared" si="1"/>
        <v>1.6200000000000001E-4</v>
      </c>
      <c r="K13" s="24">
        <f t="shared" si="2"/>
        <v>0</v>
      </c>
      <c r="L13" s="24">
        <f t="shared" si="3"/>
        <v>0</v>
      </c>
      <c r="M13" s="24">
        <f t="shared" si="4"/>
        <v>0</v>
      </c>
    </row>
    <row r="14" spans="1:13" x14ac:dyDescent="0.25">
      <c r="A14" t="s">
        <v>662</v>
      </c>
      <c r="B14" t="s">
        <v>258</v>
      </c>
      <c r="C14" t="s">
        <v>685</v>
      </c>
      <c r="D14" s="24">
        <v>1291.8599999999999</v>
      </c>
      <c r="E14" s="24">
        <v>1291.8599999999999</v>
      </c>
      <c r="F14" s="24">
        <v>3.9661000000000002E-2</v>
      </c>
      <c r="G14" s="24">
        <v>6.6280000000000002E-3</v>
      </c>
      <c r="H14" s="24">
        <v>7.2568999999999995E-2</v>
      </c>
      <c r="I14" t="s">
        <v>15</v>
      </c>
      <c r="J14" s="24">
        <f t="shared" si="1"/>
        <v>1.292E-3</v>
      </c>
      <c r="K14" s="24">
        <f t="shared" si="2"/>
        <v>0.04</v>
      </c>
      <c r="L14" s="24">
        <f t="shared" si="3"/>
        <v>0.01</v>
      </c>
      <c r="M14" s="24">
        <f t="shared" si="4"/>
        <v>7.0000000000000007E-2</v>
      </c>
    </row>
    <row r="15" spans="1:13" x14ac:dyDescent="0.25">
      <c r="A15" t="s">
        <v>34</v>
      </c>
      <c r="B15" t="s">
        <v>258</v>
      </c>
      <c r="C15" t="s">
        <v>486</v>
      </c>
      <c r="D15" s="24">
        <v>690986.45999999903</v>
      </c>
      <c r="E15" s="24">
        <v>690995.94999999902</v>
      </c>
      <c r="F15" s="24">
        <v>21.972956</v>
      </c>
      <c r="G15" s="24">
        <v>10.436870000000001</v>
      </c>
      <c r="H15" s="24">
        <v>99.959228999999993</v>
      </c>
      <c r="I15" t="s">
        <v>15</v>
      </c>
      <c r="J15" s="24">
        <f t="shared" si="1"/>
        <v>0.69099600000000005</v>
      </c>
      <c r="K15" s="24">
        <f t="shared" si="2"/>
        <v>21.97</v>
      </c>
      <c r="L15" s="24">
        <f t="shared" si="3"/>
        <v>10.44</v>
      </c>
      <c r="M15" s="24">
        <f t="shared" si="4"/>
        <v>99.96</v>
      </c>
    </row>
    <row r="16" spans="1:13" x14ac:dyDescent="0.25">
      <c r="A16" t="s">
        <v>38</v>
      </c>
      <c r="B16" t="s">
        <v>258</v>
      </c>
      <c r="C16" t="s">
        <v>336</v>
      </c>
      <c r="D16" s="24">
        <v>1730694.22999999</v>
      </c>
      <c r="E16" s="24">
        <v>1730808.3999999899</v>
      </c>
      <c r="F16" s="24">
        <v>206.59967800000001</v>
      </c>
      <c r="G16" s="24">
        <v>48.885871000000002</v>
      </c>
      <c r="H16" s="24">
        <v>672.21837400000004</v>
      </c>
      <c r="I16" t="s">
        <v>15</v>
      </c>
      <c r="J16" s="24">
        <f t="shared" si="1"/>
        <v>1.7308079999999999</v>
      </c>
      <c r="K16" s="24">
        <f t="shared" si="2"/>
        <v>206.6</v>
      </c>
      <c r="L16" s="24">
        <f t="shared" si="3"/>
        <v>48.89</v>
      </c>
      <c r="M16" s="24">
        <f t="shared" si="4"/>
        <v>672.22</v>
      </c>
    </row>
    <row r="17" spans="1:13" x14ac:dyDescent="0.25">
      <c r="A17" t="s">
        <v>38</v>
      </c>
      <c r="B17" t="s">
        <v>258</v>
      </c>
      <c r="C17" t="s">
        <v>300</v>
      </c>
      <c r="D17" s="24">
        <v>170825.07</v>
      </c>
      <c r="E17" s="24">
        <v>170825.07</v>
      </c>
      <c r="F17" s="24">
        <v>32.536479999999997</v>
      </c>
      <c r="G17" s="24">
        <v>6.5844300000000002</v>
      </c>
      <c r="H17" s="24">
        <v>52.179217999999999</v>
      </c>
      <c r="I17" t="s">
        <v>15</v>
      </c>
      <c r="J17" s="24">
        <f t="shared" si="1"/>
        <v>0.170825</v>
      </c>
      <c r="K17" s="24">
        <f t="shared" si="2"/>
        <v>32.54</v>
      </c>
      <c r="L17" s="24">
        <f t="shared" si="3"/>
        <v>6.58</v>
      </c>
      <c r="M17" s="24">
        <f t="shared" si="4"/>
        <v>52.18</v>
      </c>
    </row>
    <row r="18" spans="1:13" x14ac:dyDescent="0.25">
      <c r="A18" t="s">
        <v>38</v>
      </c>
      <c r="B18" t="s">
        <v>258</v>
      </c>
      <c r="C18" t="s">
        <v>301</v>
      </c>
      <c r="D18" s="24">
        <v>4553.53</v>
      </c>
      <c r="E18" s="24">
        <v>4553.53</v>
      </c>
      <c r="F18" s="24">
        <v>0.102022</v>
      </c>
      <c r="G18" s="24">
        <v>5.5460000000000002E-2</v>
      </c>
      <c r="H18" s="24">
        <v>0.90841799999999995</v>
      </c>
      <c r="I18" t="s">
        <v>15</v>
      </c>
      <c r="J18" s="24">
        <f t="shared" si="1"/>
        <v>4.5539999999999999E-3</v>
      </c>
      <c r="K18" s="24">
        <f t="shared" si="2"/>
        <v>0.1</v>
      </c>
      <c r="L18" s="24">
        <f t="shared" si="3"/>
        <v>0.06</v>
      </c>
      <c r="M18" s="24">
        <f t="shared" si="4"/>
        <v>0.91</v>
      </c>
    </row>
    <row r="19" spans="1:13" x14ac:dyDescent="0.25">
      <c r="A19" t="s">
        <v>38</v>
      </c>
      <c r="B19" t="s">
        <v>258</v>
      </c>
      <c r="C19" t="s">
        <v>302</v>
      </c>
      <c r="D19" s="24">
        <v>19375.310000000001</v>
      </c>
      <c r="E19" s="24">
        <v>19375.310000000001</v>
      </c>
      <c r="F19" s="24">
        <v>1.072973</v>
      </c>
      <c r="G19" s="24">
        <v>0.72951900000000003</v>
      </c>
      <c r="H19" s="24">
        <v>13.076067999999999</v>
      </c>
      <c r="I19" t="s">
        <v>15</v>
      </c>
      <c r="J19" s="24">
        <f t="shared" si="1"/>
        <v>1.9375E-2</v>
      </c>
      <c r="K19" s="24">
        <f t="shared" si="2"/>
        <v>1.07</v>
      </c>
      <c r="L19" s="24">
        <f t="shared" si="3"/>
        <v>0.73</v>
      </c>
      <c r="M19" s="24">
        <f t="shared" si="4"/>
        <v>13.08</v>
      </c>
    </row>
    <row r="20" spans="1:13" x14ac:dyDescent="0.25">
      <c r="A20" t="s">
        <v>646</v>
      </c>
      <c r="B20" t="s">
        <v>258</v>
      </c>
      <c r="C20" t="s">
        <v>647</v>
      </c>
      <c r="D20" s="24">
        <v>6273.52</v>
      </c>
      <c r="E20" s="24">
        <v>6273.52</v>
      </c>
      <c r="F20" s="24">
        <v>0.192833</v>
      </c>
      <c r="G20" s="24">
        <v>3.2228E-2</v>
      </c>
      <c r="H20" s="24">
        <v>0.35284399999999999</v>
      </c>
      <c r="I20" t="s">
        <v>15</v>
      </c>
      <c r="J20" s="24">
        <f t="shared" si="1"/>
        <v>6.2740000000000001E-3</v>
      </c>
      <c r="K20" s="24">
        <f t="shared" si="2"/>
        <v>0.19</v>
      </c>
      <c r="L20" s="24">
        <f t="shared" si="3"/>
        <v>0.03</v>
      </c>
      <c r="M20" s="24">
        <f t="shared" si="4"/>
        <v>0.35</v>
      </c>
    </row>
    <row r="21" spans="1:13" x14ac:dyDescent="0.25">
      <c r="A21" t="s">
        <v>38</v>
      </c>
      <c r="B21" t="s">
        <v>258</v>
      </c>
      <c r="C21" t="s">
        <v>303</v>
      </c>
      <c r="D21" s="24">
        <v>50589.93</v>
      </c>
      <c r="E21" s="24">
        <v>50589.93</v>
      </c>
      <c r="F21" s="24">
        <v>2.3533189999999999</v>
      </c>
      <c r="G21" s="24">
        <v>2.129842</v>
      </c>
      <c r="H21" s="24">
        <v>11.003883999999999</v>
      </c>
      <c r="I21" t="s">
        <v>15</v>
      </c>
      <c r="J21" s="24">
        <f t="shared" si="1"/>
        <v>5.0590000000000003E-2</v>
      </c>
      <c r="K21" s="24">
        <f t="shared" si="2"/>
        <v>2.35</v>
      </c>
      <c r="L21" s="24">
        <f t="shared" si="3"/>
        <v>2.13</v>
      </c>
      <c r="M21" s="24">
        <f t="shared" si="4"/>
        <v>11</v>
      </c>
    </row>
    <row r="22" spans="1:13" x14ac:dyDescent="0.25">
      <c r="A22" t="s">
        <v>61</v>
      </c>
      <c r="B22" t="s">
        <v>258</v>
      </c>
      <c r="C22" t="s">
        <v>122</v>
      </c>
      <c r="D22" s="24">
        <v>66.680000000000007</v>
      </c>
      <c r="E22" s="24">
        <v>66.680000000000007</v>
      </c>
      <c r="F22" s="24">
        <v>4.1570000000000001E-3</v>
      </c>
      <c r="G22" s="24">
        <v>2.9799999999999998E-4</v>
      </c>
      <c r="H22" s="24">
        <v>6.4819999999999999E-3</v>
      </c>
      <c r="I22" t="s">
        <v>15</v>
      </c>
      <c r="J22" s="24">
        <f t="shared" si="1"/>
        <v>6.7000000000000002E-5</v>
      </c>
      <c r="K22" s="24">
        <f t="shared" si="2"/>
        <v>0</v>
      </c>
      <c r="L22" s="24">
        <f t="shared" si="3"/>
        <v>0</v>
      </c>
      <c r="M22" s="24">
        <f t="shared" si="4"/>
        <v>0.01</v>
      </c>
    </row>
    <row r="23" spans="1:13" x14ac:dyDescent="0.25">
      <c r="A23" t="s">
        <v>41</v>
      </c>
      <c r="B23" t="s">
        <v>258</v>
      </c>
      <c r="C23" t="s">
        <v>72</v>
      </c>
      <c r="D23" s="24">
        <v>502404.51</v>
      </c>
      <c r="E23" s="24">
        <v>502404.51</v>
      </c>
      <c r="F23" s="24">
        <v>2.4350459999999998</v>
      </c>
      <c r="G23" s="24">
        <v>5.4292299999999996</v>
      </c>
      <c r="H23" s="24">
        <v>21.714943000000002</v>
      </c>
      <c r="I23" t="s">
        <v>15</v>
      </c>
      <c r="J23" s="24">
        <f t="shared" si="1"/>
        <v>0.50240499999999999</v>
      </c>
      <c r="K23" s="24">
        <f t="shared" si="2"/>
        <v>2.44</v>
      </c>
      <c r="L23" s="24">
        <f t="shared" si="3"/>
        <v>5.43</v>
      </c>
      <c r="M23" s="24">
        <f t="shared" si="4"/>
        <v>21.71</v>
      </c>
    </row>
    <row r="24" spans="1:13" x14ac:dyDescent="0.25">
      <c r="A24" t="s">
        <v>54</v>
      </c>
      <c r="B24" t="s">
        <v>258</v>
      </c>
      <c r="C24" t="s">
        <v>101</v>
      </c>
      <c r="D24" s="24">
        <v>973684.65</v>
      </c>
      <c r="E24" s="24">
        <v>973684.65</v>
      </c>
      <c r="F24" s="24">
        <v>0.92298999999999998</v>
      </c>
      <c r="G24" s="24">
        <v>0.41467599999999999</v>
      </c>
      <c r="H24" s="24">
        <v>5.1705459999999999</v>
      </c>
      <c r="I24" t="s">
        <v>15</v>
      </c>
      <c r="J24" s="24">
        <f t="shared" si="1"/>
        <v>0.97368500000000002</v>
      </c>
      <c r="K24" s="24">
        <f t="shared" si="2"/>
        <v>0.92</v>
      </c>
      <c r="L24" s="24">
        <f t="shared" si="3"/>
        <v>0.41</v>
      </c>
      <c r="M24" s="24">
        <f t="shared" si="4"/>
        <v>5.17</v>
      </c>
    </row>
    <row r="25" spans="1:13" x14ac:dyDescent="0.25">
      <c r="A25" t="s">
        <v>38</v>
      </c>
      <c r="B25" t="s">
        <v>258</v>
      </c>
      <c r="C25" t="s">
        <v>58</v>
      </c>
      <c r="D25" s="24">
        <v>4950458.2199999904</v>
      </c>
      <c r="E25" s="24">
        <v>4951181.1099999901</v>
      </c>
      <c r="F25" s="24">
        <v>71.039184000000006</v>
      </c>
      <c r="G25" s="24">
        <v>131.36863099999999</v>
      </c>
      <c r="H25" s="24">
        <v>907.81048099999998</v>
      </c>
      <c r="I25" t="s">
        <v>15</v>
      </c>
      <c r="J25" s="24">
        <f t="shared" si="1"/>
        <v>4.9511810000000001</v>
      </c>
      <c r="K25" s="24">
        <f t="shared" si="2"/>
        <v>71.040000000000006</v>
      </c>
      <c r="L25" s="24">
        <f t="shared" si="3"/>
        <v>131.37</v>
      </c>
      <c r="M25" s="24">
        <f t="shared" si="4"/>
        <v>907.81</v>
      </c>
    </row>
    <row r="26" spans="1:13" x14ac:dyDescent="0.25">
      <c r="A26" t="s">
        <v>73</v>
      </c>
      <c r="B26" t="s">
        <v>258</v>
      </c>
      <c r="C26" t="s">
        <v>198</v>
      </c>
      <c r="D26" s="24">
        <v>28466.39</v>
      </c>
      <c r="E26" s="24">
        <v>28466.39</v>
      </c>
      <c r="F26" s="24">
        <v>0.78270399999999996</v>
      </c>
      <c r="G26" s="24">
        <v>0.10997899999999999</v>
      </c>
      <c r="H26" s="24">
        <v>6.0866689999999997</v>
      </c>
      <c r="I26" t="s">
        <v>15</v>
      </c>
      <c r="J26" s="24">
        <f t="shared" si="1"/>
        <v>2.8466000000000002E-2</v>
      </c>
      <c r="K26" s="24">
        <f t="shared" si="2"/>
        <v>0.78</v>
      </c>
      <c r="L26" s="24">
        <f t="shared" si="3"/>
        <v>0.11</v>
      </c>
      <c r="M26" s="24">
        <f t="shared" si="4"/>
        <v>6.09</v>
      </c>
    </row>
    <row r="27" spans="1:13" x14ac:dyDescent="0.25">
      <c r="A27" t="s">
        <v>34</v>
      </c>
      <c r="B27" t="s">
        <v>258</v>
      </c>
      <c r="C27" t="s">
        <v>487</v>
      </c>
      <c r="D27" s="24">
        <v>175449.94</v>
      </c>
      <c r="E27" s="24">
        <v>175449.94</v>
      </c>
      <c r="F27" s="24">
        <v>5.5684319999999996</v>
      </c>
      <c r="G27" s="24">
        <v>2.6449400000000001</v>
      </c>
      <c r="H27" s="24">
        <v>25.331885</v>
      </c>
      <c r="I27" t="s">
        <v>15</v>
      </c>
      <c r="J27" s="24">
        <f t="shared" si="1"/>
        <v>0.17544999999999999</v>
      </c>
      <c r="K27" s="24">
        <f t="shared" si="2"/>
        <v>5.57</v>
      </c>
      <c r="L27" s="24">
        <f t="shared" si="3"/>
        <v>2.64</v>
      </c>
      <c r="M27" s="24">
        <f t="shared" si="4"/>
        <v>25.33</v>
      </c>
    </row>
    <row r="28" spans="1:13" x14ac:dyDescent="0.25">
      <c r="A28" t="s">
        <v>38</v>
      </c>
      <c r="B28" t="s">
        <v>258</v>
      </c>
      <c r="C28" t="s">
        <v>304</v>
      </c>
      <c r="D28" s="24">
        <v>58542.89</v>
      </c>
      <c r="E28" s="24">
        <v>58542.89</v>
      </c>
      <c r="F28" s="24">
        <v>2.723249</v>
      </c>
      <c r="G28" s="24">
        <v>2.4646409999999999</v>
      </c>
      <c r="H28" s="24">
        <v>12.733634</v>
      </c>
      <c r="I28" t="s">
        <v>15</v>
      </c>
      <c r="J28" s="24">
        <f t="shared" si="1"/>
        <v>5.8542999999999998E-2</v>
      </c>
      <c r="K28" s="24">
        <f t="shared" si="2"/>
        <v>2.72</v>
      </c>
      <c r="L28" s="24">
        <f t="shared" si="3"/>
        <v>2.46</v>
      </c>
      <c r="M28" s="24">
        <f t="shared" si="4"/>
        <v>12.73</v>
      </c>
    </row>
    <row r="29" spans="1:13" x14ac:dyDescent="0.25">
      <c r="A29" t="s">
        <v>679</v>
      </c>
      <c r="B29" t="s">
        <v>258</v>
      </c>
      <c r="C29" t="s">
        <v>680</v>
      </c>
      <c r="D29" s="24">
        <v>71635327.650000006</v>
      </c>
      <c r="E29" s="24">
        <v>71635327.650000006</v>
      </c>
      <c r="F29" s="24">
        <v>2200.6715039999999</v>
      </c>
      <c r="G29" s="24">
        <v>367.86766899999998</v>
      </c>
      <c r="H29" s="24">
        <v>4026.6638899999998</v>
      </c>
      <c r="I29" t="s">
        <v>15</v>
      </c>
      <c r="J29" s="24">
        <f t="shared" si="1"/>
        <v>71.635328000000001</v>
      </c>
      <c r="K29" s="24">
        <f t="shared" si="2"/>
        <v>2200.67</v>
      </c>
      <c r="L29" s="24">
        <f t="shared" si="3"/>
        <v>367.87</v>
      </c>
      <c r="M29" s="24">
        <f t="shared" si="4"/>
        <v>4026.66</v>
      </c>
    </row>
    <row r="30" spans="1:13" x14ac:dyDescent="0.25">
      <c r="A30" t="s">
        <v>133</v>
      </c>
      <c r="B30" t="s">
        <v>258</v>
      </c>
      <c r="C30" t="s">
        <v>561</v>
      </c>
      <c r="D30" s="24">
        <v>1509423.49</v>
      </c>
      <c r="E30" s="24">
        <v>1509423.49</v>
      </c>
      <c r="F30" s="24">
        <v>47.916316000000002</v>
      </c>
      <c r="G30" s="24">
        <v>22.759754999999998</v>
      </c>
      <c r="H30" s="24">
        <v>217.97957600000001</v>
      </c>
      <c r="I30" t="s">
        <v>15</v>
      </c>
      <c r="J30" s="24">
        <f t="shared" si="1"/>
        <v>1.509423</v>
      </c>
      <c r="K30" s="24">
        <f t="shared" si="2"/>
        <v>47.92</v>
      </c>
      <c r="L30" s="24">
        <f t="shared" si="3"/>
        <v>22.76</v>
      </c>
      <c r="M30" s="24">
        <f t="shared" si="4"/>
        <v>217.98</v>
      </c>
    </row>
    <row r="31" spans="1:13" x14ac:dyDescent="0.25">
      <c r="A31" t="s">
        <v>238</v>
      </c>
      <c r="B31" t="s">
        <v>258</v>
      </c>
      <c r="C31" t="s">
        <v>581</v>
      </c>
      <c r="D31" s="24">
        <v>67212.600000000006</v>
      </c>
      <c r="E31" s="24">
        <v>67212.600000000006</v>
      </c>
      <c r="F31" s="24">
        <v>6.3709000000000002E-2</v>
      </c>
      <c r="G31" s="24">
        <v>2.8624E-2</v>
      </c>
      <c r="H31" s="24">
        <v>0.35690100000000002</v>
      </c>
      <c r="I31" t="s">
        <v>15</v>
      </c>
      <c r="J31" s="24">
        <f t="shared" si="1"/>
        <v>6.7212999999999995E-2</v>
      </c>
      <c r="K31" s="24">
        <f t="shared" si="2"/>
        <v>0.06</v>
      </c>
      <c r="L31" s="24">
        <f t="shared" si="3"/>
        <v>0.03</v>
      </c>
      <c r="M31" s="24">
        <f t="shared" si="4"/>
        <v>0.36</v>
      </c>
    </row>
    <row r="32" spans="1:13" x14ac:dyDescent="0.25">
      <c r="A32" t="s">
        <v>34</v>
      </c>
      <c r="B32" t="s">
        <v>258</v>
      </c>
      <c r="C32" t="s">
        <v>206</v>
      </c>
      <c r="D32" s="24">
        <v>64204.66</v>
      </c>
      <c r="E32" s="24">
        <v>64204.66</v>
      </c>
      <c r="F32" s="24">
        <v>2.0378859999999999</v>
      </c>
      <c r="G32" s="24">
        <v>0.96797299999999997</v>
      </c>
      <c r="H32" s="24">
        <v>9.2707289999999993</v>
      </c>
      <c r="I32" t="s">
        <v>15</v>
      </c>
      <c r="J32" s="24">
        <f t="shared" si="1"/>
        <v>6.4204999999999998E-2</v>
      </c>
      <c r="K32" s="24">
        <f t="shared" si="2"/>
        <v>2.04</v>
      </c>
      <c r="L32" s="24">
        <f t="shared" si="3"/>
        <v>0.97</v>
      </c>
      <c r="M32" s="24">
        <f t="shared" si="4"/>
        <v>9.27</v>
      </c>
    </row>
    <row r="33" spans="1:13" x14ac:dyDescent="0.25">
      <c r="A33" t="s">
        <v>41</v>
      </c>
      <c r="B33" t="s">
        <v>258</v>
      </c>
      <c r="C33" t="s">
        <v>571</v>
      </c>
      <c r="D33" s="24">
        <v>173.57</v>
      </c>
      <c r="E33" s="24">
        <v>173.57</v>
      </c>
      <c r="F33" s="24">
        <v>5.3140000000000001E-3</v>
      </c>
      <c r="G33" s="24">
        <v>8.8800000000000001E-4</v>
      </c>
      <c r="H33" s="24">
        <v>9.724E-3</v>
      </c>
      <c r="I33" t="s">
        <v>15</v>
      </c>
      <c r="J33" s="24">
        <f t="shared" si="1"/>
        <v>1.74E-4</v>
      </c>
      <c r="K33" s="24">
        <f t="shared" si="2"/>
        <v>0.01</v>
      </c>
      <c r="L33" s="24">
        <f t="shared" si="3"/>
        <v>0</v>
      </c>
      <c r="M33" s="24">
        <f t="shared" si="4"/>
        <v>0.01</v>
      </c>
    </row>
    <row r="34" spans="1:13" x14ac:dyDescent="0.25">
      <c r="A34" t="s">
        <v>148</v>
      </c>
      <c r="B34" t="s">
        <v>258</v>
      </c>
      <c r="C34" t="s">
        <v>465</v>
      </c>
      <c r="D34" s="24">
        <v>1554.31</v>
      </c>
      <c r="E34" s="24">
        <v>1554.31</v>
      </c>
      <c r="F34" s="24">
        <v>4.7711000000000003E-2</v>
      </c>
      <c r="G34" s="24">
        <v>7.9740000000000002E-3</v>
      </c>
      <c r="H34" s="24">
        <v>8.7299000000000002E-2</v>
      </c>
      <c r="I34" t="s">
        <v>15</v>
      </c>
      <c r="J34" s="24">
        <f t="shared" si="1"/>
        <v>1.554E-3</v>
      </c>
      <c r="K34" s="24">
        <f t="shared" si="2"/>
        <v>0.05</v>
      </c>
      <c r="L34" s="24">
        <f t="shared" si="3"/>
        <v>0.01</v>
      </c>
      <c r="M34" s="24">
        <f t="shared" si="4"/>
        <v>0.09</v>
      </c>
    </row>
    <row r="35" spans="1:13" x14ac:dyDescent="0.25">
      <c r="A35" t="s">
        <v>125</v>
      </c>
      <c r="B35" t="s">
        <v>258</v>
      </c>
      <c r="C35" t="s">
        <v>269</v>
      </c>
      <c r="D35" s="24">
        <v>410034.17</v>
      </c>
      <c r="E35" s="24">
        <v>410034.17</v>
      </c>
      <c r="F35" s="24">
        <v>506.522355</v>
      </c>
      <c r="G35" s="24">
        <v>38.801341999999998</v>
      </c>
      <c r="H35" s="24">
        <v>204.663601</v>
      </c>
      <c r="I35" t="s">
        <v>15</v>
      </c>
      <c r="J35" s="24">
        <f t="shared" si="1"/>
        <v>0.41003400000000001</v>
      </c>
      <c r="K35" s="24">
        <f t="shared" si="2"/>
        <v>506.52</v>
      </c>
      <c r="L35" s="24">
        <f t="shared" si="3"/>
        <v>38.799999999999997</v>
      </c>
      <c r="M35" s="24">
        <f t="shared" si="4"/>
        <v>204.66</v>
      </c>
    </row>
    <row r="36" spans="1:13" x14ac:dyDescent="0.25">
      <c r="A36" t="s">
        <v>38</v>
      </c>
      <c r="B36" t="s">
        <v>258</v>
      </c>
      <c r="C36" t="s">
        <v>194</v>
      </c>
      <c r="D36" s="24">
        <v>670813.80000000005</v>
      </c>
      <c r="E36" s="24">
        <v>670813.80000000005</v>
      </c>
      <c r="F36" s="24">
        <v>80.072486999999995</v>
      </c>
      <c r="G36" s="24">
        <v>18.946807</v>
      </c>
      <c r="H36" s="24">
        <v>260.53387300000003</v>
      </c>
      <c r="I36" t="s">
        <v>15</v>
      </c>
      <c r="J36" s="24">
        <f t="shared" si="1"/>
        <v>0.67081400000000002</v>
      </c>
      <c r="K36" s="24">
        <f t="shared" si="2"/>
        <v>80.069999999999993</v>
      </c>
      <c r="L36" s="24">
        <f t="shared" si="3"/>
        <v>18.95</v>
      </c>
      <c r="M36" s="24">
        <f t="shared" si="4"/>
        <v>260.52999999999997</v>
      </c>
    </row>
    <row r="37" spans="1:13" x14ac:dyDescent="0.25">
      <c r="A37" t="s">
        <v>662</v>
      </c>
      <c r="B37" t="s">
        <v>258</v>
      </c>
      <c r="C37" t="s">
        <v>667</v>
      </c>
      <c r="D37" s="24">
        <v>96743.3</v>
      </c>
      <c r="E37" s="24">
        <v>96743.3</v>
      </c>
      <c r="F37" s="24">
        <v>2.1679849999999998</v>
      </c>
      <c r="G37" s="24">
        <v>1.178534</v>
      </c>
      <c r="H37" s="24">
        <v>19.303912</v>
      </c>
      <c r="I37" t="s">
        <v>15</v>
      </c>
      <c r="J37" s="24">
        <f t="shared" si="1"/>
        <v>9.6742999999999996E-2</v>
      </c>
      <c r="K37" s="24">
        <f t="shared" si="2"/>
        <v>2.17</v>
      </c>
      <c r="L37" s="24">
        <f t="shared" si="3"/>
        <v>1.18</v>
      </c>
      <c r="M37" s="24">
        <f t="shared" si="4"/>
        <v>19.3</v>
      </c>
    </row>
    <row r="38" spans="1:13" x14ac:dyDescent="0.25">
      <c r="A38" t="s">
        <v>34</v>
      </c>
      <c r="B38" t="s">
        <v>258</v>
      </c>
      <c r="C38" t="s">
        <v>498</v>
      </c>
      <c r="D38" s="24">
        <v>243917.18999999901</v>
      </c>
      <c r="E38" s="24">
        <v>243934.83999999901</v>
      </c>
      <c r="F38" s="24">
        <v>7.742299</v>
      </c>
      <c r="G38" s="24">
        <v>3.6775030000000002</v>
      </c>
      <c r="H38" s="24">
        <v>35.221147999999999</v>
      </c>
      <c r="I38" t="s">
        <v>15</v>
      </c>
      <c r="J38" s="24">
        <f t="shared" si="1"/>
        <v>0.24393500000000001</v>
      </c>
      <c r="K38" s="24">
        <f t="shared" si="2"/>
        <v>7.74</v>
      </c>
      <c r="L38" s="24">
        <f t="shared" si="3"/>
        <v>3.68</v>
      </c>
      <c r="M38" s="24">
        <f t="shared" si="4"/>
        <v>35.22</v>
      </c>
    </row>
    <row r="39" spans="1:13" x14ac:dyDescent="0.25">
      <c r="A39" t="s">
        <v>662</v>
      </c>
      <c r="B39" t="s">
        <v>258</v>
      </c>
      <c r="C39" t="s">
        <v>663</v>
      </c>
      <c r="D39" s="24">
        <v>3103661.1399999899</v>
      </c>
      <c r="E39" s="24">
        <v>3104048.96999999</v>
      </c>
      <c r="F39" s="24">
        <v>95.350586000000007</v>
      </c>
      <c r="G39" s="24">
        <v>15.938974</v>
      </c>
      <c r="H39" s="24">
        <v>174.46705299999999</v>
      </c>
      <c r="I39" t="s">
        <v>15</v>
      </c>
      <c r="J39" s="24">
        <f t="shared" si="1"/>
        <v>3.1040489999999998</v>
      </c>
      <c r="K39" s="24">
        <f t="shared" si="2"/>
        <v>95.35</v>
      </c>
      <c r="L39" s="24">
        <f t="shared" si="3"/>
        <v>15.94</v>
      </c>
      <c r="M39" s="24">
        <f t="shared" si="4"/>
        <v>174.47</v>
      </c>
    </row>
    <row r="40" spans="1:13" x14ac:dyDescent="0.25">
      <c r="A40" t="s">
        <v>626</v>
      </c>
      <c r="B40" t="s">
        <v>258</v>
      </c>
      <c r="C40" t="s">
        <v>627</v>
      </c>
      <c r="D40" s="24">
        <v>312333.05</v>
      </c>
      <c r="E40" s="24">
        <v>312333.05</v>
      </c>
      <c r="F40" s="24">
        <v>9.5951749999999993</v>
      </c>
      <c r="G40" s="24">
        <v>1.60395</v>
      </c>
      <c r="H40" s="24">
        <v>17.556699999999999</v>
      </c>
      <c r="I40" t="s">
        <v>15</v>
      </c>
      <c r="J40" s="24">
        <f t="shared" si="1"/>
        <v>0.31233300000000003</v>
      </c>
      <c r="K40" s="24">
        <f t="shared" si="2"/>
        <v>9.6</v>
      </c>
      <c r="L40" s="24">
        <f t="shared" si="3"/>
        <v>1.6</v>
      </c>
      <c r="M40" s="24">
        <f t="shared" si="4"/>
        <v>17.559999999999999</v>
      </c>
    </row>
    <row r="41" spans="1:13" x14ac:dyDescent="0.25">
      <c r="A41" t="s">
        <v>67</v>
      </c>
      <c r="B41" t="s">
        <v>258</v>
      </c>
      <c r="C41" t="s">
        <v>590</v>
      </c>
      <c r="D41" s="24">
        <v>1228054.05999999</v>
      </c>
      <c r="E41" s="24">
        <v>1228618.05999999</v>
      </c>
      <c r="F41" s="24">
        <v>1.1643289999999999</v>
      </c>
      <c r="G41" s="24">
        <v>0.52306299999999994</v>
      </c>
      <c r="H41" s="24">
        <v>6.522824</v>
      </c>
      <c r="I41" t="s">
        <v>15</v>
      </c>
      <c r="J41" s="24">
        <f t="shared" si="1"/>
        <v>1.228618</v>
      </c>
      <c r="K41" s="24">
        <f t="shared" si="2"/>
        <v>1.1599999999999999</v>
      </c>
      <c r="L41" s="24">
        <f t="shared" si="3"/>
        <v>0.52</v>
      </c>
      <c r="M41" s="24">
        <f t="shared" si="4"/>
        <v>6.52</v>
      </c>
    </row>
    <row r="42" spans="1:13" x14ac:dyDescent="0.25">
      <c r="A42" t="s">
        <v>67</v>
      </c>
      <c r="B42" t="s">
        <v>258</v>
      </c>
      <c r="C42" t="s">
        <v>593</v>
      </c>
      <c r="D42" s="24">
        <v>25901.23</v>
      </c>
      <c r="E42" s="24">
        <v>25901.23</v>
      </c>
      <c r="F42" s="24">
        <v>2.4549000000000001E-2</v>
      </c>
      <c r="G42" s="24">
        <v>1.1025999999999999E-2</v>
      </c>
      <c r="H42" s="24">
        <v>0.13753299999999999</v>
      </c>
      <c r="I42" t="s">
        <v>15</v>
      </c>
      <c r="J42" s="24">
        <f t="shared" si="1"/>
        <v>2.5901E-2</v>
      </c>
      <c r="K42" s="24">
        <f t="shared" si="2"/>
        <v>0.02</v>
      </c>
      <c r="L42" s="24">
        <f t="shared" si="3"/>
        <v>0.01</v>
      </c>
      <c r="M42" s="24">
        <f t="shared" si="4"/>
        <v>0.14000000000000001</v>
      </c>
    </row>
    <row r="43" spans="1:13" x14ac:dyDescent="0.25">
      <c r="A43" t="s">
        <v>38</v>
      </c>
      <c r="B43" t="s">
        <v>258</v>
      </c>
      <c r="C43" t="s">
        <v>89</v>
      </c>
      <c r="D43" s="24">
        <v>6706.52</v>
      </c>
      <c r="E43" s="24">
        <v>6706.52</v>
      </c>
      <c r="F43" s="24">
        <v>0.110168</v>
      </c>
      <c r="G43" s="24">
        <v>5.0651000000000002E-2</v>
      </c>
      <c r="H43" s="24">
        <v>1.4878100000000001</v>
      </c>
      <c r="I43" t="s">
        <v>15</v>
      </c>
      <c r="J43" s="24">
        <f t="shared" si="1"/>
        <v>6.7070000000000003E-3</v>
      </c>
      <c r="K43" s="24">
        <f t="shared" si="2"/>
        <v>0.11</v>
      </c>
      <c r="L43" s="24">
        <f t="shared" si="3"/>
        <v>0.05</v>
      </c>
      <c r="M43" s="24">
        <f t="shared" si="4"/>
        <v>1.49</v>
      </c>
    </row>
    <row r="44" spans="1:13" x14ac:dyDescent="0.25">
      <c r="A44" t="s">
        <v>38</v>
      </c>
      <c r="B44" t="s">
        <v>258</v>
      </c>
      <c r="C44" t="s">
        <v>348</v>
      </c>
      <c r="D44" s="24">
        <v>29558.84</v>
      </c>
      <c r="E44" s="24">
        <v>29558.84</v>
      </c>
      <c r="F44" s="24">
        <v>0.42405599999999999</v>
      </c>
      <c r="G44" s="24">
        <v>0.78418100000000002</v>
      </c>
      <c r="H44" s="24">
        <v>5.419009</v>
      </c>
      <c r="I44" t="s">
        <v>15</v>
      </c>
      <c r="J44" s="24">
        <f t="shared" si="1"/>
        <v>2.9558999999999998E-2</v>
      </c>
      <c r="K44" s="24">
        <f t="shared" si="2"/>
        <v>0.42</v>
      </c>
      <c r="L44" s="24">
        <f t="shared" si="3"/>
        <v>0.78</v>
      </c>
      <c r="M44" s="24">
        <f t="shared" si="4"/>
        <v>5.42</v>
      </c>
    </row>
    <row r="45" spans="1:13" x14ac:dyDescent="0.25">
      <c r="A45" t="s">
        <v>662</v>
      </c>
      <c r="B45" t="s">
        <v>258</v>
      </c>
      <c r="C45" t="s">
        <v>664</v>
      </c>
      <c r="D45" s="24">
        <v>292950.36999999901</v>
      </c>
      <c r="E45" s="24">
        <v>292954.679999999</v>
      </c>
      <c r="F45" s="24">
        <v>8.9991489999999992</v>
      </c>
      <c r="G45" s="24">
        <v>1.504302</v>
      </c>
      <c r="H45" s="24">
        <v>16.466135999999999</v>
      </c>
      <c r="I45" t="s">
        <v>15</v>
      </c>
      <c r="J45" s="24">
        <f t="shared" si="1"/>
        <v>0.29295500000000002</v>
      </c>
      <c r="K45" s="24">
        <f t="shared" si="2"/>
        <v>9</v>
      </c>
      <c r="L45" s="24">
        <f t="shared" si="3"/>
        <v>1.5</v>
      </c>
      <c r="M45" s="24">
        <f t="shared" si="4"/>
        <v>16.47</v>
      </c>
    </row>
    <row r="46" spans="1:13" x14ac:dyDescent="0.25">
      <c r="A46" t="s">
        <v>679</v>
      </c>
      <c r="B46" t="s">
        <v>321</v>
      </c>
      <c r="C46" t="s">
        <v>680</v>
      </c>
      <c r="D46" s="24">
        <v>15083465.76</v>
      </c>
      <c r="E46" s="24">
        <v>15083465.76</v>
      </c>
      <c r="F46" s="24">
        <v>323.784738</v>
      </c>
      <c r="G46" s="24">
        <v>43.196399999999997</v>
      </c>
      <c r="H46" s="24">
        <v>671.40337199999999</v>
      </c>
      <c r="I46" t="s">
        <v>682</v>
      </c>
      <c r="J46" s="24">
        <f t="shared" si="1"/>
        <v>15.083466</v>
      </c>
      <c r="K46" s="24">
        <f t="shared" si="2"/>
        <v>323.77999999999997</v>
      </c>
      <c r="L46" s="24">
        <f t="shared" si="3"/>
        <v>43.2</v>
      </c>
      <c r="M46" s="24">
        <f t="shared" si="4"/>
        <v>671.4</v>
      </c>
    </row>
    <row r="47" spans="1:13" x14ac:dyDescent="0.25">
      <c r="A47" t="s">
        <v>38</v>
      </c>
      <c r="B47" t="s">
        <v>258</v>
      </c>
      <c r="C47" t="s">
        <v>306</v>
      </c>
      <c r="D47" s="24">
        <v>121195.44</v>
      </c>
      <c r="E47" s="24">
        <v>121195.44</v>
      </c>
      <c r="F47" s="24">
        <v>14.466815</v>
      </c>
      <c r="G47" s="24">
        <v>3.423149</v>
      </c>
      <c r="H47" s="24">
        <v>47.071032000000002</v>
      </c>
      <c r="I47" t="s">
        <v>15</v>
      </c>
      <c r="J47" s="24">
        <f t="shared" si="1"/>
        <v>0.121195</v>
      </c>
      <c r="K47" s="24">
        <f t="shared" si="2"/>
        <v>14.47</v>
      </c>
      <c r="L47" s="24">
        <f t="shared" si="3"/>
        <v>3.42</v>
      </c>
      <c r="M47" s="24">
        <f t="shared" si="4"/>
        <v>47.07</v>
      </c>
    </row>
    <row r="48" spans="1:13" x14ac:dyDescent="0.25">
      <c r="A48" t="s">
        <v>38</v>
      </c>
      <c r="B48" t="s">
        <v>258</v>
      </c>
      <c r="C48" t="s">
        <v>307</v>
      </c>
      <c r="D48" s="24">
        <v>42430.57</v>
      </c>
      <c r="E48" s="24">
        <v>42430.57</v>
      </c>
      <c r="F48" s="24">
        <v>1.7316819999999999</v>
      </c>
      <c r="G48" s="24">
        <v>0.63008799999999998</v>
      </c>
      <c r="H48" s="24">
        <v>6.0525359999999999</v>
      </c>
      <c r="I48" t="s">
        <v>15</v>
      </c>
      <c r="J48" s="24">
        <f t="shared" si="1"/>
        <v>4.2431000000000003E-2</v>
      </c>
      <c r="K48" s="24">
        <f t="shared" si="2"/>
        <v>1.73</v>
      </c>
      <c r="L48" s="24">
        <f t="shared" si="3"/>
        <v>0.63</v>
      </c>
      <c r="M48" s="24">
        <f t="shared" si="4"/>
        <v>6.05</v>
      </c>
    </row>
    <row r="49" spans="1:13" x14ac:dyDescent="0.25">
      <c r="A49" t="s">
        <v>38</v>
      </c>
      <c r="B49" t="s">
        <v>258</v>
      </c>
      <c r="C49" t="s">
        <v>308</v>
      </c>
      <c r="D49" s="24">
        <v>3681.43</v>
      </c>
      <c r="E49" s="24">
        <v>3681.43</v>
      </c>
      <c r="F49" s="24">
        <v>8.2476999999999995E-2</v>
      </c>
      <c r="G49" s="24">
        <v>4.4835E-2</v>
      </c>
      <c r="H49" s="24">
        <v>0.734398</v>
      </c>
      <c r="I49" t="s">
        <v>15</v>
      </c>
      <c r="J49" s="24">
        <f t="shared" si="1"/>
        <v>3.6809999999999998E-3</v>
      </c>
      <c r="K49" s="24">
        <f t="shared" si="2"/>
        <v>0.08</v>
      </c>
      <c r="L49" s="24">
        <f t="shared" si="3"/>
        <v>0.04</v>
      </c>
      <c r="M49" s="24">
        <f t="shared" si="4"/>
        <v>0.73</v>
      </c>
    </row>
    <row r="50" spans="1:13" x14ac:dyDescent="0.25">
      <c r="A50" t="s">
        <v>38</v>
      </c>
      <c r="B50" t="s">
        <v>258</v>
      </c>
      <c r="C50" t="s">
        <v>179</v>
      </c>
      <c r="D50" s="24">
        <v>164800.81</v>
      </c>
      <c r="E50" s="24">
        <v>164800.81</v>
      </c>
      <c r="F50" s="24">
        <v>31.395005999999999</v>
      </c>
      <c r="G50" s="24">
        <v>6.3534550000000003</v>
      </c>
      <c r="H50" s="24">
        <v>50.348587000000002</v>
      </c>
      <c r="I50" t="s">
        <v>15</v>
      </c>
      <c r="J50" s="24">
        <f t="shared" si="1"/>
        <v>0.164801</v>
      </c>
      <c r="K50" s="24">
        <f t="shared" si="2"/>
        <v>31.4</v>
      </c>
      <c r="L50" s="24">
        <f t="shared" si="3"/>
        <v>6.35</v>
      </c>
      <c r="M50" s="24">
        <f t="shared" si="4"/>
        <v>50.35</v>
      </c>
    </row>
    <row r="51" spans="1:13" x14ac:dyDescent="0.25">
      <c r="A51" t="s">
        <v>38</v>
      </c>
      <c r="B51" t="s">
        <v>258</v>
      </c>
      <c r="C51" t="s">
        <v>309</v>
      </c>
      <c r="D51" s="24">
        <v>81283.44</v>
      </c>
      <c r="E51" s="24">
        <v>81283.44</v>
      </c>
      <c r="F51" s="24">
        <v>1.8217410000000001</v>
      </c>
      <c r="G51" s="24">
        <v>0.99031800000000003</v>
      </c>
      <c r="H51" s="24">
        <v>16.220839999999999</v>
      </c>
      <c r="I51" t="s">
        <v>15</v>
      </c>
      <c r="J51" s="24">
        <f t="shared" si="1"/>
        <v>8.1282999999999994E-2</v>
      </c>
      <c r="K51" s="24">
        <f t="shared" si="2"/>
        <v>1.82</v>
      </c>
      <c r="L51" s="24">
        <f t="shared" si="3"/>
        <v>0.99</v>
      </c>
      <c r="M51" s="24">
        <f t="shared" si="4"/>
        <v>16.22</v>
      </c>
    </row>
    <row r="52" spans="1:13" x14ac:dyDescent="0.25">
      <c r="A52" t="s">
        <v>67</v>
      </c>
      <c r="B52" t="s">
        <v>258</v>
      </c>
      <c r="C52" t="s">
        <v>141</v>
      </c>
      <c r="D52" s="24">
        <v>7482737.2599999905</v>
      </c>
      <c r="E52" s="24">
        <v>7482898.3099999903</v>
      </c>
      <c r="F52" s="24">
        <v>3.0286900000000001</v>
      </c>
      <c r="G52" s="24">
        <v>3.1879879999999998</v>
      </c>
      <c r="H52" s="24">
        <v>39.746139999999997</v>
      </c>
      <c r="I52" t="s">
        <v>15</v>
      </c>
      <c r="J52" s="24">
        <f t="shared" si="1"/>
        <v>7.4828979999999996</v>
      </c>
      <c r="K52" s="24">
        <f t="shared" si="2"/>
        <v>3.03</v>
      </c>
      <c r="L52" s="24">
        <f t="shared" si="3"/>
        <v>3.19</v>
      </c>
      <c r="M52" s="24">
        <f t="shared" si="4"/>
        <v>39.75</v>
      </c>
    </row>
    <row r="53" spans="1:13" x14ac:dyDescent="0.25">
      <c r="A53" t="s">
        <v>38</v>
      </c>
      <c r="B53" t="s">
        <v>258</v>
      </c>
      <c r="C53" t="s">
        <v>192</v>
      </c>
      <c r="D53" s="24">
        <v>83336.259999999995</v>
      </c>
      <c r="E53" s="24">
        <v>83336.259999999995</v>
      </c>
      <c r="F53" s="24">
        <v>1.867726</v>
      </c>
      <c r="G53" s="24">
        <v>1.015317</v>
      </c>
      <c r="H53" s="24">
        <v>16.630347</v>
      </c>
      <c r="I53" t="s">
        <v>15</v>
      </c>
      <c r="J53" s="24">
        <f t="shared" si="1"/>
        <v>8.3335999999999993E-2</v>
      </c>
      <c r="K53" s="24">
        <f t="shared" si="2"/>
        <v>1.87</v>
      </c>
      <c r="L53" s="24">
        <f t="shared" si="3"/>
        <v>1.02</v>
      </c>
      <c r="M53" s="24">
        <f t="shared" si="4"/>
        <v>16.63</v>
      </c>
    </row>
    <row r="54" spans="1:13" x14ac:dyDescent="0.25">
      <c r="A54" t="s">
        <v>41</v>
      </c>
      <c r="B54" t="s">
        <v>258</v>
      </c>
      <c r="C54" t="s">
        <v>158</v>
      </c>
      <c r="D54" s="24">
        <v>107929.909999999</v>
      </c>
      <c r="E54" s="24">
        <v>107946.83999999901</v>
      </c>
      <c r="F54" s="24">
        <v>0.52294600000000002</v>
      </c>
      <c r="G54" s="24">
        <v>1.165972</v>
      </c>
      <c r="H54" s="24">
        <v>4.6634650000000004</v>
      </c>
      <c r="I54" t="s">
        <v>15</v>
      </c>
      <c r="J54" s="24">
        <f t="shared" si="1"/>
        <v>0.107947</v>
      </c>
      <c r="K54" s="24">
        <f t="shared" si="2"/>
        <v>0.52</v>
      </c>
      <c r="L54" s="24">
        <f t="shared" si="3"/>
        <v>1.17</v>
      </c>
      <c r="M54" s="24">
        <f t="shared" si="4"/>
        <v>4.66</v>
      </c>
    </row>
    <row r="55" spans="1:13" x14ac:dyDescent="0.25">
      <c r="A55" t="s">
        <v>38</v>
      </c>
      <c r="B55" t="s">
        <v>258</v>
      </c>
      <c r="C55" t="s">
        <v>64</v>
      </c>
      <c r="D55" s="24">
        <v>1257.57</v>
      </c>
      <c r="E55" s="24">
        <v>1257.57</v>
      </c>
      <c r="F55" s="24">
        <v>5.8474999999999999E-2</v>
      </c>
      <c r="G55" s="24">
        <v>5.2921999999999997E-2</v>
      </c>
      <c r="H55" s="24">
        <v>0.27342699999999998</v>
      </c>
      <c r="I55" t="s">
        <v>15</v>
      </c>
      <c r="J55" s="24">
        <f t="shared" si="1"/>
        <v>1.258E-3</v>
      </c>
      <c r="K55" s="24">
        <f t="shared" si="2"/>
        <v>0.06</v>
      </c>
      <c r="L55" s="24">
        <f t="shared" si="3"/>
        <v>0.05</v>
      </c>
      <c r="M55" s="24">
        <f t="shared" si="4"/>
        <v>0.27</v>
      </c>
    </row>
    <row r="56" spans="1:13" x14ac:dyDescent="0.25">
      <c r="A56" t="s">
        <v>38</v>
      </c>
      <c r="B56" t="s">
        <v>321</v>
      </c>
      <c r="C56" t="s">
        <v>194</v>
      </c>
      <c r="D56" s="24">
        <v>12066.22</v>
      </c>
      <c r="E56" s="24">
        <v>12066.22</v>
      </c>
      <c r="F56" s="24">
        <v>1.5144390000000001</v>
      </c>
      <c r="G56" s="24">
        <v>1.6123430000000001</v>
      </c>
      <c r="H56" s="24">
        <v>7.5692180000000002</v>
      </c>
      <c r="I56" t="s">
        <v>682</v>
      </c>
      <c r="J56" s="24">
        <f t="shared" si="1"/>
        <v>1.2066E-2</v>
      </c>
      <c r="K56" s="24">
        <f t="shared" si="2"/>
        <v>1.51</v>
      </c>
      <c r="L56" s="24">
        <f t="shared" si="3"/>
        <v>1.61</v>
      </c>
      <c r="M56" s="24">
        <f t="shared" si="4"/>
        <v>7.57</v>
      </c>
    </row>
    <row r="57" spans="1:13" x14ac:dyDescent="0.25">
      <c r="A57" t="s">
        <v>38</v>
      </c>
      <c r="B57" t="s">
        <v>258</v>
      </c>
      <c r="C57" t="s">
        <v>351</v>
      </c>
      <c r="D57" s="24">
        <v>3695.37</v>
      </c>
      <c r="E57" s="24">
        <v>3695.37</v>
      </c>
      <c r="F57" s="24">
        <v>0.15068200000000001</v>
      </c>
      <c r="G57" s="24">
        <v>5.4826E-2</v>
      </c>
      <c r="H57" s="24">
        <v>0.52666500000000005</v>
      </c>
      <c r="I57" t="s">
        <v>15</v>
      </c>
      <c r="J57" s="24">
        <f t="shared" si="1"/>
        <v>3.6949999999999999E-3</v>
      </c>
      <c r="K57" s="24">
        <f t="shared" si="2"/>
        <v>0.15</v>
      </c>
      <c r="L57" s="24">
        <f t="shared" si="3"/>
        <v>0.05</v>
      </c>
      <c r="M57" s="24">
        <f t="shared" si="4"/>
        <v>0.53</v>
      </c>
    </row>
    <row r="58" spans="1:13" x14ac:dyDescent="0.25">
      <c r="A58" t="s">
        <v>34</v>
      </c>
      <c r="B58" t="s">
        <v>321</v>
      </c>
      <c r="C58" t="s">
        <v>542</v>
      </c>
      <c r="D58" s="24">
        <v>13744.8</v>
      </c>
      <c r="E58" s="24">
        <v>13744.8</v>
      </c>
      <c r="F58" s="24">
        <v>0.43630099999999999</v>
      </c>
      <c r="G58" s="24">
        <v>0.20723800000000001</v>
      </c>
      <c r="H58" s="24">
        <v>1.984812</v>
      </c>
      <c r="I58" t="s">
        <v>682</v>
      </c>
      <c r="J58" s="24">
        <f t="shared" si="1"/>
        <v>1.3745E-2</v>
      </c>
      <c r="K58" s="24">
        <f t="shared" si="2"/>
        <v>0.44</v>
      </c>
      <c r="L58" s="24">
        <f t="shared" si="3"/>
        <v>0.21</v>
      </c>
      <c r="M58" s="24">
        <f t="shared" si="4"/>
        <v>1.98</v>
      </c>
    </row>
    <row r="59" spans="1:13" x14ac:dyDescent="0.25">
      <c r="A59" t="s">
        <v>38</v>
      </c>
      <c r="B59" t="s">
        <v>258</v>
      </c>
      <c r="C59" t="s">
        <v>312</v>
      </c>
      <c r="D59" s="24">
        <v>427804.09999999899</v>
      </c>
      <c r="E59" s="24">
        <v>427929.89999999898</v>
      </c>
      <c r="F59" s="24">
        <v>6.1376109999999997</v>
      </c>
      <c r="G59" s="24">
        <v>11.349909</v>
      </c>
      <c r="H59" s="24">
        <v>78.432355000000001</v>
      </c>
      <c r="I59" t="s">
        <v>15</v>
      </c>
      <c r="J59" s="24">
        <f t="shared" si="1"/>
        <v>0.42792999999999998</v>
      </c>
      <c r="K59" s="24">
        <f t="shared" si="2"/>
        <v>6.14</v>
      </c>
      <c r="L59" s="24">
        <f t="shared" si="3"/>
        <v>11.35</v>
      </c>
      <c r="M59" s="24">
        <f t="shared" si="4"/>
        <v>78.430000000000007</v>
      </c>
    </row>
    <row r="60" spans="1:13" x14ac:dyDescent="0.25">
      <c r="A60" t="s">
        <v>41</v>
      </c>
      <c r="B60" t="s">
        <v>258</v>
      </c>
      <c r="C60" t="s">
        <v>137</v>
      </c>
      <c r="D60" s="24">
        <v>4.37</v>
      </c>
      <c r="E60" s="24">
        <v>4.37</v>
      </c>
      <c r="F60" s="24">
        <v>1.22E-4</v>
      </c>
      <c r="G60" s="24">
        <v>2.0000000000000002E-5</v>
      </c>
      <c r="H60" s="24">
        <v>2.24E-4</v>
      </c>
      <c r="I60" t="s">
        <v>15</v>
      </c>
      <c r="J60" s="24">
        <f t="shared" si="1"/>
        <v>3.9999999999999998E-6</v>
      </c>
      <c r="K60" s="24">
        <f t="shared" si="2"/>
        <v>0</v>
      </c>
      <c r="L60" s="24">
        <f t="shared" si="3"/>
        <v>0</v>
      </c>
      <c r="M60" s="24">
        <f t="shared" si="4"/>
        <v>0</v>
      </c>
    </row>
    <row r="61" spans="1:13" x14ac:dyDescent="0.25">
      <c r="A61" t="s">
        <v>38</v>
      </c>
      <c r="B61" t="s">
        <v>258</v>
      </c>
      <c r="C61" t="s">
        <v>52</v>
      </c>
      <c r="D61" s="24">
        <v>266811.03999999998</v>
      </c>
      <c r="E61" s="24">
        <v>266811.03999999998</v>
      </c>
      <c r="F61" s="24">
        <v>50.827370000000002</v>
      </c>
      <c r="G61" s="24">
        <v>10.286009999999999</v>
      </c>
      <c r="H61" s="24">
        <v>81.512536999999995</v>
      </c>
      <c r="I61" t="s">
        <v>15</v>
      </c>
      <c r="J61" s="24">
        <f t="shared" si="1"/>
        <v>0.26681100000000002</v>
      </c>
      <c r="K61" s="24">
        <f t="shared" si="2"/>
        <v>50.83</v>
      </c>
      <c r="L61" s="24">
        <f t="shared" si="3"/>
        <v>10.29</v>
      </c>
      <c r="M61" s="24">
        <f t="shared" si="4"/>
        <v>81.510000000000005</v>
      </c>
    </row>
    <row r="62" spans="1:13" x14ac:dyDescent="0.25">
      <c r="A62" t="s">
        <v>38</v>
      </c>
      <c r="B62" t="s">
        <v>258</v>
      </c>
      <c r="C62" t="s">
        <v>107</v>
      </c>
      <c r="D62" s="24">
        <v>152889.34</v>
      </c>
      <c r="E62" s="24">
        <v>152889.34</v>
      </c>
      <c r="F62" s="24">
        <v>3.4266380000000001</v>
      </c>
      <c r="G62" s="24">
        <v>1.862757</v>
      </c>
      <c r="H62" s="24">
        <v>30.510891000000001</v>
      </c>
      <c r="I62" t="s">
        <v>15</v>
      </c>
      <c r="J62" s="24">
        <f t="shared" si="1"/>
        <v>0.152889</v>
      </c>
      <c r="K62" s="24">
        <f t="shared" si="2"/>
        <v>3.43</v>
      </c>
      <c r="L62" s="24">
        <f t="shared" si="3"/>
        <v>1.86</v>
      </c>
      <c r="M62" s="24">
        <f t="shared" si="4"/>
        <v>30.51</v>
      </c>
    </row>
    <row r="63" spans="1:13" x14ac:dyDescent="0.25">
      <c r="A63" t="s">
        <v>34</v>
      </c>
      <c r="B63" t="s">
        <v>258</v>
      </c>
      <c r="C63" t="s">
        <v>155</v>
      </c>
      <c r="D63" s="24">
        <v>2502031.4599999902</v>
      </c>
      <c r="E63" s="24">
        <v>2502065.7899999898</v>
      </c>
      <c r="F63" s="24">
        <v>79.425251000000003</v>
      </c>
      <c r="G63" s="24">
        <v>37.726148999999999</v>
      </c>
      <c r="H63" s="24">
        <v>361.31925999999999</v>
      </c>
      <c r="I63" t="s">
        <v>15</v>
      </c>
      <c r="J63" s="24">
        <f t="shared" si="1"/>
        <v>2.5020660000000001</v>
      </c>
      <c r="K63" s="24">
        <f t="shared" si="2"/>
        <v>79.430000000000007</v>
      </c>
      <c r="L63" s="24">
        <f t="shared" si="3"/>
        <v>37.729999999999997</v>
      </c>
      <c r="M63" s="24">
        <f t="shared" si="4"/>
        <v>361.32</v>
      </c>
    </row>
    <row r="64" spans="1:13" x14ac:dyDescent="0.25">
      <c r="A64" t="s">
        <v>38</v>
      </c>
      <c r="B64" t="s">
        <v>258</v>
      </c>
      <c r="C64" t="s">
        <v>313</v>
      </c>
      <c r="D64" s="24">
        <v>67.650000000000006</v>
      </c>
      <c r="E64" s="24">
        <v>67.650000000000006</v>
      </c>
      <c r="F64" s="24">
        <v>7.9979999999999999E-3</v>
      </c>
      <c r="G64" s="24">
        <v>1.892E-3</v>
      </c>
      <c r="H64" s="24">
        <v>2.6023999999999999E-2</v>
      </c>
      <c r="I64" t="s">
        <v>15</v>
      </c>
      <c r="J64" s="24">
        <f t="shared" si="1"/>
        <v>6.7999999999999999E-5</v>
      </c>
      <c r="K64" s="24">
        <f t="shared" si="2"/>
        <v>0.01</v>
      </c>
      <c r="L64" s="24">
        <f t="shared" si="3"/>
        <v>0</v>
      </c>
      <c r="M64" s="24">
        <f t="shared" si="4"/>
        <v>0.03</v>
      </c>
    </row>
    <row r="65" spans="1:13" x14ac:dyDescent="0.25">
      <c r="A65" t="s">
        <v>34</v>
      </c>
      <c r="B65" t="s">
        <v>258</v>
      </c>
      <c r="C65" t="s">
        <v>488</v>
      </c>
      <c r="D65" s="24">
        <v>1280269.1000000001</v>
      </c>
      <c r="E65" s="24">
        <v>1280269.1000000001</v>
      </c>
      <c r="F65" s="24">
        <v>40.678981999999998</v>
      </c>
      <c r="G65" s="24">
        <v>19.322053</v>
      </c>
      <c r="H65" s="24">
        <v>185.056071</v>
      </c>
      <c r="I65" t="s">
        <v>15</v>
      </c>
      <c r="J65" s="24">
        <f t="shared" si="1"/>
        <v>1.2802690000000001</v>
      </c>
      <c r="K65" s="24">
        <f t="shared" si="2"/>
        <v>40.68</v>
      </c>
      <c r="L65" s="24">
        <f t="shared" si="3"/>
        <v>19.32</v>
      </c>
      <c r="M65" s="24">
        <f t="shared" si="4"/>
        <v>185.06</v>
      </c>
    </row>
    <row r="66" spans="1:13" x14ac:dyDescent="0.25">
      <c r="A66" t="s">
        <v>67</v>
      </c>
      <c r="B66" t="s">
        <v>258</v>
      </c>
      <c r="C66" t="s">
        <v>96</v>
      </c>
      <c r="D66" s="24">
        <v>150736.57</v>
      </c>
      <c r="E66" s="24">
        <v>150736.57</v>
      </c>
      <c r="F66" s="24">
        <v>0.14288100000000001</v>
      </c>
      <c r="G66" s="24">
        <v>6.4187999999999995E-2</v>
      </c>
      <c r="H66" s="24">
        <v>0.80042599999999997</v>
      </c>
      <c r="I66" t="s">
        <v>15</v>
      </c>
      <c r="J66" s="24">
        <f t="shared" si="1"/>
        <v>0.15073700000000001</v>
      </c>
      <c r="K66" s="24">
        <f t="shared" si="2"/>
        <v>0.14000000000000001</v>
      </c>
      <c r="L66" s="24">
        <f t="shared" si="3"/>
        <v>0.06</v>
      </c>
      <c r="M66" s="24">
        <f t="shared" si="4"/>
        <v>0.8</v>
      </c>
    </row>
    <row r="67" spans="1:13" x14ac:dyDescent="0.25">
      <c r="A67" t="s">
        <v>38</v>
      </c>
      <c r="B67" t="s">
        <v>258</v>
      </c>
      <c r="C67" t="s">
        <v>310</v>
      </c>
      <c r="D67" s="24">
        <v>1272.0899999999999</v>
      </c>
      <c r="E67" s="24">
        <v>1272.0899999999999</v>
      </c>
      <c r="F67" s="24">
        <v>0.151728</v>
      </c>
      <c r="G67" s="24">
        <v>3.5901000000000002E-2</v>
      </c>
      <c r="H67" s="24">
        <v>0.49368400000000001</v>
      </c>
      <c r="I67" t="s">
        <v>15</v>
      </c>
      <c r="J67" s="24">
        <f t="shared" ref="J67:J130" si="5">+ROUND(E67,0)/1000000</f>
        <v>1.2719999999999999E-3</v>
      </c>
      <c r="K67" s="24">
        <f t="shared" ref="K67:K130" si="6">+ROUND(F67,2)</f>
        <v>0.15</v>
      </c>
      <c r="L67" s="24">
        <f t="shared" ref="L67:L130" si="7">+ROUND(G67,2)</f>
        <v>0.04</v>
      </c>
      <c r="M67" s="24">
        <f t="shared" ref="M67:M130" si="8">+ROUND(H67,2)</f>
        <v>0.49</v>
      </c>
    </row>
    <row r="68" spans="1:13" x14ac:dyDescent="0.25">
      <c r="A68" t="s">
        <v>61</v>
      </c>
      <c r="B68" t="s">
        <v>258</v>
      </c>
      <c r="C68" t="s">
        <v>224</v>
      </c>
      <c r="D68" s="24">
        <v>12767924.929999899</v>
      </c>
      <c r="E68" s="24">
        <v>12768081.9799999</v>
      </c>
      <c r="F68" s="24">
        <v>804.40271800000005</v>
      </c>
      <c r="G68" s="24">
        <v>57.830511000000001</v>
      </c>
      <c r="H68" s="24">
        <v>1254.2062450000001</v>
      </c>
      <c r="I68" t="s">
        <v>15</v>
      </c>
      <c r="J68" s="24">
        <f t="shared" si="5"/>
        <v>12.768082</v>
      </c>
      <c r="K68" s="24">
        <f t="shared" si="6"/>
        <v>804.4</v>
      </c>
      <c r="L68" s="24">
        <f t="shared" si="7"/>
        <v>57.83</v>
      </c>
      <c r="M68" s="24">
        <f t="shared" si="8"/>
        <v>1254.21</v>
      </c>
    </row>
    <row r="69" spans="1:13" x14ac:dyDescent="0.25">
      <c r="A69" t="s">
        <v>38</v>
      </c>
      <c r="B69" t="s">
        <v>258</v>
      </c>
      <c r="C69" t="s">
        <v>182</v>
      </c>
      <c r="D69" s="24">
        <v>1973521.47999999</v>
      </c>
      <c r="E69" s="24">
        <v>1974168.8799999901</v>
      </c>
      <c r="F69" s="24">
        <v>109.325731</v>
      </c>
      <c r="G69" s="24">
        <v>74.331292000000005</v>
      </c>
      <c r="H69" s="24">
        <v>1332.323386</v>
      </c>
      <c r="I69" t="s">
        <v>15</v>
      </c>
      <c r="J69" s="24">
        <f t="shared" si="5"/>
        <v>1.9741690000000001</v>
      </c>
      <c r="K69" s="24">
        <f t="shared" si="6"/>
        <v>109.33</v>
      </c>
      <c r="L69" s="24">
        <f t="shared" si="7"/>
        <v>74.33</v>
      </c>
      <c r="M69" s="24">
        <f t="shared" si="8"/>
        <v>1332.32</v>
      </c>
    </row>
    <row r="70" spans="1:13" x14ac:dyDescent="0.25">
      <c r="A70" t="s">
        <v>624</v>
      </c>
      <c r="B70" t="s">
        <v>258</v>
      </c>
      <c r="C70" t="s">
        <v>686</v>
      </c>
      <c r="D70" s="24">
        <v>-1117.79</v>
      </c>
      <c r="E70" s="24">
        <v>-1117.79</v>
      </c>
      <c r="F70" s="24">
        <v>0</v>
      </c>
      <c r="G70" s="24">
        <v>0</v>
      </c>
      <c r="H70" s="24">
        <v>0</v>
      </c>
      <c r="I70" t="s">
        <v>15</v>
      </c>
      <c r="J70" s="24">
        <f t="shared" si="5"/>
        <v>-1.1180000000000001E-3</v>
      </c>
      <c r="K70" s="24">
        <f t="shared" si="6"/>
        <v>0</v>
      </c>
      <c r="L70" s="24">
        <f t="shared" si="7"/>
        <v>0</v>
      </c>
      <c r="M70" s="24">
        <f t="shared" si="8"/>
        <v>0</v>
      </c>
    </row>
    <row r="71" spans="1:13" x14ac:dyDescent="0.25">
      <c r="A71" t="s">
        <v>238</v>
      </c>
      <c r="B71" t="s">
        <v>258</v>
      </c>
      <c r="C71" t="s">
        <v>583</v>
      </c>
      <c r="D71" s="24">
        <v>14979.9</v>
      </c>
      <c r="E71" s="24">
        <v>14979.9</v>
      </c>
      <c r="F71" s="24">
        <v>1.4196E-2</v>
      </c>
      <c r="G71" s="24">
        <v>6.3759999999999997E-3</v>
      </c>
      <c r="H71" s="24">
        <v>7.9536999999999997E-2</v>
      </c>
      <c r="I71" t="s">
        <v>15</v>
      </c>
      <c r="J71" s="24">
        <f t="shared" si="5"/>
        <v>1.498E-2</v>
      </c>
      <c r="K71" s="24">
        <f t="shared" si="6"/>
        <v>0.01</v>
      </c>
      <c r="L71" s="24">
        <f t="shared" si="7"/>
        <v>0.01</v>
      </c>
      <c r="M71" s="24">
        <f t="shared" si="8"/>
        <v>0.08</v>
      </c>
    </row>
    <row r="72" spans="1:13" x14ac:dyDescent="0.25">
      <c r="A72" t="s">
        <v>73</v>
      </c>
      <c r="B72" t="s">
        <v>321</v>
      </c>
      <c r="C72" t="s">
        <v>477</v>
      </c>
      <c r="D72" s="24">
        <v>514.52</v>
      </c>
      <c r="E72" s="24">
        <v>514.52</v>
      </c>
      <c r="F72" s="24">
        <v>1.4133E-2</v>
      </c>
      <c r="G72" s="24">
        <v>1.9849999999999998E-3</v>
      </c>
      <c r="H72" s="24">
        <v>0.10990800000000001</v>
      </c>
      <c r="I72" t="s">
        <v>682</v>
      </c>
      <c r="J72" s="24">
        <f t="shared" si="5"/>
        <v>5.1500000000000005E-4</v>
      </c>
      <c r="K72" s="24">
        <f t="shared" si="6"/>
        <v>0.01</v>
      </c>
      <c r="L72" s="24">
        <f t="shared" si="7"/>
        <v>0</v>
      </c>
      <c r="M72" s="24">
        <f t="shared" si="8"/>
        <v>0.11</v>
      </c>
    </row>
    <row r="73" spans="1:13" x14ac:dyDescent="0.25">
      <c r="A73" t="s">
        <v>125</v>
      </c>
      <c r="B73" t="s">
        <v>258</v>
      </c>
      <c r="C73" t="s">
        <v>259</v>
      </c>
      <c r="D73" s="24">
        <v>891271.04</v>
      </c>
      <c r="E73" s="24">
        <v>891271.04</v>
      </c>
      <c r="F73" s="24">
        <v>1101.0051510000001</v>
      </c>
      <c r="G73" s="24">
        <v>84.340750999999997</v>
      </c>
      <c r="H73" s="24">
        <v>444.86818199999999</v>
      </c>
      <c r="I73" t="s">
        <v>15</v>
      </c>
      <c r="J73" s="24">
        <f t="shared" si="5"/>
        <v>0.89127100000000004</v>
      </c>
      <c r="K73" s="24">
        <f t="shared" si="6"/>
        <v>1101.01</v>
      </c>
      <c r="L73" s="24">
        <f t="shared" si="7"/>
        <v>84.34</v>
      </c>
      <c r="M73" s="24">
        <f t="shared" si="8"/>
        <v>444.87</v>
      </c>
    </row>
    <row r="74" spans="1:13" x14ac:dyDescent="0.25">
      <c r="A74" t="s">
        <v>38</v>
      </c>
      <c r="B74" t="s">
        <v>258</v>
      </c>
      <c r="C74" t="s">
        <v>314</v>
      </c>
      <c r="D74" s="24">
        <v>65349.2599999999</v>
      </c>
      <c r="E74" s="24">
        <v>65418.6499999999</v>
      </c>
      <c r="F74" s="24">
        <v>3.0398640000000001</v>
      </c>
      <c r="G74" s="24">
        <v>2.7511899999999998</v>
      </c>
      <c r="H74" s="24">
        <v>14.214100999999999</v>
      </c>
      <c r="I74" t="s">
        <v>15</v>
      </c>
      <c r="J74" s="24">
        <f t="shared" si="5"/>
        <v>6.5419000000000005E-2</v>
      </c>
      <c r="K74" s="24">
        <f t="shared" si="6"/>
        <v>3.04</v>
      </c>
      <c r="L74" s="24">
        <f t="shared" si="7"/>
        <v>2.75</v>
      </c>
      <c r="M74" s="24">
        <f t="shared" si="8"/>
        <v>14.21</v>
      </c>
    </row>
    <row r="75" spans="1:13" x14ac:dyDescent="0.25">
      <c r="A75" t="s">
        <v>38</v>
      </c>
      <c r="B75" t="s">
        <v>258</v>
      </c>
      <c r="C75" t="s">
        <v>175</v>
      </c>
      <c r="D75" s="24">
        <v>336255.42</v>
      </c>
      <c r="E75" s="24">
        <v>336255.42</v>
      </c>
      <c r="F75" s="24">
        <v>18.62866</v>
      </c>
      <c r="G75" s="24">
        <v>12.665759</v>
      </c>
      <c r="H75" s="24">
        <v>227.02218199999999</v>
      </c>
      <c r="I75" t="s">
        <v>15</v>
      </c>
      <c r="J75" s="24">
        <f t="shared" si="5"/>
        <v>0.33625500000000003</v>
      </c>
      <c r="K75" s="24">
        <f t="shared" si="6"/>
        <v>18.63</v>
      </c>
      <c r="L75" s="24">
        <f t="shared" si="7"/>
        <v>12.67</v>
      </c>
      <c r="M75" s="24">
        <f t="shared" si="8"/>
        <v>227.02</v>
      </c>
    </row>
    <row r="76" spans="1:13" x14ac:dyDescent="0.25">
      <c r="A76" t="s">
        <v>67</v>
      </c>
      <c r="B76" t="s">
        <v>258</v>
      </c>
      <c r="C76" t="s">
        <v>591</v>
      </c>
      <c r="D76" s="24">
        <v>1086653.4399999899</v>
      </c>
      <c r="E76" s="24">
        <v>1086679.3699999901</v>
      </c>
      <c r="F76" s="24">
        <v>1.0302249999999999</v>
      </c>
      <c r="G76" s="24">
        <v>0.462841</v>
      </c>
      <c r="H76" s="24">
        <v>5.7713429999999999</v>
      </c>
      <c r="I76" t="s">
        <v>15</v>
      </c>
      <c r="J76" s="24">
        <f t="shared" si="5"/>
        <v>1.086679</v>
      </c>
      <c r="K76" s="24">
        <f t="shared" si="6"/>
        <v>1.03</v>
      </c>
      <c r="L76" s="24">
        <f t="shared" si="7"/>
        <v>0.46</v>
      </c>
      <c r="M76" s="24">
        <f t="shared" si="8"/>
        <v>5.77</v>
      </c>
    </row>
    <row r="77" spans="1:13" x14ac:dyDescent="0.25">
      <c r="A77" t="s">
        <v>54</v>
      </c>
      <c r="B77" t="s">
        <v>258</v>
      </c>
      <c r="C77" t="s">
        <v>601</v>
      </c>
      <c r="D77" s="24">
        <v>507225.93</v>
      </c>
      <c r="E77" s="24">
        <v>507225.93</v>
      </c>
      <c r="F77" s="24">
        <v>0.480846</v>
      </c>
      <c r="G77" s="24">
        <v>0.21604100000000001</v>
      </c>
      <c r="H77" s="24">
        <v>2.6936110000000002</v>
      </c>
      <c r="I77" t="s">
        <v>15</v>
      </c>
      <c r="J77" s="24">
        <f t="shared" si="5"/>
        <v>0.50722599999999995</v>
      </c>
      <c r="K77" s="24">
        <f t="shared" si="6"/>
        <v>0.48</v>
      </c>
      <c r="L77" s="24">
        <f t="shared" si="7"/>
        <v>0.22</v>
      </c>
      <c r="M77" s="24">
        <f t="shared" si="8"/>
        <v>2.69</v>
      </c>
    </row>
    <row r="78" spans="1:13" x14ac:dyDescent="0.25">
      <c r="A78" t="s">
        <v>41</v>
      </c>
      <c r="B78" t="s">
        <v>258</v>
      </c>
      <c r="C78" t="s">
        <v>229</v>
      </c>
      <c r="D78" s="24">
        <v>344783.92</v>
      </c>
      <c r="E78" s="24">
        <v>344783.92</v>
      </c>
      <c r="F78" s="24">
        <v>10.591545999999999</v>
      </c>
      <c r="G78" s="24">
        <v>1.7704690000000001</v>
      </c>
      <c r="H78" s="24">
        <v>19.379829999999998</v>
      </c>
      <c r="I78" t="s">
        <v>15</v>
      </c>
      <c r="J78" s="24">
        <f t="shared" si="5"/>
        <v>0.34478399999999998</v>
      </c>
      <c r="K78" s="24">
        <f t="shared" si="6"/>
        <v>10.59</v>
      </c>
      <c r="L78" s="24">
        <f t="shared" si="7"/>
        <v>1.77</v>
      </c>
      <c r="M78" s="24">
        <f t="shared" si="8"/>
        <v>19.38</v>
      </c>
    </row>
    <row r="79" spans="1:13" x14ac:dyDescent="0.25">
      <c r="A79" t="s">
        <v>125</v>
      </c>
      <c r="B79" t="s">
        <v>258</v>
      </c>
      <c r="C79" t="s">
        <v>261</v>
      </c>
      <c r="D79" s="24">
        <v>20844.91</v>
      </c>
      <c r="E79" s="24">
        <v>20844.91</v>
      </c>
      <c r="F79" s="24">
        <v>25.741800000000001</v>
      </c>
      <c r="G79" s="24">
        <v>1.9719040000000001</v>
      </c>
      <c r="H79" s="24">
        <v>10.401135999999999</v>
      </c>
      <c r="I79" t="s">
        <v>15</v>
      </c>
      <c r="J79" s="24">
        <f t="shared" si="5"/>
        <v>2.0844999999999999E-2</v>
      </c>
      <c r="K79" s="24">
        <f t="shared" si="6"/>
        <v>25.74</v>
      </c>
      <c r="L79" s="24">
        <f t="shared" si="7"/>
        <v>1.97</v>
      </c>
      <c r="M79" s="24">
        <f t="shared" si="8"/>
        <v>10.4</v>
      </c>
    </row>
    <row r="80" spans="1:13" x14ac:dyDescent="0.25">
      <c r="A80" t="s">
        <v>125</v>
      </c>
      <c r="B80" t="s">
        <v>258</v>
      </c>
      <c r="C80" t="s">
        <v>262</v>
      </c>
      <c r="D80" s="24">
        <v>3335017.6399999899</v>
      </c>
      <c r="E80" s="24">
        <v>3335018.25999999</v>
      </c>
      <c r="F80" s="24">
        <v>4119.8094650000003</v>
      </c>
      <c r="G80" s="24">
        <v>315.59146099999998</v>
      </c>
      <c r="H80" s="24">
        <v>1664.6353859999999</v>
      </c>
      <c r="I80" t="s">
        <v>15</v>
      </c>
      <c r="J80" s="24">
        <f t="shared" si="5"/>
        <v>3.3350179999999998</v>
      </c>
      <c r="K80" s="24">
        <f t="shared" si="6"/>
        <v>4119.8100000000004</v>
      </c>
      <c r="L80" s="24">
        <f t="shared" si="7"/>
        <v>315.58999999999997</v>
      </c>
      <c r="M80" s="24">
        <f t="shared" si="8"/>
        <v>1664.64</v>
      </c>
    </row>
    <row r="81" spans="1:13" x14ac:dyDescent="0.25">
      <c r="A81" t="s">
        <v>38</v>
      </c>
      <c r="B81" t="s">
        <v>258</v>
      </c>
      <c r="C81" t="s">
        <v>687</v>
      </c>
      <c r="D81" s="24">
        <v>121003.56</v>
      </c>
      <c r="E81" s="24">
        <v>121003.56</v>
      </c>
      <c r="F81" s="24">
        <v>2.7119800000000001</v>
      </c>
      <c r="G81" s="24">
        <v>1.474261</v>
      </c>
      <c r="H81" s="24">
        <v>24.147562000000001</v>
      </c>
      <c r="I81" t="s">
        <v>15</v>
      </c>
      <c r="J81" s="24">
        <f t="shared" si="5"/>
        <v>0.121004</v>
      </c>
      <c r="K81" s="24">
        <f t="shared" si="6"/>
        <v>2.71</v>
      </c>
      <c r="L81" s="24">
        <f t="shared" si="7"/>
        <v>1.47</v>
      </c>
      <c r="M81" s="24">
        <f t="shared" si="8"/>
        <v>24.15</v>
      </c>
    </row>
    <row r="82" spans="1:13" x14ac:dyDescent="0.25">
      <c r="A82" t="s">
        <v>38</v>
      </c>
      <c r="B82" t="s">
        <v>258</v>
      </c>
      <c r="C82" t="s">
        <v>315</v>
      </c>
      <c r="D82" s="24">
        <v>7611674.02999999</v>
      </c>
      <c r="E82" s="24">
        <v>7611783.5099999905</v>
      </c>
      <c r="F82" s="24">
        <v>310.65117600000002</v>
      </c>
      <c r="G82" s="24">
        <v>113.033584</v>
      </c>
      <c r="H82" s="24">
        <v>1085.780563</v>
      </c>
      <c r="I82" t="s">
        <v>15</v>
      </c>
      <c r="J82" s="24">
        <f t="shared" si="5"/>
        <v>7.6117840000000001</v>
      </c>
      <c r="K82" s="24">
        <f t="shared" si="6"/>
        <v>310.64999999999998</v>
      </c>
      <c r="L82" s="24">
        <f t="shared" si="7"/>
        <v>113.03</v>
      </c>
      <c r="M82" s="24">
        <f t="shared" si="8"/>
        <v>1085.78</v>
      </c>
    </row>
    <row r="83" spans="1:13" x14ac:dyDescent="0.25">
      <c r="A83" t="s">
        <v>38</v>
      </c>
      <c r="B83" t="s">
        <v>258</v>
      </c>
      <c r="C83" t="s">
        <v>316</v>
      </c>
      <c r="D83" s="24">
        <v>447918.92</v>
      </c>
      <c r="E83" s="24">
        <v>447918.92</v>
      </c>
      <c r="F83" s="24">
        <v>85.366493000000006</v>
      </c>
      <c r="G83" s="24">
        <v>17.275746000000002</v>
      </c>
      <c r="H83" s="24">
        <v>136.903381</v>
      </c>
      <c r="I83" t="s">
        <v>15</v>
      </c>
      <c r="J83" s="24">
        <f t="shared" si="5"/>
        <v>0.44791900000000001</v>
      </c>
      <c r="K83" s="24">
        <f t="shared" si="6"/>
        <v>85.37</v>
      </c>
      <c r="L83" s="24">
        <f t="shared" si="7"/>
        <v>17.28</v>
      </c>
      <c r="M83" s="24">
        <f t="shared" si="8"/>
        <v>136.9</v>
      </c>
    </row>
    <row r="84" spans="1:13" x14ac:dyDescent="0.25">
      <c r="A84" t="s">
        <v>238</v>
      </c>
      <c r="B84" t="s">
        <v>258</v>
      </c>
      <c r="C84" t="s">
        <v>688</v>
      </c>
      <c r="D84" s="24">
        <v>310.83999999999997</v>
      </c>
      <c r="E84" s="24">
        <v>310.83999999999997</v>
      </c>
      <c r="F84" s="24">
        <v>2.9300000000000002E-4</v>
      </c>
      <c r="G84" s="24">
        <v>1.3100000000000001E-4</v>
      </c>
      <c r="H84" s="24">
        <v>1.645E-3</v>
      </c>
      <c r="I84" t="s">
        <v>15</v>
      </c>
      <c r="J84" s="24">
        <f t="shared" si="5"/>
        <v>3.1100000000000002E-4</v>
      </c>
      <c r="K84" s="24">
        <f t="shared" si="6"/>
        <v>0</v>
      </c>
      <c r="L84" s="24">
        <f t="shared" si="7"/>
        <v>0</v>
      </c>
      <c r="M84" s="24">
        <f t="shared" si="8"/>
        <v>0</v>
      </c>
    </row>
    <row r="85" spans="1:13" x14ac:dyDescent="0.25">
      <c r="A85" t="s">
        <v>125</v>
      </c>
      <c r="B85" t="s">
        <v>258</v>
      </c>
      <c r="C85" t="s">
        <v>260</v>
      </c>
      <c r="D85" s="24">
        <v>82624.42</v>
      </c>
      <c r="E85" s="24">
        <v>82624.42</v>
      </c>
      <c r="F85" s="24">
        <v>102.050595</v>
      </c>
      <c r="G85" s="24">
        <v>7.8174130000000002</v>
      </c>
      <c r="H85" s="24">
        <v>41.234189000000001</v>
      </c>
      <c r="I85" t="s">
        <v>15</v>
      </c>
      <c r="J85" s="24">
        <f t="shared" si="5"/>
        <v>8.2624000000000003E-2</v>
      </c>
      <c r="K85" s="24">
        <f t="shared" si="6"/>
        <v>102.05</v>
      </c>
      <c r="L85" s="24">
        <f t="shared" si="7"/>
        <v>7.82</v>
      </c>
      <c r="M85" s="24">
        <f t="shared" si="8"/>
        <v>41.23</v>
      </c>
    </row>
    <row r="86" spans="1:13" x14ac:dyDescent="0.25">
      <c r="A86" t="s">
        <v>38</v>
      </c>
      <c r="B86" t="s">
        <v>258</v>
      </c>
      <c r="C86" t="s">
        <v>318</v>
      </c>
      <c r="D86" s="24">
        <v>504870.20999999897</v>
      </c>
      <c r="E86" s="24">
        <v>505065.88999999902</v>
      </c>
      <c r="F86" s="24">
        <v>96.190659999999994</v>
      </c>
      <c r="G86" s="24">
        <v>19.466245000000001</v>
      </c>
      <c r="H86" s="24">
        <v>154.262246</v>
      </c>
      <c r="I86" t="s">
        <v>15</v>
      </c>
      <c r="J86" s="24">
        <f t="shared" si="5"/>
        <v>0.50506600000000001</v>
      </c>
      <c r="K86" s="24">
        <f t="shared" si="6"/>
        <v>96.19</v>
      </c>
      <c r="L86" s="24">
        <f t="shared" si="7"/>
        <v>19.47</v>
      </c>
      <c r="M86" s="24">
        <f t="shared" si="8"/>
        <v>154.26</v>
      </c>
    </row>
    <row r="87" spans="1:13" x14ac:dyDescent="0.25">
      <c r="A87" t="s">
        <v>73</v>
      </c>
      <c r="B87" t="s">
        <v>258</v>
      </c>
      <c r="C87" t="s">
        <v>118</v>
      </c>
      <c r="D87" s="24">
        <v>833.89</v>
      </c>
      <c r="E87" s="24">
        <v>833.89</v>
      </c>
      <c r="F87" s="24">
        <v>2.2904999999999998E-2</v>
      </c>
      <c r="G87" s="24">
        <v>3.2179999999999999E-3</v>
      </c>
      <c r="H87" s="24">
        <v>0.17812</v>
      </c>
      <c r="I87" t="s">
        <v>15</v>
      </c>
      <c r="J87" s="24">
        <f t="shared" si="5"/>
        <v>8.34E-4</v>
      </c>
      <c r="K87" s="24">
        <f t="shared" si="6"/>
        <v>0.02</v>
      </c>
      <c r="L87" s="24">
        <f t="shared" si="7"/>
        <v>0</v>
      </c>
      <c r="M87" s="24">
        <f t="shared" si="8"/>
        <v>0.18</v>
      </c>
    </row>
    <row r="88" spans="1:13" x14ac:dyDescent="0.25">
      <c r="A88" t="s">
        <v>34</v>
      </c>
      <c r="B88" t="s">
        <v>258</v>
      </c>
      <c r="C88" t="s">
        <v>76</v>
      </c>
      <c r="D88" s="24">
        <v>546477.86</v>
      </c>
      <c r="E88" s="24">
        <v>546477.86</v>
      </c>
      <c r="F88" s="24">
        <v>17.346149</v>
      </c>
      <c r="G88" s="24">
        <v>8.2392190000000003</v>
      </c>
      <c r="H88" s="24">
        <v>78.910819000000004</v>
      </c>
      <c r="I88" t="s">
        <v>15</v>
      </c>
      <c r="J88" s="24">
        <f t="shared" si="5"/>
        <v>0.54647800000000002</v>
      </c>
      <c r="K88" s="24">
        <f t="shared" si="6"/>
        <v>17.350000000000001</v>
      </c>
      <c r="L88" s="24">
        <f t="shared" si="7"/>
        <v>8.24</v>
      </c>
      <c r="M88" s="24">
        <f t="shared" si="8"/>
        <v>78.91</v>
      </c>
    </row>
    <row r="89" spans="1:13" x14ac:dyDescent="0.25">
      <c r="A89" t="s">
        <v>34</v>
      </c>
      <c r="B89" t="s">
        <v>258</v>
      </c>
      <c r="C89" t="s">
        <v>489</v>
      </c>
      <c r="D89" s="24">
        <v>225546.87</v>
      </c>
      <c r="E89" s="24">
        <v>225546.87</v>
      </c>
      <c r="F89" s="24">
        <v>7.159376</v>
      </c>
      <c r="G89" s="24">
        <v>3.4006210000000001</v>
      </c>
      <c r="H89" s="24">
        <v>32.569298000000003</v>
      </c>
      <c r="I89" t="s">
        <v>15</v>
      </c>
      <c r="J89" s="24">
        <f t="shared" si="5"/>
        <v>0.225547</v>
      </c>
      <c r="K89" s="24">
        <f t="shared" si="6"/>
        <v>7.16</v>
      </c>
      <c r="L89" s="24">
        <f t="shared" si="7"/>
        <v>3.4</v>
      </c>
      <c r="M89" s="24">
        <f t="shared" si="8"/>
        <v>32.57</v>
      </c>
    </row>
    <row r="90" spans="1:13" x14ac:dyDescent="0.25">
      <c r="A90" t="s">
        <v>73</v>
      </c>
      <c r="B90" t="s">
        <v>258</v>
      </c>
      <c r="C90" t="s">
        <v>202</v>
      </c>
      <c r="D90" s="24">
        <v>1420173.3999999899</v>
      </c>
      <c r="E90" s="24">
        <v>1420181.4499999899</v>
      </c>
      <c r="F90" s="24">
        <v>39.075366000000002</v>
      </c>
      <c r="G90" s="24">
        <v>5.4904349999999997</v>
      </c>
      <c r="H90" s="24">
        <v>303.869372</v>
      </c>
      <c r="I90" t="s">
        <v>15</v>
      </c>
      <c r="J90" s="24">
        <f t="shared" si="5"/>
        <v>1.4201809999999999</v>
      </c>
      <c r="K90" s="24">
        <f t="shared" si="6"/>
        <v>39.08</v>
      </c>
      <c r="L90" s="24">
        <f t="shared" si="7"/>
        <v>5.49</v>
      </c>
      <c r="M90" s="24">
        <f t="shared" si="8"/>
        <v>303.87</v>
      </c>
    </row>
    <row r="91" spans="1:13" x14ac:dyDescent="0.25">
      <c r="A91" t="s">
        <v>38</v>
      </c>
      <c r="B91" t="s">
        <v>258</v>
      </c>
      <c r="C91" t="s">
        <v>319</v>
      </c>
      <c r="D91" s="24">
        <v>487.55</v>
      </c>
      <c r="E91" s="24">
        <v>487.55</v>
      </c>
      <c r="F91" s="24">
        <v>5.8137000000000001E-2</v>
      </c>
      <c r="G91" s="24">
        <v>1.3756000000000001E-2</v>
      </c>
      <c r="H91" s="24">
        <v>0.189162</v>
      </c>
      <c r="I91" t="s">
        <v>15</v>
      </c>
      <c r="J91" s="24">
        <f t="shared" si="5"/>
        <v>4.8799999999999999E-4</v>
      </c>
      <c r="K91" s="24">
        <f t="shared" si="6"/>
        <v>0.06</v>
      </c>
      <c r="L91" s="24">
        <f t="shared" si="7"/>
        <v>0.01</v>
      </c>
      <c r="M91" s="24">
        <f t="shared" si="8"/>
        <v>0.19</v>
      </c>
    </row>
    <row r="92" spans="1:13" x14ac:dyDescent="0.25">
      <c r="A92" t="s">
        <v>38</v>
      </c>
      <c r="B92" t="s">
        <v>258</v>
      </c>
      <c r="C92" t="s">
        <v>320</v>
      </c>
      <c r="D92" s="24">
        <v>1578210.11</v>
      </c>
      <c r="E92" s="24">
        <v>1578210.11</v>
      </c>
      <c r="F92" s="24">
        <v>87.433460999999994</v>
      </c>
      <c r="G92" s="24">
        <v>59.446638999999998</v>
      </c>
      <c r="H92" s="24">
        <v>1065.52691</v>
      </c>
      <c r="I92" t="s">
        <v>15</v>
      </c>
      <c r="J92" s="24">
        <f t="shared" si="5"/>
        <v>1.5782099999999999</v>
      </c>
      <c r="K92" s="24">
        <f t="shared" si="6"/>
        <v>87.43</v>
      </c>
      <c r="L92" s="24">
        <f t="shared" si="7"/>
        <v>59.45</v>
      </c>
      <c r="M92" s="24">
        <f t="shared" si="8"/>
        <v>1065.53</v>
      </c>
    </row>
    <row r="93" spans="1:13" x14ac:dyDescent="0.25">
      <c r="A93" t="s">
        <v>662</v>
      </c>
      <c r="B93" t="s">
        <v>258</v>
      </c>
      <c r="C93" t="s">
        <v>665</v>
      </c>
      <c r="D93" s="24">
        <v>68625.440000000002</v>
      </c>
      <c r="E93" s="24">
        <v>68625.440000000002</v>
      </c>
      <c r="F93" s="24">
        <v>2.8006319999999998</v>
      </c>
      <c r="G93" s="24">
        <v>1.0190349999999999</v>
      </c>
      <c r="H93" s="24">
        <v>9.7887079999999997</v>
      </c>
      <c r="I93" t="s">
        <v>15</v>
      </c>
      <c r="J93" s="24">
        <f t="shared" si="5"/>
        <v>6.8625000000000005E-2</v>
      </c>
      <c r="K93" s="24">
        <f t="shared" si="6"/>
        <v>2.8</v>
      </c>
      <c r="L93" s="24">
        <f t="shared" si="7"/>
        <v>1.02</v>
      </c>
      <c r="M93" s="24">
        <f t="shared" si="8"/>
        <v>9.7899999999999991</v>
      </c>
    </row>
    <row r="94" spans="1:13" x14ac:dyDescent="0.25">
      <c r="A94" t="s">
        <v>125</v>
      </c>
      <c r="B94" t="s">
        <v>258</v>
      </c>
      <c r="C94" t="s">
        <v>263</v>
      </c>
      <c r="D94" s="24">
        <v>3020822.08</v>
      </c>
      <c r="E94" s="24">
        <v>3020822.08</v>
      </c>
      <c r="F94" s="24">
        <v>3731.7108039999998</v>
      </c>
      <c r="G94" s="24">
        <v>285.86180000000002</v>
      </c>
      <c r="H94" s="24">
        <v>1507.8216540000001</v>
      </c>
      <c r="I94" t="s">
        <v>15</v>
      </c>
      <c r="J94" s="24">
        <f t="shared" si="5"/>
        <v>3.0208219999999999</v>
      </c>
      <c r="K94" s="24">
        <f t="shared" si="6"/>
        <v>3731.71</v>
      </c>
      <c r="L94" s="24">
        <f t="shared" si="7"/>
        <v>285.86</v>
      </c>
      <c r="M94" s="24">
        <f t="shared" si="8"/>
        <v>1507.82</v>
      </c>
    </row>
    <row r="95" spans="1:13" x14ac:dyDescent="0.25">
      <c r="A95" t="s">
        <v>238</v>
      </c>
      <c r="B95" t="s">
        <v>258</v>
      </c>
      <c r="C95" t="s">
        <v>689</v>
      </c>
      <c r="D95" s="24">
        <v>1004.18</v>
      </c>
      <c r="E95" s="24">
        <v>1004.18</v>
      </c>
      <c r="F95" s="24">
        <v>9.5E-4</v>
      </c>
      <c r="G95" s="24">
        <v>4.26E-4</v>
      </c>
      <c r="H95" s="24">
        <v>5.326E-3</v>
      </c>
      <c r="I95" t="s">
        <v>15</v>
      </c>
      <c r="J95" s="24">
        <f t="shared" si="5"/>
        <v>1.0039999999999999E-3</v>
      </c>
      <c r="K95" s="24">
        <f t="shared" si="6"/>
        <v>0</v>
      </c>
      <c r="L95" s="24">
        <f t="shared" si="7"/>
        <v>0</v>
      </c>
      <c r="M95" s="24">
        <f t="shared" si="8"/>
        <v>0.01</v>
      </c>
    </row>
    <row r="96" spans="1:13" x14ac:dyDescent="0.25">
      <c r="A96" t="s">
        <v>38</v>
      </c>
      <c r="B96" t="s">
        <v>258</v>
      </c>
      <c r="C96" t="s">
        <v>86</v>
      </c>
      <c r="D96" s="24">
        <v>147101.5</v>
      </c>
      <c r="E96" s="24">
        <v>147101.5</v>
      </c>
      <c r="F96" s="24">
        <v>28.023240000000001</v>
      </c>
      <c r="G96" s="24">
        <v>5.6711029999999996</v>
      </c>
      <c r="H96" s="24">
        <v>44.941240000000001</v>
      </c>
      <c r="I96" t="s">
        <v>15</v>
      </c>
      <c r="J96" s="24">
        <f t="shared" si="5"/>
        <v>0.14710200000000001</v>
      </c>
      <c r="K96" s="24">
        <f t="shared" si="6"/>
        <v>28.02</v>
      </c>
      <c r="L96" s="24">
        <f t="shared" si="7"/>
        <v>5.67</v>
      </c>
      <c r="M96" s="24">
        <f t="shared" si="8"/>
        <v>44.94</v>
      </c>
    </row>
    <row r="97" spans="1:13" x14ac:dyDescent="0.25">
      <c r="A97" t="s">
        <v>38</v>
      </c>
      <c r="B97" t="s">
        <v>258</v>
      </c>
      <c r="C97" t="s">
        <v>170</v>
      </c>
      <c r="D97" s="24">
        <v>58101833.700000003</v>
      </c>
      <c r="E97" s="24">
        <v>58101833.700000003</v>
      </c>
      <c r="F97" s="24">
        <v>3218.9808800000001</v>
      </c>
      <c r="G97" s="24">
        <v>2188.6088180000002</v>
      </c>
      <c r="H97" s="24">
        <v>39228.787537999997</v>
      </c>
      <c r="I97" t="s">
        <v>15</v>
      </c>
      <c r="J97" s="24">
        <f t="shared" si="5"/>
        <v>58.101833999999997</v>
      </c>
      <c r="K97" s="24">
        <f t="shared" si="6"/>
        <v>3218.98</v>
      </c>
      <c r="L97" s="24">
        <f t="shared" si="7"/>
        <v>2188.61</v>
      </c>
      <c r="M97" s="24">
        <f t="shared" si="8"/>
        <v>39228.79</v>
      </c>
    </row>
    <row r="98" spans="1:13" x14ac:dyDescent="0.25">
      <c r="A98" t="s">
        <v>662</v>
      </c>
      <c r="B98" t="s">
        <v>258</v>
      </c>
      <c r="C98" t="s">
        <v>666</v>
      </c>
      <c r="D98" s="24">
        <v>272395.71999999997</v>
      </c>
      <c r="E98" s="24">
        <v>272395.71999999997</v>
      </c>
      <c r="F98" s="24">
        <v>8.3683230000000002</v>
      </c>
      <c r="G98" s="24">
        <v>1.3988689999999999</v>
      </c>
      <c r="H98" s="24">
        <v>15.311874</v>
      </c>
      <c r="I98" t="s">
        <v>15</v>
      </c>
      <c r="J98" s="24">
        <f t="shared" si="5"/>
        <v>0.27239600000000003</v>
      </c>
      <c r="K98" s="24">
        <f t="shared" si="6"/>
        <v>8.3699999999999992</v>
      </c>
      <c r="L98" s="24">
        <f t="shared" si="7"/>
        <v>1.4</v>
      </c>
      <c r="M98" s="24">
        <f t="shared" si="8"/>
        <v>15.31</v>
      </c>
    </row>
    <row r="99" spans="1:13" x14ac:dyDescent="0.25">
      <c r="A99" t="s">
        <v>54</v>
      </c>
      <c r="B99" t="s">
        <v>258</v>
      </c>
      <c r="C99" t="s">
        <v>247</v>
      </c>
      <c r="D99" s="24">
        <v>557144.57999999996</v>
      </c>
      <c r="E99" s="24">
        <v>557144.57999999996</v>
      </c>
      <c r="F99" s="24">
        <v>0.52825999999999995</v>
      </c>
      <c r="G99" s="24">
        <v>0.23733899999999999</v>
      </c>
      <c r="H99" s="24">
        <v>2.9592619999999998</v>
      </c>
      <c r="I99" t="s">
        <v>15</v>
      </c>
      <c r="J99" s="24">
        <f t="shared" si="5"/>
        <v>0.557145</v>
      </c>
      <c r="K99" s="24">
        <f t="shared" si="6"/>
        <v>0.53</v>
      </c>
      <c r="L99" s="24">
        <f t="shared" si="7"/>
        <v>0.24</v>
      </c>
      <c r="M99" s="24">
        <f t="shared" si="8"/>
        <v>2.96</v>
      </c>
    </row>
    <row r="100" spans="1:13" x14ac:dyDescent="0.25">
      <c r="A100" t="s">
        <v>125</v>
      </c>
      <c r="B100" t="s">
        <v>258</v>
      </c>
      <c r="C100" t="s">
        <v>265</v>
      </c>
      <c r="D100" s="24">
        <v>6562940.1999999899</v>
      </c>
      <c r="E100" s="24">
        <v>6563054.6299999896</v>
      </c>
      <c r="F100" s="24">
        <v>8107.2903340000003</v>
      </c>
      <c r="G100" s="24">
        <v>621.04605300000003</v>
      </c>
      <c r="H100" s="24">
        <v>3275.8025419999999</v>
      </c>
      <c r="I100" t="s">
        <v>15</v>
      </c>
      <c r="J100" s="24">
        <f t="shared" si="5"/>
        <v>6.5630550000000003</v>
      </c>
      <c r="K100" s="24">
        <f t="shared" si="6"/>
        <v>8107.29</v>
      </c>
      <c r="L100" s="24">
        <f t="shared" si="7"/>
        <v>621.04999999999995</v>
      </c>
      <c r="M100" s="24">
        <f t="shared" si="8"/>
        <v>3275.8</v>
      </c>
    </row>
    <row r="101" spans="1:13" x14ac:dyDescent="0.25">
      <c r="A101" t="s">
        <v>34</v>
      </c>
      <c r="B101" t="s">
        <v>258</v>
      </c>
      <c r="C101" t="s">
        <v>490</v>
      </c>
      <c r="D101" s="24">
        <v>91707.33</v>
      </c>
      <c r="E101" s="24">
        <v>91707.33</v>
      </c>
      <c r="F101" s="24">
        <v>2.9108040000000002</v>
      </c>
      <c r="G101" s="24">
        <v>1.3825959999999999</v>
      </c>
      <c r="H101" s="24">
        <v>13.241794000000001</v>
      </c>
      <c r="I101" t="s">
        <v>15</v>
      </c>
      <c r="J101" s="24">
        <f t="shared" si="5"/>
        <v>9.1706999999999997E-2</v>
      </c>
      <c r="K101" s="24">
        <f t="shared" si="6"/>
        <v>2.91</v>
      </c>
      <c r="L101" s="24">
        <f t="shared" si="7"/>
        <v>1.38</v>
      </c>
      <c r="M101" s="24">
        <f t="shared" si="8"/>
        <v>13.24</v>
      </c>
    </row>
    <row r="102" spans="1:13" x14ac:dyDescent="0.25">
      <c r="A102" t="s">
        <v>125</v>
      </c>
      <c r="B102" t="s">
        <v>258</v>
      </c>
      <c r="C102" t="s">
        <v>264</v>
      </c>
      <c r="D102" s="24">
        <v>127409.55</v>
      </c>
      <c r="E102" s="24">
        <v>127409.55</v>
      </c>
      <c r="F102" s="24">
        <v>157.37732399999999</v>
      </c>
      <c r="G102" s="24">
        <v>12.055630000000001</v>
      </c>
      <c r="H102" s="24">
        <v>63.589311000000002</v>
      </c>
      <c r="I102" t="s">
        <v>15</v>
      </c>
      <c r="J102" s="24">
        <f t="shared" si="5"/>
        <v>0.12741</v>
      </c>
      <c r="K102" s="24">
        <f t="shared" si="6"/>
        <v>157.38</v>
      </c>
      <c r="L102" s="24">
        <f t="shared" si="7"/>
        <v>12.06</v>
      </c>
      <c r="M102" s="24">
        <f t="shared" si="8"/>
        <v>63.59</v>
      </c>
    </row>
    <row r="103" spans="1:13" x14ac:dyDescent="0.25">
      <c r="A103" t="s">
        <v>54</v>
      </c>
      <c r="B103" t="s">
        <v>258</v>
      </c>
      <c r="C103" t="s">
        <v>602</v>
      </c>
      <c r="D103" s="24">
        <v>103711.78</v>
      </c>
      <c r="E103" s="24">
        <v>103711.78</v>
      </c>
      <c r="F103" s="24">
        <v>9.8289000000000001E-2</v>
      </c>
      <c r="G103" s="24">
        <v>4.4150000000000002E-2</v>
      </c>
      <c r="H103" s="24">
        <v>0.55066300000000001</v>
      </c>
      <c r="I103" t="s">
        <v>15</v>
      </c>
      <c r="J103" s="24">
        <f t="shared" si="5"/>
        <v>0.103712</v>
      </c>
      <c r="K103" s="24">
        <f t="shared" si="6"/>
        <v>0.1</v>
      </c>
      <c r="L103" s="24">
        <f t="shared" si="7"/>
        <v>0.04</v>
      </c>
      <c r="M103" s="24">
        <f t="shared" si="8"/>
        <v>0.55000000000000004</v>
      </c>
    </row>
    <row r="104" spans="1:13" x14ac:dyDescent="0.25">
      <c r="A104" t="s">
        <v>125</v>
      </c>
      <c r="B104" t="s">
        <v>258</v>
      </c>
      <c r="C104" t="s">
        <v>266</v>
      </c>
      <c r="D104" s="24">
        <v>35024.97</v>
      </c>
      <c r="E104" s="24">
        <v>35024.97</v>
      </c>
      <c r="F104" s="24">
        <v>43.258780000000002</v>
      </c>
      <c r="G104" s="24">
        <v>3.3137660000000002</v>
      </c>
      <c r="H104" s="24">
        <v>17.478985000000002</v>
      </c>
      <c r="I104" t="s">
        <v>15</v>
      </c>
      <c r="J104" s="24">
        <f t="shared" si="5"/>
        <v>3.5025000000000001E-2</v>
      </c>
      <c r="K104" s="24">
        <f t="shared" si="6"/>
        <v>43.26</v>
      </c>
      <c r="L104" s="24">
        <f t="shared" si="7"/>
        <v>3.31</v>
      </c>
      <c r="M104" s="24">
        <f t="shared" si="8"/>
        <v>17.48</v>
      </c>
    </row>
    <row r="105" spans="1:13" x14ac:dyDescent="0.25">
      <c r="A105" t="s">
        <v>41</v>
      </c>
      <c r="B105" t="s">
        <v>258</v>
      </c>
      <c r="C105" t="s">
        <v>232</v>
      </c>
      <c r="D105" s="24">
        <v>319232.59999999998</v>
      </c>
      <c r="E105" s="24">
        <v>319232.59999999998</v>
      </c>
      <c r="F105" s="24">
        <v>0.30262499999999998</v>
      </c>
      <c r="G105" s="24">
        <v>0.135967</v>
      </c>
      <c r="H105" s="24">
        <v>1.695262</v>
      </c>
      <c r="I105" t="s">
        <v>15</v>
      </c>
      <c r="J105" s="24">
        <f t="shared" si="5"/>
        <v>0.31923299999999999</v>
      </c>
      <c r="K105" s="24">
        <f t="shared" si="6"/>
        <v>0.3</v>
      </c>
      <c r="L105" s="24">
        <f t="shared" si="7"/>
        <v>0.14000000000000001</v>
      </c>
      <c r="M105" s="24">
        <f t="shared" si="8"/>
        <v>1.7</v>
      </c>
    </row>
    <row r="106" spans="1:13" x14ac:dyDescent="0.25">
      <c r="A106" t="s">
        <v>38</v>
      </c>
      <c r="B106" t="s">
        <v>258</v>
      </c>
      <c r="C106" t="s">
        <v>323</v>
      </c>
      <c r="D106" s="24">
        <v>85925.749999999898</v>
      </c>
      <c r="E106" s="24">
        <v>86230.719999999899</v>
      </c>
      <c r="F106" s="24">
        <v>3.5098069999999999</v>
      </c>
      <c r="G106" s="24">
        <v>1.2770729999999999</v>
      </c>
      <c r="H106" s="24">
        <v>12.267405999999999</v>
      </c>
      <c r="I106" t="s">
        <v>15</v>
      </c>
      <c r="J106" s="24">
        <f t="shared" si="5"/>
        <v>8.6231000000000002E-2</v>
      </c>
      <c r="K106" s="24">
        <f t="shared" si="6"/>
        <v>3.51</v>
      </c>
      <c r="L106" s="24">
        <f t="shared" si="7"/>
        <v>1.28</v>
      </c>
      <c r="M106" s="24">
        <f t="shared" si="8"/>
        <v>12.27</v>
      </c>
    </row>
    <row r="107" spans="1:13" x14ac:dyDescent="0.25">
      <c r="A107" t="s">
        <v>38</v>
      </c>
      <c r="B107" t="s">
        <v>258</v>
      </c>
      <c r="C107" t="s">
        <v>324</v>
      </c>
      <c r="D107" s="24">
        <v>1554279.35539899</v>
      </c>
      <c r="E107" s="24">
        <v>1554304.4753989901</v>
      </c>
      <c r="F107" s="24">
        <v>25.542483000000001</v>
      </c>
      <c r="G107" s="24">
        <v>11.743554</v>
      </c>
      <c r="H107" s="24">
        <v>344.93668400000001</v>
      </c>
      <c r="I107" t="s">
        <v>15</v>
      </c>
      <c r="J107" s="24">
        <f t="shared" si="5"/>
        <v>1.5543039999999999</v>
      </c>
      <c r="K107" s="24">
        <f t="shared" si="6"/>
        <v>25.54</v>
      </c>
      <c r="L107" s="24">
        <f t="shared" si="7"/>
        <v>11.74</v>
      </c>
      <c r="M107" s="24">
        <f t="shared" si="8"/>
        <v>344.94</v>
      </c>
    </row>
    <row r="108" spans="1:13" x14ac:dyDescent="0.25">
      <c r="A108" t="s">
        <v>34</v>
      </c>
      <c r="B108" t="s">
        <v>258</v>
      </c>
      <c r="C108" t="s">
        <v>492</v>
      </c>
      <c r="D108" s="24">
        <v>347109.76</v>
      </c>
      <c r="E108" s="24">
        <v>347109.76</v>
      </c>
      <c r="F108" s="24">
        <v>11.017621999999999</v>
      </c>
      <c r="G108" s="24">
        <v>5.2332380000000001</v>
      </c>
      <c r="H108" s="24">
        <v>50.121236000000003</v>
      </c>
      <c r="I108" t="s">
        <v>15</v>
      </c>
      <c r="J108" s="24">
        <f t="shared" si="5"/>
        <v>0.34710999999999997</v>
      </c>
      <c r="K108" s="24">
        <f t="shared" si="6"/>
        <v>11.02</v>
      </c>
      <c r="L108" s="24">
        <f t="shared" si="7"/>
        <v>5.23</v>
      </c>
      <c r="M108" s="24">
        <f t="shared" si="8"/>
        <v>50.12</v>
      </c>
    </row>
    <row r="109" spans="1:13" x14ac:dyDescent="0.25">
      <c r="A109" t="s">
        <v>41</v>
      </c>
      <c r="B109" t="s">
        <v>258</v>
      </c>
      <c r="C109" t="s">
        <v>569</v>
      </c>
      <c r="D109" s="24">
        <v>60771.09</v>
      </c>
      <c r="E109" s="24">
        <v>60771.09</v>
      </c>
      <c r="F109" s="24">
        <v>1.8668849999999999</v>
      </c>
      <c r="G109" s="24">
        <v>0.31207000000000001</v>
      </c>
      <c r="H109" s="24">
        <v>3.4159199999999998</v>
      </c>
      <c r="I109" t="s">
        <v>15</v>
      </c>
      <c r="J109" s="24">
        <f t="shared" si="5"/>
        <v>6.0770999999999999E-2</v>
      </c>
      <c r="K109" s="24">
        <f t="shared" si="6"/>
        <v>1.87</v>
      </c>
      <c r="L109" s="24">
        <f t="shared" si="7"/>
        <v>0.31</v>
      </c>
      <c r="M109" s="24">
        <f t="shared" si="8"/>
        <v>3.42</v>
      </c>
    </row>
    <row r="110" spans="1:13" x14ac:dyDescent="0.25">
      <c r="A110" t="s">
        <v>34</v>
      </c>
      <c r="B110" t="s">
        <v>258</v>
      </c>
      <c r="C110" t="s">
        <v>218</v>
      </c>
      <c r="D110" s="24">
        <v>65963.78</v>
      </c>
      <c r="E110" s="24">
        <v>65963.78</v>
      </c>
      <c r="F110" s="24">
        <v>2.0933000000000002</v>
      </c>
      <c r="G110" s="24">
        <v>0.99428499999999997</v>
      </c>
      <c r="H110" s="24">
        <v>9.5228619999999999</v>
      </c>
      <c r="I110" t="s">
        <v>15</v>
      </c>
      <c r="J110" s="24">
        <f t="shared" si="5"/>
        <v>6.5963999999999995E-2</v>
      </c>
      <c r="K110" s="24">
        <f t="shared" si="6"/>
        <v>2.09</v>
      </c>
      <c r="L110" s="24">
        <f t="shared" si="7"/>
        <v>0.99</v>
      </c>
      <c r="M110" s="24">
        <f t="shared" si="8"/>
        <v>9.52</v>
      </c>
    </row>
    <row r="111" spans="1:13" x14ac:dyDescent="0.25">
      <c r="A111" t="s">
        <v>585</v>
      </c>
      <c r="B111" t="s">
        <v>258</v>
      </c>
      <c r="C111" t="s">
        <v>586</v>
      </c>
      <c r="D111" s="24">
        <v>5723265.6900000004</v>
      </c>
      <c r="E111" s="24">
        <v>5723265.6900000004</v>
      </c>
      <c r="F111" s="24">
        <v>5.426056</v>
      </c>
      <c r="G111" s="24">
        <v>2.4379770000000001</v>
      </c>
      <c r="H111" s="24">
        <v>30.394649999999999</v>
      </c>
      <c r="I111" t="s">
        <v>15</v>
      </c>
      <c r="J111" s="24">
        <f t="shared" si="5"/>
        <v>5.7232659999999997</v>
      </c>
      <c r="K111" s="24">
        <f t="shared" si="6"/>
        <v>5.43</v>
      </c>
      <c r="L111" s="24">
        <f t="shared" si="7"/>
        <v>2.44</v>
      </c>
      <c r="M111" s="24">
        <f t="shared" si="8"/>
        <v>30.39</v>
      </c>
    </row>
    <row r="112" spans="1:13" x14ac:dyDescent="0.25">
      <c r="A112" t="s">
        <v>38</v>
      </c>
      <c r="B112" t="s">
        <v>258</v>
      </c>
      <c r="C112" t="s">
        <v>340</v>
      </c>
      <c r="D112" s="24">
        <v>2450185.17</v>
      </c>
      <c r="E112" s="24">
        <v>2450185.17</v>
      </c>
      <c r="F112" s="24">
        <v>135.74235200000001</v>
      </c>
      <c r="G112" s="24">
        <v>92.292203000000001</v>
      </c>
      <c r="H112" s="24">
        <v>1654.253449</v>
      </c>
      <c r="I112" t="s">
        <v>15</v>
      </c>
      <c r="J112" s="24">
        <f t="shared" si="5"/>
        <v>2.4501849999999998</v>
      </c>
      <c r="K112" s="24">
        <f t="shared" si="6"/>
        <v>135.74</v>
      </c>
      <c r="L112" s="24">
        <f t="shared" si="7"/>
        <v>92.29</v>
      </c>
      <c r="M112" s="24">
        <f t="shared" si="8"/>
        <v>1654.25</v>
      </c>
    </row>
    <row r="113" spans="1:13" x14ac:dyDescent="0.25">
      <c r="A113" t="s">
        <v>38</v>
      </c>
      <c r="B113" t="s">
        <v>321</v>
      </c>
      <c r="C113" t="s">
        <v>432</v>
      </c>
      <c r="D113" s="24">
        <v>887.87</v>
      </c>
      <c r="E113" s="24">
        <v>887.87</v>
      </c>
      <c r="F113" s="24">
        <v>2.8348000000000002E-2</v>
      </c>
      <c r="G113" s="24">
        <v>0.104908</v>
      </c>
      <c r="H113" s="24">
        <v>0.52488500000000005</v>
      </c>
      <c r="I113" t="s">
        <v>682</v>
      </c>
      <c r="J113" s="24">
        <f t="shared" si="5"/>
        <v>8.8800000000000001E-4</v>
      </c>
      <c r="K113" s="24">
        <f t="shared" si="6"/>
        <v>0.03</v>
      </c>
      <c r="L113" s="24">
        <f t="shared" si="7"/>
        <v>0.1</v>
      </c>
      <c r="M113" s="24">
        <f t="shared" si="8"/>
        <v>0.52</v>
      </c>
    </row>
    <row r="114" spans="1:13" x14ac:dyDescent="0.25">
      <c r="A114" t="s">
        <v>125</v>
      </c>
      <c r="B114" t="s">
        <v>258</v>
      </c>
      <c r="C114" t="s">
        <v>268</v>
      </c>
      <c r="D114" s="24">
        <v>99826.23</v>
      </c>
      <c r="E114" s="24">
        <v>99826.23</v>
      </c>
      <c r="F114" s="24">
        <v>123.908529</v>
      </c>
      <c r="G114" s="24">
        <v>9.4918040000000001</v>
      </c>
      <c r="H114" s="24">
        <v>50.066026000000001</v>
      </c>
      <c r="I114" t="s">
        <v>15</v>
      </c>
      <c r="J114" s="24">
        <f t="shared" si="5"/>
        <v>9.9825999999999998E-2</v>
      </c>
      <c r="K114" s="24">
        <f t="shared" si="6"/>
        <v>123.91</v>
      </c>
      <c r="L114" s="24">
        <f t="shared" si="7"/>
        <v>9.49</v>
      </c>
      <c r="M114" s="24">
        <f t="shared" si="8"/>
        <v>50.07</v>
      </c>
    </row>
    <row r="115" spans="1:13" x14ac:dyDescent="0.25">
      <c r="A115" t="s">
        <v>34</v>
      </c>
      <c r="B115" t="s">
        <v>258</v>
      </c>
      <c r="C115" t="s">
        <v>35</v>
      </c>
      <c r="D115" s="24">
        <v>2948663.85</v>
      </c>
      <c r="E115" s="24">
        <v>2948663.85</v>
      </c>
      <c r="F115" s="24">
        <v>93.598474999999993</v>
      </c>
      <c r="G115" s="24">
        <v>44.458216999999998</v>
      </c>
      <c r="H115" s="24">
        <v>425.79631699999999</v>
      </c>
      <c r="I115" t="s">
        <v>15</v>
      </c>
      <c r="J115" s="24">
        <f t="shared" si="5"/>
        <v>2.948664</v>
      </c>
      <c r="K115" s="24">
        <f t="shared" si="6"/>
        <v>93.6</v>
      </c>
      <c r="L115" s="24">
        <f t="shared" si="7"/>
        <v>44.46</v>
      </c>
      <c r="M115" s="24">
        <f t="shared" si="8"/>
        <v>425.8</v>
      </c>
    </row>
    <row r="116" spans="1:13" x14ac:dyDescent="0.25">
      <c r="A116" t="s">
        <v>34</v>
      </c>
      <c r="B116" t="s">
        <v>258</v>
      </c>
      <c r="C116" t="s">
        <v>491</v>
      </c>
      <c r="D116" s="24">
        <v>122512.65</v>
      </c>
      <c r="E116" s="24">
        <v>122512.65</v>
      </c>
      <c r="F116" s="24">
        <v>3.8909639999999999</v>
      </c>
      <c r="G116" s="24">
        <v>1.8481510000000001</v>
      </c>
      <c r="H116" s="24">
        <v>17.700807999999999</v>
      </c>
      <c r="I116" t="s">
        <v>15</v>
      </c>
      <c r="J116" s="24">
        <f t="shared" si="5"/>
        <v>0.122513</v>
      </c>
      <c r="K116" s="24">
        <f t="shared" si="6"/>
        <v>3.89</v>
      </c>
      <c r="L116" s="24">
        <f t="shared" si="7"/>
        <v>1.85</v>
      </c>
      <c r="M116" s="24">
        <f t="shared" si="8"/>
        <v>17.7</v>
      </c>
    </row>
    <row r="117" spans="1:13" x14ac:dyDescent="0.25">
      <c r="A117" t="s">
        <v>34</v>
      </c>
      <c r="B117" t="s">
        <v>258</v>
      </c>
      <c r="C117" t="s">
        <v>496</v>
      </c>
      <c r="D117" s="24">
        <v>93641.69</v>
      </c>
      <c r="E117" s="24">
        <v>93641.69</v>
      </c>
      <c r="F117" s="24">
        <v>2.9722590000000002</v>
      </c>
      <c r="G117" s="24">
        <v>1.411788</v>
      </c>
      <c r="H117" s="24">
        <v>13.521374</v>
      </c>
      <c r="I117" t="s">
        <v>15</v>
      </c>
      <c r="J117" s="24">
        <f t="shared" si="5"/>
        <v>9.3642000000000003E-2</v>
      </c>
      <c r="K117" s="24">
        <f t="shared" si="6"/>
        <v>2.97</v>
      </c>
      <c r="L117" s="24">
        <f t="shared" si="7"/>
        <v>1.41</v>
      </c>
      <c r="M117" s="24">
        <f t="shared" si="8"/>
        <v>13.52</v>
      </c>
    </row>
    <row r="118" spans="1:13" x14ac:dyDescent="0.25">
      <c r="A118" t="s">
        <v>173</v>
      </c>
      <c r="B118" t="s">
        <v>258</v>
      </c>
      <c r="C118" t="s">
        <v>690</v>
      </c>
      <c r="D118" s="24">
        <v>4.37</v>
      </c>
      <c r="E118" s="24">
        <v>4.37</v>
      </c>
      <c r="F118" s="24">
        <v>2.2469999999999999E-3</v>
      </c>
      <c r="G118" s="24">
        <v>2.72E-4</v>
      </c>
      <c r="H118" s="24">
        <v>1.446E-3</v>
      </c>
      <c r="I118" t="s">
        <v>15</v>
      </c>
      <c r="J118" s="24">
        <f t="shared" si="5"/>
        <v>3.9999999999999998E-6</v>
      </c>
      <c r="K118" s="24">
        <f t="shared" si="6"/>
        <v>0</v>
      </c>
      <c r="L118" s="24">
        <f t="shared" si="7"/>
        <v>0</v>
      </c>
      <c r="M118" s="24">
        <f t="shared" si="8"/>
        <v>0</v>
      </c>
    </row>
    <row r="119" spans="1:13" x14ac:dyDescent="0.25">
      <c r="A119" t="s">
        <v>41</v>
      </c>
      <c r="B119" t="s">
        <v>258</v>
      </c>
      <c r="C119" t="s">
        <v>231</v>
      </c>
      <c r="D119" s="24">
        <v>231055.75</v>
      </c>
      <c r="E119" s="24">
        <v>231055.75</v>
      </c>
      <c r="F119" s="24">
        <v>0.219031</v>
      </c>
      <c r="G119" s="24">
        <v>9.8407999999999995E-2</v>
      </c>
      <c r="H119" s="24">
        <v>1.226987</v>
      </c>
      <c r="I119" t="s">
        <v>15</v>
      </c>
      <c r="J119" s="24">
        <f t="shared" si="5"/>
        <v>0.23105600000000001</v>
      </c>
      <c r="K119" s="24">
        <f t="shared" si="6"/>
        <v>0.22</v>
      </c>
      <c r="L119" s="24">
        <f t="shared" si="7"/>
        <v>0.1</v>
      </c>
      <c r="M119" s="24">
        <f t="shared" si="8"/>
        <v>1.23</v>
      </c>
    </row>
    <row r="120" spans="1:13" x14ac:dyDescent="0.25">
      <c r="A120" t="s">
        <v>34</v>
      </c>
      <c r="B120" t="s">
        <v>258</v>
      </c>
      <c r="C120" t="s">
        <v>497</v>
      </c>
      <c r="D120" s="24">
        <v>119423.88</v>
      </c>
      <c r="E120" s="24">
        <v>119423.88</v>
      </c>
      <c r="F120" s="24">
        <v>3.7944529999999999</v>
      </c>
      <c r="G120" s="24">
        <v>1.8023169999999999</v>
      </c>
      <c r="H120" s="24">
        <v>17.261672000000001</v>
      </c>
      <c r="I120" t="s">
        <v>15</v>
      </c>
      <c r="J120" s="24">
        <f t="shared" si="5"/>
        <v>0.119424</v>
      </c>
      <c r="K120" s="24">
        <f t="shared" si="6"/>
        <v>3.79</v>
      </c>
      <c r="L120" s="24">
        <f t="shared" si="7"/>
        <v>1.8</v>
      </c>
      <c r="M120" s="24">
        <f t="shared" si="8"/>
        <v>17.260000000000002</v>
      </c>
    </row>
    <row r="121" spans="1:13" x14ac:dyDescent="0.25">
      <c r="A121" t="s">
        <v>67</v>
      </c>
      <c r="B121" t="s">
        <v>258</v>
      </c>
      <c r="C121" t="s">
        <v>592</v>
      </c>
      <c r="D121" s="24">
        <v>12695.24</v>
      </c>
      <c r="E121" s="24">
        <v>12695.24</v>
      </c>
      <c r="F121" s="24">
        <v>1.2024E-2</v>
      </c>
      <c r="G121" s="24">
        <v>5.3990000000000002E-3</v>
      </c>
      <c r="H121" s="24">
        <v>6.7383999999999999E-2</v>
      </c>
      <c r="I121" t="s">
        <v>15</v>
      </c>
      <c r="J121" s="24">
        <f t="shared" si="5"/>
        <v>1.2695E-2</v>
      </c>
      <c r="K121" s="24">
        <f t="shared" si="6"/>
        <v>0.01</v>
      </c>
      <c r="L121" s="24">
        <f t="shared" si="7"/>
        <v>0.01</v>
      </c>
      <c r="M121" s="24">
        <f t="shared" si="8"/>
        <v>7.0000000000000007E-2</v>
      </c>
    </row>
    <row r="122" spans="1:13" x14ac:dyDescent="0.25">
      <c r="A122" t="s">
        <v>34</v>
      </c>
      <c r="B122" t="s">
        <v>258</v>
      </c>
      <c r="C122" t="s">
        <v>84</v>
      </c>
      <c r="D122" s="24">
        <v>2439224.5599999898</v>
      </c>
      <c r="E122" s="24">
        <v>2439340.52999999</v>
      </c>
      <c r="F122" s="24">
        <v>77.430634999999995</v>
      </c>
      <c r="G122" s="24">
        <v>36.778669999999998</v>
      </c>
      <c r="H122" s="24">
        <v>352.245946</v>
      </c>
      <c r="I122" t="s">
        <v>15</v>
      </c>
      <c r="J122" s="24">
        <f t="shared" si="5"/>
        <v>2.4393410000000002</v>
      </c>
      <c r="K122" s="24">
        <f t="shared" si="6"/>
        <v>77.430000000000007</v>
      </c>
      <c r="L122" s="24">
        <f t="shared" si="7"/>
        <v>36.78</v>
      </c>
      <c r="M122" s="24">
        <f t="shared" si="8"/>
        <v>352.25</v>
      </c>
    </row>
    <row r="123" spans="1:13" x14ac:dyDescent="0.25">
      <c r="A123" t="s">
        <v>34</v>
      </c>
      <c r="B123" t="s">
        <v>258</v>
      </c>
      <c r="C123" t="s">
        <v>493</v>
      </c>
      <c r="D123" s="24">
        <v>232015.12</v>
      </c>
      <c r="E123" s="24">
        <v>232015.12</v>
      </c>
      <c r="F123" s="24">
        <v>7.3648280000000002</v>
      </c>
      <c r="G123" s="24">
        <v>3.498211</v>
      </c>
      <c r="H123" s="24">
        <v>33.503948000000001</v>
      </c>
      <c r="I123" t="s">
        <v>15</v>
      </c>
      <c r="J123" s="24">
        <f t="shared" si="5"/>
        <v>0.232015</v>
      </c>
      <c r="K123" s="24">
        <f t="shared" si="6"/>
        <v>7.36</v>
      </c>
      <c r="L123" s="24">
        <f t="shared" si="7"/>
        <v>3.5</v>
      </c>
      <c r="M123" s="24">
        <f t="shared" si="8"/>
        <v>33.5</v>
      </c>
    </row>
    <row r="124" spans="1:13" x14ac:dyDescent="0.25">
      <c r="A124" t="s">
        <v>61</v>
      </c>
      <c r="B124" t="s">
        <v>258</v>
      </c>
      <c r="C124" t="s">
        <v>62</v>
      </c>
      <c r="D124" s="24">
        <v>1001719.49</v>
      </c>
      <c r="E124" s="24">
        <v>1001719.49</v>
      </c>
      <c r="F124" s="24">
        <v>63.098714999999999</v>
      </c>
      <c r="G124" s="24">
        <v>4.536378</v>
      </c>
      <c r="H124" s="24">
        <v>98.382028000000005</v>
      </c>
      <c r="I124" t="s">
        <v>15</v>
      </c>
      <c r="J124" s="24">
        <f t="shared" si="5"/>
        <v>1.001719</v>
      </c>
      <c r="K124" s="24">
        <f t="shared" si="6"/>
        <v>63.1</v>
      </c>
      <c r="L124" s="24">
        <f t="shared" si="7"/>
        <v>4.54</v>
      </c>
      <c r="M124" s="24">
        <f t="shared" si="8"/>
        <v>98.38</v>
      </c>
    </row>
    <row r="125" spans="1:13" x14ac:dyDescent="0.25">
      <c r="A125" t="s">
        <v>626</v>
      </c>
      <c r="B125" t="s">
        <v>258</v>
      </c>
      <c r="C125" t="s">
        <v>628</v>
      </c>
      <c r="D125" s="24">
        <v>393681.59</v>
      </c>
      <c r="E125" s="24">
        <v>393681.59</v>
      </c>
      <c r="F125" s="24">
        <v>12.094607999999999</v>
      </c>
      <c r="G125" s="24">
        <v>2.0217670000000001</v>
      </c>
      <c r="H125" s="24">
        <v>22.130012000000001</v>
      </c>
      <c r="I125" t="s">
        <v>15</v>
      </c>
      <c r="J125" s="24">
        <f t="shared" si="5"/>
        <v>0.39368199999999998</v>
      </c>
      <c r="K125" s="24">
        <f t="shared" si="6"/>
        <v>12.09</v>
      </c>
      <c r="L125" s="24">
        <f t="shared" si="7"/>
        <v>2.02</v>
      </c>
      <c r="M125" s="24">
        <f t="shared" si="8"/>
        <v>22.13</v>
      </c>
    </row>
    <row r="126" spans="1:13" x14ac:dyDescent="0.25">
      <c r="A126" t="s">
        <v>38</v>
      </c>
      <c r="B126" t="s">
        <v>258</v>
      </c>
      <c r="C126" t="s">
        <v>326</v>
      </c>
      <c r="D126" s="24">
        <v>66958.91</v>
      </c>
      <c r="E126" s="24">
        <v>66958.91</v>
      </c>
      <c r="F126" s="24">
        <v>1.5006280000000001</v>
      </c>
      <c r="G126" s="24">
        <v>0.81575500000000001</v>
      </c>
      <c r="H126" s="24">
        <v>13.361670999999999</v>
      </c>
      <c r="I126" t="s">
        <v>15</v>
      </c>
      <c r="J126" s="24">
        <f t="shared" si="5"/>
        <v>6.6959000000000005E-2</v>
      </c>
      <c r="K126" s="24">
        <f t="shared" si="6"/>
        <v>1.5</v>
      </c>
      <c r="L126" s="24">
        <f t="shared" si="7"/>
        <v>0.82</v>
      </c>
      <c r="M126" s="24">
        <f t="shared" si="8"/>
        <v>13.36</v>
      </c>
    </row>
    <row r="127" spans="1:13" x14ac:dyDescent="0.25">
      <c r="A127" t="s">
        <v>38</v>
      </c>
      <c r="B127" t="s">
        <v>258</v>
      </c>
      <c r="C127" t="s">
        <v>325</v>
      </c>
      <c r="D127" s="24">
        <v>41523.870000000003</v>
      </c>
      <c r="E127" s="24">
        <v>41523.870000000003</v>
      </c>
      <c r="F127" s="24">
        <v>7.9101889999999999</v>
      </c>
      <c r="G127" s="24">
        <v>1.6007960000000001</v>
      </c>
      <c r="H127" s="24">
        <v>12.685675</v>
      </c>
      <c r="I127" t="s">
        <v>15</v>
      </c>
      <c r="J127" s="24">
        <f t="shared" si="5"/>
        <v>4.1523999999999998E-2</v>
      </c>
      <c r="K127" s="24">
        <f t="shared" si="6"/>
        <v>7.91</v>
      </c>
      <c r="L127" s="24">
        <f t="shared" si="7"/>
        <v>1.6</v>
      </c>
      <c r="M127" s="24">
        <f t="shared" si="8"/>
        <v>12.69</v>
      </c>
    </row>
    <row r="128" spans="1:13" x14ac:dyDescent="0.25">
      <c r="A128" t="s">
        <v>41</v>
      </c>
      <c r="B128" t="s">
        <v>258</v>
      </c>
      <c r="C128" t="s">
        <v>156</v>
      </c>
      <c r="D128" s="24">
        <v>2902.54</v>
      </c>
      <c r="E128" s="24">
        <v>2902.54</v>
      </c>
      <c r="F128" s="24">
        <v>8.9091000000000004E-2</v>
      </c>
      <c r="G128" s="24">
        <v>1.489E-2</v>
      </c>
      <c r="H128" s="24">
        <v>0.163017</v>
      </c>
      <c r="I128" t="s">
        <v>15</v>
      </c>
      <c r="J128" s="24">
        <f t="shared" si="5"/>
        <v>2.9030000000000002E-3</v>
      </c>
      <c r="K128" s="24">
        <f t="shared" si="6"/>
        <v>0.09</v>
      </c>
      <c r="L128" s="24">
        <f t="shared" si="7"/>
        <v>0.01</v>
      </c>
      <c r="M128" s="24">
        <f t="shared" si="8"/>
        <v>0.16</v>
      </c>
    </row>
    <row r="129" spans="1:13" x14ac:dyDescent="0.25">
      <c r="A129" t="s">
        <v>54</v>
      </c>
      <c r="B129" t="s">
        <v>258</v>
      </c>
      <c r="C129" t="s">
        <v>605</v>
      </c>
      <c r="D129" s="24">
        <v>801300.91999999899</v>
      </c>
      <c r="E129" s="24">
        <v>801540.60999999905</v>
      </c>
      <c r="F129" s="24">
        <v>0.75963800000000004</v>
      </c>
      <c r="G129" s="24">
        <v>0.341304</v>
      </c>
      <c r="H129" s="24">
        <v>4.2553130000000001</v>
      </c>
      <c r="I129" t="s">
        <v>15</v>
      </c>
      <c r="J129" s="24">
        <f t="shared" si="5"/>
        <v>0.80154099999999995</v>
      </c>
      <c r="K129" s="24">
        <f t="shared" si="6"/>
        <v>0.76</v>
      </c>
      <c r="L129" s="24">
        <f t="shared" si="7"/>
        <v>0.34</v>
      </c>
      <c r="M129" s="24">
        <f t="shared" si="8"/>
        <v>4.26</v>
      </c>
    </row>
    <row r="130" spans="1:13" x14ac:dyDescent="0.25">
      <c r="A130" t="s">
        <v>38</v>
      </c>
      <c r="B130" t="s">
        <v>258</v>
      </c>
      <c r="C130" t="s">
        <v>344</v>
      </c>
      <c r="D130" s="24">
        <v>856794.44</v>
      </c>
      <c r="E130" s="24">
        <v>856794.44</v>
      </c>
      <c r="F130" s="24">
        <v>47.467317999999999</v>
      </c>
      <c r="G130" s="24">
        <v>32.273373999999997</v>
      </c>
      <c r="H130" s="24">
        <v>578.47065499999997</v>
      </c>
      <c r="I130" t="s">
        <v>15</v>
      </c>
      <c r="J130" s="24">
        <f t="shared" si="5"/>
        <v>0.85679399999999994</v>
      </c>
      <c r="K130" s="24">
        <f t="shared" si="6"/>
        <v>47.47</v>
      </c>
      <c r="L130" s="24">
        <f t="shared" si="7"/>
        <v>32.270000000000003</v>
      </c>
      <c r="M130" s="24">
        <f t="shared" si="8"/>
        <v>578.47</v>
      </c>
    </row>
    <row r="131" spans="1:13" x14ac:dyDescent="0.25">
      <c r="A131" t="s">
        <v>34</v>
      </c>
      <c r="B131" t="s">
        <v>258</v>
      </c>
      <c r="C131" t="s">
        <v>499</v>
      </c>
      <c r="D131" s="24">
        <v>101523.89</v>
      </c>
      <c r="E131" s="24">
        <v>101523.89</v>
      </c>
      <c r="F131" s="24">
        <v>3.225965</v>
      </c>
      <c r="G131" s="24">
        <v>1.532292</v>
      </c>
      <c r="H131" s="24">
        <v>14.675523999999999</v>
      </c>
      <c r="I131" t="s">
        <v>15</v>
      </c>
      <c r="J131" s="24">
        <f t="shared" ref="J131:J194" si="9">+ROUND(E131,0)/1000000</f>
        <v>0.101524</v>
      </c>
      <c r="K131" s="24">
        <f t="shared" ref="K131:K194" si="10">+ROUND(F131,2)</f>
        <v>3.23</v>
      </c>
      <c r="L131" s="24">
        <f t="shared" ref="L131:L194" si="11">+ROUND(G131,2)</f>
        <v>1.53</v>
      </c>
      <c r="M131" s="24">
        <f t="shared" ref="M131:M194" si="12">+ROUND(H131,2)</f>
        <v>14.68</v>
      </c>
    </row>
    <row r="132" spans="1:13" x14ac:dyDescent="0.25">
      <c r="A132" t="s">
        <v>38</v>
      </c>
      <c r="B132" t="s">
        <v>258</v>
      </c>
      <c r="C132" t="s">
        <v>345</v>
      </c>
      <c r="D132" s="24">
        <v>129681.719999999</v>
      </c>
      <c r="E132" s="24">
        <v>129762.00999999901</v>
      </c>
      <c r="F132" s="24">
        <v>1.8604510000000001</v>
      </c>
      <c r="G132" s="24">
        <v>3.4404270000000001</v>
      </c>
      <c r="H132" s="24">
        <v>23.774736999999998</v>
      </c>
      <c r="I132" t="s">
        <v>15</v>
      </c>
      <c r="J132" s="24">
        <f t="shared" si="9"/>
        <v>0.12976199999999999</v>
      </c>
      <c r="K132" s="24">
        <f t="shared" si="10"/>
        <v>1.86</v>
      </c>
      <c r="L132" s="24">
        <f t="shared" si="11"/>
        <v>3.44</v>
      </c>
      <c r="M132" s="24">
        <f t="shared" si="12"/>
        <v>23.77</v>
      </c>
    </row>
    <row r="133" spans="1:13" x14ac:dyDescent="0.25">
      <c r="A133" t="s">
        <v>38</v>
      </c>
      <c r="B133" t="s">
        <v>258</v>
      </c>
      <c r="C133" t="s">
        <v>346</v>
      </c>
      <c r="D133" s="24">
        <v>0.65</v>
      </c>
      <c r="E133" s="24">
        <v>0.65</v>
      </c>
      <c r="F133" s="24">
        <v>0</v>
      </c>
      <c r="G133" s="24">
        <v>0</v>
      </c>
      <c r="H133" s="24">
        <v>0</v>
      </c>
      <c r="I133" t="s">
        <v>15</v>
      </c>
      <c r="J133" s="24">
        <f t="shared" si="9"/>
        <v>9.9999999999999995E-7</v>
      </c>
      <c r="K133" s="24">
        <f t="shared" si="10"/>
        <v>0</v>
      </c>
      <c r="L133" s="24">
        <f t="shared" si="11"/>
        <v>0</v>
      </c>
      <c r="M133" s="24">
        <f t="shared" si="12"/>
        <v>0</v>
      </c>
    </row>
    <row r="134" spans="1:13" x14ac:dyDescent="0.25">
      <c r="A134" t="s">
        <v>626</v>
      </c>
      <c r="B134" t="s">
        <v>258</v>
      </c>
      <c r="C134" t="s">
        <v>629</v>
      </c>
      <c r="D134" s="24">
        <v>661345.81999999902</v>
      </c>
      <c r="E134" s="24">
        <v>661547.99999999895</v>
      </c>
      <c r="F134" s="24">
        <v>20.321971999999999</v>
      </c>
      <c r="G134" s="24">
        <v>3.3970699999999998</v>
      </c>
      <c r="H134" s="24">
        <v>37.183973000000002</v>
      </c>
      <c r="I134" t="s">
        <v>15</v>
      </c>
      <c r="J134" s="24">
        <f t="shared" si="9"/>
        <v>0.66154800000000002</v>
      </c>
      <c r="K134" s="24">
        <f t="shared" si="10"/>
        <v>20.32</v>
      </c>
      <c r="L134" s="24">
        <f t="shared" si="11"/>
        <v>3.4</v>
      </c>
      <c r="M134" s="24">
        <f t="shared" si="12"/>
        <v>37.18</v>
      </c>
    </row>
    <row r="135" spans="1:13" x14ac:dyDescent="0.25">
      <c r="A135" t="s">
        <v>38</v>
      </c>
      <c r="B135" t="s">
        <v>258</v>
      </c>
      <c r="C135" t="s">
        <v>327</v>
      </c>
      <c r="D135" s="24">
        <v>304710.78999999998</v>
      </c>
      <c r="E135" s="24">
        <v>304710.78999999998</v>
      </c>
      <c r="F135" s="24">
        <v>6.829224</v>
      </c>
      <c r="G135" s="24">
        <v>3.7124380000000001</v>
      </c>
      <c r="H135" s="24">
        <v>60.807645999999998</v>
      </c>
      <c r="I135" t="s">
        <v>15</v>
      </c>
      <c r="J135" s="24">
        <f t="shared" si="9"/>
        <v>0.30471100000000001</v>
      </c>
      <c r="K135" s="24">
        <f t="shared" si="10"/>
        <v>6.83</v>
      </c>
      <c r="L135" s="24">
        <f t="shared" si="11"/>
        <v>3.71</v>
      </c>
      <c r="M135" s="24">
        <f t="shared" si="12"/>
        <v>60.81</v>
      </c>
    </row>
    <row r="136" spans="1:13" x14ac:dyDescent="0.25">
      <c r="A136" t="s">
        <v>34</v>
      </c>
      <c r="B136" t="s">
        <v>258</v>
      </c>
      <c r="C136" t="s">
        <v>500</v>
      </c>
      <c r="D136" s="24">
        <v>1422120.13</v>
      </c>
      <c r="E136" s="24">
        <v>1422120.13</v>
      </c>
      <c r="F136" s="24">
        <v>45.148059000000003</v>
      </c>
      <c r="G136" s="24">
        <v>21.444807000000001</v>
      </c>
      <c r="H136" s="24">
        <v>205.38678300000001</v>
      </c>
      <c r="I136" t="s">
        <v>15</v>
      </c>
      <c r="J136" s="24">
        <f t="shared" si="9"/>
        <v>1.4221200000000001</v>
      </c>
      <c r="K136" s="24">
        <f t="shared" si="10"/>
        <v>45.15</v>
      </c>
      <c r="L136" s="24">
        <f t="shared" si="11"/>
        <v>21.44</v>
      </c>
      <c r="M136" s="24">
        <f t="shared" si="12"/>
        <v>205.39</v>
      </c>
    </row>
    <row r="137" spans="1:13" x14ac:dyDescent="0.25">
      <c r="A137" t="s">
        <v>238</v>
      </c>
      <c r="B137" t="s">
        <v>258</v>
      </c>
      <c r="C137" t="s">
        <v>691</v>
      </c>
      <c r="D137" s="24">
        <v>143.02000000000001</v>
      </c>
      <c r="E137" s="24">
        <v>143.02000000000001</v>
      </c>
      <c r="F137" s="24">
        <v>1.34E-4</v>
      </c>
      <c r="G137" s="24">
        <v>6.0000000000000002E-5</v>
      </c>
      <c r="H137" s="24">
        <v>7.54E-4</v>
      </c>
      <c r="I137" t="s">
        <v>15</v>
      </c>
      <c r="J137" s="24">
        <f t="shared" si="9"/>
        <v>1.4300000000000001E-4</v>
      </c>
      <c r="K137" s="24">
        <f t="shared" si="10"/>
        <v>0</v>
      </c>
      <c r="L137" s="24">
        <f t="shared" si="11"/>
        <v>0</v>
      </c>
      <c r="M137" s="24">
        <f t="shared" si="12"/>
        <v>0</v>
      </c>
    </row>
    <row r="138" spans="1:13" x14ac:dyDescent="0.25">
      <c r="A138" t="s">
        <v>125</v>
      </c>
      <c r="B138" t="s">
        <v>258</v>
      </c>
      <c r="C138" t="s">
        <v>270</v>
      </c>
      <c r="D138" s="24">
        <v>451925.29</v>
      </c>
      <c r="E138" s="24">
        <v>451925.29</v>
      </c>
      <c r="F138" s="24">
        <v>558.24683700000003</v>
      </c>
      <c r="G138" s="24">
        <v>42.763596999999997</v>
      </c>
      <c r="H138" s="24">
        <v>225.563199</v>
      </c>
      <c r="I138" t="s">
        <v>15</v>
      </c>
      <c r="J138" s="24">
        <f t="shared" si="9"/>
        <v>0.45192500000000002</v>
      </c>
      <c r="K138" s="24">
        <f t="shared" si="10"/>
        <v>558.25</v>
      </c>
      <c r="L138" s="24">
        <f t="shared" si="11"/>
        <v>42.76</v>
      </c>
      <c r="M138" s="24">
        <f t="shared" si="12"/>
        <v>225.56</v>
      </c>
    </row>
    <row r="139" spans="1:13" x14ac:dyDescent="0.25">
      <c r="A139" t="s">
        <v>38</v>
      </c>
      <c r="B139" t="s">
        <v>258</v>
      </c>
      <c r="C139" t="s">
        <v>350</v>
      </c>
      <c r="D139" s="24">
        <v>1113.92</v>
      </c>
      <c r="E139" s="24">
        <v>1113.92</v>
      </c>
      <c r="F139" s="24">
        <v>6.1662000000000002E-2</v>
      </c>
      <c r="G139" s="24">
        <v>4.1924000000000003E-2</v>
      </c>
      <c r="H139" s="24">
        <v>0.75146599999999997</v>
      </c>
      <c r="I139" t="s">
        <v>15</v>
      </c>
      <c r="J139" s="24">
        <f t="shared" si="9"/>
        <v>1.114E-3</v>
      </c>
      <c r="K139" s="24">
        <f t="shared" si="10"/>
        <v>0.06</v>
      </c>
      <c r="L139" s="24">
        <f t="shared" si="11"/>
        <v>0.04</v>
      </c>
      <c r="M139" s="24">
        <f t="shared" si="12"/>
        <v>0.75</v>
      </c>
    </row>
    <row r="140" spans="1:13" x14ac:dyDescent="0.25">
      <c r="A140" t="s">
        <v>34</v>
      </c>
      <c r="B140" t="s">
        <v>258</v>
      </c>
      <c r="C140" t="s">
        <v>501</v>
      </c>
      <c r="D140" s="24">
        <v>15845.95</v>
      </c>
      <c r="E140" s="24">
        <v>15845.95</v>
      </c>
      <c r="F140" s="24">
        <v>0.50293100000000002</v>
      </c>
      <c r="G140" s="24">
        <v>0.23888699999999999</v>
      </c>
      <c r="H140" s="24">
        <v>2.2879320000000001</v>
      </c>
      <c r="I140" t="s">
        <v>15</v>
      </c>
      <c r="J140" s="24">
        <f t="shared" si="9"/>
        <v>1.5845999999999999E-2</v>
      </c>
      <c r="K140" s="24">
        <f t="shared" si="10"/>
        <v>0.5</v>
      </c>
      <c r="L140" s="24">
        <f t="shared" si="11"/>
        <v>0.24</v>
      </c>
      <c r="M140" s="24">
        <f t="shared" si="12"/>
        <v>2.29</v>
      </c>
    </row>
    <row r="141" spans="1:13" x14ac:dyDescent="0.25">
      <c r="A141" t="s">
        <v>67</v>
      </c>
      <c r="B141" t="s">
        <v>258</v>
      </c>
      <c r="C141" t="s">
        <v>68</v>
      </c>
      <c r="D141" s="24">
        <v>136336.1</v>
      </c>
      <c r="E141" s="24">
        <v>136336.1</v>
      </c>
      <c r="F141" s="24">
        <v>0.12964500000000001</v>
      </c>
      <c r="G141" s="24">
        <v>5.8242000000000002E-2</v>
      </c>
      <c r="H141" s="24">
        <v>0.72628499999999996</v>
      </c>
      <c r="I141" t="s">
        <v>15</v>
      </c>
      <c r="J141" s="24">
        <f t="shared" si="9"/>
        <v>0.13633600000000001</v>
      </c>
      <c r="K141" s="24">
        <f t="shared" si="10"/>
        <v>0.13</v>
      </c>
      <c r="L141" s="24">
        <f t="shared" si="11"/>
        <v>0.06</v>
      </c>
      <c r="M141" s="24">
        <f t="shared" si="12"/>
        <v>0.73</v>
      </c>
    </row>
    <row r="142" spans="1:13" x14ac:dyDescent="0.25">
      <c r="A142" t="s">
        <v>38</v>
      </c>
      <c r="B142" t="s">
        <v>258</v>
      </c>
      <c r="C142" t="s">
        <v>359</v>
      </c>
      <c r="D142" s="24">
        <v>122.68</v>
      </c>
      <c r="E142" s="24">
        <v>122.68</v>
      </c>
      <c r="F142" s="24">
        <v>2.7330000000000002E-3</v>
      </c>
      <c r="G142" s="24">
        <v>1.485E-3</v>
      </c>
      <c r="H142" s="24">
        <v>2.4346E-2</v>
      </c>
      <c r="I142" t="s">
        <v>15</v>
      </c>
      <c r="J142" s="24">
        <f t="shared" si="9"/>
        <v>1.2300000000000001E-4</v>
      </c>
      <c r="K142" s="24">
        <f t="shared" si="10"/>
        <v>0</v>
      </c>
      <c r="L142" s="24">
        <f t="shared" si="11"/>
        <v>0</v>
      </c>
      <c r="M142" s="24">
        <f t="shared" si="12"/>
        <v>0.02</v>
      </c>
    </row>
    <row r="143" spans="1:13" x14ac:dyDescent="0.25">
      <c r="A143" t="s">
        <v>41</v>
      </c>
      <c r="B143" t="s">
        <v>258</v>
      </c>
      <c r="C143" t="s">
        <v>42</v>
      </c>
      <c r="D143" s="24">
        <v>212946.31</v>
      </c>
      <c r="E143" s="24">
        <v>212946.31</v>
      </c>
      <c r="F143" s="24">
        <v>1.0317050000000001</v>
      </c>
      <c r="G143" s="24">
        <v>2.3003390000000001</v>
      </c>
      <c r="H143" s="24">
        <v>9.2005569999999999</v>
      </c>
      <c r="I143" t="s">
        <v>15</v>
      </c>
      <c r="J143" s="24">
        <f t="shared" si="9"/>
        <v>0.212946</v>
      </c>
      <c r="K143" s="24">
        <f t="shared" si="10"/>
        <v>1.03</v>
      </c>
      <c r="L143" s="24">
        <f t="shared" si="11"/>
        <v>2.2999999999999998</v>
      </c>
      <c r="M143" s="24">
        <f t="shared" si="12"/>
        <v>9.1999999999999993</v>
      </c>
    </row>
    <row r="144" spans="1:13" x14ac:dyDescent="0.25">
      <c r="A144" t="s">
        <v>38</v>
      </c>
      <c r="B144" t="s">
        <v>258</v>
      </c>
      <c r="C144" t="s">
        <v>329</v>
      </c>
      <c r="D144" s="24">
        <v>9591.9799999999905</v>
      </c>
      <c r="E144" s="24">
        <v>9601.9999999999909</v>
      </c>
      <c r="F144" s="24">
        <v>1.144593</v>
      </c>
      <c r="G144" s="24">
        <v>0.27083400000000002</v>
      </c>
      <c r="H144" s="24">
        <v>3.7241960000000001</v>
      </c>
      <c r="I144" t="s">
        <v>15</v>
      </c>
      <c r="J144" s="24">
        <f t="shared" si="9"/>
        <v>9.6019999999999994E-3</v>
      </c>
      <c r="K144" s="24">
        <f t="shared" si="10"/>
        <v>1.1399999999999999</v>
      </c>
      <c r="L144" s="24">
        <f t="shared" si="11"/>
        <v>0.27</v>
      </c>
      <c r="M144" s="24">
        <f t="shared" si="12"/>
        <v>3.72</v>
      </c>
    </row>
    <row r="145" spans="1:13" x14ac:dyDescent="0.25">
      <c r="A145" t="s">
        <v>38</v>
      </c>
      <c r="B145" t="s">
        <v>258</v>
      </c>
      <c r="C145" t="s">
        <v>352</v>
      </c>
      <c r="D145" s="24">
        <v>33569.29</v>
      </c>
      <c r="E145" s="24">
        <v>33569.29</v>
      </c>
      <c r="F145" s="24">
        <v>0.75228300000000004</v>
      </c>
      <c r="G145" s="24">
        <v>0.40894900000000001</v>
      </c>
      <c r="H145" s="24">
        <v>6.6983949999999997</v>
      </c>
      <c r="I145" t="s">
        <v>15</v>
      </c>
      <c r="J145" s="24">
        <f t="shared" si="9"/>
        <v>3.3569000000000002E-2</v>
      </c>
      <c r="K145" s="24">
        <f t="shared" si="10"/>
        <v>0.75</v>
      </c>
      <c r="L145" s="24">
        <f t="shared" si="11"/>
        <v>0.41</v>
      </c>
      <c r="M145" s="24">
        <f t="shared" si="12"/>
        <v>6.7</v>
      </c>
    </row>
    <row r="146" spans="1:13" x14ac:dyDescent="0.25">
      <c r="A146" t="s">
        <v>54</v>
      </c>
      <c r="B146" t="s">
        <v>258</v>
      </c>
      <c r="C146" t="s">
        <v>163</v>
      </c>
      <c r="D146" s="24">
        <v>54076383.259999901</v>
      </c>
      <c r="E146" s="24">
        <v>54076433.209999897</v>
      </c>
      <c r="F146" s="24">
        <v>51.270066</v>
      </c>
      <c r="G146" s="24">
        <v>23.036484999999999</v>
      </c>
      <c r="H146" s="24">
        <v>287.19171499999999</v>
      </c>
      <c r="I146" t="s">
        <v>15</v>
      </c>
      <c r="J146" s="24">
        <f t="shared" si="9"/>
        <v>54.076433000000002</v>
      </c>
      <c r="K146" s="24">
        <f t="shared" si="10"/>
        <v>51.27</v>
      </c>
      <c r="L146" s="24">
        <f t="shared" si="11"/>
        <v>23.04</v>
      </c>
      <c r="M146" s="24">
        <f t="shared" si="12"/>
        <v>287.19</v>
      </c>
    </row>
    <row r="147" spans="1:13" x14ac:dyDescent="0.25">
      <c r="A147" t="s">
        <v>38</v>
      </c>
      <c r="B147" t="s">
        <v>258</v>
      </c>
      <c r="C147" t="s">
        <v>353</v>
      </c>
      <c r="D147" s="24">
        <v>2079.94</v>
      </c>
      <c r="E147" s="24">
        <v>2079.94</v>
      </c>
      <c r="F147" s="24">
        <v>0.11518</v>
      </c>
      <c r="G147" s="24">
        <v>7.8312000000000007E-2</v>
      </c>
      <c r="H147" s="24">
        <v>1.403683</v>
      </c>
      <c r="I147" t="s">
        <v>15</v>
      </c>
      <c r="J147" s="24">
        <f t="shared" si="9"/>
        <v>2.0799999999999998E-3</v>
      </c>
      <c r="K147" s="24">
        <f t="shared" si="10"/>
        <v>0.12</v>
      </c>
      <c r="L147" s="24">
        <f t="shared" si="11"/>
        <v>0.08</v>
      </c>
      <c r="M147" s="24">
        <f t="shared" si="12"/>
        <v>1.4</v>
      </c>
    </row>
    <row r="148" spans="1:13" x14ac:dyDescent="0.25">
      <c r="A148" t="s">
        <v>38</v>
      </c>
      <c r="B148" t="s">
        <v>258</v>
      </c>
      <c r="C148" t="s">
        <v>354</v>
      </c>
      <c r="D148" s="24">
        <v>19184.22</v>
      </c>
      <c r="E148" s="24">
        <v>19184.22</v>
      </c>
      <c r="F148" s="24">
        <v>0.42985099999999998</v>
      </c>
      <c r="G148" s="24">
        <v>0.23366799999999999</v>
      </c>
      <c r="H148" s="24">
        <v>3.8274509999999999</v>
      </c>
      <c r="I148" t="s">
        <v>15</v>
      </c>
      <c r="J148" s="24">
        <f t="shared" si="9"/>
        <v>1.9184E-2</v>
      </c>
      <c r="K148" s="24">
        <f t="shared" si="10"/>
        <v>0.43</v>
      </c>
      <c r="L148" s="24">
        <f t="shared" si="11"/>
        <v>0.23</v>
      </c>
      <c r="M148" s="24">
        <f t="shared" si="12"/>
        <v>3.83</v>
      </c>
    </row>
    <row r="149" spans="1:13" x14ac:dyDescent="0.25">
      <c r="A149" t="s">
        <v>38</v>
      </c>
      <c r="B149" t="s">
        <v>258</v>
      </c>
      <c r="C149" t="s">
        <v>355</v>
      </c>
      <c r="D149" s="24">
        <v>105237.93</v>
      </c>
      <c r="E149" s="24">
        <v>105237.93</v>
      </c>
      <c r="F149" s="24">
        <v>4.8956559999999998</v>
      </c>
      <c r="G149" s="24">
        <v>4.4307499999999997</v>
      </c>
      <c r="H149" s="24">
        <v>22.891573000000001</v>
      </c>
      <c r="I149" t="s">
        <v>15</v>
      </c>
      <c r="J149" s="24">
        <f t="shared" si="9"/>
        <v>0.105238</v>
      </c>
      <c r="K149" s="24">
        <f t="shared" si="10"/>
        <v>4.9000000000000004</v>
      </c>
      <c r="L149" s="24">
        <f t="shared" si="11"/>
        <v>4.43</v>
      </c>
      <c r="M149" s="24">
        <f t="shared" si="12"/>
        <v>22.89</v>
      </c>
    </row>
    <row r="150" spans="1:13" x14ac:dyDescent="0.25">
      <c r="A150" t="s">
        <v>38</v>
      </c>
      <c r="B150" t="s">
        <v>258</v>
      </c>
      <c r="C150" t="s">
        <v>59</v>
      </c>
      <c r="D150" s="24">
        <v>628.41999999999996</v>
      </c>
      <c r="E150" s="24">
        <v>628.41999999999996</v>
      </c>
      <c r="F150" s="24">
        <v>0.119446</v>
      </c>
      <c r="G150" s="24">
        <v>2.4171999999999999E-2</v>
      </c>
      <c r="H150" s="24">
        <v>0.19155800000000001</v>
      </c>
      <c r="I150" t="s">
        <v>15</v>
      </c>
      <c r="J150" s="24">
        <f t="shared" si="9"/>
        <v>6.2799999999999998E-4</v>
      </c>
      <c r="K150" s="24">
        <f t="shared" si="10"/>
        <v>0.12</v>
      </c>
      <c r="L150" s="24">
        <f t="shared" si="11"/>
        <v>0.02</v>
      </c>
      <c r="M150" s="24">
        <f t="shared" si="12"/>
        <v>0.19</v>
      </c>
    </row>
    <row r="151" spans="1:13" x14ac:dyDescent="0.25">
      <c r="A151" t="s">
        <v>38</v>
      </c>
      <c r="B151" t="s">
        <v>258</v>
      </c>
      <c r="C151" t="s">
        <v>692</v>
      </c>
      <c r="D151" s="24">
        <v>46704.93</v>
      </c>
      <c r="E151" s="24">
        <v>46704.93</v>
      </c>
      <c r="F151" s="24">
        <v>5.574586</v>
      </c>
      <c r="G151" s="24">
        <v>1.319059</v>
      </c>
      <c r="H151" s="24">
        <v>18.138179999999998</v>
      </c>
      <c r="I151" t="s">
        <v>15</v>
      </c>
      <c r="J151" s="24">
        <f t="shared" si="9"/>
        <v>4.6705000000000003E-2</v>
      </c>
      <c r="K151" s="24">
        <f t="shared" si="10"/>
        <v>5.57</v>
      </c>
      <c r="L151" s="24">
        <f t="shared" si="11"/>
        <v>1.32</v>
      </c>
      <c r="M151" s="24">
        <f t="shared" si="12"/>
        <v>18.14</v>
      </c>
    </row>
    <row r="152" spans="1:13" x14ac:dyDescent="0.25">
      <c r="A152" t="s">
        <v>148</v>
      </c>
      <c r="B152" t="s">
        <v>258</v>
      </c>
      <c r="C152" t="s">
        <v>463</v>
      </c>
      <c r="D152" s="24">
        <v>1545702.47</v>
      </c>
      <c r="E152" s="24">
        <v>1545702.47</v>
      </c>
      <c r="F152" s="24">
        <v>47.486792999999999</v>
      </c>
      <c r="G152" s="24">
        <v>7.9380240000000004</v>
      </c>
      <c r="H152" s="24">
        <v>86.888570999999999</v>
      </c>
      <c r="I152" t="s">
        <v>15</v>
      </c>
      <c r="J152" s="24">
        <f t="shared" si="9"/>
        <v>1.5457019999999999</v>
      </c>
      <c r="K152" s="24">
        <f t="shared" si="10"/>
        <v>47.49</v>
      </c>
      <c r="L152" s="24">
        <f t="shared" si="11"/>
        <v>7.94</v>
      </c>
      <c r="M152" s="24">
        <f t="shared" si="12"/>
        <v>86.89</v>
      </c>
    </row>
    <row r="153" spans="1:13" x14ac:dyDescent="0.25">
      <c r="A153" t="s">
        <v>34</v>
      </c>
      <c r="B153" t="s">
        <v>258</v>
      </c>
      <c r="C153" t="s">
        <v>214</v>
      </c>
      <c r="D153" s="24">
        <v>140374.41</v>
      </c>
      <c r="E153" s="24">
        <v>140374.41</v>
      </c>
      <c r="F153" s="24">
        <v>4.4552719999999999</v>
      </c>
      <c r="G153" s="24">
        <v>2.1161970000000001</v>
      </c>
      <c r="H153" s="24">
        <v>20.267904000000001</v>
      </c>
      <c r="I153" t="s">
        <v>15</v>
      </c>
      <c r="J153" s="24">
        <f t="shared" si="9"/>
        <v>0.140374</v>
      </c>
      <c r="K153" s="24">
        <f t="shared" si="10"/>
        <v>4.46</v>
      </c>
      <c r="L153" s="24">
        <f t="shared" si="11"/>
        <v>2.12</v>
      </c>
      <c r="M153" s="24">
        <f t="shared" si="12"/>
        <v>20.27</v>
      </c>
    </row>
    <row r="154" spans="1:13" x14ac:dyDescent="0.25">
      <c r="A154" t="s">
        <v>38</v>
      </c>
      <c r="B154" t="s">
        <v>258</v>
      </c>
      <c r="C154" t="s">
        <v>330</v>
      </c>
      <c r="D154" s="24">
        <v>0.47</v>
      </c>
      <c r="E154" s="24">
        <v>0.47</v>
      </c>
      <c r="F154" s="24">
        <v>0</v>
      </c>
      <c r="G154" s="24">
        <v>0</v>
      </c>
      <c r="H154" s="24">
        <v>0</v>
      </c>
      <c r="I154" t="s">
        <v>15</v>
      </c>
      <c r="J154" s="24">
        <f t="shared" si="9"/>
        <v>0</v>
      </c>
      <c r="K154" s="24">
        <f t="shared" si="10"/>
        <v>0</v>
      </c>
      <c r="L154" s="24">
        <f t="shared" si="11"/>
        <v>0</v>
      </c>
      <c r="M154" s="24">
        <f t="shared" si="12"/>
        <v>0</v>
      </c>
    </row>
    <row r="155" spans="1:13" x14ac:dyDescent="0.25">
      <c r="A155" t="s">
        <v>646</v>
      </c>
      <c r="B155" t="s">
        <v>258</v>
      </c>
      <c r="C155" t="s">
        <v>648</v>
      </c>
      <c r="D155" s="24">
        <v>373.19</v>
      </c>
      <c r="E155" s="24">
        <v>373.19</v>
      </c>
      <c r="F155" s="24">
        <v>1.1459E-2</v>
      </c>
      <c r="G155" s="24">
        <v>1.915E-3</v>
      </c>
      <c r="H155" s="24">
        <v>2.0967E-2</v>
      </c>
      <c r="I155" t="s">
        <v>15</v>
      </c>
      <c r="J155" s="24">
        <f t="shared" si="9"/>
        <v>3.7300000000000001E-4</v>
      </c>
      <c r="K155" s="24">
        <f t="shared" si="10"/>
        <v>0.01</v>
      </c>
      <c r="L155" s="24">
        <f t="shared" si="11"/>
        <v>0</v>
      </c>
      <c r="M155" s="24">
        <f t="shared" si="12"/>
        <v>0.02</v>
      </c>
    </row>
    <row r="156" spans="1:13" x14ac:dyDescent="0.25">
      <c r="A156" t="s">
        <v>61</v>
      </c>
      <c r="B156" t="s">
        <v>258</v>
      </c>
      <c r="C156" t="s">
        <v>550</v>
      </c>
      <c r="D156" s="24">
        <v>1249094.45</v>
      </c>
      <c r="E156" s="24">
        <v>1249094.45</v>
      </c>
      <c r="F156" s="24">
        <v>78.680349000000007</v>
      </c>
      <c r="G156" s="24">
        <v>5.6565880000000002</v>
      </c>
      <c r="H156" s="24">
        <v>122.676551</v>
      </c>
      <c r="I156" t="s">
        <v>15</v>
      </c>
      <c r="J156" s="24">
        <f t="shared" si="9"/>
        <v>1.2490939999999999</v>
      </c>
      <c r="K156" s="24">
        <f t="shared" si="10"/>
        <v>78.680000000000007</v>
      </c>
      <c r="L156" s="24">
        <f t="shared" si="11"/>
        <v>5.66</v>
      </c>
      <c r="M156" s="24">
        <f t="shared" si="12"/>
        <v>122.68</v>
      </c>
    </row>
    <row r="157" spans="1:13" x14ac:dyDescent="0.25">
      <c r="A157" t="s">
        <v>34</v>
      </c>
      <c r="B157" t="s">
        <v>258</v>
      </c>
      <c r="C157" t="s">
        <v>494</v>
      </c>
      <c r="D157" s="24">
        <v>4368204.6099999901</v>
      </c>
      <c r="E157" s="24">
        <v>4368414.8499999903</v>
      </c>
      <c r="F157" s="24">
        <v>138.67059800000001</v>
      </c>
      <c r="G157" s="24">
        <v>65.866502999999994</v>
      </c>
      <c r="H157" s="24">
        <v>630.84120399999995</v>
      </c>
      <c r="I157" t="s">
        <v>15</v>
      </c>
      <c r="J157" s="24">
        <f t="shared" si="9"/>
        <v>4.3684149999999997</v>
      </c>
      <c r="K157" s="24">
        <f t="shared" si="10"/>
        <v>138.66999999999999</v>
      </c>
      <c r="L157" s="24">
        <f t="shared" si="11"/>
        <v>65.87</v>
      </c>
      <c r="M157" s="24">
        <f t="shared" si="12"/>
        <v>630.84</v>
      </c>
    </row>
    <row r="158" spans="1:13" x14ac:dyDescent="0.25">
      <c r="A158" t="s">
        <v>44</v>
      </c>
      <c r="B158" t="s">
        <v>258</v>
      </c>
      <c r="C158" t="s">
        <v>637</v>
      </c>
      <c r="D158" s="24">
        <v>3608866.6499999901</v>
      </c>
      <c r="E158" s="24">
        <v>3609583.1799999899</v>
      </c>
      <c r="F158" s="24">
        <v>110.88131300000001</v>
      </c>
      <c r="G158" s="24">
        <v>18.535086</v>
      </c>
      <c r="H158" s="24">
        <v>202.884331</v>
      </c>
      <c r="I158" t="s">
        <v>15</v>
      </c>
      <c r="J158" s="24">
        <f t="shared" si="9"/>
        <v>3.6095830000000002</v>
      </c>
      <c r="K158" s="24">
        <f t="shared" si="10"/>
        <v>110.88</v>
      </c>
      <c r="L158" s="24">
        <f t="shared" si="11"/>
        <v>18.54</v>
      </c>
      <c r="M158" s="24">
        <f t="shared" si="12"/>
        <v>202.88</v>
      </c>
    </row>
    <row r="159" spans="1:13" x14ac:dyDescent="0.25">
      <c r="A159" t="s">
        <v>34</v>
      </c>
      <c r="B159" t="s">
        <v>258</v>
      </c>
      <c r="C159" t="s">
        <v>203</v>
      </c>
      <c r="D159" s="24">
        <v>120643.04</v>
      </c>
      <c r="E159" s="24">
        <v>120643.04</v>
      </c>
      <c r="F159" s="24">
        <v>3.8292709999999999</v>
      </c>
      <c r="G159" s="24">
        <v>1.8188580000000001</v>
      </c>
      <c r="H159" s="24">
        <v>17.420088</v>
      </c>
      <c r="I159" t="s">
        <v>15</v>
      </c>
      <c r="J159" s="24">
        <f t="shared" si="9"/>
        <v>0.120643</v>
      </c>
      <c r="K159" s="24">
        <f t="shared" si="10"/>
        <v>3.83</v>
      </c>
      <c r="L159" s="24">
        <f t="shared" si="11"/>
        <v>1.82</v>
      </c>
      <c r="M159" s="24">
        <f t="shared" si="12"/>
        <v>17.420000000000002</v>
      </c>
    </row>
    <row r="160" spans="1:13" x14ac:dyDescent="0.25">
      <c r="A160" t="s">
        <v>38</v>
      </c>
      <c r="B160" t="s">
        <v>258</v>
      </c>
      <c r="C160" t="s">
        <v>128</v>
      </c>
      <c r="D160" s="24">
        <v>313.16000000000003</v>
      </c>
      <c r="E160" s="24">
        <v>313.16000000000003</v>
      </c>
      <c r="F160" s="24">
        <v>5.9436999999999997E-2</v>
      </c>
      <c r="G160" s="24">
        <v>1.2028E-2</v>
      </c>
      <c r="H160" s="24">
        <v>9.5320000000000002E-2</v>
      </c>
      <c r="I160" t="s">
        <v>15</v>
      </c>
      <c r="J160" s="24">
        <f t="shared" si="9"/>
        <v>3.1300000000000002E-4</v>
      </c>
      <c r="K160" s="24">
        <f t="shared" si="10"/>
        <v>0.06</v>
      </c>
      <c r="L160" s="24">
        <f t="shared" si="11"/>
        <v>0.01</v>
      </c>
      <c r="M160" s="24">
        <f t="shared" si="12"/>
        <v>0.1</v>
      </c>
    </row>
    <row r="161" spans="1:13" x14ac:dyDescent="0.25">
      <c r="A161" t="s">
        <v>73</v>
      </c>
      <c r="B161" t="s">
        <v>258</v>
      </c>
      <c r="C161" t="s">
        <v>470</v>
      </c>
      <c r="D161" s="24">
        <v>1437716.9499999899</v>
      </c>
      <c r="E161" s="24">
        <v>1437845.0999999901</v>
      </c>
      <c r="F161" s="24">
        <v>39.529071000000002</v>
      </c>
      <c r="G161" s="24">
        <v>5.5542290000000003</v>
      </c>
      <c r="H161" s="24">
        <v>307.39717200000001</v>
      </c>
      <c r="I161" t="s">
        <v>15</v>
      </c>
      <c r="J161" s="24">
        <f t="shared" si="9"/>
        <v>1.437845</v>
      </c>
      <c r="K161" s="24">
        <f t="shared" si="10"/>
        <v>39.53</v>
      </c>
      <c r="L161" s="24">
        <f t="shared" si="11"/>
        <v>5.55</v>
      </c>
      <c r="M161" s="24">
        <f t="shared" si="12"/>
        <v>307.39999999999998</v>
      </c>
    </row>
    <row r="162" spans="1:13" x14ac:dyDescent="0.25">
      <c r="A162" t="s">
        <v>148</v>
      </c>
      <c r="B162" t="s">
        <v>258</v>
      </c>
      <c r="C162" t="s">
        <v>149</v>
      </c>
      <c r="D162" s="24">
        <v>27100.33</v>
      </c>
      <c r="E162" s="24">
        <v>27100.33</v>
      </c>
      <c r="F162" s="24">
        <v>0.83247300000000002</v>
      </c>
      <c r="G162" s="24">
        <v>0.139155</v>
      </c>
      <c r="H162" s="24">
        <v>1.5232129999999999</v>
      </c>
      <c r="I162" t="s">
        <v>15</v>
      </c>
      <c r="J162" s="24">
        <f t="shared" si="9"/>
        <v>2.7099999999999999E-2</v>
      </c>
      <c r="K162" s="24">
        <f t="shared" si="10"/>
        <v>0.83</v>
      </c>
      <c r="L162" s="24">
        <f t="shared" si="11"/>
        <v>0.14000000000000001</v>
      </c>
      <c r="M162" s="24">
        <f t="shared" si="12"/>
        <v>1.52</v>
      </c>
    </row>
    <row r="163" spans="1:13" x14ac:dyDescent="0.25">
      <c r="A163" t="s">
        <v>38</v>
      </c>
      <c r="B163" t="s">
        <v>258</v>
      </c>
      <c r="C163" t="s">
        <v>358</v>
      </c>
      <c r="D163" s="24">
        <v>1442.86</v>
      </c>
      <c r="E163" s="24">
        <v>1442.86</v>
      </c>
      <c r="F163" s="24">
        <v>3.2319000000000001E-2</v>
      </c>
      <c r="G163" s="24">
        <v>1.7569000000000001E-2</v>
      </c>
      <c r="H163" s="24">
        <v>0.28777199999999997</v>
      </c>
      <c r="I163" t="s">
        <v>15</v>
      </c>
      <c r="J163" s="24">
        <f t="shared" si="9"/>
        <v>1.4430000000000001E-3</v>
      </c>
      <c r="K163" s="24">
        <f t="shared" si="10"/>
        <v>0.03</v>
      </c>
      <c r="L163" s="24">
        <f t="shared" si="11"/>
        <v>0.02</v>
      </c>
      <c r="M163" s="24">
        <f t="shared" si="12"/>
        <v>0.28999999999999998</v>
      </c>
    </row>
    <row r="164" spans="1:13" x14ac:dyDescent="0.25">
      <c r="A164" t="s">
        <v>61</v>
      </c>
      <c r="B164" t="s">
        <v>258</v>
      </c>
      <c r="C164" t="s">
        <v>551</v>
      </c>
      <c r="D164" s="24">
        <v>112171.65</v>
      </c>
      <c r="E164" s="24">
        <v>112171.65</v>
      </c>
      <c r="F164" s="24">
        <v>7.0648749999999998</v>
      </c>
      <c r="G164" s="24">
        <v>0.50790599999999997</v>
      </c>
      <c r="H164" s="24">
        <v>11.015393</v>
      </c>
      <c r="I164" t="s">
        <v>15</v>
      </c>
      <c r="J164" s="24">
        <f t="shared" si="9"/>
        <v>0.11217199999999999</v>
      </c>
      <c r="K164" s="24">
        <f t="shared" si="10"/>
        <v>7.06</v>
      </c>
      <c r="L164" s="24">
        <f t="shared" si="11"/>
        <v>0.51</v>
      </c>
      <c r="M164" s="24">
        <f t="shared" si="12"/>
        <v>11.02</v>
      </c>
    </row>
    <row r="165" spans="1:13" x14ac:dyDescent="0.25">
      <c r="A165" t="s">
        <v>54</v>
      </c>
      <c r="B165" t="s">
        <v>258</v>
      </c>
      <c r="C165" t="s">
        <v>603</v>
      </c>
      <c r="D165" s="24">
        <v>396734.22</v>
      </c>
      <c r="E165" s="24">
        <v>396734.22</v>
      </c>
      <c r="F165" s="24">
        <v>0.37609999999999999</v>
      </c>
      <c r="G165" s="24">
        <v>0.16897599999999999</v>
      </c>
      <c r="H165" s="24">
        <v>2.1068410000000002</v>
      </c>
      <c r="I165" t="s">
        <v>15</v>
      </c>
      <c r="J165" s="24">
        <f t="shared" si="9"/>
        <v>0.39673399999999998</v>
      </c>
      <c r="K165" s="24">
        <f t="shared" si="10"/>
        <v>0.38</v>
      </c>
      <c r="L165" s="24">
        <f t="shared" si="11"/>
        <v>0.17</v>
      </c>
      <c r="M165" s="24">
        <f t="shared" si="12"/>
        <v>2.11</v>
      </c>
    </row>
    <row r="166" spans="1:13" x14ac:dyDescent="0.25">
      <c r="A166" t="s">
        <v>148</v>
      </c>
      <c r="B166" t="s">
        <v>258</v>
      </c>
      <c r="C166" t="s">
        <v>464</v>
      </c>
      <c r="D166" s="24">
        <v>187829.13</v>
      </c>
      <c r="E166" s="24">
        <v>187829.13</v>
      </c>
      <c r="F166" s="24">
        <v>7.6660740000000001</v>
      </c>
      <c r="G166" s="24">
        <v>2.78938</v>
      </c>
      <c r="H166" s="24">
        <v>26.794274000000001</v>
      </c>
      <c r="I166" t="s">
        <v>15</v>
      </c>
      <c r="J166" s="24">
        <f t="shared" si="9"/>
        <v>0.187829</v>
      </c>
      <c r="K166" s="24">
        <f t="shared" si="10"/>
        <v>7.67</v>
      </c>
      <c r="L166" s="24">
        <f t="shared" si="11"/>
        <v>2.79</v>
      </c>
      <c r="M166" s="24">
        <f t="shared" si="12"/>
        <v>26.79</v>
      </c>
    </row>
    <row r="167" spans="1:13" x14ac:dyDescent="0.25">
      <c r="A167" t="s">
        <v>38</v>
      </c>
      <c r="B167" t="s">
        <v>258</v>
      </c>
      <c r="C167" t="s">
        <v>331</v>
      </c>
      <c r="D167" s="24">
        <v>586184.51</v>
      </c>
      <c r="E167" s="24">
        <v>586184.51</v>
      </c>
      <c r="F167" s="24">
        <v>111.663723</v>
      </c>
      <c r="G167" s="24">
        <v>22.597535000000001</v>
      </c>
      <c r="H167" s="24">
        <v>179.076617</v>
      </c>
      <c r="I167" t="s">
        <v>15</v>
      </c>
      <c r="J167" s="24">
        <f t="shared" si="9"/>
        <v>0.58618499999999996</v>
      </c>
      <c r="K167" s="24">
        <f t="shared" si="10"/>
        <v>111.66</v>
      </c>
      <c r="L167" s="24">
        <f t="shared" si="11"/>
        <v>22.6</v>
      </c>
      <c r="M167" s="24">
        <f t="shared" si="12"/>
        <v>179.08</v>
      </c>
    </row>
    <row r="168" spans="1:13" x14ac:dyDescent="0.25">
      <c r="A168" t="s">
        <v>38</v>
      </c>
      <c r="B168" t="s">
        <v>258</v>
      </c>
      <c r="C168" t="s">
        <v>332</v>
      </c>
      <c r="D168" s="24">
        <v>79.94</v>
      </c>
      <c r="E168" s="24">
        <v>79.94</v>
      </c>
      <c r="F168" s="24">
        <v>1.769E-3</v>
      </c>
      <c r="G168" s="24">
        <v>9.6100000000000005E-4</v>
      </c>
      <c r="H168" s="24">
        <v>1.5765000000000001E-2</v>
      </c>
      <c r="I168" t="s">
        <v>15</v>
      </c>
      <c r="J168" s="24">
        <f t="shared" si="9"/>
        <v>8.0000000000000007E-5</v>
      </c>
      <c r="K168" s="24">
        <f t="shared" si="10"/>
        <v>0</v>
      </c>
      <c r="L168" s="24">
        <f t="shared" si="11"/>
        <v>0</v>
      </c>
      <c r="M168" s="24">
        <f t="shared" si="12"/>
        <v>0.02</v>
      </c>
    </row>
    <row r="169" spans="1:13" x14ac:dyDescent="0.25">
      <c r="A169" t="s">
        <v>44</v>
      </c>
      <c r="B169" t="s">
        <v>258</v>
      </c>
      <c r="C169" t="s">
        <v>638</v>
      </c>
      <c r="D169" s="24">
        <v>192484</v>
      </c>
      <c r="E169" s="24">
        <v>192484</v>
      </c>
      <c r="F169" s="24">
        <v>5.9133230000000001</v>
      </c>
      <c r="G169" s="24">
        <v>0.98848400000000003</v>
      </c>
      <c r="H169" s="24">
        <v>10.819856</v>
      </c>
      <c r="I169" t="s">
        <v>15</v>
      </c>
      <c r="J169" s="24">
        <f t="shared" si="9"/>
        <v>0.19248399999999999</v>
      </c>
      <c r="K169" s="24">
        <f t="shared" si="10"/>
        <v>5.91</v>
      </c>
      <c r="L169" s="24">
        <f t="shared" si="11"/>
        <v>0.99</v>
      </c>
      <c r="M169" s="24">
        <f t="shared" si="12"/>
        <v>10.82</v>
      </c>
    </row>
    <row r="170" spans="1:13" x14ac:dyDescent="0.25">
      <c r="A170" t="s">
        <v>41</v>
      </c>
      <c r="B170" t="s">
        <v>258</v>
      </c>
      <c r="C170" t="s">
        <v>572</v>
      </c>
      <c r="D170" s="24">
        <v>113672.67</v>
      </c>
      <c r="E170" s="24">
        <v>113672.67</v>
      </c>
      <c r="F170" s="24">
        <v>0.10775800000000001</v>
      </c>
      <c r="G170" s="24">
        <v>4.8412999999999998E-2</v>
      </c>
      <c r="H170" s="24">
        <v>0.60363699999999998</v>
      </c>
      <c r="I170" t="s">
        <v>15</v>
      </c>
      <c r="J170" s="24">
        <f t="shared" si="9"/>
        <v>0.113673</v>
      </c>
      <c r="K170" s="24">
        <f t="shared" si="10"/>
        <v>0.11</v>
      </c>
      <c r="L170" s="24">
        <f t="shared" si="11"/>
        <v>0.05</v>
      </c>
      <c r="M170" s="24">
        <f t="shared" si="12"/>
        <v>0.6</v>
      </c>
    </row>
    <row r="171" spans="1:13" x14ac:dyDescent="0.25">
      <c r="A171" t="s">
        <v>38</v>
      </c>
      <c r="B171" t="s">
        <v>258</v>
      </c>
      <c r="C171" t="s">
        <v>693</v>
      </c>
      <c r="D171" s="24">
        <v>629.16</v>
      </c>
      <c r="E171" s="24">
        <v>629.16</v>
      </c>
      <c r="F171" s="24">
        <v>1.4097E-2</v>
      </c>
      <c r="G171" s="24">
        <v>7.6629999999999997E-3</v>
      </c>
      <c r="H171" s="24">
        <v>0.125526</v>
      </c>
      <c r="I171" t="s">
        <v>15</v>
      </c>
      <c r="J171" s="24">
        <f t="shared" si="9"/>
        <v>6.29E-4</v>
      </c>
      <c r="K171" s="24">
        <f t="shared" si="10"/>
        <v>0.01</v>
      </c>
      <c r="L171" s="24">
        <f t="shared" si="11"/>
        <v>0.01</v>
      </c>
      <c r="M171" s="24">
        <f t="shared" si="12"/>
        <v>0.13</v>
      </c>
    </row>
    <row r="172" spans="1:13" x14ac:dyDescent="0.25">
      <c r="A172" t="s">
        <v>54</v>
      </c>
      <c r="B172" t="s">
        <v>258</v>
      </c>
      <c r="C172" t="s">
        <v>55</v>
      </c>
      <c r="D172" s="24">
        <v>136599.76999999999</v>
      </c>
      <c r="E172" s="24">
        <v>136599.76999999999</v>
      </c>
      <c r="F172" s="24">
        <v>0.12945300000000001</v>
      </c>
      <c r="G172" s="24">
        <v>5.8154999999999998E-2</v>
      </c>
      <c r="H172" s="24">
        <v>0.72528400000000004</v>
      </c>
      <c r="I172" t="s">
        <v>15</v>
      </c>
      <c r="J172" s="24">
        <f t="shared" si="9"/>
        <v>0.1366</v>
      </c>
      <c r="K172" s="24">
        <f t="shared" si="10"/>
        <v>0.13</v>
      </c>
      <c r="L172" s="24">
        <f t="shared" si="11"/>
        <v>0.06</v>
      </c>
      <c r="M172" s="24">
        <f t="shared" si="12"/>
        <v>0.73</v>
      </c>
    </row>
    <row r="173" spans="1:13" x14ac:dyDescent="0.25">
      <c r="A173" t="s">
        <v>38</v>
      </c>
      <c r="B173" t="s">
        <v>258</v>
      </c>
      <c r="C173" t="s">
        <v>365</v>
      </c>
      <c r="D173" s="24">
        <v>20304.59</v>
      </c>
      <c r="E173" s="24">
        <v>20304.59</v>
      </c>
      <c r="F173" s="24">
        <v>2.4236089999999999</v>
      </c>
      <c r="G173" s="24">
        <v>0.57347599999999999</v>
      </c>
      <c r="H173" s="24">
        <v>7.8857609999999996</v>
      </c>
      <c r="I173" t="s">
        <v>15</v>
      </c>
      <c r="J173" s="24">
        <f t="shared" si="9"/>
        <v>2.0305E-2</v>
      </c>
      <c r="K173" s="24">
        <f t="shared" si="10"/>
        <v>2.42</v>
      </c>
      <c r="L173" s="24">
        <f t="shared" si="11"/>
        <v>0.56999999999999995</v>
      </c>
      <c r="M173" s="24">
        <f t="shared" si="12"/>
        <v>7.89</v>
      </c>
    </row>
    <row r="174" spans="1:13" x14ac:dyDescent="0.25">
      <c r="A174" t="s">
        <v>125</v>
      </c>
      <c r="B174" t="s">
        <v>258</v>
      </c>
      <c r="C174" t="s">
        <v>272</v>
      </c>
      <c r="D174" s="24">
        <v>21814.32</v>
      </c>
      <c r="E174" s="24">
        <v>21814.32</v>
      </c>
      <c r="F174" s="24">
        <v>26.946252999999999</v>
      </c>
      <c r="G174" s="24">
        <v>2.064174</v>
      </c>
      <c r="H174" s="24">
        <v>10.887805</v>
      </c>
      <c r="I174" t="s">
        <v>15</v>
      </c>
      <c r="J174" s="24">
        <f t="shared" si="9"/>
        <v>2.1814E-2</v>
      </c>
      <c r="K174" s="24">
        <f t="shared" si="10"/>
        <v>26.95</v>
      </c>
      <c r="L174" s="24">
        <f t="shared" si="11"/>
        <v>2.06</v>
      </c>
      <c r="M174" s="24">
        <f t="shared" si="12"/>
        <v>10.89</v>
      </c>
    </row>
    <row r="175" spans="1:13" x14ac:dyDescent="0.25">
      <c r="A175" t="s">
        <v>38</v>
      </c>
      <c r="B175" t="s">
        <v>258</v>
      </c>
      <c r="C175" t="s">
        <v>360</v>
      </c>
      <c r="D175" s="24">
        <v>93083.6</v>
      </c>
      <c r="E175" s="24">
        <v>93083.6</v>
      </c>
      <c r="F175" s="24">
        <v>3.7983099999999999</v>
      </c>
      <c r="G175" s="24">
        <v>1.3820410000000001</v>
      </c>
      <c r="H175" s="24">
        <v>13.275793</v>
      </c>
      <c r="I175" t="s">
        <v>15</v>
      </c>
      <c r="J175" s="24">
        <f t="shared" si="9"/>
        <v>9.3084E-2</v>
      </c>
      <c r="K175" s="24">
        <f t="shared" si="10"/>
        <v>3.8</v>
      </c>
      <c r="L175" s="24">
        <f t="shared" si="11"/>
        <v>1.38</v>
      </c>
      <c r="M175" s="24">
        <f t="shared" si="12"/>
        <v>13.28</v>
      </c>
    </row>
    <row r="176" spans="1:13" x14ac:dyDescent="0.25">
      <c r="A176" t="s">
        <v>73</v>
      </c>
      <c r="B176" t="s">
        <v>258</v>
      </c>
      <c r="C176" t="s">
        <v>168</v>
      </c>
      <c r="D176" s="24">
        <v>504339.8</v>
      </c>
      <c r="E176" s="24">
        <v>504339.8</v>
      </c>
      <c r="F176" s="24">
        <v>13.869069</v>
      </c>
      <c r="G176" s="24">
        <v>1.9487410000000001</v>
      </c>
      <c r="H176" s="24">
        <v>107.852597</v>
      </c>
      <c r="I176" t="s">
        <v>15</v>
      </c>
      <c r="J176" s="24">
        <f t="shared" si="9"/>
        <v>0.50434000000000001</v>
      </c>
      <c r="K176" s="24">
        <f t="shared" si="10"/>
        <v>13.87</v>
      </c>
      <c r="L176" s="24">
        <f t="shared" si="11"/>
        <v>1.95</v>
      </c>
      <c r="M176" s="24">
        <f t="shared" si="12"/>
        <v>107.85</v>
      </c>
    </row>
    <row r="177" spans="1:13" x14ac:dyDescent="0.25">
      <c r="A177" t="s">
        <v>38</v>
      </c>
      <c r="B177" t="s">
        <v>258</v>
      </c>
      <c r="C177" t="s">
        <v>80</v>
      </c>
      <c r="D177" s="24">
        <v>25750385.289999999</v>
      </c>
      <c r="E177" s="24">
        <v>25750385.289999999</v>
      </c>
      <c r="F177" s="24">
        <v>4905.56034</v>
      </c>
      <c r="G177" s="24">
        <v>992.74580600000002</v>
      </c>
      <c r="H177" s="24">
        <v>7867.1123230000003</v>
      </c>
      <c r="I177" t="s">
        <v>15</v>
      </c>
      <c r="J177" s="24">
        <f t="shared" si="9"/>
        <v>25.750385000000001</v>
      </c>
      <c r="K177" s="24">
        <f t="shared" si="10"/>
        <v>4905.5600000000004</v>
      </c>
      <c r="L177" s="24">
        <f t="shared" si="11"/>
        <v>992.75</v>
      </c>
      <c r="M177" s="24">
        <f t="shared" si="12"/>
        <v>7867.11</v>
      </c>
    </row>
    <row r="178" spans="1:13" x14ac:dyDescent="0.25">
      <c r="A178" t="s">
        <v>38</v>
      </c>
      <c r="B178" t="s">
        <v>258</v>
      </c>
      <c r="C178" t="s">
        <v>361</v>
      </c>
      <c r="D178" s="24">
        <v>34176.47</v>
      </c>
      <c r="E178" s="24">
        <v>34176.47</v>
      </c>
      <c r="F178" s="24">
        <v>0.76586399999999999</v>
      </c>
      <c r="G178" s="24">
        <v>0.41633100000000001</v>
      </c>
      <c r="H178" s="24">
        <v>6.8193289999999998</v>
      </c>
      <c r="I178" t="s">
        <v>15</v>
      </c>
      <c r="J178" s="24">
        <f t="shared" si="9"/>
        <v>3.4175999999999998E-2</v>
      </c>
      <c r="K178" s="24">
        <f t="shared" si="10"/>
        <v>0.77</v>
      </c>
      <c r="L178" s="24">
        <f t="shared" si="11"/>
        <v>0.42</v>
      </c>
      <c r="M178" s="24">
        <f t="shared" si="12"/>
        <v>6.82</v>
      </c>
    </row>
    <row r="179" spans="1:13" x14ac:dyDescent="0.25">
      <c r="A179" t="s">
        <v>38</v>
      </c>
      <c r="B179" t="s">
        <v>258</v>
      </c>
      <c r="C179" t="s">
        <v>362</v>
      </c>
      <c r="D179" s="24">
        <v>426.66</v>
      </c>
      <c r="E179" s="24">
        <v>426.66</v>
      </c>
      <c r="F179" s="24">
        <v>1.9816E-2</v>
      </c>
      <c r="G179" s="24">
        <v>1.7933999999999999E-2</v>
      </c>
      <c r="H179" s="24">
        <v>9.2663999999999996E-2</v>
      </c>
      <c r="I179" t="s">
        <v>15</v>
      </c>
      <c r="J179" s="24">
        <f t="shared" si="9"/>
        <v>4.2700000000000002E-4</v>
      </c>
      <c r="K179" s="24">
        <f t="shared" si="10"/>
        <v>0.02</v>
      </c>
      <c r="L179" s="24">
        <f t="shared" si="11"/>
        <v>0.02</v>
      </c>
      <c r="M179" s="24">
        <f t="shared" si="12"/>
        <v>0.09</v>
      </c>
    </row>
    <row r="180" spans="1:13" x14ac:dyDescent="0.25">
      <c r="A180" t="s">
        <v>38</v>
      </c>
      <c r="B180" t="s">
        <v>258</v>
      </c>
      <c r="C180" t="s">
        <v>694</v>
      </c>
      <c r="D180" s="24">
        <v>1545.86</v>
      </c>
      <c r="E180" s="24">
        <v>1545.86</v>
      </c>
      <c r="F180" s="24">
        <v>0.18443899999999999</v>
      </c>
      <c r="G180" s="24">
        <v>4.3642E-2</v>
      </c>
      <c r="H180" s="24">
        <v>0.60011300000000001</v>
      </c>
      <c r="I180" t="s">
        <v>15</v>
      </c>
      <c r="J180" s="24">
        <f t="shared" si="9"/>
        <v>1.5460000000000001E-3</v>
      </c>
      <c r="K180" s="24">
        <f t="shared" si="10"/>
        <v>0.18</v>
      </c>
      <c r="L180" s="24">
        <f t="shared" si="11"/>
        <v>0.04</v>
      </c>
      <c r="M180" s="24">
        <f t="shared" si="12"/>
        <v>0.6</v>
      </c>
    </row>
    <row r="181" spans="1:13" x14ac:dyDescent="0.25">
      <c r="A181" t="s">
        <v>34</v>
      </c>
      <c r="B181" t="s">
        <v>258</v>
      </c>
      <c r="C181" t="s">
        <v>503</v>
      </c>
      <c r="D181" s="24">
        <v>922891.46</v>
      </c>
      <c r="E181" s="24">
        <v>922891.46</v>
      </c>
      <c r="F181" s="24">
        <v>29.294198000000002</v>
      </c>
      <c r="G181" s="24">
        <v>13.914400000000001</v>
      </c>
      <c r="H181" s="24">
        <v>133.26466199999999</v>
      </c>
      <c r="I181" t="s">
        <v>15</v>
      </c>
      <c r="J181" s="24">
        <f t="shared" si="9"/>
        <v>0.92289100000000002</v>
      </c>
      <c r="K181" s="24">
        <f t="shared" si="10"/>
        <v>29.29</v>
      </c>
      <c r="L181" s="24">
        <f t="shared" si="11"/>
        <v>13.91</v>
      </c>
      <c r="M181" s="24">
        <f t="shared" si="12"/>
        <v>133.26</v>
      </c>
    </row>
    <row r="182" spans="1:13" x14ac:dyDescent="0.25">
      <c r="A182" t="s">
        <v>624</v>
      </c>
      <c r="B182" t="s">
        <v>258</v>
      </c>
      <c r="C182" t="s">
        <v>695</v>
      </c>
      <c r="D182" s="24">
        <v>2114.15</v>
      </c>
      <c r="E182" s="24">
        <v>2114.15</v>
      </c>
      <c r="F182" s="24">
        <v>6.4913999999999999E-2</v>
      </c>
      <c r="G182" s="24">
        <v>1.0851E-2</v>
      </c>
      <c r="H182" s="24">
        <v>0.11877799999999999</v>
      </c>
      <c r="I182" t="s">
        <v>15</v>
      </c>
      <c r="J182" s="24">
        <f t="shared" si="9"/>
        <v>2.114E-3</v>
      </c>
      <c r="K182" s="24">
        <f t="shared" si="10"/>
        <v>0.06</v>
      </c>
      <c r="L182" s="24">
        <f t="shared" si="11"/>
        <v>0.01</v>
      </c>
      <c r="M182" s="24">
        <f t="shared" si="12"/>
        <v>0.12</v>
      </c>
    </row>
    <row r="183" spans="1:13" x14ac:dyDescent="0.25">
      <c r="A183" t="s">
        <v>61</v>
      </c>
      <c r="B183" t="s">
        <v>258</v>
      </c>
      <c r="C183" t="s">
        <v>553</v>
      </c>
      <c r="D183" s="24">
        <v>101831.16</v>
      </c>
      <c r="E183" s="24">
        <v>101831.16</v>
      </c>
      <c r="F183" s="24">
        <v>0.493392</v>
      </c>
      <c r="G183" s="24">
        <v>1.1000779999999999</v>
      </c>
      <c r="H183" s="24">
        <v>4.399915</v>
      </c>
      <c r="I183" t="s">
        <v>15</v>
      </c>
      <c r="J183" s="24">
        <f t="shared" si="9"/>
        <v>0.101831</v>
      </c>
      <c r="K183" s="24">
        <f t="shared" si="10"/>
        <v>0.49</v>
      </c>
      <c r="L183" s="24">
        <f t="shared" si="11"/>
        <v>1.1000000000000001</v>
      </c>
      <c r="M183" s="24">
        <f t="shared" si="12"/>
        <v>4.4000000000000004</v>
      </c>
    </row>
    <row r="184" spans="1:13" x14ac:dyDescent="0.25">
      <c r="A184" t="s">
        <v>73</v>
      </c>
      <c r="B184" t="s">
        <v>258</v>
      </c>
      <c r="C184" t="s">
        <v>469</v>
      </c>
      <c r="D184" s="24">
        <v>670766.97999999905</v>
      </c>
      <c r="E184" s="24">
        <v>670779.00999999896</v>
      </c>
      <c r="F184" s="24">
        <v>18.444277</v>
      </c>
      <c r="G184" s="24">
        <v>2.591602</v>
      </c>
      <c r="H184" s="24">
        <v>143.43175400000001</v>
      </c>
      <c r="I184" t="s">
        <v>15</v>
      </c>
      <c r="J184" s="24">
        <f t="shared" si="9"/>
        <v>0.67077900000000001</v>
      </c>
      <c r="K184" s="24">
        <f t="shared" si="10"/>
        <v>18.440000000000001</v>
      </c>
      <c r="L184" s="24">
        <f t="shared" si="11"/>
        <v>2.59</v>
      </c>
      <c r="M184" s="24">
        <f t="shared" si="12"/>
        <v>143.43</v>
      </c>
    </row>
    <row r="185" spans="1:13" x14ac:dyDescent="0.25">
      <c r="A185" t="s">
        <v>34</v>
      </c>
      <c r="B185" t="s">
        <v>258</v>
      </c>
      <c r="C185" t="s">
        <v>495</v>
      </c>
      <c r="D185" s="24">
        <v>48388379.289999999</v>
      </c>
      <c r="E185" s="24">
        <v>48388379.289999999</v>
      </c>
      <c r="F185" s="24">
        <v>1536.045533</v>
      </c>
      <c r="G185" s="24">
        <v>729.60486600000002</v>
      </c>
      <c r="H185" s="24">
        <v>6987.7411249999996</v>
      </c>
      <c r="I185" t="s">
        <v>15</v>
      </c>
      <c r="J185" s="24">
        <f t="shared" si="9"/>
        <v>48.388379</v>
      </c>
      <c r="K185" s="24">
        <f t="shared" si="10"/>
        <v>1536.05</v>
      </c>
      <c r="L185" s="24">
        <f t="shared" si="11"/>
        <v>729.6</v>
      </c>
      <c r="M185" s="24">
        <f t="shared" si="12"/>
        <v>6987.74</v>
      </c>
    </row>
    <row r="186" spans="1:13" x14ac:dyDescent="0.25">
      <c r="A186" t="s">
        <v>662</v>
      </c>
      <c r="B186" t="s">
        <v>258</v>
      </c>
      <c r="C186" t="s">
        <v>668</v>
      </c>
      <c r="D186" s="24">
        <v>84389.77</v>
      </c>
      <c r="E186" s="24">
        <v>84389.77</v>
      </c>
      <c r="F186" s="24">
        <v>7.9963000000000006E-2</v>
      </c>
      <c r="G186" s="24">
        <v>3.5916999999999998E-2</v>
      </c>
      <c r="H186" s="24">
        <v>0.448021</v>
      </c>
      <c r="I186" t="s">
        <v>15</v>
      </c>
      <c r="J186" s="24">
        <f t="shared" si="9"/>
        <v>8.4390000000000007E-2</v>
      </c>
      <c r="K186" s="24">
        <f t="shared" si="10"/>
        <v>0.08</v>
      </c>
      <c r="L186" s="24">
        <f t="shared" si="11"/>
        <v>0.04</v>
      </c>
      <c r="M186" s="24">
        <f t="shared" si="12"/>
        <v>0.45</v>
      </c>
    </row>
    <row r="187" spans="1:13" x14ac:dyDescent="0.25">
      <c r="A187" t="s">
        <v>34</v>
      </c>
      <c r="B187" t="s">
        <v>258</v>
      </c>
      <c r="C187" t="s">
        <v>504</v>
      </c>
      <c r="D187" s="24">
        <v>1572854.78999999</v>
      </c>
      <c r="E187" s="24">
        <v>1572863.1799999899</v>
      </c>
      <c r="F187" s="24">
        <v>49.870415000000001</v>
      </c>
      <c r="G187" s="24">
        <v>23.687010000000001</v>
      </c>
      <c r="H187" s="24">
        <v>226.87589299999999</v>
      </c>
      <c r="I187" t="s">
        <v>15</v>
      </c>
      <c r="J187" s="24">
        <f t="shared" si="9"/>
        <v>1.5728629999999999</v>
      </c>
      <c r="K187" s="24">
        <f t="shared" si="10"/>
        <v>49.87</v>
      </c>
      <c r="L187" s="24">
        <f t="shared" si="11"/>
        <v>23.69</v>
      </c>
      <c r="M187" s="24">
        <f t="shared" si="12"/>
        <v>226.88</v>
      </c>
    </row>
    <row r="188" spans="1:13" x14ac:dyDescent="0.25">
      <c r="A188" t="s">
        <v>61</v>
      </c>
      <c r="B188" t="s">
        <v>258</v>
      </c>
      <c r="C188" t="s">
        <v>82</v>
      </c>
      <c r="D188" s="24">
        <v>118814163.03999899</v>
      </c>
      <c r="E188" s="24">
        <v>118814169.599999</v>
      </c>
      <c r="F188" s="24">
        <v>5666.7804850000002</v>
      </c>
      <c r="G188" s="24">
        <v>538.06329100000005</v>
      </c>
      <c r="H188" s="24">
        <v>11669.164821</v>
      </c>
      <c r="I188" t="s">
        <v>15</v>
      </c>
      <c r="J188" s="24">
        <f t="shared" si="9"/>
        <v>118.81417</v>
      </c>
      <c r="K188" s="24">
        <f t="shared" si="10"/>
        <v>5666.78</v>
      </c>
      <c r="L188" s="24">
        <f t="shared" si="11"/>
        <v>538.05999999999995</v>
      </c>
      <c r="M188" s="24">
        <f t="shared" si="12"/>
        <v>11669.16</v>
      </c>
    </row>
    <row r="189" spans="1:13" x14ac:dyDescent="0.25">
      <c r="A189" t="s">
        <v>34</v>
      </c>
      <c r="B189" t="s">
        <v>258</v>
      </c>
      <c r="C189" t="s">
        <v>507</v>
      </c>
      <c r="D189" s="24">
        <v>41678.35</v>
      </c>
      <c r="E189" s="24">
        <v>41678.35</v>
      </c>
      <c r="F189" s="24">
        <v>1.322889</v>
      </c>
      <c r="G189" s="24">
        <v>0.62835399999999997</v>
      </c>
      <c r="H189" s="24">
        <v>6.0181129999999996</v>
      </c>
      <c r="I189" t="s">
        <v>15</v>
      </c>
      <c r="J189" s="24">
        <f t="shared" si="9"/>
        <v>4.1678E-2</v>
      </c>
      <c r="K189" s="24">
        <f t="shared" si="10"/>
        <v>1.32</v>
      </c>
      <c r="L189" s="24">
        <f t="shared" si="11"/>
        <v>0.63</v>
      </c>
      <c r="M189" s="24">
        <f t="shared" si="12"/>
        <v>6.02</v>
      </c>
    </row>
    <row r="190" spans="1:13" x14ac:dyDescent="0.25">
      <c r="A190" t="s">
        <v>41</v>
      </c>
      <c r="B190" t="s">
        <v>258</v>
      </c>
      <c r="C190" t="s">
        <v>228</v>
      </c>
      <c r="D190" s="24">
        <v>543056.52</v>
      </c>
      <c r="E190" s="24">
        <v>543056.52</v>
      </c>
      <c r="F190" s="24">
        <v>0.51595800000000003</v>
      </c>
      <c r="G190" s="24">
        <v>0.231794</v>
      </c>
      <c r="H190" s="24">
        <v>2.8904990000000002</v>
      </c>
      <c r="I190" t="s">
        <v>15</v>
      </c>
      <c r="J190" s="24">
        <f t="shared" si="9"/>
        <v>0.54305700000000001</v>
      </c>
      <c r="K190" s="24">
        <f t="shared" si="10"/>
        <v>0.52</v>
      </c>
      <c r="L190" s="24">
        <f t="shared" si="11"/>
        <v>0.23</v>
      </c>
      <c r="M190" s="24">
        <f t="shared" si="12"/>
        <v>2.89</v>
      </c>
    </row>
    <row r="191" spans="1:13" x14ac:dyDescent="0.25">
      <c r="A191" t="s">
        <v>662</v>
      </c>
      <c r="B191" t="s">
        <v>258</v>
      </c>
      <c r="C191" t="s">
        <v>669</v>
      </c>
      <c r="D191" s="24">
        <v>70623.350000000006</v>
      </c>
      <c r="E191" s="24">
        <v>70623.350000000006</v>
      </c>
      <c r="F191" s="24">
        <v>2.882053</v>
      </c>
      <c r="G191" s="24">
        <v>1.0486580000000001</v>
      </c>
      <c r="H191" s="24">
        <v>10.073290999999999</v>
      </c>
      <c r="I191" t="s">
        <v>15</v>
      </c>
      <c r="J191" s="24">
        <f t="shared" si="9"/>
        <v>7.0623000000000005E-2</v>
      </c>
      <c r="K191" s="24">
        <f t="shared" si="10"/>
        <v>2.88</v>
      </c>
      <c r="L191" s="24">
        <f t="shared" si="11"/>
        <v>1.05</v>
      </c>
      <c r="M191" s="24">
        <f t="shared" si="12"/>
        <v>10.07</v>
      </c>
    </row>
    <row r="192" spans="1:13" x14ac:dyDescent="0.25">
      <c r="A192" t="s">
        <v>44</v>
      </c>
      <c r="B192" t="s">
        <v>258</v>
      </c>
      <c r="C192" t="s">
        <v>639</v>
      </c>
      <c r="D192" s="24">
        <v>3527078.79999999</v>
      </c>
      <c r="E192" s="24">
        <v>3533341.5699999901</v>
      </c>
      <c r="F192" s="24">
        <v>108.35791500000001</v>
      </c>
      <c r="G192" s="24">
        <v>18.113406000000001</v>
      </c>
      <c r="H192" s="24">
        <v>198.26699400000001</v>
      </c>
      <c r="I192" t="s">
        <v>15</v>
      </c>
      <c r="J192" s="24">
        <f t="shared" si="9"/>
        <v>3.5333420000000002</v>
      </c>
      <c r="K192" s="24">
        <f t="shared" si="10"/>
        <v>108.36</v>
      </c>
      <c r="L192" s="24">
        <f t="shared" si="11"/>
        <v>18.11</v>
      </c>
      <c r="M192" s="24">
        <f t="shared" si="12"/>
        <v>198.27</v>
      </c>
    </row>
    <row r="193" spans="1:13" x14ac:dyDescent="0.25">
      <c r="A193" t="s">
        <v>41</v>
      </c>
      <c r="B193" t="s">
        <v>258</v>
      </c>
      <c r="C193" t="s">
        <v>570</v>
      </c>
      <c r="D193" s="24">
        <v>267141.82</v>
      </c>
      <c r="E193" s="24">
        <v>267141.82</v>
      </c>
      <c r="F193" s="24">
        <v>12.426765</v>
      </c>
      <c r="G193" s="24">
        <v>11.246682</v>
      </c>
      <c r="H193" s="24">
        <v>58.106299999999997</v>
      </c>
      <c r="I193" t="s">
        <v>15</v>
      </c>
      <c r="J193" s="24">
        <f t="shared" si="9"/>
        <v>0.26714199999999999</v>
      </c>
      <c r="K193" s="24">
        <f t="shared" si="10"/>
        <v>12.43</v>
      </c>
      <c r="L193" s="24">
        <f t="shared" si="11"/>
        <v>11.25</v>
      </c>
      <c r="M193" s="24">
        <f t="shared" si="12"/>
        <v>58.11</v>
      </c>
    </row>
    <row r="194" spans="1:13" x14ac:dyDescent="0.25">
      <c r="A194" t="s">
        <v>38</v>
      </c>
      <c r="B194" t="s">
        <v>258</v>
      </c>
      <c r="C194" t="s">
        <v>333</v>
      </c>
      <c r="D194" s="24">
        <v>725716.75999999896</v>
      </c>
      <c r="E194" s="24">
        <v>725841.11999999895</v>
      </c>
      <c r="F194" s="24">
        <v>33.766835999999998</v>
      </c>
      <c r="G194" s="24">
        <v>30.560229</v>
      </c>
      <c r="H194" s="24">
        <v>157.89038500000001</v>
      </c>
      <c r="I194" t="s">
        <v>15</v>
      </c>
      <c r="J194" s="24">
        <f t="shared" si="9"/>
        <v>0.72584099999999996</v>
      </c>
      <c r="K194" s="24">
        <f t="shared" si="10"/>
        <v>33.770000000000003</v>
      </c>
      <c r="L194" s="24">
        <f t="shared" si="11"/>
        <v>30.56</v>
      </c>
      <c r="M194" s="24">
        <f t="shared" si="12"/>
        <v>157.88999999999999</v>
      </c>
    </row>
    <row r="195" spans="1:13" x14ac:dyDescent="0.25">
      <c r="A195" t="s">
        <v>38</v>
      </c>
      <c r="B195" t="s">
        <v>258</v>
      </c>
      <c r="C195" t="s">
        <v>334</v>
      </c>
      <c r="D195" s="24">
        <v>180847.459999999</v>
      </c>
      <c r="E195" s="24">
        <v>181135.52999999901</v>
      </c>
      <c r="F195" s="24">
        <v>34.451287999999998</v>
      </c>
      <c r="G195" s="24">
        <v>6.9719559999999996</v>
      </c>
      <c r="H195" s="24">
        <v>55.249994000000001</v>
      </c>
      <c r="I195" t="s">
        <v>15</v>
      </c>
      <c r="J195" s="24">
        <f t="shared" ref="J195:J258" si="13">+ROUND(E195,0)/1000000</f>
        <v>0.18113599999999999</v>
      </c>
      <c r="K195" s="24">
        <f t="shared" ref="K195:K258" si="14">+ROUND(F195,2)</f>
        <v>34.450000000000003</v>
      </c>
      <c r="L195" s="24">
        <f t="shared" ref="L195:L258" si="15">+ROUND(G195,2)</f>
        <v>6.97</v>
      </c>
      <c r="M195" s="24">
        <f t="shared" ref="M195:M258" si="16">+ROUND(H195,2)</f>
        <v>55.25</v>
      </c>
    </row>
    <row r="196" spans="1:13" x14ac:dyDescent="0.25">
      <c r="A196" t="s">
        <v>38</v>
      </c>
      <c r="B196" t="s">
        <v>258</v>
      </c>
      <c r="C196" t="s">
        <v>335</v>
      </c>
      <c r="D196" s="24">
        <v>108836.38</v>
      </c>
      <c r="E196" s="24">
        <v>108836.38</v>
      </c>
      <c r="F196" s="24">
        <v>6.02949</v>
      </c>
      <c r="G196" s="24">
        <v>4.099494</v>
      </c>
      <c r="H196" s="24">
        <v>73.479743999999997</v>
      </c>
      <c r="I196" t="s">
        <v>15</v>
      </c>
      <c r="J196" s="24">
        <f t="shared" si="13"/>
        <v>0.108836</v>
      </c>
      <c r="K196" s="24">
        <f t="shared" si="14"/>
        <v>6.03</v>
      </c>
      <c r="L196" s="24">
        <f t="shared" si="15"/>
        <v>4.0999999999999996</v>
      </c>
      <c r="M196" s="24">
        <f t="shared" si="16"/>
        <v>73.48</v>
      </c>
    </row>
    <row r="197" spans="1:13" x14ac:dyDescent="0.25">
      <c r="A197" t="s">
        <v>38</v>
      </c>
      <c r="B197" t="s">
        <v>258</v>
      </c>
      <c r="C197" t="s">
        <v>97</v>
      </c>
      <c r="D197" s="24">
        <v>3606.49</v>
      </c>
      <c r="E197" s="24">
        <v>3606.49</v>
      </c>
      <c r="F197" s="24">
        <v>0.19972500000000001</v>
      </c>
      <c r="G197" s="24">
        <v>0.135794</v>
      </c>
      <c r="H197" s="24">
        <v>2.4339970000000002</v>
      </c>
      <c r="I197" t="s">
        <v>15</v>
      </c>
      <c r="J197" s="24">
        <f t="shared" si="13"/>
        <v>3.6059999999999998E-3</v>
      </c>
      <c r="K197" s="24">
        <f t="shared" si="14"/>
        <v>0.2</v>
      </c>
      <c r="L197" s="24">
        <f t="shared" si="15"/>
        <v>0.14000000000000001</v>
      </c>
      <c r="M197" s="24">
        <f t="shared" si="16"/>
        <v>2.4300000000000002</v>
      </c>
    </row>
    <row r="198" spans="1:13" x14ac:dyDescent="0.25">
      <c r="A198" t="s">
        <v>34</v>
      </c>
      <c r="B198" t="s">
        <v>258</v>
      </c>
      <c r="C198" t="s">
        <v>129</v>
      </c>
      <c r="D198" s="24">
        <v>554603.64</v>
      </c>
      <c r="E198" s="24">
        <v>554603.64</v>
      </c>
      <c r="F198" s="24">
        <v>17.605399999999999</v>
      </c>
      <c r="G198" s="24">
        <v>8.3623729999999998</v>
      </c>
      <c r="H198" s="24">
        <v>80.090121999999994</v>
      </c>
      <c r="I198" t="s">
        <v>15</v>
      </c>
      <c r="J198" s="24">
        <f t="shared" si="13"/>
        <v>0.55460399999999999</v>
      </c>
      <c r="K198" s="24">
        <f t="shared" si="14"/>
        <v>17.61</v>
      </c>
      <c r="L198" s="24">
        <f t="shared" si="15"/>
        <v>8.36</v>
      </c>
      <c r="M198" s="24">
        <f t="shared" si="16"/>
        <v>80.09</v>
      </c>
    </row>
    <row r="199" spans="1:13" x14ac:dyDescent="0.25">
      <c r="A199" t="s">
        <v>125</v>
      </c>
      <c r="B199" t="s">
        <v>258</v>
      </c>
      <c r="C199" t="s">
        <v>273</v>
      </c>
      <c r="D199" s="24">
        <v>37902.15</v>
      </c>
      <c r="E199" s="24">
        <v>37902.15</v>
      </c>
      <c r="F199" s="24">
        <v>46.811587000000003</v>
      </c>
      <c r="G199" s="24">
        <v>3.5859200000000002</v>
      </c>
      <c r="H199" s="24">
        <v>18.914517</v>
      </c>
      <c r="I199" t="s">
        <v>15</v>
      </c>
      <c r="J199" s="24">
        <f t="shared" si="13"/>
        <v>3.7901999999999998E-2</v>
      </c>
      <c r="K199" s="24">
        <f t="shared" si="14"/>
        <v>46.81</v>
      </c>
      <c r="L199" s="24">
        <f t="shared" si="15"/>
        <v>3.59</v>
      </c>
      <c r="M199" s="24">
        <f t="shared" si="16"/>
        <v>18.91</v>
      </c>
    </row>
    <row r="200" spans="1:13" x14ac:dyDescent="0.25">
      <c r="A200" t="s">
        <v>61</v>
      </c>
      <c r="B200" t="s">
        <v>258</v>
      </c>
      <c r="C200" t="s">
        <v>554</v>
      </c>
      <c r="D200" s="24">
        <v>49984.33</v>
      </c>
      <c r="E200" s="24">
        <v>49984.33</v>
      </c>
      <c r="F200" s="24">
        <v>3.1481319999999999</v>
      </c>
      <c r="G200" s="24">
        <v>0.226327</v>
      </c>
      <c r="H200" s="24">
        <v>4.9084969999999997</v>
      </c>
      <c r="I200" t="s">
        <v>15</v>
      </c>
      <c r="J200" s="24">
        <f t="shared" si="13"/>
        <v>4.9984000000000001E-2</v>
      </c>
      <c r="K200" s="24">
        <f t="shared" si="14"/>
        <v>3.15</v>
      </c>
      <c r="L200" s="24">
        <f t="shared" si="15"/>
        <v>0.23</v>
      </c>
      <c r="M200" s="24">
        <f t="shared" si="16"/>
        <v>4.91</v>
      </c>
    </row>
    <row r="201" spans="1:13" x14ac:dyDescent="0.25">
      <c r="A201" t="s">
        <v>38</v>
      </c>
      <c r="B201" t="s">
        <v>258</v>
      </c>
      <c r="C201" t="s">
        <v>39</v>
      </c>
      <c r="D201" s="24">
        <v>755.28</v>
      </c>
      <c r="E201" s="24">
        <v>755.28</v>
      </c>
      <c r="F201" s="24">
        <v>1.6920999999999999E-2</v>
      </c>
      <c r="G201" s="24">
        <v>9.1979999999999996E-3</v>
      </c>
      <c r="H201" s="24">
        <v>0.150671</v>
      </c>
      <c r="I201" t="s">
        <v>15</v>
      </c>
      <c r="J201" s="24">
        <f t="shared" si="13"/>
        <v>7.5500000000000003E-4</v>
      </c>
      <c r="K201" s="24">
        <f t="shared" si="14"/>
        <v>0.02</v>
      </c>
      <c r="L201" s="24">
        <f t="shared" si="15"/>
        <v>0.01</v>
      </c>
      <c r="M201" s="24">
        <f t="shared" si="16"/>
        <v>0.15</v>
      </c>
    </row>
    <row r="202" spans="1:13" x14ac:dyDescent="0.25">
      <c r="A202" t="s">
        <v>125</v>
      </c>
      <c r="B202" t="s">
        <v>258</v>
      </c>
      <c r="C202" t="s">
        <v>271</v>
      </c>
      <c r="D202" s="24">
        <v>171128.95999999999</v>
      </c>
      <c r="E202" s="24">
        <v>171128.95999999999</v>
      </c>
      <c r="F202" s="24">
        <v>211.38595000000001</v>
      </c>
      <c r="G202" s="24">
        <v>16.192875999999998</v>
      </c>
      <c r="H202" s="24">
        <v>85.411841999999993</v>
      </c>
      <c r="I202" t="s">
        <v>15</v>
      </c>
      <c r="J202" s="24">
        <f t="shared" si="13"/>
        <v>0.171129</v>
      </c>
      <c r="K202" s="24">
        <f t="shared" si="14"/>
        <v>211.39</v>
      </c>
      <c r="L202" s="24">
        <f t="shared" si="15"/>
        <v>16.190000000000001</v>
      </c>
      <c r="M202" s="24">
        <f t="shared" si="16"/>
        <v>85.41</v>
      </c>
    </row>
    <row r="203" spans="1:13" x14ac:dyDescent="0.25">
      <c r="A203" t="s">
        <v>34</v>
      </c>
      <c r="B203" t="s">
        <v>258</v>
      </c>
      <c r="C203" t="s">
        <v>502</v>
      </c>
      <c r="D203" s="24">
        <v>2443318.8348050001</v>
      </c>
      <c r="E203" s="24">
        <v>2443318.8348050001</v>
      </c>
      <c r="F203" s="24">
        <v>77.560125999999997</v>
      </c>
      <c r="G203" s="24">
        <v>36.840226999999999</v>
      </c>
      <c r="H203" s="24">
        <v>352.83466299999998</v>
      </c>
      <c r="I203" t="s">
        <v>15</v>
      </c>
      <c r="J203" s="24">
        <f t="shared" si="13"/>
        <v>2.4433189999999998</v>
      </c>
      <c r="K203" s="24">
        <f t="shared" si="14"/>
        <v>77.56</v>
      </c>
      <c r="L203" s="24">
        <f t="shared" si="15"/>
        <v>36.840000000000003</v>
      </c>
      <c r="M203" s="24">
        <f t="shared" si="16"/>
        <v>352.83</v>
      </c>
    </row>
    <row r="204" spans="1:13" x14ac:dyDescent="0.25">
      <c r="A204" t="s">
        <v>585</v>
      </c>
      <c r="B204" t="s">
        <v>258</v>
      </c>
      <c r="C204" t="s">
        <v>587</v>
      </c>
      <c r="D204" s="24">
        <v>6222178.8399999896</v>
      </c>
      <c r="E204" s="24">
        <v>6222226.4299999904</v>
      </c>
      <c r="F204" s="24">
        <v>5.8983980000000003</v>
      </c>
      <c r="G204" s="24">
        <v>2.6499790000000001</v>
      </c>
      <c r="H204" s="24">
        <v>33.042701999999998</v>
      </c>
      <c r="I204" t="s">
        <v>15</v>
      </c>
      <c r="J204" s="24">
        <f t="shared" si="13"/>
        <v>6.222226</v>
      </c>
      <c r="K204" s="24">
        <f t="shared" si="14"/>
        <v>5.9</v>
      </c>
      <c r="L204" s="24">
        <f t="shared" si="15"/>
        <v>2.65</v>
      </c>
      <c r="M204" s="24">
        <f t="shared" si="16"/>
        <v>33.04</v>
      </c>
    </row>
    <row r="205" spans="1:13" x14ac:dyDescent="0.25">
      <c r="A205" t="s">
        <v>54</v>
      </c>
      <c r="B205" t="s">
        <v>258</v>
      </c>
      <c r="C205" t="s">
        <v>606</v>
      </c>
      <c r="D205" s="24">
        <v>15543.47</v>
      </c>
      <c r="E205" s="24">
        <v>15543.47</v>
      </c>
      <c r="F205" s="24">
        <v>1.4726E-2</v>
      </c>
      <c r="G205" s="24">
        <v>6.6140000000000001E-3</v>
      </c>
      <c r="H205" s="24">
        <v>8.2519999999999996E-2</v>
      </c>
      <c r="I205" t="s">
        <v>15</v>
      </c>
      <c r="J205" s="24">
        <f t="shared" si="13"/>
        <v>1.5543E-2</v>
      </c>
      <c r="K205" s="24">
        <f t="shared" si="14"/>
        <v>0.01</v>
      </c>
      <c r="L205" s="24">
        <f t="shared" si="15"/>
        <v>0.01</v>
      </c>
      <c r="M205" s="24">
        <f t="shared" si="16"/>
        <v>0.08</v>
      </c>
    </row>
    <row r="206" spans="1:13" x14ac:dyDescent="0.25">
      <c r="A206" t="s">
        <v>38</v>
      </c>
      <c r="B206" t="s">
        <v>258</v>
      </c>
      <c r="C206" t="s">
        <v>143</v>
      </c>
      <c r="D206" s="24">
        <v>393578.859999999</v>
      </c>
      <c r="E206" s="24">
        <v>393855.299999999</v>
      </c>
      <c r="F206" s="24">
        <v>8.8206570000000006</v>
      </c>
      <c r="G206" s="24">
        <v>4.7949900000000003</v>
      </c>
      <c r="H206" s="24">
        <v>78.539574000000002</v>
      </c>
      <c r="I206" t="s">
        <v>15</v>
      </c>
      <c r="J206" s="24">
        <f t="shared" si="13"/>
        <v>0.39385500000000001</v>
      </c>
      <c r="K206" s="24">
        <f t="shared" si="14"/>
        <v>8.82</v>
      </c>
      <c r="L206" s="24">
        <f t="shared" si="15"/>
        <v>4.79</v>
      </c>
      <c r="M206" s="24">
        <f t="shared" si="16"/>
        <v>78.540000000000006</v>
      </c>
    </row>
    <row r="207" spans="1:13" x14ac:dyDescent="0.25">
      <c r="A207" t="s">
        <v>125</v>
      </c>
      <c r="B207" t="s">
        <v>258</v>
      </c>
      <c r="C207" t="s">
        <v>274</v>
      </c>
      <c r="D207" s="24">
        <v>58500.1</v>
      </c>
      <c r="E207" s="24">
        <v>58500.1</v>
      </c>
      <c r="F207" s="24">
        <v>72.261859999999999</v>
      </c>
      <c r="G207" s="24">
        <v>5.535501</v>
      </c>
      <c r="H207" s="24">
        <v>29.197865</v>
      </c>
      <c r="I207" t="s">
        <v>15</v>
      </c>
      <c r="J207" s="24">
        <f t="shared" si="13"/>
        <v>5.8500000000000003E-2</v>
      </c>
      <c r="K207" s="24">
        <f t="shared" si="14"/>
        <v>72.260000000000005</v>
      </c>
      <c r="L207" s="24">
        <f t="shared" si="15"/>
        <v>5.54</v>
      </c>
      <c r="M207" s="24">
        <f t="shared" si="16"/>
        <v>29.2</v>
      </c>
    </row>
    <row r="208" spans="1:13" x14ac:dyDescent="0.25">
      <c r="A208" t="s">
        <v>38</v>
      </c>
      <c r="B208" t="s">
        <v>321</v>
      </c>
      <c r="C208" t="s">
        <v>342</v>
      </c>
      <c r="D208" s="24">
        <v>9094809.1999999993</v>
      </c>
      <c r="E208" s="24">
        <v>9094809.1999999993</v>
      </c>
      <c r="F208" s="24">
        <v>149.460847</v>
      </c>
      <c r="G208" s="24">
        <v>68.716935000000007</v>
      </c>
      <c r="H208" s="24">
        <v>2018.3837880000001</v>
      </c>
      <c r="I208" t="s">
        <v>682</v>
      </c>
      <c r="J208" s="24">
        <f t="shared" si="13"/>
        <v>9.0948089999999997</v>
      </c>
      <c r="K208" s="24">
        <f t="shared" si="14"/>
        <v>149.46</v>
      </c>
      <c r="L208" s="24">
        <f t="shared" si="15"/>
        <v>68.72</v>
      </c>
      <c r="M208" s="24">
        <f t="shared" si="16"/>
        <v>2018.38</v>
      </c>
    </row>
    <row r="209" spans="1:13" x14ac:dyDescent="0.25">
      <c r="A209" t="s">
        <v>34</v>
      </c>
      <c r="B209" t="s">
        <v>258</v>
      </c>
      <c r="C209" t="s">
        <v>509</v>
      </c>
      <c r="D209" s="24">
        <v>111042.02</v>
      </c>
      <c r="E209" s="24">
        <v>111042.02</v>
      </c>
      <c r="F209" s="24">
        <v>3.5248210000000002</v>
      </c>
      <c r="G209" s="24">
        <v>1.6742490000000001</v>
      </c>
      <c r="H209" s="24">
        <v>16.035038</v>
      </c>
      <c r="I209" t="s">
        <v>15</v>
      </c>
      <c r="J209" s="24">
        <f t="shared" si="13"/>
        <v>0.111042</v>
      </c>
      <c r="K209" s="24">
        <f t="shared" si="14"/>
        <v>3.52</v>
      </c>
      <c r="L209" s="24">
        <f t="shared" si="15"/>
        <v>1.67</v>
      </c>
      <c r="M209" s="24">
        <f t="shared" si="16"/>
        <v>16.04</v>
      </c>
    </row>
    <row r="210" spans="1:13" x14ac:dyDescent="0.25">
      <c r="A210" t="s">
        <v>73</v>
      </c>
      <c r="B210" t="s">
        <v>258</v>
      </c>
      <c r="C210" t="s">
        <v>472</v>
      </c>
      <c r="D210" s="24">
        <v>127499.21</v>
      </c>
      <c r="E210" s="24">
        <v>127499.21</v>
      </c>
      <c r="F210" s="24">
        <v>3.5054829999999999</v>
      </c>
      <c r="G210" s="24">
        <v>0.49255300000000002</v>
      </c>
      <c r="H210" s="24">
        <v>27.260318999999999</v>
      </c>
      <c r="I210" t="s">
        <v>15</v>
      </c>
      <c r="J210" s="24">
        <f t="shared" si="13"/>
        <v>0.127499</v>
      </c>
      <c r="K210" s="24">
        <f t="shared" si="14"/>
        <v>3.51</v>
      </c>
      <c r="L210" s="24">
        <f t="shared" si="15"/>
        <v>0.49</v>
      </c>
      <c r="M210" s="24">
        <f t="shared" si="16"/>
        <v>27.26</v>
      </c>
    </row>
    <row r="211" spans="1:13" x14ac:dyDescent="0.25">
      <c r="A211" t="s">
        <v>38</v>
      </c>
      <c r="B211" t="s">
        <v>258</v>
      </c>
      <c r="C211" t="s">
        <v>337</v>
      </c>
      <c r="D211" s="24">
        <v>1909.46</v>
      </c>
      <c r="E211" s="24">
        <v>1909.46</v>
      </c>
      <c r="F211" s="24">
        <v>0.22765099999999999</v>
      </c>
      <c r="G211" s="24">
        <v>5.3864000000000002E-2</v>
      </c>
      <c r="H211" s="24">
        <v>0.74072000000000005</v>
      </c>
      <c r="I211" t="s">
        <v>15</v>
      </c>
      <c r="J211" s="24">
        <f t="shared" si="13"/>
        <v>1.9090000000000001E-3</v>
      </c>
      <c r="K211" s="24">
        <f t="shared" si="14"/>
        <v>0.23</v>
      </c>
      <c r="L211" s="24">
        <f t="shared" si="15"/>
        <v>0.05</v>
      </c>
      <c r="M211" s="24">
        <f t="shared" si="16"/>
        <v>0.74</v>
      </c>
    </row>
    <row r="212" spans="1:13" x14ac:dyDescent="0.25">
      <c r="A212" t="s">
        <v>34</v>
      </c>
      <c r="B212" t="s">
        <v>258</v>
      </c>
      <c r="C212" t="s">
        <v>99</v>
      </c>
      <c r="D212" s="24">
        <v>7709110.1900000004</v>
      </c>
      <c r="E212" s="24">
        <v>7709110.1900000004</v>
      </c>
      <c r="F212" s="24">
        <v>244.770791</v>
      </c>
      <c r="G212" s="24">
        <v>116.26340399999999</v>
      </c>
      <c r="H212" s="24">
        <v>1113.5058369999999</v>
      </c>
      <c r="I212" t="s">
        <v>15</v>
      </c>
      <c r="J212" s="24">
        <f t="shared" si="13"/>
        <v>7.7091099999999999</v>
      </c>
      <c r="K212" s="24">
        <f t="shared" si="14"/>
        <v>244.77</v>
      </c>
      <c r="L212" s="24">
        <f t="shared" si="15"/>
        <v>116.26</v>
      </c>
      <c r="M212" s="24">
        <f t="shared" si="16"/>
        <v>1113.51</v>
      </c>
    </row>
    <row r="213" spans="1:13" x14ac:dyDescent="0.25">
      <c r="A213" t="s">
        <v>125</v>
      </c>
      <c r="B213" t="s">
        <v>258</v>
      </c>
      <c r="C213" t="s">
        <v>267</v>
      </c>
      <c r="D213" s="24">
        <v>10925226.499999899</v>
      </c>
      <c r="E213" s="24">
        <v>10925407.449999901</v>
      </c>
      <c r="F213" s="24">
        <v>13496.6016</v>
      </c>
      <c r="G213" s="24">
        <v>1033.885788</v>
      </c>
      <c r="H213" s="24">
        <v>5453.3883239999996</v>
      </c>
      <c r="I213" t="s">
        <v>15</v>
      </c>
      <c r="J213" s="24">
        <f t="shared" si="13"/>
        <v>10.925407</v>
      </c>
      <c r="K213" s="24">
        <f t="shared" si="14"/>
        <v>13496.6</v>
      </c>
      <c r="L213" s="24">
        <f t="shared" si="15"/>
        <v>1033.8900000000001</v>
      </c>
      <c r="M213" s="24">
        <f t="shared" si="16"/>
        <v>5453.39</v>
      </c>
    </row>
    <row r="214" spans="1:13" x14ac:dyDescent="0.25">
      <c r="A214" t="s">
        <v>61</v>
      </c>
      <c r="B214" t="s">
        <v>258</v>
      </c>
      <c r="C214" t="s">
        <v>552</v>
      </c>
      <c r="D214" s="24">
        <v>38424256.308228999</v>
      </c>
      <c r="E214" s="24">
        <v>38424256.308228999</v>
      </c>
      <c r="F214" s="24">
        <v>2420.3280159999999</v>
      </c>
      <c r="G214" s="24">
        <v>174.00494699999999</v>
      </c>
      <c r="H214" s="24">
        <v>3773.718609</v>
      </c>
      <c r="I214" t="s">
        <v>15</v>
      </c>
      <c r="J214" s="24">
        <f t="shared" si="13"/>
        <v>38.424256</v>
      </c>
      <c r="K214" s="24">
        <f t="shared" si="14"/>
        <v>2420.33</v>
      </c>
      <c r="L214" s="24">
        <f t="shared" si="15"/>
        <v>174</v>
      </c>
      <c r="M214" s="24">
        <f t="shared" si="16"/>
        <v>3773.72</v>
      </c>
    </row>
    <row r="215" spans="1:13" x14ac:dyDescent="0.25">
      <c r="A215" t="s">
        <v>133</v>
      </c>
      <c r="B215" t="s">
        <v>258</v>
      </c>
      <c r="C215" t="s">
        <v>134</v>
      </c>
      <c r="D215" s="24">
        <v>272327.98</v>
      </c>
      <c r="E215" s="24">
        <v>272327.98</v>
      </c>
      <c r="F215" s="24">
        <v>8.6441700000000008</v>
      </c>
      <c r="G215" s="24">
        <v>4.1058820000000003</v>
      </c>
      <c r="H215" s="24">
        <v>39.323922000000003</v>
      </c>
      <c r="I215" t="s">
        <v>15</v>
      </c>
      <c r="J215" s="24">
        <f t="shared" si="13"/>
        <v>0.27232800000000001</v>
      </c>
      <c r="K215" s="24">
        <f t="shared" si="14"/>
        <v>8.64</v>
      </c>
      <c r="L215" s="24">
        <f t="shared" si="15"/>
        <v>4.1100000000000003</v>
      </c>
      <c r="M215" s="24">
        <f t="shared" si="16"/>
        <v>39.32</v>
      </c>
    </row>
    <row r="216" spans="1:13" x14ac:dyDescent="0.25">
      <c r="A216" t="s">
        <v>54</v>
      </c>
      <c r="B216" t="s">
        <v>258</v>
      </c>
      <c r="C216" t="s">
        <v>604</v>
      </c>
      <c r="D216" s="24">
        <v>140716.49</v>
      </c>
      <c r="E216" s="24">
        <v>140716.49</v>
      </c>
      <c r="F216" s="24">
        <v>0.13330600000000001</v>
      </c>
      <c r="G216" s="24">
        <v>5.9871000000000001E-2</v>
      </c>
      <c r="H216" s="24">
        <v>0.74697899999999995</v>
      </c>
      <c r="I216" t="s">
        <v>15</v>
      </c>
      <c r="J216" s="24">
        <f t="shared" si="13"/>
        <v>0.14071600000000001</v>
      </c>
      <c r="K216" s="24">
        <f t="shared" si="14"/>
        <v>0.13</v>
      </c>
      <c r="L216" s="24">
        <f t="shared" si="15"/>
        <v>0.06</v>
      </c>
      <c r="M216" s="24">
        <f t="shared" si="16"/>
        <v>0.75</v>
      </c>
    </row>
    <row r="217" spans="1:13" x14ac:dyDescent="0.25">
      <c r="A217" t="s">
        <v>38</v>
      </c>
      <c r="B217" t="s">
        <v>258</v>
      </c>
      <c r="C217" t="s">
        <v>339</v>
      </c>
      <c r="D217" s="24">
        <v>335729.28</v>
      </c>
      <c r="E217" s="24">
        <v>335729.28</v>
      </c>
      <c r="F217" s="24">
        <v>7.5246360000000001</v>
      </c>
      <c r="G217" s="24">
        <v>4.0904740000000004</v>
      </c>
      <c r="H217" s="24">
        <v>66.999555999999998</v>
      </c>
      <c r="I217" t="s">
        <v>15</v>
      </c>
      <c r="J217" s="24">
        <f t="shared" si="13"/>
        <v>0.335729</v>
      </c>
      <c r="K217" s="24">
        <f t="shared" si="14"/>
        <v>7.52</v>
      </c>
      <c r="L217" s="24">
        <f t="shared" si="15"/>
        <v>4.09</v>
      </c>
      <c r="M217" s="24">
        <f t="shared" si="16"/>
        <v>67</v>
      </c>
    </row>
    <row r="218" spans="1:13" x14ac:dyDescent="0.25">
      <c r="A218" t="s">
        <v>73</v>
      </c>
      <c r="B218" t="s">
        <v>258</v>
      </c>
      <c r="C218" t="s">
        <v>78</v>
      </c>
      <c r="D218" s="24">
        <v>2012358.3999999899</v>
      </c>
      <c r="E218" s="24">
        <v>2012435.76999999</v>
      </c>
      <c r="F218" s="24">
        <v>55.331313000000002</v>
      </c>
      <c r="G218" s="24">
        <v>7.7746810000000002</v>
      </c>
      <c r="H218" s="24">
        <v>430.28231799999998</v>
      </c>
      <c r="I218" t="s">
        <v>15</v>
      </c>
      <c r="J218" s="24">
        <f t="shared" si="13"/>
        <v>2.0124360000000001</v>
      </c>
      <c r="K218" s="24">
        <f t="shared" si="14"/>
        <v>55.33</v>
      </c>
      <c r="L218" s="24">
        <f t="shared" si="15"/>
        <v>7.77</v>
      </c>
      <c r="M218" s="24">
        <f t="shared" si="16"/>
        <v>430.28</v>
      </c>
    </row>
    <row r="219" spans="1:13" x14ac:dyDescent="0.25">
      <c r="A219" t="s">
        <v>73</v>
      </c>
      <c r="B219" t="s">
        <v>258</v>
      </c>
      <c r="C219" t="s">
        <v>473</v>
      </c>
      <c r="D219" s="24">
        <v>224345.53</v>
      </c>
      <c r="E219" s="24">
        <v>224345.53</v>
      </c>
      <c r="F219" s="24">
        <v>6.1680000000000001</v>
      </c>
      <c r="G219" s="24">
        <v>0.86665800000000004</v>
      </c>
      <c r="H219" s="24">
        <v>47.96546</v>
      </c>
      <c r="I219" t="s">
        <v>15</v>
      </c>
      <c r="J219" s="24">
        <f t="shared" si="13"/>
        <v>0.22434599999999999</v>
      </c>
      <c r="K219" s="24">
        <f t="shared" si="14"/>
        <v>6.17</v>
      </c>
      <c r="L219" s="24">
        <f t="shared" si="15"/>
        <v>0.87</v>
      </c>
      <c r="M219" s="24">
        <f t="shared" si="16"/>
        <v>47.97</v>
      </c>
    </row>
    <row r="220" spans="1:13" x14ac:dyDescent="0.25">
      <c r="A220" t="s">
        <v>41</v>
      </c>
      <c r="B220" t="s">
        <v>258</v>
      </c>
      <c r="C220" t="s">
        <v>575</v>
      </c>
      <c r="D220" s="24">
        <v>1596.38</v>
      </c>
      <c r="E220" s="24">
        <v>1596.38</v>
      </c>
      <c r="F220" s="24">
        <v>1.5100000000000001E-3</v>
      </c>
      <c r="G220" s="24">
        <v>6.78E-4</v>
      </c>
      <c r="H220" s="24">
        <v>8.4690000000000008E-3</v>
      </c>
      <c r="I220" t="s">
        <v>15</v>
      </c>
      <c r="J220" s="24">
        <f t="shared" si="13"/>
        <v>1.596E-3</v>
      </c>
      <c r="K220" s="24">
        <f t="shared" si="14"/>
        <v>0</v>
      </c>
      <c r="L220" s="24">
        <f t="shared" si="15"/>
        <v>0</v>
      </c>
      <c r="M220" s="24">
        <f t="shared" si="16"/>
        <v>0.01</v>
      </c>
    </row>
    <row r="221" spans="1:13" x14ac:dyDescent="0.25">
      <c r="A221" t="s">
        <v>626</v>
      </c>
      <c r="B221" t="s">
        <v>258</v>
      </c>
      <c r="C221" t="s">
        <v>630</v>
      </c>
      <c r="D221" s="24">
        <v>339597.84</v>
      </c>
      <c r="E221" s="24">
        <v>339597.84</v>
      </c>
      <c r="F221" s="24">
        <v>10.432217</v>
      </c>
      <c r="G221" s="24">
        <v>1.743854</v>
      </c>
      <c r="H221" s="24">
        <v>19.088279</v>
      </c>
      <c r="I221" t="s">
        <v>15</v>
      </c>
      <c r="J221" s="24">
        <f t="shared" si="13"/>
        <v>0.33959800000000001</v>
      </c>
      <c r="K221" s="24">
        <f t="shared" si="14"/>
        <v>10.43</v>
      </c>
      <c r="L221" s="24">
        <f t="shared" si="15"/>
        <v>1.74</v>
      </c>
      <c r="M221" s="24">
        <f t="shared" si="16"/>
        <v>19.09</v>
      </c>
    </row>
    <row r="222" spans="1:13" x14ac:dyDescent="0.25">
      <c r="A222" t="s">
        <v>238</v>
      </c>
      <c r="B222" t="s">
        <v>258</v>
      </c>
      <c r="C222" t="s">
        <v>580</v>
      </c>
      <c r="D222" s="24">
        <v>16692.48</v>
      </c>
      <c r="E222" s="24">
        <v>16692.48</v>
      </c>
      <c r="F222" s="24">
        <v>1.5819E-2</v>
      </c>
      <c r="G222" s="24">
        <v>7.1050000000000002E-3</v>
      </c>
      <c r="H222" s="24">
        <v>8.8627999999999998E-2</v>
      </c>
      <c r="I222" t="s">
        <v>15</v>
      </c>
      <c r="J222" s="24">
        <f t="shared" si="13"/>
        <v>1.6691999999999999E-2</v>
      </c>
      <c r="K222" s="24">
        <f t="shared" si="14"/>
        <v>0.02</v>
      </c>
      <c r="L222" s="24">
        <f t="shared" si="15"/>
        <v>0.01</v>
      </c>
      <c r="M222" s="24">
        <f t="shared" si="16"/>
        <v>0.09</v>
      </c>
    </row>
    <row r="223" spans="1:13" x14ac:dyDescent="0.25">
      <c r="A223" t="s">
        <v>38</v>
      </c>
      <c r="B223" t="s">
        <v>258</v>
      </c>
      <c r="C223" t="s">
        <v>341</v>
      </c>
      <c r="D223" s="24">
        <v>22715.69</v>
      </c>
      <c r="E223" s="24">
        <v>22715.69</v>
      </c>
      <c r="F223" s="24">
        <v>0.50899300000000003</v>
      </c>
      <c r="G223" s="24">
        <v>0.27669300000000002</v>
      </c>
      <c r="H223" s="24">
        <v>4.5321179999999996</v>
      </c>
      <c r="I223" t="s">
        <v>15</v>
      </c>
      <c r="J223" s="24">
        <f t="shared" si="13"/>
        <v>2.2716E-2</v>
      </c>
      <c r="K223" s="24">
        <f t="shared" si="14"/>
        <v>0.51</v>
      </c>
      <c r="L223" s="24">
        <f t="shared" si="15"/>
        <v>0.28000000000000003</v>
      </c>
      <c r="M223" s="24">
        <f t="shared" si="16"/>
        <v>4.53</v>
      </c>
    </row>
    <row r="224" spans="1:13" x14ac:dyDescent="0.25">
      <c r="A224" t="s">
        <v>646</v>
      </c>
      <c r="B224" t="s">
        <v>258</v>
      </c>
      <c r="C224" t="s">
        <v>649</v>
      </c>
      <c r="D224" s="24">
        <v>3797.12</v>
      </c>
      <c r="E224" s="24">
        <v>3797.12</v>
      </c>
      <c r="F224" s="24">
        <v>0.116492</v>
      </c>
      <c r="G224" s="24">
        <v>1.9470000000000001E-2</v>
      </c>
      <c r="H224" s="24">
        <v>0.21315700000000001</v>
      </c>
      <c r="I224" t="s">
        <v>15</v>
      </c>
      <c r="J224" s="24">
        <f t="shared" si="13"/>
        <v>3.797E-3</v>
      </c>
      <c r="K224" s="24">
        <f t="shared" si="14"/>
        <v>0.12</v>
      </c>
      <c r="L224" s="24">
        <f t="shared" si="15"/>
        <v>0.02</v>
      </c>
      <c r="M224" s="24">
        <f t="shared" si="16"/>
        <v>0.21</v>
      </c>
    </row>
    <row r="225" spans="1:13" x14ac:dyDescent="0.25">
      <c r="A225" t="s">
        <v>38</v>
      </c>
      <c r="B225" t="s">
        <v>258</v>
      </c>
      <c r="C225" t="s">
        <v>57</v>
      </c>
      <c r="D225" s="24">
        <v>55.48</v>
      </c>
      <c r="E225" s="24">
        <v>55.48</v>
      </c>
      <c r="F225" s="24">
        <v>2.5579999999999999E-3</v>
      </c>
      <c r="G225" s="24">
        <v>2.3149999999999998E-3</v>
      </c>
      <c r="H225" s="24">
        <v>1.1963E-2</v>
      </c>
      <c r="I225" t="s">
        <v>15</v>
      </c>
      <c r="J225" s="24">
        <f t="shared" si="13"/>
        <v>5.5000000000000002E-5</v>
      </c>
      <c r="K225" s="24">
        <f t="shared" si="14"/>
        <v>0</v>
      </c>
      <c r="L225" s="24">
        <f t="shared" si="15"/>
        <v>0</v>
      </c>
      <c r="M225" s="24">
        <f t="shared" si="16"/>
        <v>0.01</v>
      </c>
    </row>
    <row r="226" spans="1:13" x14ac:dyDescent="0.25">
      <c r="A226" t="s">
        <v>125</v>
      </c>
      <c r="B226" t="s">
        <v>258</v>
      </c>
      <c r="C226" t="s">
        <v>126</v>
      </c>
      <c r="D226" s="24">
        <v>277305.58</v>
      </c>
      <c r="E226" s="24">
        <v>277305.58</v>
      </c>
      <c r="F226" s="24">
        <v>342.539693</v>
      </c>
      <c r="G226" s="24">
        <v>26.239691000000001</v>
      </c>
      <c r="H226" s="24">
        <v>138.40534600000001</v>
      </c>
      <c r="I226" t="s">
        <v>15</v>
      </c>
      <c r="J226" s="24">
        <f t="shared" si="13"/>
        <v>0.277306</v>
      </c>
      <c r="K226" s="24">
        <f t="shared" si="14"/>
        <v>342.54</v>
      </c>
      <c r="L226" s="24">
        <f t="shared" si="15"/>
        <v>26.24</v>
      </c>
      <c r="M226" s="24">
        <f t="shared" si="16"/>
        <v>138.41</v>
      </c>
    </row>
    <row r="227" spans="1:13" x14ac:dyDescent="0.25">
      <c r="A227" t="s">
        <v>646</v>
      </c>
      <c r="B227" t="s">
        <v>258</v>
      </c>
      <c r="C227" t="s">
        <v>651</v>
      </c>
      <c r="D227" s="24">
        <v>391273.22999999899</v>
      </c>
      <c r="E227" s="24">
        <v>391703.59999999899</v>
      </c>
      <c r="F227" s="24">
        <v>12.019838999999999</v>
      </c>
      <c r="G227" s="24">
        <v>2.0092460000000001</v>
      </c>
      <c r="H227" s="24">
        <v>21.993217999999999</v>
      </c>
      <c r="I227" t="s">
        <v>15</v>
      </c>
      <c r="J227" s="24">
        <f t="shared" si="13"/>
        <v>0.391704</v>
      </c>
      <c r="K227" s="24">
        <f t="shared" si="14"/>
        <v>12.02</v>
      </c>
      <c r="L227" s="24">
        <f t="shared" si="15"/>
        <v>2.0099999999999998</v>
      </c>
      <c r="M227" s="24">
        <f t="shared" si="16"/>
        <v>21.99</v>
      </c>
    </row>
    <row r="228" spans="1:13" x14ac:dyDescent="0.25">
      <c r="A228" t="s">
        <v>238</v>
      </c>
      <c r="B228" t="s">
        <v>258</v>
      </c>
      <c r="C228" t="s">
        <v>582</v>
      </c>
      <c r="D228" s="24">
        <v>21.27</v>
      </c>
      <c r="E228" s="24">
        <v>21.27</v>
      </c>
      <c r="F228" s="24">
        <v>1.8E-5</v>
      </c>
      <c r="G228" s="24">
        <v>6.9999999999999999E-6</v>
      </c>
      <c r="H228" s="24">
        <v>1.05E-4</v>
      </c>
      <c r="I228" t="s">
        <v>15</v>
      </c>
      <c r="J228" s="24">
        <f t="shared" si="13"/>
        <v>2.0999999999999999E-5</v>
      </c>
      <c r="K228" s="24">
        <f t="shared" si="14"/>
        <v>0</v>
      </c>
      <c r="L228" s="24">
        <f t="shared" si="15"/>
        <v>0</v>
      </c>
      <c r="M228" s="24">
        <f t="shared" si="16"/>
        <v>0</v>
      </c>
    </row>
    <row r="229" spans="1:13" x14ac:dyDescent="0.25">
      <c r="A229" t="s">
        <v>38</v>
      </c>
      <c r="B229" t="s">
        <v>258</v>
      </c>
      <c r="C229" t="s">
        <v>342</v>
      </c>
      <c r="D229" s="24">
        <v>65785115.039999999</v>
      </c>
      <c r="E229" s="24">
        <v>65785115.039999999</v>
      </c>
      <c r="F229" s="24">
        <v>1081.0549390000001</v>
      </c>
      <c r="G229" s="24">
        <v>497.03066799999999</v>
      </c>
      <c r="H229" s="24">
        <v>14599.057653</v>
      </c>
      <c r="I229" t="s">
        <v>15</v>
      </c>
      <c r="J229" s="24">
        <f t="shared" si="13"/>
        <v>65.785115000000005</v>
      </c>
      <c r="K229" s="24">
        <f t="shared" si="14"/>
        <v>1081.05</v>
      </c>
      <c r="L229" s="24">
        <f t="shared" si="15"/>
        <v>497.03</v>
      </c>
      <c r="M229" s="24">
        <f t="shared" si="16"/>
        <v>14599.06</v>
      </c>
    </row>
    <row r="230" spans="1:13" x14ac:dyDescent="0.25">
      <c r="A230" t="s">
        <v>38</v>
      </c>
      <c r="B230" t="s">
        <v>258</v>
      </c>
      <c r="C230" t="s">
        <v>363</v>
      </c>
      <c r="D230" s="24">
        <v>478.29</v>
      </c>
      <c r="E230" s="24">
        <v>478.29</v>
      </c>
      <c r="F230" s="24">
        <v>2.6425000000000001E-2</v>
      </c>
      <c r="G230" s="24">
        <v>1.7964999999999998E-2</v>
      </c>
      <c r="H230" s="24">
        <v>0.32205499999999998</v>
      </c>
      <c r="I230" t="s">
        <v>15</v>
      </c>
      <c r="J230" s="24">
        <f t="shared" si="13"/>
        <v>4.7800000000000002E-4</v>
      </c>
      <c r="K230" s="24">
        <f t="shared" si="14"/>
        <v>0.03</v>
      </c>
      <c r="L230" s="24">
        <f t="shared" si="15"/>
        <v>0.02</v>
      </c>
      <c r="M230" s="24">
        <f t="shared" si="16"/>
        <v>0.32</v>
      </c>
    </row>
    <row r="231" spans="1:13" x14ac:dyDescent="0.25">
      <c r="A231" t="s">
        <v>38</v>
      </c>
      <c r="B231" t="s">
        <v>258</v>
      </c>
      <c r="C231" t="s">
        <v>364</v>
      </c>
      <c r="D231" s="24">
        <v>660.39</v>
      </c>
      <c r="E231" s="24">
        <v>660.39</v>
      </c>
      <c r="F231" s="24">
        <v>1.4791E-2</v>
      </c>
      <c r="G231" s="24">
        <v>8.0400000000000003E-3</v>
      </c>
      <c r="H231" s="24">
        <v>0.131712</v>
      </c>
      <c r="I231" t="s">
        <v>15</v>
      </c>
      <c r="J231" s="24">
        <f t="shared" si="13"/>
        <v>6.6E-4</v>
      </c>
      <c r="K231" s="24">
        <f t="shared" si="14"/>
        <v>0.01</v>
      </c>
      <c r="L231" s="24">
        <f t="shared" si="15"/>
        <v>0.01</v>
      </c>
      <c r="M231" s="24">
        <f t="shared" si="16"/>
        <v>0.13</v>
      </c>
    </row>
    <row r="232" spans="1:13" x14ac:dyDescent="0.25">
      <c r="A232" t="s">
        <v>38</v>
      </c>
      <c r="B232" t="s">
        <v>258</v>
      </c>
      <c r="C232" t="s">
        <v>120</v>
      </c>
      <c r="D232" s="24">
        <v>14488.24</v>
      </c>
      <c r="E232" s="24">
        <v>14488.24</v>
      </c>
      <c r="F232" s="24">
        <v>0.80238699999999996</v>
      </c>
      <c r="G232" s="24">
        <v>0.54554499999999995</v>
      </c>
      <c r="H232" s="24">
        <v>9.7785250000000001</v>
      </c>
      <c r="I232" t="s">
        <v>15</v>
      </c>
      <c r="J232" s="24">
        <f t="shared" si="13"/>
        <v>1.4487999999999999E-2</v>
      </c>
      <c r="K232" s="24">
        <f t="shared" si="14"/>
        <v>0.8</v>
      </c>
      <c r="L232" s="24">
        <f t="shared" si="15"/>
        <v>0.55000000000000004</v>
      </c>
      <c r="M232" s="24">
        <f t="shared" si="16"/>
        <v>9.7799999999999994</v>
      </c>
    </row>
    <row r="233" spans="1:13" x14ac:dyDescent="0.25">
      <c r="A233" t="s">
        <v>34</v>
      </c>
      <c r="B233" t="s">
        <v>258</v>
      </c>
      <c r="C233" t="s">
        <v>513</v>
      </c>
      <c r="D233" s="24">
        <v>13013.82</v>
      </c>
      <c r="E233" s="24">
        <v>13013.82</v>
      </c>
      <c r="F233" s="24">
        <v>0.412995</v>
      </c>
      <c r="G233" s="24">
        <v>0.19616600000000001</v>
      </c>
      <c r="H233" s="24">
        <v>1.878809</v>
      </c>
      <c r="I233" t="s">
        <v>15</v>
      </c>
      <c r="J233" s="24">
        <f t="shared" si="13"/>
        <v>1.3014E-2</v>
      </c>
      <c r="K233" s="24">
        <f t="shared" si="14"/>
        <v>0.41</v>
      </c>
      <c r="L233" s="24">
        <f t="shared" si="15"/>
        <v>0.2</v>
      </c>
      <c r="M233" s="24">
        <f t="shared" si="16"/>
        <v>1.88</v>
      </c>
    </row>
    <row r="234" spans="1:13" x14ac:dyDescent="0.25">
      <c r="A234" t="s">
        <v>125</v>
      </c>
      <c r="B234" t="s">
        <v>258</v>
      </c>
      <c r="C234" t="s">
        <v>277</v>
      </c>
      <c r="D234" s="24">
        <v>401652.23</v>
      </c>
      <c r="E234" s="24">
        <v>401652.23</v>
      </c>
      <c r="F234" s="24">
        <v>496.16905700000001</v>
      </c>
      <c r="G234" s="24">
        <v>38.008243</v>
      </c>
      <c r="H234" s="24">
        <v>200.48028500000001</v>
      </c>
      <c r="I234" t="s">
        <v>15</v>
      </c>
      <c r="J234" s="24">
        <f t="shared" si="13"/>
        <v>0.40165200000000001</v>
      </c>
      <c r="K234" s="24">
        <f t="shared" si="14"/>
        <v>496.17</v>
      </c>
      <c r="L234" s="24">
        <f t="shared" si="15"/>
        <v>38.01</v>
      </c>
      <c r="M234" s="24">
        <f t="shared" si="16"/>
        <v>200.48</v>
      </c>
    </row>
    <row r="235" spans="1:13" x14ac:dyDescent="0.25">
      <c r="A235" t="s">
        <v>38</v>
      </c>
      <c r="B235" t="s">
        <v>258</v>
      </c>
      <c r="C235" t="s">
        <v>379</v>
      </c>
      <c r="D235" s="24">
        <v>81523.659999999902</v>
      </c>
      <c r="E235" s="24">
        <v>81568.599999999904</v>
      </c>
      <c r="F235" s="24">
        <v>15.530046</v>
      </c>
      <c r="G235" s="24">
        <v>3.1428349999999998</v>
      </c>
      <c r="H235" s="24">
        <v>24.905742</v>
      </c>
      <c r="I235" t="s">
        <v>15</v>
      </c>
      <c r="J235" s="24">
        <f t="shared" si="13"/>
        <v>8.1569000000000003E-2</v>
      </c>
      <c r="K235" s="24">
        <f t="shared" si="14"/>
        <v>15.53</v>
      </c>
      <c r="L235" s="24">
        <f t="shared" si="15"/>
        <v>3.14</v>
      </c>
      <c r="M235" s="24">
        <f t="shared" si="16"/>
        <v>24.91</v>
      </c>
    </row>
    <row r="236" spans="1:13" x14ac:dyDescent="0.25">
      <c r="A236" t="s">
        <v>38</v>
      </c>
      <c r="B236" t="s">
        <v>258</v>
      </c>
      <c r="C236" t="s">
        <v>380</v>
      </c>
      <c r="D236" s="24">
        <v>6064259.5199999996</v>
      </c>
      <c r="E236" s="24">
        <v>6064259.5199999996</v>
      </c>
      <c r="F236" s="24">
        <v>335.97292399999998</v>
      </c>
      <c r="G236" s="24">
        <v>228.43045799999999</v>
      </c>
      <c r="H236" s="24">
        <v>4094.4050080000002</v>
      </c>
      <c r="I236" t="s">
        <v>15</v>
      </c>
      <c r="J236" s="24">
        <f t="shared" si="13"/>
        <v>6.06426</v>
      </c>
      <c r="K236" s="24">
        <f t="shared" si="14"/>
        <v>335.97</v>
      </c>
      <c r="L236" s="24">
        <f t="shared" si="15"/>
        <v>228.43</v>
      </c>
      <c r="M236" s="24">
        <f t="shared" si="16"/>
        <v>4094.41</v>
      </c>
    </row>
    <row r="237" spans="1:13" x14ac:dyDescent="0.25">
      <c r="A237" t="s">
        <v>38</v>
      </c>
      <c r="B237" t="s">
        <v>258</v>
      </c>
      <c r="C237" t="s">
        <v>383</v>
      </c>
      <c r="D237" s="24">
        <v>71057.23</v>
      </c>
      <c r="E237" s="24">
        <v>71057.23</v>
      </c>
      <c r="F237" s="24">
        <v>2.9000159999999999</v>
      </c>
      <c r="G237" s="24">
        <v>1.0551999999999999</v>
      </c>
      <c r="H237" s="24">
        <v>10.136063999999999</v>
      </c>
      <c r="I237" t="s">
        <v>15</v>
      </c>
      <c r="J237" s="24">
        <f t="shared" si="13"/>
        <v>7.1056999999999995E-2</v>
      </c>
      <c r="K237" s="24">
        <f t="shared" si="14"/>
        <v>2.9</v>
      </c>
      <c r="L237" s="24">
        <f t="shared" si="15"/>
        <v>1.06</v>
      </c>
      <c r="M237" s="24">
        <f t="shared" si="16"/>
        <v>10.14</v>
      </c>
    </row>
    <row r="238" spans="1:13" x14ac:dyDescent="0.25">
      <c r="A238" t="s">
        <v>626</v>
      </c>
      <c r="B238" t="s">
        <v>258</v>
      </c>
      <c r="C238" t="s">
        <v>633</v>
      </c>
      <c r="D238" s="24">
        <v>38479.599999999999</v>
      </c>
      <c r="E238" s="24">
        <v>38479.599999999999</v>
      </c>
      <c r="F238" s="24">
        <v>1.1820600000000001</v>
      </c>
      <c r="G238" s="24">
        <v>0.19759499999999999</v>
      </c>
      <c r="H238" s="24">
        <v>2.1628669999999999</v>
      </c>
      <c r="I238" t="s">
        <v>15</v>
      </c>
      <c r="J238" s="24">
        <f t="shared" si="13"/>
        <v>3.848E-2</v>
      </c>
      <c r="K238" s="24">
        <f t="shared" si="14"/>
        <v>1.18</v>
      </c>
      <c r="L238" s="24">
        <f t="shared" si="15"/>
        <v>0.2</v>
      </c>
      <c r="M238" s="24">
        <f t="shared" si="16"/>
        <v>2.16</v>
      </c>
    </row>
    <row r="239" spans="1:13" x14ac:dyDescent="0.25">
      <c r="A239" t="s">
        <v>238</v>
      </c>
      <c r="B239" t="s">
        <v>321</v>
      </c>
      <c r="C239" t="s">
        <v>696</v>
      </c>
      <c r="D239" s="24">
        <v>2122.38</v>
      </c>
      <c r="E239" s="24">
        <v>2122.38</v>
      </c>
      <c r="F239" s="24">
        <v>2.0110000000000002E-3</v>
      </c>
      <c r="G239" s="24">
        <v>9.0300000000000005E-4</v>
      </c>
      <c r="H239" s="24">
        <v>1.1269E-2</v>
      </c>
      <c r="I239" t="s">
        <v>682</v>
      </c>
      <c r="J239" s="24">
        <f t="shared" si="13"/>
        <v>2.1220000000000002E-3</v>
      </c>
      <c r="K239" s="24">
        <f t="shared" si="14"/>
        <v>0</v>
      </c>
      <c r="L239" s="24">
        <f t="shared" si="15"/>
        <v>0</v>
      </c>
      <c r="M239" s="24">
        <f t="shared" si="16"/>
        <v>0.01</v>
      </c>
    </row>
    <row r="240" spans="1:13" x14ac:dyDescent="0.25">
      <c r="A240" t="s">
        <v>173</v>
      </c>
      <c r="B240" t="s">
        <v>258</v>
      </c>
      <c r="C240" t="s">
        <v>292</v>
      </c>
      <c r="D240" s="24">
        <v>534.66</v>
      </c>
      <c r="E240" s="24">
        <v>534.66</v>
      </c>
      <c r="F240" s="24">
        <v>0.300091</v>
      </c>
      <c r="G240" s="24">
        <v>3.6339999999999997E-2</v>
      </c>
      <c r="H240" s="24">
        <v>0.193134</v>
      </c>
      <c r="I240" t="s">
        <v>15</v>
      </c>
      <c r="J240" s="24">
        <f t="shared" si="13"/>
        <v>5.3499999999999999E-4</v>
      </c>
      <c r="K240" s="24">
        <f t="shared" si="14"/>
        <v>0.3</v>
      </c>
      <c r="L240" s="24">
        <f t="shared" si="15"/>
        <v>0.04</v>
      </c>
      <c r="M240" s="24">
        <f t="shared" si="16"/>
        <v>0.19</v>
      </c>
    </row>
    <row r="241" spans="1:13" x14ac:dyDescent="0.25">
      <c r="A241" t="s">
        <v>34</v>
      </c>
      <c r="B241" t="s">
        <v>258</v>
      </c>
      <c r="C241" t="s">
        <v>505</v>
      </c>
      <c r="D241" s="24">
        <v>630154.16</v>
      </c>
      <c r="E241" s="24">
        <v>630154.16</v>
      </c>
      <c r="F241" s="24">
        <v>20.002279000000001</v>
      </c>
      <c r="G241" s="24">
        <v>9.5008499999999998</v>
      </c>
      <c r="H241" s="24">
        <v>90.993996999999993</v>
      </c>
      <c r="I241" t="s">
        <v>15</v>
      </c>
      <c r="J241" s="24">
        <f t="shared" si="13"/>
        <v>0.63015399999999999</v>
      </c>
      <c r="K241" s="24">
        <f t="shared" si="14"/>
        <v>20</v>
      </c>
      <c r="L241" s="24">
        <f t="shared" si="15"/>
        <v>9.5</v>
      </c>
      <c r="M241" s="24">
        <f t="shared" si="16"/>
        <v>90.99</v>
      </c>
    </row>
    <row r="242" spans="1:13" x14ac:dyDescent="0.25">
      <c r="A242" t="s">
        <v>41</v>
      </c>
      <c r="B242" t="s">
        <v>258</v>
      </c>
      <c r="C242" t="s">
        <v>573</v>
      </c>
      <c r="D242" s="24">
        <v>70473.539999999994</v>
      </c>
      <c r="E242" s="24">
        <v>70473.539999999994</v>
      </c>
      <c r="F242" s="24">
        <v>2.164723</v>
      </c>
      <c r="G242" s="24">
        <v>0.361848</v>
      </c>
      <c r="H242" s="24">
        <v>3.9609000000000001</v>
      </c>
      <c r="I242" t="s">
        <v>15</v>
      </c>
      <c r="J242" s="24">
        <f t="shared" si="13"/>
        <v>7.0473999999999995E-2</v>
      </c>
      <c r="K242" s="24">
        <f t="shared" si="14"/>
        <v>2.16</v>
      </c>
      <c r="L242" s="24">
        <f t="shared" si="15"/>
        <v>0.36</v>
      </c>
      <c r="M242" s="24">
        <f t="shared" si="16"/>
        <v>3.96</v>
      </c>
    </row>
    <row r="243" spans="1:13" x14ac:dyDescent="0.25">
      <c r="A243" t="s">
        <v>38</v>
      </c>
      <c r="B243" t="s">
        <v>258</v>
      </c>
      <c r="C243" t="s">
        <v>366</v>
      </c>
      <c r="D243" s="24">
        <v>35905.410000000003</v>
      </c>
      <c r="E243" s="24">
        <v>35905.410000000003</v>
      </c>
      <c r="F243" s="24">
        <v>1.465206</v>
      </c>
      <c r="G243" s="24">
        <v>0.53312599999999999</v>
      </c>
      <c r="H243" s="24">
        <v>5.1211630000000001</v>
      </c>
      <c r="I243" t="s">
        <v>15</v>
      </c>
      <c r="J243" s="24">
        <f t="shared" si="13"/>
        <v>3.5904999999999999E-2</v>
      </c>
      <c r="K243" s="24">
        <f t="shared" si="14"/>
        <v>1.47</v>
      </c>
      <c r="L243" s="24">
        <f t="shared" si="15"/>
        <v>0.53</v>
      </c>
      <c r="M243" s="24">
        <f t="shared" si="16"/>
        <v>5.12</v>
      </c>
    </row>
    <row r="244" spans="1:13" x14ac:dyDescent="0.25">
      <c r="A244" t="s">
        <v>38</v>
      </c>
      <c r="B244" t="s">
        <v>258</v>
      </c>
      <c r="C244" t="s">
        <v>367</v>
      </c>
      <c r="D244" s="24">
        <v>64.58</v>
      </c>
      <c r="E244" s="24">
        <v>64.58</v>
      </c>
      <c r="F244" s="24">
        <v>9.0300000000000005E-4</v>
      </c>
      <c r="G244" s="24">
        <v>1.671E-3</v>
      </c>
      <c r="H244" s="24">
        <v>1.1549E-2</v>
      </c>
      <c r="I244" t="s">
        <v>15</v>
      </c>
      <c r="J244" s="24">
        <f t="shared" si="13"/>
        <v>6.4999999999999994E-5</v>
      </c>
      <c r="K244" s="24">
        <f t="shared" si="14"/>
        <v>0</v>
      </c>
      <c r="L244" s="24">
        <f t="shared" si="15"/>
        <v>0</v>
      </c>
      <c r="M244" s="24">
        <f t="shared" si="16"/>
        <v>0.01</v>
      </c>
    </row>
    <row r="245" spans="1:13" x14ac:dyDescent="0.25">
      <c r="A245" t="s">
        <v>38</v>
      </c>
      <c r="B245" t="s">
        <v>258</v>
      </c>
      <c r="C245" t="s">
        <v>112</v>
      </c>
      <c r="D245" s="24">
        <v>932957.71</v>
      </c>
      <c r="E245" s="24">
        <v>932957.71</v>
      </c>
      <c r="F245" s="24">
        <v>177.73180099999999</v>
      </c>
      <c r="G245" s="24">
        <v>35.967855</v>
      </c>
      <c r="H245" s="24">
        <v>285.03084699999999</v>
      </c>
      <c r="I245" t="s">
        <v>15</v>
      </c>
      <c r="J245" s="24">
        <f t="shared" si="13"/>
        <v>0.93295799999999995</v>
      </c>
      <c r="K245" s="24">
        <f t="shared" si="14"/>
        <v>177.73</v>
      </c>
      <c r="L245" s="24">
        <f t="shared" si="15"/>
        <v>35.97</v>
      </c>
      <c r="M245" s="24">
        <f t="shared" si="16"/>
        <v>285.02999999999997</v>
      </c>
    </row>
    <row r="246" spans="1:13" x14ac:dyDescent="0.25">
      <c r="A246" t="s">
        <v>54</v>
      </c>
      <c r="B246" t="s">
        <v>258</v>
      </c>
      <c r="C246" t="s">
        <v>607</v>
      </c>
      <c r="D246" s="24">
        <v>1691994.51</v>
      </c>
      <c r="E246" s="24">
        <v>1691994.51</v>
      </c>
      <c r="F246" s="24">
        <v>106.693225</v>
      </c>
      <c r="G246" s="24">
        <v>7.6704270000000001</v>
      </c>
      <c r="H246" s="24">
        <v>166.35364799999999</v>
      </c>
      <c r="I246" t="s">
        <v>15</v>
      </c>
      <c r="J246" s="24">
        <f t="shared" si="13"/>
        <v>1.6919949999999999</v>
      </c>
      <c r="K246" s="24">
        <f t="shared" si="14"/>
        <v>106.69</v>
      </c>
      <c r="L246" s="24">
        <f t="shared" si="15"/>
        <v>7.67</v>
      </c>
      <c r="M246" s="24">
        <f t="shared" si="16"/>
        <v>166.35</v>
      </c>
    </row>
    <row r="247" spans="1:13" x14ac:dyDescent="0.25">
      <c r="A247" t="s">
        <v>73</v>
      </c>
      <c r="B247" t="s">
        <v>258</v>
      </c>
      <c r="C247" t="s">
        <v>471</v>
      </c>
      <c r="D247" s="24">
        <v>119372512.629999</v>
      </c>
      <c r="E247" s="24">
        <v>119373556.419999</v>
      </c>
      <c r="F247" s="24">
        <v>113.17712299999999</v>
      </c>
      <c r="G247" s="24">
        <v>50.852665000000002</v>
      </c>
      <c r="H247" s="24">
        <v>633.964248</v>
      </c>
      <c r="I247" t="s">
        <v>15</v>
      </c>
      <c r="J247" s="24">
        <f t="shared" si="13"/>
        <v>119.37355599999999</v>
      </c>
      <c r="K247" s="24">
        <f t="shared" si="14"/>
        <v>113.18</v>
      </c>
      <c r="L247" s="24">
        <f t="shared" si="15"/>
        <v>50.85</v>
      </c>
      <c r="M247" s="24">
        <f t="shared" si="16"/>
        <v>633.96</v>
      </c>
    </row>
    <row r="248" spans="1:13" x14ac:dyDescent="0.25">
      <c r="A248" t="s">
        <v>626</v>
      </c>
      <c r="B248" t="s">
        <v>258</v>
      </c>
      <c r="C248" t="s">
        <v>631</v>
      </c>
      <c r="D248" s="24">
        <v>603256.26</v>
      </c>
      <c r="E248" s="24">
        <v>603256.26</v>
      </c>
      <c r="F248" s="24">
        <v>18.533196</v>
      </c>
      <c r="G248" s="24">
        <v>3.0980629999999998</v>
      </c>
      <c r="H248" s="24">
        <v>33.910958999999998</v>
      </c>
      <c r="I248" t="s">
        <v>15</v>
      </c>
      <c r="J248" s="24">
        <f t="shared" si="13"/>
        <v>0.60325600000000001</v>
      </c>
      <c r="K248" s="24">
        <f t="shared" si="14"/>
        <v>18.53</v>
      </c>
      <c r="L248" s="24">
        <f t="shared" si="15"/>
        <v>3.1</v>
      </c>
      <c r="M248" s="24">
        <f t="shared" si="16"/>
        <v>33.909999999999997</v>
      </c>
    </row>
    <row r="249" spans="1:13" x14ac:dyDescent="0.25">
      <c r="A249" t="s">
        <v>38</v>
      </c>
      <c r="B249" t="s">
        <v>258</v>
      </c>
      <c r="C249" t="s">
        <v>388</v>
      </c>
      <c r="D249" s="24">
        <v>1168.24</v>
      </c>
      <c r="E249" s="24">
        <v>1168.24</v>
      </c>
      <c r="F249" s="24">
        <v>0.22231899999999999</v>
      </c>
      <c r="G249" s="24">
        <v>4.4990000000000002E-2</v>
      </c>
      <c r="H249" s="24">
        <v>0.35653800000000002</v>
      </c>
      <c r="I249" t="s">
        <v>15</v>
      </c>
      <c r="J249" s="24">
        <f t="shared" si="13"/>
        <v>1.168E-3</v>
      </c>
      <c r="K249" s="24">
        <f t="shared" si="14"/>
        <v>0.22</v>
      </c>
      <c r="L249" s="24">
        <f t="shared" si="15"/>
        <v>0.04</v>
      </c>
      <c r="M249" s="24">
        <f t="shared" si="16"/>
        <v>0.36</v>
      </c>
    </row>
    <row r="250" spans="1:13" x14ac:dyDescent="0.25">
      <c r="A250" t="s">
        <v>41</v>
      </c>
      <c r="B250" t="s">
        <v>321</v>
      </c>
      <c r="C250" t="s">
        <v>42</v>
      </c>
      <c r="D250" s="24">
        <v>226.21</v>
      </c>
      <c r="E250" s="24">
        <v>226.21</v>
      </c>
      <c r="F250" s="24">
        <v>1.0950000000000001E-3</v>
      </c>
      <c r="G250" s="24">
        <v>2.441E-3</v>
      </c>
      <c r="H250" s="24">
        <v>9.7649999999999994E-3</v>
      </c>
      <c r="I250" t="s">
        <v>682</v>
      </c>
      <c r="J250" s="24">
        <f t="shared" si="13"/>
        <v>2.2599999999999999E-4</v>
      </c>
      <c r="K250" s="24">
        <f t="shared" si="14"/>
        <v>0</v>
      </c>
      <c r="L250" s="24">
        <f t="shared" si="15"/>
        <v>0</v>
      </c>
      <c r="M250" s="24">
        <f t="shared" si="16"/>
        <v>0.01</v>
      </c>
    </row>
    <row r="251" spans="1:13" x14ac:dyDescent="0.25">
      <c r="A251" t="s">
        <v>47</v>
      </c>
      <c r="B251" t="s">
        <v>258</v>
      </c>
      <c r="C251" t="s">
        <v>462</v>
      </c>
      <c r="D251" s="24">
        <v>1128.92</v>
      </c>
      <c r="E251" s="24">
        <v>1128.92</v>
      </c>
      <c r="F251" s="24">
        <v>0.69800700000000004</v>
      </c>
      <c r="G251" s="24">
        <v>2.5912999999999999E-2</v>
      </c>
      <c r="H251" s="24">
        <v>0.21671000000000001</v>
      </c>
      <c r="I251" t="s">
        <v>15</v>
      </c>
      <c r="J251" s="24">
        <f t="shared" si="13"/>
        <v>1.129E-3</v>
      </c>
      <c r="K251" s="24">
        <f t="shared" si="14"/>
        <v>0.7</v>
      </c>
      <c r="L251" s="24">
        <f t="shared" si="15"/>
        <v>0.03</v>
      </c>
      <c r="M251" s="24">
        <f t="shared" si="16"/>
        <v>0.22</v>
      </c>
    </row>
    <row r="252" spans="1:13" x14ac:dyDescent="0.25">
      <c r="A252" t="s">
        <v>34</v>
      </c>
      <c r="B252" t="s">
        <v>258</v>
      </c>
      <c r="C252" t="s">
        <v>152</v>
      </c>
      <c r="D252" s="24">
        <v>527217.02</v>
      </c>
      <c r="E252" s="24">
        <v>527217.02</v>
      </c>
      <c r="F252" s="24">
        <v>16.746751</v>
      </c>
      <c r="G252" s="24">
        <v>7.9545209999999997</v>
      </c>
      <c r="H252" s="24">
        <v>76.184017999999995</v>
      </c>
      <c r="I252" t="s">
        <v>15</v>
      </c>
      <c r="J252" s="24">
        <f t="shared" si="13"/>
        <v>0.52721700000000005</v>
      </c>
      <c r="K252" s="24">
        <f t="shared" si="14"/>
        <v>16.75</v>
      </c>
      <c r="L252" s="24">
        <f t="shared" si="15"/>
        <v>7.95</v>
      </c>
      <c r="M252" s="24">
        <f t="shared" si="16"/>
        <v>76.180000000000007</v>
      </c>
    </row>
    <row r="253" spans="1:13" x14ac:dyDescent="0.25">
      <c r="A253" t="s">
        <v>47</v>
      </c>
      <c r="B253" t="s">
        <v>258</v>
      </c>
      <c r="C253" t="s">
        <v>697</v>
      </c>
      <c r="D253" s="24">
        <v>4.37</v>
      </c>
      <c r="E253" s="24">
        <v>4.37</v>
      </c>
      <c r="F253" s="24">
        <v>2.2469999999999999E-3</v>
      </c>
      <c r="G253" s="24">
        <v>2.72E-4</v>
      </c>
      <c r="H253" s="24">
        <v>1.446E-3</v>
      </c>
      <c r="I253" t="s">
        <v>15</v>
      </c>
      <c r="J253" s="24">
        <f t="shared" si="13"/>
        <v>3.9999999999999998E-6</v>
      </c>
      <c r="K253" s="24">
        <f t="shared" si="14"/>
        <v>0</v>
      </c>
      <c r="L253" s="24">
        <f t="shared" si="15"/>
        <v>0</v>
      </c>
      <c r="M253" s="24">
        <f t="shared" si="16"/>
        <v>0</v>
      </c>
    </row>
    <row r="254" spans="1:13" x14ac:dyDescent="0.25">
      <c r="A254" t="s">
        <v>38</v>
      </c>
      <c r="B254" t="s">
        <v>258</v>
      </c>
      <c r="C254" t="s">
        <v>103</v>
      </c>
      <c r="D254" s="24">
        <v>1579.52</v>
      </c>
      <c r="E254" s="24">
        <v>1579.52</v>
      </c>
      <c r="F254" s="24">
        <v>0.30080800000000002</v>
      </c>
      <c r="G254" s="24">
        <v>6.0874999999999999E-2</v>
      </c>
      <c r="H254" s="24">
        <v>0.48241099999999998</v>
      </c>
      <c r="I254" t="s">
        <v>15</v>
      </c>
      <c r="J254" s="24">
        <f t="shared" si="13"/>
        <v>1.58E-3</v>
      </c>
      <c r="K254" s="24">
        <f t="shared" si="14"/>
        <v>0.3</v>
      </c>
      <c r="L254" s="24">
        <f t="shared" si="15"/>
        <v>0.06</v>
      </c>
      <c r="M254" s="24">
        <f t="shared" si="16"/>
        <v>0.48</v>
      </c>
    </row>
    <row r="255" spans="1:13" x14ac:dyDescent="0.25">
      <c r="A255" t="s">
        <v>238</v>
      </c>
      <c r="B255" t="s">
        <v>258</v>
      </c>
      <c r="C255" t="s">
        <v>698</v>
      </c>
      <c r="D255" s="24">
        <v>2562.69</v>
      </c>
      <c r="E255" s="24">
        <v>2562.69</v>
      </c>
      <c r="F255" s="24">
        <v>2.4190000000000001E-3</v>
      </c>
      <c r="G255" s="24">
        <v>1.085E-3</v>
      </c>
      <c r="H255" s="24">
        <v>1.357E-2</v>
      </c>
      <c r="I255" t="s">
        <v>15</v>
      </c>
      <c r="J255" s="24">
        <f t="shared" si="13"/>
        <v>2.5630000000000002E-3</v>
      </c>
      <c r="K255" s="24">
        <f t="shared" si="14"/>
        <v>0</v>
      </c>
      <c r="L255" s="24">
        <f t="shared" si="15"/>
        <v>0</v>
      </c>
      <c r="M255" s="24">
        <f t="shared" si="16"/>
        <v>0.01</v>
      </c>
    </row>
    <row r="256" spans="1:13" x14ac:dyDescent="0.25">
      <c r="A256" t="s">
        <v>34</v>
      </c>
      <c r="B256" t="s">
        <v>258</v>
      </c>
      <c r="C256" t="s">
        <v>508</v>
      </c>
      <c r="D256" s="24">
        <v>876446.929999999</v>
      </c>
      <c r="E256" s="24">
        <v>876453.10999999905</v>
      </c>
      <c r="F256" s="24">
        <v>27.837039999999998</v>
      </c>
      <c r="G256" s="24">
        <v>13.222284</v>
      </c>
      <c r="H256" s="24">
        <v>126.635701</v>
      </c>
      <c r="I256" t="s">
        <v>15</v>
      </c>
      <c r="J256" s="24">
        <f t="shared" si="13"/>
        <v>0.87645300000000004</v>
      </c>
      <c r="K256" s="24">
        <f t="shared" si="14"/>
        <v>27.84</v>
      </c>
      <c r="L256" s="24">
        <f t="shared" si="15"/>
        <v>13.22</v>
      </c>
      <c r="M256" s="24">
        <f t="shared" si="16"/>
        <v>126.64</v>
      </c>
    </row>
    <row r="257" spans="1:13" x14ac:dyDescent="0.25">
      <c r="A257" t="s">
        <v>38</v>
      </c>
      <c r="B257" t="s">
        <v>258</v>
      </c>
      <c r="C257" t="s">
        <v>369</v>
      </c>
      <c r="D257" s="24">
        <v>20274</v>
      </c>
      <c r="E257" s="24">
        <v>20274</v>
      </c>
      <c r="F257" s="24">
        <v>3.8611689999999999</v>
      </c>
      <c r="G257" s="24">
        <v>0.781385</v>
      </c>
      <c r="H257" s="24">
        <v>6.1922129999999997</v>
      </c>
      <c r="I257" t="s">
        <v>15</v>
      </c>
      <c r="J257" s="24">
        <f t="shared" si="13"/>
        <v>2.0274E-2</v>
      </c>
      <c r="K257" s="24">
        <f t="shared" si="14"/>
        <v>3.86</v>
      </c>
      <c r="L257" s="24">
        <f t="shared" si="15"/>
        <v>0.78</v>
      </c>
      <c r="M257" s="24">
        <f t="shared" si="16"/>
        <v>6.19</v>
      </c>
    </row>
    <row r="258" spans="1:13" x14ac:dyDescent="0.25">
      <c r="A258" t="s">
        <v>38</v>
      </c>
      <c r="B258" t="s">
        <v>258</v>
      </c>
      <c r="C258" t="s">
        <v>370</v>
      </c>
      <c r="D258" s="24">
        <v>165280.29999999999</v>
      </c>
      <c r="E258" s="24">
        <v>165280.29999999999</v>
      </c>
      <c r="F258" s="24">
        <v>3.7043119999999998</v>
      </c>
      <c r="G258" s="24">
        <v>2.0137019999999999</v>
      </c>
      <c r="H258" s="24">
        <v>32.983302000000002</v>
      </c>
      <c r="I258" t="s">
        <v>15</v>
      </c>
      <c r="J258" s="24">
        <f t="shared" si="13"/>
        <v>0.16528000000000001</v>
      </c>
      <c r="K258" s="24">
        <f t="shared" si="14"/>
        <v>3.7</v>
      </c>
      <c r="L258" s="24">
        <f t="shared" si="15"/>
        <v>2.0099999999999998</v>
      </c>
      <c r="M258" s="24">
        <f t="shared" si="16"/>
        <v>32.979999999999997</v>
      </c>
    </row>
    <row r="259" spans="1:13" x14ac:dyDescent="0.25">
      <c r="A259" t="s">
        <v>47</v>
      </c>
      <c r="B259" t="s">
        <v>258</v>
      </c>
      <c r="C259" t="s">
        <v>92</v>
      </c>
      <c r="D259" s="24">
        <v>157355122</v>
      </c>
      <c r="E259" s="24">
        <v>157355122</v>
      </c>
      <c r="F259" s="24">
        <v>97371.499408999996</v>
      </c>
      <c r="G259" s="24">
        <v>3614.9189270000002</v>
      </c>
      <c r="H259" s="24">
        <v>30230.906365999999</v>
      </c>
      <c r="I259" t="s">
        <v>15</v>
      </c>
      <c r="J259" s="24">
        <f t="shared" ref="J259:J322" si="17">+ROUND(E259,0)/1000000</f>
        <v>157.35512199999999</v>
      </c>
      <c r="K259" s="24">
        <f t="shared" ref="K259:K322" si="18">+ROUND(F259,2)</f>
        <v>97371.5</v>
      </c>
      <c r="L259" s="24">
        <f t="shared" ref="L259:L322" si="19">+ROUND(G259,2)</f>
        <v>3614.92</v>
      </c>
      <c r="M259" s="24">
        <f t="shared" ref="M259:M322" si="20">+ROUND(H259,2)</f>
        <v>30230.91</v>
      </c>
    </row>
    <row r="260" spans="1:13" x14ac:dyDescent="0.25">
      <c r="A260" t="s">
        <v>41</v>
      </c>
      <c r="B260" t="s">
        <v>258</v>
      </c>
      <c r="C260" t="s">
        <v>574</v>
      </c>
      <c r="D260" s="24">
        <v>74803.360000000001</v>
      </c>
      <c r="E260" s="24">
        <v>74803.360000000001</v>
      </c>
      <c r="F260" s="24">
        <v>7.0890999999999996E-2</v>
      </c>
      <c r="G260" s="24">
        <v>3.1851999999999998E-2</v>
      </c>
      <c r="H260" s="24">
        <v>0.39717999999999998</v>
      </c>
      <c r="I260" t="s">
        <v>15</v>
      </c>
      <c r="J260" s="24">
        <f t="shared" si="17"/>
        <v>7.4802999999999994E-2</v>
      </c>
      <c r="K260" s="24">
        <f t="shared" si="18"/>
        <v>7.0000000000000007E-2</v>
      </c>
      <c r="L260" s="24">
        <f t="shared" si="19"/>
        <v>0.03</v>
      </c>
      <c r="M260" s="24">
        <f t="shared" si="20"/>
        <v>0.4</v>
      </c>
    </row>
    <row r="261" spans="1:13" x14ac:dyDescent="0.25">
      <c r="A261" t="s">
        <v>38</v>
      </c>
      <c r="B261" t="s">
        <v>258</v>
      </c>
      <c r="C261" t="s">
        <v>372</v>
      </c>
      <c r="D261" s="24">
        <v>1046820.22</v>
      </c>
      <c r="E261" s="24">
        <v>1046820.22</v>
      </c>
      <c r="F261" s="24">
        <v>15.021841</v>
      </c>
      <c r="G261" s="24">
        <v>27.778974000000002</v>
      </c>
      <c r="H261" s="24">
        <v>191.96369300000001</v>
      </c>
      <c r="I261" t="s">
        <v>15</v>
      </c>
      <c r="J261" s="24">
        <f t="shared" si="17"/>
        <v>1.0468200000000001</v>
      </c>
      <c r="K261" s="24">
        <f t="shared" si="18"/>
        <v>15.02</v>
      </c>
      <c r="L261" s="24">
        <f t="shared" si="19"/>
        <v>27.78</v>
      </c>
      <c r="M261" s="24">
        <f t="shared" si="20"/>
        <v>191.96</v>
      </c>
    </row>
    <row r="262" spans="1:13" x14ac:dyDescent="0.25">
      <c r="A262" t="s">
        <v>54</v>
      </c>
      <c r="B262" t="s">
        <v>321</v>
      </c>
      <c r="C262" t="s">
        <v>607</v>
      </c>
      <c r="D262" s="24">
        <v>531.16</v>
      </c>
      <c r="E262" s="24">
        <v>531.16</v>
      </c>
      <c r="F262" s="24">
        <v>0.124001</v>
      </c>
      <c r="G262" s="24">
        <v>1.3141E-2</v>
      </c>
      <c r="H262" s="24">
        <v>7.6353000000000004E-2</v>
      </c>
      <c r="I262" t="s">
        <v>682</v>
      </c>
      <c r="J262" s="24">
        <f t="shared" si="17"/>
        <v>5.31E-4</v>
      </c>
      <c r="K262" s="24">
        <f t="shared" si="18"/>
        <v>0.12</v>
      </c>
      <c r="L262" s="24">
        <f t="shared" si="19"/>
        <v>0.01</v>
      </c>
      <c r="M262" s="24">
        <f t="shared" si="20"/>
        <v>0.08</v>
      </c>
    </row>
    <row r="263" spans="1:13" x14ac:dyDescent="0.25">
      <c r="A263" t="s">
        <v>646</v>
      </c>
      <c r="B263" t="s">
        <v>258</v>
      </c>
      <c r="C263" t="s">
        <v>650</v>
      </c>
      <c r="D263" s="24">
        <v>288779.18</v>
      </c>
      <c r="E263" s="24">
        <v>288779.18</v>
      </c>
      <c r="F263" s="24">
        <v>8.8711029999999997</v>
      </c>
      <c r="G263" s="24">
        <v>1.482904</v>
      </c>
      <c r="H263" s="24">
        <v>16.231847999999999</v>
      </c>
      <c r="I263" t="s">
        <v>15</v>
      </c>
      <c r="J263" s="24">
        <f t="shared" si="17"/>
        <v>0.28877900000000001</v>
      </c>
      <c r="K263" s="24">
        <f t="shared" si="18"/>
        <v>8.8699999999999992</v>
      </c>
      <c r="L263" s="24">
        <f t="shared" si="19"/>
        <v>1.48</v>
      </c>
      <c r="M263" s="24">
        <f t="shared" si="20"/>
        <v>16.23</v>
      </c>
    </row>
    <row r="264" spans="1:13" x14ac:dyDescent="0.25">
      <c r="A264" t="s">
        <v>73</v>
      </c>
      <c r="B264" t="s">
        <v>258</v>
      </c>
      <c r="C264" t="s">
        <v>157</v>
      </c>
      <c r="D264" s="24">
        <v>151771.03</v>
      </c>
      <c r="E264" s="24">
        <v>151771.03</v>
      </c>
      <c r="F264" s="24">
        <v>4.1726289999999997</v>
      </c>
      <c r="G264" s="24">
        <v>0.58628800000000003</v>
      </c>
      <c r="H264" s="24">
        <v>32.448467000000001</v>
      </c>
      <c r="I264" t="s">
        <v>15</v>
      </c>
      <c r="J264" s="24">
        <f t="shared" si="17"/>
        <v>0.15177099999999999</v>
      </c>
      <c r="K264" s="24">
        <f t="shared" si="18"/>
        <v>4.17</v>
      </c>
      <c r="L264" s="24">
        <f t="shared" si="19"/>
        <v>0.59</v>
      </c>
      <c r="M264" s="24">
        <f t="shared" si="20"/>
        <v>32.450000000000003</v>
      </c>
    </row>
    <row r="265" spans="1:13" x14ac:dyDescent="0.25">
      <c r="A265" t="s">
        <v>125</v>
      </c>
      <c r="B265" t="s">
        <v>258</v>
      </c>
      <c r="C265" t="s">
        <v>276</v>
      </c>
      <c r="D265" s="24">
        <v>1916345.21999999</v>
      </c>
      <c r="E265" s="24">
        <v>1916389.9199999899</v>
      </c>
      <c r="F265" s="24">
        <v>2367.259114</v>
      </c>
      <c r="G265" s="24">
        <v>181.340079</v>
      </c>
      <c r="H265" s="24">
        <v>956.506169</v>
      </c>
      <c r="I265" t="s">
        <v>15</v>
      </c>
      <c r="J265" s="24">
        <f t="shared" si="17"/>
        <v>1.91639</v>
      </c>
      <c r="K265" s="24">
        <f t="shared" si="18"/>
        <v>2367.2600000000002</v>
      </c>
      <c r="L265" s="24">
        <f t="shared" si="19"/>
        <v>181.34</v>
      </c>
      <c r="M265" s="24">
        <f t="shared" si="20"/>
        <v>956.51</v>
      </c>
    </row>
    <row r="266" spans="1:13" x14ac:dyDescent="0.25">
      <c r="A266" t="s">
        <v>73</v>
      </c>
      <c r="B266" t="s">
        <v>258</v>
      </c>
      <c r="C266" t="s">
        <v>474</v>
      </c>
      <c r="D266" s="24">
        <v>478685.31999999902</v>
      </c>
      <c r="E266" s="24">
        <v>478891.549999999</v>
      </c>
      <c r="F266" s="24">
        <v>13.161842999999999</v>
      </c>
      <c r="G266" s="24">
        <v>1.8493869999999999</v>
      </c>
      <c r="H266" s="24">
        <v>102.352699</v>
      </c>
      <c r="I266" t="s">
        <v>15</v>
      </c>
      <c r="J266" s="24">
        <f t="shared" si="17"/>
        <v>0.47889199999999998</v>
      </c>
      <c r="K266" s="24">
        <f t="shared" si="18"/>
        <v>13.16</v>
      </c>
      <c r="L266" s="24">
        <f t="shared" si="19"/>
        <v>1.85</v>
      </c>
      <c r="M266" s="24">
        <f t="shared" si="20"/>
        <v>102.35</v>
      </c>
    </row>
    <row r="267" spans="1:13" x14ac:dyDescent="0.25">
      <c r="A267" t="s">
        <v>34</v>
      </c>
      <c r="B267" t="s">
        <v>258</v>
      </c>
      <c r="C267" t="s">
        <v>512</v>
      </c>
      <c r="D267" s="24">
        <v>6398034.9699999904</v>
      </c>
      <c r="E267" s="24">
        <v>6398151.1799999904</v>
      </c>
      <c r="F267" s="24">
        <v>203.10327599999999</v>
      </c>
      <c r="G267" s="24">
        <v>96.471930999999998</v>
      </c>
      <c r="H267" s="24">
        <v>923.951863</v>
      </c>
      <c r="I267" t="s">
        <v>15</v>
      </c>
      <c r="J267" s="24">
        <f t="shared" si="17"/>
        <v>6.3981510000000004</v>
      </c>
      <c r="K267" s="24">
        <f t="shared" si="18"/>
        <v>203.1</v>
      </c>
      <c r="L267" s="24">
        <f t="shared" si="19"/>
        <v>96.47</v>
      </c>
      <c r="M267" s="24">
        <f t="shared" si="20"/>
        <v>923.95</v>
      </c>
    </row>
    <row r="268" spans="1:13" x14ac:dyDescent="0.25">
      <c r="A268" t="s">
        <v>34</v>
      </c>
      <c r="B268" t="s">
        <v>258</v>
      </c>
      <c r="C268" t="s">
        <v>220</v>
      </c>
      <c r="D268" s="24">
        <v>3426150.7</v>
      </c>
      <c r="E268" s="24">
        <v>3426150.7</v>
      </c>
      <c r="F268" s="24">
        <v>108.757318</v>
      </c>
      <c r="G268" s="24">
        <v>51.658503000000003</v>
      </c>
      <c r="H268" s="24">
        <v>494.75654500000002</v>
      </c>
      <c r="I268" t="s">
        <v>15</v>
      </c>
      <c r="J268" s="24">
        <f t="shared" si="17"/>
        <v>3.4261509999999999</v>
      </c>
      <c r="K268" s="24">
        <f t="shared" si="18"/>
        <v>108.76</v>
      </c>
      <c r="L268" s="24">
        <f t="shared" si="19"/>
        <v>51.66</v>
      </c>
      <c r="M268" s="24">
        <f t="shared" si="20"/>
        <v>494.76</v>
      </c>
    </row>
    <row r="269" spans="1:13" x14ac:dyDescent="0.25">
      <c r="A269" t="s">
        <v>38</v>
      </c>
      <c r="B269" t="s">
        <v>258</v>
      </c>
      <c r="C269" t="s">
        <v>184</v>
      </c>
      <c r="D269" s="24">
        <v>803629.08</v>
      </c>
      <c r="E269" s="24">
        <v>803629.08</v>
      </c>
      <c r="F269" s="24">
        <v>18.010292</v>
      </c>
      <c r="G269" s="24">
        <v>9.7905719999999992</v>
      </c>
      <c r="H269" s="24">
        <v>160.364589</v>
      </c>
      <c r="I269" t="s">
        <v>15</v>
      </c>
      <c r="J269" s="24">
        <f t="shared" si="17"/>
        <v>0.80362900000000004</v>
      </c>
      <c r="K269" s="24">
        <f t="shared" si="18"/>
        <v>18.010000000000002</v>
      </c>
      <c r="L269" s="24">
        <f t="shared" si="19"/>
        <v>9.7899999999999991</v>
      </c>
      <c r="M269" s="24">
        <f t="shared" si="20"/>
        <v>160.36000000000001</v>
      </c>
    </row>
    <row r="270" spans="1:13" x14ac:dyDescent="0.25">
      <c r="A270" t="s">
        <v>38</v>
      </c>
      <c r="B270" t="s">
        <v>258</v>
      </c>
      <c r="C270" t="s">
        <v>381</v>
      </c>
      <c r="D270" s="24">
        <v>16371.74</v>
      </c>
      <c r="E270" s="24">
        <v>16371.74</v>
      </c>
      <c r="F270" s="24">
        <v>1.9540979999999999</v>
      </c>
      <c r="G270" s="24">
        <v>0.46237899999999998</v>
      </c>
      <c r="H270" s="24">
        <v>6.3580949999999996</v>
      </c>
      <c r="I270" t="s">
        <v>15</v>
      </c>
      <c r="J270" s="24">
        <f t="shared" si="17"/>
        <v>1.6372000000000001E-2</v>
      </c>
      <c r="K270" s="24">
        <f t="shared" si="18"/>
        <v>1.95</v>
      </c>
      <c r="L270" s="24">
        <f t="shared" si="19"/>
        <v>0.46</v>
      </c>
      <c r="M270" s="24">
        <f t="shared" si="20"/>
        <v>6.36</v>
      </c>
    </row>
    <row r="271" spans="1:13" x14ac:dyDescent="0.25">
      <c r="A271" t="s">
        <v>133</v>
      </c>
      <c r="B271" t="s">
        <v>258</v>
      </c>
      <c r="C271" t="s">
        <v>563</v>
      </c>
      <c r="D271" s="24">
        <v>6375586.0321869897</v>
      </c>
      <c r="E271" s="24">
        <v>6375594.0021869903</v>
      </c>
      <c r="F271" s="24">
        <v>202.41274799999999</v>
      </c>
      <c r="G271" s="24">
        <v>96.143890999999996</v>
      </c>
      <c r="H271" s="24">
        <v>920.811421</v>
      </c>
      <c r="I271" t="s">
        <v>15</v>
      </c>
      <c r="J271" s="24">
        <f t="shared" si="17"/>
        <v>6.3755940000000004</v>
      </c>
      <c r="K271" s="24">
        <f t="shared" si="18"/>
        <v>202.41</v>
      </c>
      <c r="L271" s="24">
        <f t="shared" si="19"/>
        <v>96.14</v>
      </c>
      <c r="M271" s="24">
        <f t="shared" si="20"/>
        <v>920.81</v>
      </c>
    </row>
    <row r="272" spans="1:13" x14ac:dyDescent="0.25">
      <c r="A272" t="s">
        <v>133</v>
      </c>
      <c r="B272" t="s">
        <v>258</v>
      </c>
      <c r="C272" t="s">
        <v>564</v>
      </c>
      <c r="D272" s="24">
        <v>381909.859999999</v>
      </c>
      <c r="E272" s="24">
        <v>381928.83999999898</v>
      </c>
      <c r="F272" s="24">
        <v>12.138154999999999</v>
      </c>
      <c r="G272" s="24">
        <v>5.7654699999999997</v>
      </c>
      <c r="H272" s="24">
        <v>55.218713000000001</v>
      </c>
      <c r="I272" t="s">
        <v>15</v>
      </c>
      <c r="J272" s="24">
        <f t="shared" si="17"/>
        <v>0.38192900000000002</v>
      </c>
      <c r="K272" s="24">
        <f t="shared" si="18"/>
        <v>12.14</v>
      </c>
      <c r="L272" s="24">
        <f t="shared" si="19"/>
        <v>5.77</v>
      </c>
      <c r="M272" s="24">
        <f t="shared" si="20"/>
        <v>55.22</v>
      </c>
    </row>
    <row r="273" spans="1:13" x14ac:dyDescent="0.25">
      <c r="A273" t="s">
        <v>38</v>
      </c>
      <c r="B273" t="s">
        <v>258</v>
      </c>
      <c r="C273" t="s">
        <v>384</v>
      </c>
      <c r="D273" s="24">
        <v>1753.96</v>
      </c>
      <c r="E273" s="24">
        <v>1753.96</v>
      </c>
      <c r="F273" s="24">
        <v>0.20926800000000001</v>
      </c>
      <c r="G273" s="24">
        <v>4.9516999999999999E-2</v>
      </c>
      <c r="H273" s="24">
        <v>0.68090499999999998</v>
      </c>
      <c r="I273" t="s">
        <v>15</v>
      </c>
      <c r="J273" s="24">
        <f t="shared" si="17"/>
        <v>1.7539999999999999E-3</v>
      </c>
      <c r="K273" s="24">
        <f t="shared" si="18"/>
        <v>0.21</v>
      </c>
      <c r="L273" s="24">
        <f t="shared" si="19"/>
        <v>0.05</v>
      </c>
      <c r="M273" s="24">
        <f t="shared" si="20"/>
        <v>0.68</v>
      </c>
    </row>
    <row r="274" spans="1:13" x14ac:dyDescent="0.25">
      <c r="A274" t="s">
        <v>67</v>
      </c>
      <c r="B274" t="s">
        <v>258</v>
      </c>
      <c r="C274" t="s">
        <v>594</v>
      </c>
      <c r="D274" s="24">
        <v>480308.58999999898</v>
      </c>
      <c r="E274" s="24">
        <v>480491.76999999897</v>
      </c>
      <c r="F274" s="24">
        <v>14.763472</v>
      </c>
      <c r="G274" s="24">
        <v>2.4678810000000002</v>
      </c>
      <c r="H274" s="24">
        <v>27.013362999999998</v>
      </c>
      <c r="I274" t="s">
        <v>15</v>
      </c>
      <c r="J274" s="24">
        <f t="shared" si="17"/>
        <v>0.48049199999999997</v>
      </c>
      <c r="K274" s="24">
        <f t="shared" si="18"/>
        <v>14.76</v>
      </c>
      <c r="L274" s="24">
        <f t="shared" si="19"/>
        <v>2.4700000000000002</v>
      </c>
      <c r="M274" s="24">
        <f t="shared" si="20"/>
        <v>27.01</v>
      </c>
    </row>
    <row r="275" spans="1:13" x14ac:dyDescent="0.25">
      <c r="A275" t="s">
        <v>238</v>
      </c>
      <c r="B275" t="s">
        <v>321</v>
      </c>
      <c r="C275" t="s">
        <v>239</v>
      </c>
      <c r="D275" s="24">
        <v>63.26</v>
      </c>
      <c r="E275" s="24">
        <v>63.26</v>
      </c>
      <c r="F275" s="24">
        <v>5.8999999999999998E-5</v>
      </c>
      <c r="G275" s="24">
        <v>2.5999999999999998E-5</v>
      </c>
      <c r="H275" s="24">
        <v>3.3399999999999999E-4</v>
      </c>
      <c r="I275" t="s">
        <v>682</v>
      </c>
      <c r="J275" s="24">
        <f t="shared" si="17"/>
        <v>6.3E-5</v>
      </c>
      <c r="K275" s="24">
        <f t="shared" si="18"/>
        <v>0</v>
      </c>
      <c r="L275" s="24">
        <f t="shared" si="19"/>
        <v>0</v>
      </c>
      <c r="M275" s="24">
        <f t="shared" si="20"/>
        <v>0</v>
      </c>
    </row>
    <row r="276" spans="1:13" x14ac:dyDescent="0.25">
      <c r="A276" t="s">
        <v>34</v>
      </c>
      <c r="B276" t="s">
        <v>258</v>
      </c>
      <c r="C276" t="s">
        <v>510</v>
      </c>
      <c r="D276" s="24">
        <v>168026.39</v>
      </c>
      <c r="E276" s="24">
        <v>168026.39</v>
      </c>
      <c r="F276" s="24">
        <v>5.3334099999999998</v>
      </c>
      <c r="G276" s="24">
        <v>2.5333109999999999</v>
      </c>
      <c r="H276" s="24">
        <v>24.262668999999999</v>
      </c>
      <c r="I276" t="s">
        <v>15</v>
      </c>
      <c r="J276" s="24">
        <f t="shared" si="17"/>
        <v>0.16802600000000001</v>
      </c>
      <c r="K276" s="24">
        <f t="shared" si="18"/>
        <v>5.33</v>
      </c>
      <c r="L276" s="24">
        <f t="shared" si="19"/>
        <v>2.5299999999999998</v>
      </c>
      <c r="M276" s="24">
        <f t="shared" si="20"/>
        <v>24.26</v>
      </c>
    </row>
    <row r="277" spans="1:13" x14ac:dyDescent="0.25">
      <c r="A277" t="s">
        <v>662</v>
      </c>
      <c r="B277" t="s">
        <v>258</v>
      </c>
      <c r="C277" t="s">
        <v>670</v>
      </c>
      <c r="D277" s="24">
        <v>1983057.50999999</v>
      </c>
      <c r="E277" s="24">
        <v>1983527.22999999</v>
      </c>
      <c r="F277" s="24">
        <v>60.918094000000004</v>
      </c>
      <c r="G277" s="24">
        <v>10.183007</v>
      </c>
      <c r="H277" s="24">
        <v>111.464636</v>
      </c>
      <c r="I277" t="s">
        <v>15</v>
      </c>
      <c r="J277" s="24">
        <f t="shared" si="17"/>
        <v>1.983527</v>
      </c>
      <c r="K277" s="24">
        <f t="shared" si="18"/>
        <v>60.92</v>
      </c>
      <c r="L277" s="24">
        <f t="shared" si="19"/>
        <v>10.18</v>
      </c>
      <c r="M277" s="24">
        <f t="shared" si="20"/>
        <v>111.46</v>
      </c>
    </row>
    <row r="278" spans="1:13" x14ac:dyDescent="0.25">
      <c r="A278" t="s">
        <v>125</v>
      </c>
      <c r="B278" t="s">
        <v>258</v>
      </c>
      <c r="C278" t="s">
        <v>275</v>
      </c>
      <c r="D278" s="24">
        <v>46811.01</v>
      </c>
      <c r="E278" s="24">
        <v>46811.01</v>
      </c>
      <c r="F278" s="24">
        <v>57.824559000000001</v>
      </c>
      <c r="G278" s="24">
        <v>4.4295580000000001</v>
      </c>
      <c r="H278" s="24">
        <v>23.364383</v>
      </c>
      <c r="I278" t="s">
        <v>15</v>
      </c>
      <c r="J278" s="24">
        <f t="shared" si="17"/>
        <v>4.6810999999999998E-2</v>
      </c>
      <c r="K278" s="24">
        <f t="shared" si="18"/>
        <v>57.82</v>
      </c>
      <c r="L278" s="24">
        <f t="shared" si="19"/>
        <v>4.43</v>
      </c>
      <c r="M278" s="24">
        <f t="shared" si="20"/>
        <v>23.36</v>
      </c>
    </row>
    <row r="279" spans="1:13" x14ac:dyDescent="0.25">
      <c r="A279" t="s">
        <v>34</v>
      </c>
      <c r="B279" t="s">
        <v>258</v>
      </c>
      <c r="C279" t="s">
        <v>516</v>
      </c>
      <c r="D279" s="24">
        <v>172263.31</v>
      </c>
      <c r="E279" s="24">
        <v>172263.31</v>
      </c>
      <c r="F279" s="24">
        <v>5.4664679999999999</v>
      </c>
      <c r="G279" s="24">
        <v>2.5964909999999999</v>
      </c>
      <c r="H279" s="24">
        <v>24.868151000000001</v>
      </c>
      <c r="I279" t="s">
        <v>15</v>
      </c>
      <c r="J279" s="24">
        <f t="shared" si="17"/>
        <v>0.172263</v>
      </c>
      <c r="K279" s="24">
        <f t="shared" si="18"/>
        <v>5.47</v>
      </c>
      <c r="L279" s="24">
        <f t="shared" si="19"/>
        <v>2.6</v>
      </c>
      <c r="M279" s="24">
        <f t="shared" si="20"/>
        <v>24.87</v>
      </c>
    </row>
    <row r="280" spans="1:13" x14ac:dyDescent="0.25">
      <c r="A280" t="s">
        <v>38</v>
      </c>
      <c r="B280" t="s">
        <v>258</v>
      </c>
      <c r="C280" t="s">
        <v>177</v>
      </c>
      <c r="D280" s="24">
        <v>28.37</v>
      </c>
      <c r="E280" s="24">
        <v>28.37</v>
      </c>
      <c r="F280" s="24">
        <v>6.2699999999999995E-4</v>
      </c>
      <c r="G280" s="24">
        <v>3.4099999999999999E-4</v>
      </c>
      <c r="H280" s="24">
        <v>5.587E-3</v>
      </c>
      <c r="I280" t="s">
        <v>15</v>
      </c>
      <c r="J280" s="24">
        <f t="shared" si="17"/>
        <v>2.8E-5</v>
      </c>
      <c r="K280" s="24">
        <f t="shared" si="18"/>
        <v>0</v>
      </c>
      <c r="L280" s="24">
        <f t="shared" si="19"/>
        <v>0</v>
      </c>
      <c r="M280" s="24">
        <f t="shared" si="20"/>
        <v>0.01</v>
      </c>
    </row>
    <row r="281" spans="1:13" x14ac:dyDescent="0.25">
      <c r="A281" t="s">
        <v>67</v>
      </c>
      <c r="B281" t="s">
        <v>258</v>
      </c>
      <c r="C281" t="s">
        <v>109</v>
      </c>
      <c r="D281" s="24">
        <v>4462650.0099999905</v>
      </c>
      <c r="E281" s="24">
        <v>4463023.2699999902</v>
      </c>
      <c r="F281" s="24">
        <v>4.2318550000000004</v>
      </c>
      <c r="G281" s="24">
        <v>1.9013070000000001</v>
      </c>
      <c r="H281" s="24">
        <v>23.705991000000001</v>
      </c>
      <c r="I281" t="s">
        <v>15</v>
      </c>
      <c r="J281" s="24">
        <f t="shared" si="17"/>
        <v>4.4630229999999997</v>
      </c>
      <c r="K281" s="24">
        <f t="shared" si="18"/>
        <v>4.2300000000000004</v>
      </c>
      <c r="L281" s="24">
        <f t="shared" si="19"/>
        <v>1.9</v>
      </c>
      <c r="M281" s="24">
        <f t="shared" si="20"/>
        <v>23.71</v>
      </c>
    </row>
    <row r="282" spans="1:13" x14ac:dyDescent="0.25">
      <c r="A282" t="s">
        <v>34</v>
      </c>
      <c r="B282" t="s">
        <v>258</v>
      </c>
      <c r="C282" t="s">
        <v>517</v>
      </c>
      <c r="D282" s="24">
        <v>411440.93480500003</v>
      </c>
      <c r="E282" s="24">
        <v>411440.93480500003</v>
      </c>
      <c r="F282" s="24">
        <v>13.060724</v>
      </c>
      <c r="G282" s="24">
        <v>6.2037000000000004</v>
      </c>
      <c r="H282" s="24">
        <v>59.415536000000003</v>
      </c>
      <c r="I282" t="s">
        <v>15</v>
      </c>
      <c r="J282" s="24">
        <f t="shared" si="17"/>
        <v>0.411441</v>
      </c>
      <c r="K282" s="24">
        <f t="shared" si="18"/>
        <v>13.06</v>
      </c>
      <c r="L282" s="24">
        <f t="shared" si="19"/>
        <v>6.2</v>
      </c>
      <c r="M282" s="24">
        <f t="shared" si="20"/>
        <v>59.42</v>
      </c>
    </row>
    <row r="283" spans="1:13" x14ac:dyDescent="0.25">
      <c r="A283" t="s">
        <v>38</v>
      </c>
      <c r="B283" t="s">
        <v>258</v>
      </c>
      <c r="C283" t="s">
        <v>389</v>
      </c>
      <c r="D283" s="24">
        <v>2732377.1599999899</v>
      </c>
      <c r="E283" s="24">
        <v>2732601.7699999898</v>
      </c>
      <c r="F283" s="24">
        <v>127.107068</v>
      </c>
      <c r="G283" s="24">
        <v>115.03660600000001</v>
      </c>
      <c r="H283" s="24">
        <v>594.33944399999996</v>
      </c>
      <c r="I283" t="s">
        <v>15</v>
      </c>
      <c r="J283" s="24">
        <f t="shared" si="17"/>
        <v>2.732602</v>
      </c>
      <c r="K283" s="24">
        <f t="shared" si="18"/>
        <v>127.11</v>
      </c>
      <c r="L283" s="24">
        <f t="shared" si="19"/>
        <v>115.04</v>
      </c>
      <c r="M283" s="24">
        <f t="shared" si="20"/>
        <v>594.34</v>
      </c>
    </row>
    <row r="284" spans="1:13" x14ac:dyDescent="0.25">
      <c r="A284" t="s">
        <v>67</v>
      </c>
      <c r="B284" t="s">
        <v>258</v>
      </c>
      <c r="C284" t="s">
        <v>138</v>
      </c>
      <c r="D284" s="24">
        <v>1667116.68</v>
      </c>
      <c r="E284" s="24">
        <v>1667116.68</v>
      </c>
      <c r="F284" s="24">
        <v>1.5802560000000001</v>
      </c>
      <c r="G284" s="24">
        <v>0.70992200000000005</v>
      </c>
      <c r="H284" s="24">
        <v>8.8530529999999992</v>
      </c>
      <c r="I284" t="s">
        <v>15</v>
      </c>
      <c r="J284" s="24">
        <f t="shared" si="17"/>
        <v>1.667117</v>
      </c>
      <c r="K284" s="24">
        <f t="shared" si="18"/>
        <v>1.58</v>
      </c>
      <c r="L284" s="24">
        <f t="shared" si="19"/>
        <v>0.71</v>
      </c>
      <c r="M284" s="24">
        <f t="shared" si="20"/>
        <v>8.85</v>
      </c>
    </row>
    <row r="285" spans="1:13" x14ac:dyDescent="0.25">
      <c r="A285" t="s">
        <v>38</v>
      </c>
      <c r="B285" t="s">
        <v>258</v>
      </c>
      <c r="C285" t="s">
        <v>393</v>
      </c>
      <c r="D285" s="24">
        <v>452156.28999999899</v>
      </c>
      <c r="E285" s="24">
        <v>452296.05999999901</v>
      </c>
      <c r="F285" s="24">
        <v>6.4867910000000002</v>
      </c>
      <c r="G285" s="24">
        <v>11.99564</v>
      </c>
      <c r="H285" s="24">
        <v>82.894678999999996</v>
      </c>
      <c r="I285" t="s">
        <v>15</v>
      </c>
      <c r="J285" s="24">
        <f t="shared" si="17"/>
        <v>0.45229599999999998</v>
      </c>
      <c r="K285" s="24">
        <f t="shared" si="18"/>
        <v>6.49</v>
      </c>
      <c r="L285" s="24">
        <f t="shared" si="19"/>
        <v>12</v>
      </c>
      <c r="M285" s="24">
        <f t="shared" si="20"/>
        <v>82.89</v>
      </c>
    </row>
    <row r="286" spans="1:13" x14ac:dyDescent="0.25">
      <c r="A286" t="s">
        <v>34</v>
      </c>
      <c r="B286" t="s">
        <v>258</v>
      </c>
      <c r="C286" t="s">
        <v>519</v>
      </c>
      <c r="D286" s="24">
        <v>214138.35</v>
      </c>
      <c r="E286" s="24">
        <v>214138.35</v>
      </c>
      <c r="F286" s="24">
        <v>6.7975899999999996</v>
      </c>
      <c r="G286" s="24">
        <v>3.2287810000000001</v>
      </c>
      <c r="H286" s="24">
        <v>30.923437</v>
      </c>
      <c r="I286" t="s">
        <v>15</v>
      </c>
      <c r="J286" s="24">
        <f t="shared" si="17"/>
        <v>0.214138</v>
      </c>
      <c r="K286" s="24">
        <f t="shared" si="18"/>
        <v>6.8</v>
      </c>
      <c r="L286" s="24">
        <f t="shared" si="19"/>
        <v>3.23</v>
      </c>
      <c r="M286" s="24">
        <f t="shared" si="20"/>
        <v>30.92</v>
      </c>
    </row>
    <row r="287" spans="1:13" x14ac:dyDescent="0.25">
      <c r="A287" t="s">
        <v>662</v>
      </c>
      <c r="B287" t="s">
        <v>258</v>
      </c>
      <c r="C287" t="s">
        <v>674</v>
      </c>
      <c r="D287" s="24">
        <v>1509.6</v>
      </c>
      <c r="E287" s="24">
        <v>1509.6</v>
      </c>
      <c r="F287" s="24">
        <v>4.7869000000000002E-2</v>
      </c>
      <c r="G287" s="24">
        <v>2.2735999999999999E-2</v>
      </c>
      <c r="H287" s="24">
        <v>0.21777299999999999</v>
      </c>
      <c r="I287" t="s">
        <v>15</v>
      </c>
      <c r="J287" s="24">
        <f t="shared" si="17"/>
        <v>1.5100000000000001E-3</v>
      </c>
      <c r="K287" s="24">
        <f t="shared" si="18"/>
        <v>0.05</v>
      </c>
      <c r="L287" s="24">
        <f t="shared" si="19"/>
        <v>0.02</v>
      </c>
      <c r="M287" s="24">
        <f t="shared" si="20"/>
        <v>0.22</v>
      </c>
    </row>
    <row r="288" spans="1:13" x14ac:dyDescent="0.25">
      <c r="A288" t="s">
        <v>125</v>
      </c>
      <c r="B288" t="s">
        <v>258</v>
      </c>
      <c r="C288" t="s">
        <v>281</v>
      </c>
      <c r="D288" s="24">
        <v>110.61</v>
      </c>
      <c r="E288" s="24">
        <v>110.61</v>
      </c>
      <c r="F288" s="24">
        <v>0.13588500000000001</v>
      </c>
      <c r="G288" s="24">
        <v>1.0408000000000001E-2</v>
      </c>
      <c r="H288" s="24">
        <v>5.4904000000000001E-2</v>
      </c>
      <c r="I288" t="s">
        <v>15</v>
      </c>
      <c r="J288" s="24">
        <f t="shared" si="17"/>
        <v>1.11E-4</v>
      </c>
      <c r="K288" s="24">
        <f t="shared" si="18"/>
        <v>0.14000000000000001</v>
      </c>
      <c r="L288" s="24">
        <f t="shared" si="19"/>
        <v>0.01</v>
      </c>
      <c r="M288" s="24">
        <f t="shared" si="20"/>
        <v>0.05</v>
      </c>
    </row>
    <row r="289" spans="1:13" x14ac:dyDescent="0.25">
      <c r="A289" t="s">
        <v>38</v>
      </c>
      <c r="B289" t="s">
        <v>258</v>
      </c>
      <c r="C289" t="s">
        <v>394</v>
      </c>
      <c r="D289" s="24">
        <v>27779.9</v>
      </c>
      <c r="E289" s="24">
        <v>27779.9</v>
      </c>
      <c r="F289" s="24">
        <v>5.2913009999999998</v>
      </c>
      <c r="G289" s="24">
        <v>1.0708070000000001</v>
      </c>
      <c r="H289" s="24">
        <v>8.4857329999999997</v>
      </c>
      <c r="I289" t="s">
        <v>15</v>
      </c>
      <c r="J289" s="24">
        <f t="shared" si="17"/>
        <v>2.7779999999999999E-2</v>
      </c>
      <c r="K289" s="24">
        <f t="shared" si="18"/>
        <v>5.29</v>
      </c>
      <c r="L289" s="24">
        <f t="shared" si="19"/>
        <v>1.07</v>
      </c>
      <c r="M289" s="24">
        <f t="shared" si="20"/>
        <v>8.49</v>
      </c>
    </row>
    <row r="290" spans="1:13" x14ac:dyDescent="0.25">
      <c r="A290" t="s">
        <v>44</v>
      </c>
      <c r="B290" t="s">
        <v>258</v>
      </c>
      <c r="C290" t="s">
        <v>640</v>
      </c>
      <c r="D290" s="24">
        <v>7314.98</v>
      </c>
      <c r="E290" s="24">
        <v>7314.98</v>
      </c>
      <c r="F290" s="24">
        <v>0.22466900000000001</v>
      </c>
      <c r="G290" s="24">
        <v>3.7554999999999998E-2</v>
      </c>
      <c r="H290" s="24">
        <v>0.41108800000000001</v>
      </c>
      <c r="I290" t="s">
        <v>15</v>
      </c>
      <c r="J290" s="24">
        <f t="shared" si="17"/>
        <v>7.3150000000000003E-3</v>
      </c>
      <c r="K290" s="24">
        <f t="shared" si="18"/>
        <v>0.22</v>
      </c>
      <c r="L290" s="24">
        <f t="shared" si="19"/>
        <v>0.04</v>
      </c>
      <c r="M290" s="24">
        <f t="shared" si="20"/>
        <v>0.41</v>
      </c>
    </row>
    <row r="291" spans="1:13" x14ac:dyDescent="0.25">
      <c r="A291" t="s">
        <v>38</v>
      </c>
      <c r="B291" t="s">
        <v>258</v>
      </c>
      <c r="C291" t="s">
        <v>373</v>
      </c>
      <c r="D291" s="24">
        <v>2811.42</v>
      </c>
      <c r="E291" s="24">
        <v>2811.42</v>
      </c>
      <c r="F291" s="24">
        <v>6.2954999999999997E-2</v>
      </c>
      <c r="G291" s="24">
        <v>3.4223000000000003E-2</v>
      </c>
      <c r="H291" s="24">
        <v>0.56057699999999999</v>
      </c>
      <c r="I291" t="s">
        <v>15</v>
      </c>
      <c r="J291" s="24">
        <f t="shared" si="17"/>
        <v>2.8110000000000001E-3</v>
      </c>
      <c r="K291" s="24">
        <f t="shared" si="18"/>
        <v>0.06</v>
      </c>
      <c r="L291" s="24">
        <f t="shared" si="19"/>
        <v>0.03</v>
      </c>
      <c r="M291" s="24">
        <f t="shared" si="20"/>
        <v>0.56000000000000005</v>
      </c>
    </row>
    <row r="292" spans="1:13" x14ac:dyDescent="0.25">
      <c r="A292" t="s">
        <v>34</v>
      </c>
      <c r="B292" t="s">
        <v>258</v>
      </c>
      <c r="C292" t="s">
        <v>511</v>
      </c>
      <c r="D292" s="24">
        <v>74099.64</v>
      </c>
      <c r="E292" s="24">
        <v>74099.64</v>
      </c>
      <c r="F292" s="24">
        <v>2.351677</v>
      </c>
      <c r="G292" s="24">
        <v>1.117016</v>
      </c>
      <c r="H292" s="24">
        <v>10.698243</v>
      </c>
      <c r="I292" t="s">
        <v>15</v>
      </c>
      <c r="J292" s="24">
        <f t="shared" si="17"/>
        <v>7.4099999999999999E-2</v>
      </c>
      <c r="K292" s="24">
        <f t="shared" si="18"/>
        <v>2.35</v>
      </c>
      <c r="L292" s="24">
        <f t="shared" si="19"/>
        <v>1.1200000000000001</v>
      </c>
      <c r="M292" s="24">
        <f t="shared" si="20"/>
        <v>10.7</v>
      </c>
    </row>
    <row r="293" spans="1:13" x14ac:dyDescent="0.25">
      <c r="A293" t="s">
        <v>38</v>
      </c>
      <c r="B293" t="s">
        <v>258</v>
      </c>
      <c r="C293" t="s">
        <v>186</v>
      </c>
      <c r="D293" s="24">
        <v>116187.48</v>
      </c>
      <c r="E293" s="24">
        <v>116187.48</v>
      </c>
      <c r="F293" s="24">
        <v>22.130873999999999</v>
      </c>
      <c r="G293" s="24">
        <v>4.4786479999999997</v>
      </c>
      <c r="H293" s="24">
        <v>35.491588</v>
      </c>
      <c r="I293" t="s">
        <v>15</v>
      </c>
      <c r="J293" s="24">
        <f t="shared" si="17"/>
        <v>0.116187</v>
      </c>
      <c r="K293" s="24">
        <f t="shared" si="18"/>
        <v>22.13</v>
      </c>
      <c r="L293" s="24">
        <f t="shared" si="19"/>
        <v>4.4800000000000004</v>
      </c>
      <c r="M293" s="24">
        <f t="shared" si="20"/>
        <v>35.49</v>
      </c>
    </row>
    <row r="294" spans="1:13" x14ac:dyDescent="0.25">
      <c r="A294" t="s">
        <v>38</v>
      </c>
      <c r="B294" t="s">
        <v>258</v>
      </c>
      <c r="C294" t="s">
        <v>374</v>
      </c>
      <c r="D294" s="24">
        <v>761534.01999999897</v>
      </c>
      <c r="E294" s="24">
        <v>761643.11999999895</v>
      </c>
      <c r="F294" s="24">
        <v>17.066572000000001</v>
      </c>
      <c r="G294" s="24">
        <v>9.2775379999999998</v>
      </c>
      <c r="H294" s="24">
        <v>151.96169699999999</v>
      </c>
      <c r="I294" t="s">
        <v>15</v>
      </c>
      <c r="J294" s="24">
        <f t="shared" si="17"/>
        <v>0.76164299999999996</v>
      </c>
      <c r="K294" s="24">
        <f t="shared" si="18"/>
        <v>17.07</v>
      </c>
      <c r="L294" s="24">
        <f t="shared" si="19"/>
        <v>9.2799999999999994</v>
      </c>
      <c r="M294" s="24">
        <f t="shared" si="20"/>
        <v>151.96</v>
      </c>
    </row>
    <row r="295" spans="1:13" x14ac:dyDescent="0.25">
      <c r="A295" t="s">
        <v>61</v>
      </c>
      <c r="B295" t="s">
        <v>258</v>
      </c>
      <c r="C295" t="s">
        <v>66</v>
      </c>
      <c r="D295" s="24">
        <v>1353955.96</v>
      </c>
      <c r="E295" s="24">
        <v>1353955.96</v>
      </c>
      <c r="F295" s="24">
        <v>85.285151999999997</v>
      </c>
      <c r="G295" s="24">
        <v>6.1314219999999997</v>
      </c>
      <c r="H295" s="24">
        <v>132.974604</v>
      </c>
      <c r="I295" t="s">
        <v>15</v>
      </c>
      <c r="J295" s="24">
        <f t="shared" si="17"/>
        <v>1.3539559999999999</v>
      </c>
      <c r="K295" s="24">
        <f t="shared" si="18"/>
        <v>85.29</v>
      </c>
      <c r="L295" s="24">
        <f t="shared" si="19"/>
        <v>6.13</v>
      </c>
      <c r="M295" s="24">
        <f t="shared" si="20"/>
        <v>132.97</v>
      </c>
    </row>
    <row r="296" spans="1:13" x14ac:dyDescent="0.25">
      <c r="A296" t="s">
        <v>38</v>
      </c>
      <c r="B296" t="s">
        <v>258</v>
      </c>
      <c r="C296" t="s">
        <v>375</v>
      </c>
      <c r="D296" s="24">
        <v>237711.649999999</v>
      </c>
      <c r="E296" s="24">
        <v>237725.06999999899</v>
      </c>
      <c r="F296" s="24">
        <v>13.169026000000001</v>
      </c>
      <c r="G296" s="24">
        <v>8.9537130000000005</v>
      </c>
      <c r="H296" s="24">
        <v>160.48725899999999</v>
      </c>
      <c r="I296" t="s">
        <v>15</v>
      </c>
      <c r="J296" s="24">
        <f t="shared" si="17"/>
        <v>0.23772499999999999</v>
      </c>
      <c r="K296" s="24">
        <f t="shared" si="18"/>
        <v>13.17</v>
      </c>
      <c r="L296" s="24">
        <f t="shared" si="19"/>
        <v>8.9499999999999993</v>
      </c>
      <c r="M296" s="24">
        <f t="shared" si="20"/>
        <v>160.49</v>
      </c>
    </row>
    <row r="297" spans="1:13" x14ac:dyDescent="0.25">
      <c r="A297" t="s">
        <v>34</v>
      </c>
      <c r="B297" t="s">
        <v>258</v>
      </c>
      <c r="C297" t="s">
        <v>208</v>
      </c>
      <c r="D297" s="24">
        <v>1204720.01</v>
      </c>
      <c r="E297" s="24">
        <v>1204720.01</v>
      </c>
      <c r="F297" s="24">
        <v>38.324986000000003</v>
      </c>
      <c r="G297" s="24">
        <v>18.20392</v>
      </c>
      <c r="H297" s="24">
        <v>174.34737200000001</v>
      </c>
      <c r="I297" t="s">
        <v>15</v>
      </c>
      <c r="J297" s="24">
        <f t="shared" si="17"/>
        <v>1.20472</v>
      </c>
      <c r="K297" s="24">
        <f t="shared" si="18"/>
        <v>38.32</v>
      </c>
      <c r="L297" s="24">
        <f t="shared" si="19"/>
        <v>18.2</v>
      </c>
      <c r="M297" s="24">
        <f t="shared" si="20"/>
        <v>174.35</v>
      </c>
    </row>
    <row r="298" spans="1:13" x14ac:dyDescent="0.25">
      <c r="A298" t="s">
        <v>54</v>
      </c>
      <c r="B298" t="s">
        <v>258</v>
      </c>
      <c r="C298" t="s">
        <v>245</v>
      </c>
      <c r="D298" s="24">
        <v>378958.11</v>
      </c>
      <c r="E298" s="24">
        <v>378958.11</v>
      </c>
      <c r="F298" s="24">
        <v>0.35921599999999998</v>
      </c>
      <c r="G298" s="24">
        <v>0.161383</v>
      </c>
      <c r="H298" s="24">
        <v>2.012346</v>
      </c>
      <c r="I298" t="s">
        <v>15</v>
      </c>
      <c r="J298" s="24">
        <f t="shared" si="17"/>
        <v>0.37895800000000002</v>
      </c>
      <c r="K298" s="24">
        <f t="shared" si="18"/>
        <v>0.36</v>
      </c>
      <c r="L298" s="24">
        <f t="shared" si="19"/>
        <v>0.16</v>
      </c>
      <c r="M298" s="24">
        <f t="shared" si="20"/>
        <v>2.0099999999999998</v>
      </c>
    </row>
    <row r="299" spans="1:13" x14ac:dyDescent="0.25">
      <c r="A299" t="s">
        <v>125</v>
      </c>
      <c r="B299" t="s">
        <v>258</v>
      </c>
      <c r="C299" t="s">
        <v>282</v>
      </c>
      <c r="D299" s="24">
        <v>794292.57999999903</v>
      </c>
      <c r="E299" s="24">
        <v>794481.48999999894</v>
      </c>
      <c r="F299" s="24">
        <v>981.15215799999999</v>
      </c>
      <c r="G299" s="24">
        <v>75.159565999999998</v>
      </c>
      <c r="H299" s="24">
        <v>396.44078400000001</v>
      </c>
      <c r="I299" t="s">
        <v>15</v>
      </c>
      <c r="J299" s="24">
        <f t="shared" si="17"/>
        <v>0.79448099999999999</v>
      </c>
      <c r="K299" s="24">
        <f t="shared" si="18"/>
        <v>981.15</v>
      </c>
      <c r="L299" s="24">
        <f t="shared" si="19"/>
        <v>75.16</v>
      </c>
      <c r="M299" s="24">
        <f t="shared" si="20"/>
        <v>396.44</v>
      </c>
    </row>
    <row r="300" spans="1:13" x14ac:dyDescent="0.25">
      <c r="A300" t="s">
        <v>61</v>
      </c>
      <c r="B300" t="s">
        <v>258</v>
      </c>
      <c r="C300" t="s">
        <v>555</v>
      </c>
      <c r="D300" s="24">
        <v>8.74</v>
      </c>
      <c r="E300" s="24">
        <v>8.74</v>
      </c>
      <c r="F300" s="24">
        <v>5.0299999999999997E-4</v>
      </c>
      <c r="G300" s="24">
        <v>3.6000000000000001E-5</v>
      </c>
      <c r="H300" s="24">
        <v>7.85E-4</v>
      </c>
      <c r="I300" t="s">
        <v>15</v>
      </c>
      <c r="J300" s="24">
        <f t="shared" si="17"/>
        <v>9.0000000000000002E-6</v>
      </c>
      <c r="K300" s="24">
        <f t="shared" si="18"/>
        <v>0</v>
      </c>
      <c r="L300" s="24">
        <f t="shared" si="19"/>
        <v>0</v>
      </c>
      <c r="M300" s="24">
        <f t="shared" si="20"/>
        <v>0</v>
      </c>
    </row>
    <row r="301" spans="1:13" x14ac:dyDescent="0.25">
      <c r="A301" t="s">
        <v>38</v>
      </c>
      <c r="B301" t="s">
        <v>258</v>
      </c>
      <c r="C301" t="s">
        <v>396</v>
      </c>
      <c r="D301" s="24">
        <v>142012.41</v>
      </c>
      <c r="E301" s="24">
        <v>142012.41</v>
      </c>
      <c r="F301" s="24">
        <v>27.052987999999999</v>
      </c>
      <c r="G301" s="24">
        <v>5.4747500000000002</v>
      </c>
      <c r="H301" s="24">
        <v>43.385241000000001</v>
      </c>
      <c r="I301" t="s">
        <v>15</v>
      </c>
      <c r="J301" s="24">
        <f t="shared" si="17"/>
        <v>0.142012</v>
      </c>
      <c r="K301" s="24">
        <f t="shared" si="18"/>
        <v>27.05</v>
      </c>
      <c r="L301" s="24">
        <f t="shared" si="19"/>
        <v>5.47</v>
      </c>
      <c r="M301" s="24">
        <f t="shared" si="20"/>
        <v>43.39</v>
      </c>
    </row>
    <row r="302" spans="1:13" x14ac:dyDescent="0.25">
      <c r="A302" t="s">
        <v>67</v>
      </c>
      <c r="B302" t="s">
        <v>258</v>
      </c>
      <c r="C302" t="s">
        <v>595</v>
      </c>
      <c r="D302" s="24">
        <v>207328.9</v>
      </c>
      <c r="E302" s="24">
        <v>207328.9</v>
      </c>
      <c r="F302" s="24">
        <v>0.19650699999999999</v>
      </c>
      <c r="G302" s="24">
        <v>8.8275999999999993E-2</v>
      </c>
      <c r="H302" s="24">
        <v>1.1008929999999999</v>
      </c>
      <c r="I302" t="s">
        <v>15</v>
      </c>
      <c r="J302" s="24">
        <f t="shared" si="17"/>
        <v>0.20732900000000001</v>
      </c>
      <c r="K302" s="24">
        <f t="shared" si="18"/>
        <v>0.2</v>
      </c>
      <c r="L302" s="24">
        <f t="shared" si="19"/>
        <v>0.09</v>
      </c>
      <c r="M302" s="24">
        <f t="shared" si="20"/>
        <v>1.1000000000000001</v>
      </c>
    </row>
    <row r="303" spans="1:13" x14ac:dyDescent="0.25">
      <c r="A303" t="s">
        <v>38</v>
      </c>
      <c r="B303" t="s">
        <v>258</v>
      </c>
      <c r="C303" t="s">
        <v>407</v>
      </c>
      <c r="D303" s="24">
        <v>1307414.02</v>
      </c>
      <c r="E303" s="24">
        <v>1307414.02</v>
      </c>
      <c r="F303" s="24">
        <v>21.484833999999999</v>
      </c>
      <c r="G303" s="24">
        <v>9.8779610000000009</v>
      </c>
      <c r="H303" s="24">
        <v>290.14103699999998</v>
      </c>
      <c r="I303" t="s">
        <v>15</v>
      </c>
      <c r="J303" s="24">
        <f t="shared" si="17"/>
        <v>1.3074140000000001</v>
      </c>
      <c r="K303" s="24">
        <f t="shared" si="18"/>
        <v>21.48</v>
      </c>
      <c r="L303" s="24">
        <f t="shared" si="19"/>
        <v>9.8800000000000008</v>
      </c>
      <c r="M303" s="24">
        <f t="shared" si="20"/>
        <v>290.14</v>
      </c>
    </row>
    <row r="304" spans="1:13" x14ac:dyDescent="0.25">
      <c r="A304" t="s">
        <v>38</v>
      </c>
      <c r="B304" t="s">
        <v>258</v>
      </c>
      <c r="C304" t="s">
        <v>408</v>
      </c>
      <c r="D304" s="24">
        <v>81127.64</v>
      </c>
      <c r="E304" s="24">
        <v>81127.64</v>
      </c>
      <c r="F304" s="24">
        <v>1.8174790000000001</v>
      </c>
      <c r="G304" s="24">
        <v>0.98799700000000001</v>
      </c>
      <c r="H304" s="24">
        <v>16.183102000000002</v>
      </c>
      <c r="I304" t="s">
        <v>15</v>
      </c>
      <c r="J304" s="24">
        <f t="shared" si="17"/>
        <v>8.1128000000000006E-2</v>
      </c>
      <c r="K304" s="24">
        <f t="shared" si="18"/>
        <v>1.82</v>
      </c>
      <c r="L304" s="24">
        <f t="shared" si="19"/>
        <v>0.99</v>
      </c>
      <c r="M304" s="24">
        <f t="shared" si="20"/>
        <v>16.18</v>
      </c>
    </row>
    <row r="305" spans="1:13" x14ac:dyDescent="0.25">
      <c r="A305" t="s">
        <v>173</v>
      </c>
      <c r="B305" t="s">
        <v>258</v>
      </c>
      <c r="C305" t="s">
        <v>174</v>
      </c>
      <c r="D305" s="24">
        <v>6177.94</v>
      </c>
      <c r="E305" s="24">
        <v>6177.94</v>
      </c>
      <c r="F305" s="24">
        <v>3.4684729999999999</v>
      </c>
      <c r="G305" s="24">
        <v>0.42002400000000001</v>
      </c>
      <c r="H305" s="24">
        <v>2.2322600000000001</v>
      </c>
      <c r="I305" t="s">
        <v>15</v>
      </c>
      <c r="J305" s="24">
        <f t="shared" si="17"/>
        <v>6.1780000000000003E-3</v>
      </c>
      <c r="K305" s="24">
        <f t="shared" si="18"/>
        <v>3.47</v>
      </c>
      <c r="L305" s="24">
        <f t="shared" si="19"/>
        <v>0.42</v>
      </c>
      <c r="M305" s="24">
        <f t="shared" si="20"/>
        <v>2.23</v>
      </c>
    </row>
    <row r="306" spans="1:13" x14ac:dyDescent="0.25">
      <c r="A306" t="s">
        <v>38</v>
      </c>
      <c r="B306" t="s">
        <v>258</v>
      </c>
      <c r="C306" t="s">
        <v>368</v>
      </c>
      <c r="D306" s="24">
        <v>16983.66</v>
      </c>
      <c r="E306" s="24">
        <v>16983.66</v>
      </c>
      <c r="F306" s="24">
        <v>0.38044899999999998</v>
      </c>
      <c r="G306" s="24">
        <v>0.206813</v>
      </c>
      <c r="H306" s="24">
        <v>3.3876089999999999</v>
      </c>
      <c r="I306" t="s">
        <v>15</v>
      </c>
      <c r="J306" s="24">
        <f t="shared" si="17"/>
        <v>1.6983999999999999E-2</v>
      </c>
      <c r="K306" s="24">
        <f t="shared" si="18"/>
        <v>0.38</v>
      </c>
      <c r="L306" s="24">
        <f t="shared" si="19"/>
        <v>0.21</v>
      </c>
      <c r="M306" s="24">
        <f t="shared" si="20"/>
        <v>3.39</v>
      </c>
    </row>
    <row r="307" spans="1:13" x14ac:dyDescent="0.25">
      <c r="A307" t="s">
        <v>626</v>
      </c>
      <c r="B307" t="s">
        <v>258</v>
      </c>
      <c r="C307" t="s">
        <v>699</v>
      </c>
      <c r="D307" s="24">
        <v>16672.830000000002</v>
      </c>
      <c r="E307" s="24">
        <v>16672.830000000002</v>
      </c>
      <c r="F307" s="24">
        <v>0.51219800000000004</v>
      </c>
      <c r="G307" s="24">
        <v>8.5620000000000002E-2</v>
      </c>
      <c r="H307" s="24">
        <v>0.937191</v>
      </c>
      <c r="I307" t="s">
        <v>15</v>
      </c>
      <c r="J307" s="24">
        <f t="shared" si="17"/>
        <v>1.6673E-2</v>
      </c>
      <c r="K307" s="24">
        <f t="shared" si="18"/>
        <v>0.51</v>
      </c>
      <c r="L307" s="24">
        <f t="shared" si="19"/>
        <v>0.09</v>
      </c>
      <c r="M307" s="24">
        <f t="shared" si="20"/>
        <v>0.94</v>
      </c>
    </row>
    <row r="308" spans="1:13" x14ac:dyDescent="0.25">
      <c r="A308" t="s">
        <v>34</v>
      </c>
      <c r="B308" t="s">
        <v>258</v>
      </c>
      <c r="C308" t="s">
        <v>506</v>
      </c>
      <c r="D308" s="24">
        <v>36842895.749999903</v>
      </c>
      <c r="E308" s="24">
        <v>36843081.129999898</v>
      </c>
      <c r="F308" s="24">
        <v>1169.301678</v>
      </c>
      <c r="G308" s="24">
        <v>555.40178600000002</v>
      </c>
      <c r="H308" s="24">
        <v>5319.383742</v>
      </c>
      <c r="I308" t="s">
        <v>15</v>
      </c>
      <c r="J308" s="24">
        <f t="shared" si="17"/>
        <v>36.843080999999998</v>
      </c>
      <c r="K308" s="24">
        <f t="shared" si="18"/>
        <v>1169.3</v>
      </c>
      <c r="L308" s="24">
        <f t="shared" si="19"/>
        <v>555.4</v>
      </c>
      <c r="M308" s="24">
        <f t="shared" si="20"/>
        <v>5319.38</v>
      </c>
    </row>
    <row r="309" spans="1:13" x14ac:dyDescent="0.25">
      <c r="A309" t="s">
        <v>54</v>
      </c>
      <c r="B309" t="s">
        <v>258</v>
      </c>
      <c r="C309" t="s">
        <v>608</v>
      </c>
      <c r="D309" s="24">
        <v>511957.61</v>
      </c>
      <c r="E309" s="24">
        <v>511957.61</v>
      </c>
      <c r="F309" s="24">
        <v>0.48533599999999999</v>
      </c>
      <c r="G309" s="24">
        <v>0.218056</v>
      </c>
      <c r="H309" s="24">
        <v>2.7187519999999998</v>
      </c>
      <c r="I309" t="s">
        <v>15</v>
      </c>
      <c r="J309" s="24">
        <f t="shared" si="17"/>
        <v>0.51195800000000002</v>
      </c>
      <c r="K309" s="24">
        <f t="shared" si="18"/>
        <v>0.49</v>
      </c>
      <c r="L309" s="24">
        <f t="shared" si="19"/>
        <v>0.22</v>
      </c>
      <c r="M309" s="24">
        <f t="shared" si="20"/>
        <v>2.72</v>
      </c>
    </row>
    <row r="310" spans="1:13" x14ac:dyDescent="0.25">
      <c r="A310" t="s">
        <v>34</v>
      </c>
      <c r="B310" t="s">
        <v>258</v>
      </c>
      <c r="C310" t="s">
        <v>523</v>
      </c>
      <c r="D310" s="24">
        <v>412073.85</v>
      </c>
      <c r="E310" s="24">
        <v>412073.85</v>
      </c>
      <c r="F310" s="24">
        <v>13.079903</v>
      </c>
      <c r="G310" s="24">
        <v>6.2128030000000001</v>
      </c>
      <c r="H310" s="24">
        <v>59.502884999999999</v>
      </c>
      <c r="I310" t="s">
        <v>15</v>
      </c>
      <c r="J310" s="24">
        <f t="shared" si="17"/>
        <v>0.412074</v>
      </c>
      <c r="K310" s="24">
        <f t="shared" si="18"/>
        <v>13.08</v>
      </c>
      <c r="L310" s="24">
        <f t="shared" si="19"/>
        <v>6.21</v>
      </c>
      <c r="M310" s="24">
        <f t="shared" si="20"/>
        <v>59.5</v>
      </c>
    </row>
    <row r="311" spans="1:13" x14ac:dyDescent="0.25">
      <c r="A311" t="s">
        <v>662</v>
      </c>
      <c r="B311" t="s">
        <v>258</v>
      </c>
      <c r="C311" t="s">
        <v>671</v>
      </c>
      <c r="D311" s="24">
        <v>278689.58</v>
      </c>
      <c r="E311" s="24">
        <v>278689.58</v>
      </c>
      <c r="F311" s="24">
        <v>8.5849820000000001</v>
      </c>
      <c r="G311" s="24">
        <v>1.435071</v>
      </c>
      <c r="H311" s="24">
        <v>15.708323</v>
      </c>
      <c r="I311" t="s">
        <v>15</v>
      </c>
      <c r="J311" s="24">
        <f t="shared" si="17"/>
        <v>0.27868999999999999</v>
      </c>
      <c r="K311" s="24">
        <f t="shared" si="18"/>
        <v>8.58</v>
      </c>
      <c r="L311" s="24">
        <f t="shared" si="19"/>
        <v>1.44</v>
      </c>
      <c r="M311" s="24">
        <f t="shared" si="20"/>
        <v>15.71</v>
      </c>
    </row>
    <row r="312" spans="1:13" x14ac:dyDescent="0.25">
      <c r="A312" t="s">
        <v>38</v>
      </c>
      <c r="B312" t="s">
        <v>258</v>
      </c>
      <c r="C312" t="s">
        <v>371</v>
      </c>
      <c r="D312" s="24">
        <v>950.93</v>
      </c>
      <c r="E312" s="24">
        <v>950.93</v>
      </c>
      <c r="F312" s="24">
        <v>0.113409</v>
      </c>
      <c r="G312" s="24">
        <v>2.6835000000000001E-2</v>
      </c>
      <c r="H312" s="24">
        <v>0.36900100000000002</v>
      </c>
      <c r="I312" t="s">
        <v>15</v>
      </c>
      <c r="J312" s="24">
        <f t="shared" si="17"/>
        <v>9.5100000000000002E-4</v>
      </c>
      <c r="K312" s="24">
        <f t="shared" si="18"/>
        <v>0.11</v>
      </c>
      <c r="L312" s="24">
        <f t="shared" si="19"/>
        <v>0.03</v>
      </c>
      <c r="M312" s="24">
        <f t="shared" si="20"/>
        <v>0.37</v>
      </c>
    </row>
    <row r="313" spans="1:13" x14ac:dyDescent="0.25">
      <c r="A313" t="s">
        <v>38</v>
      </c>
      <c r="B313" t="s">
        <v>258</v>
      </c>
      <c r="C313" t="s">
        <v>378</v>
      </c>
      <c r="D313" s="24">
        <v>7352076.5300000003</v>
      </c>
      <c r="E313" s="24">
        <v>7352076.5300000003</v>
      </c>
      <c r="F313" s="24">
        <v>105.479018</v>
      </c>
      <c r="G313" s="24">
        <v>195.05591999999999</v>
      </c>
      <c r="H313" s="24">
        <v>1347.913585</v>
      </c>
      <c r="I313" t="s">
        <v>15</v>
      </c>
      <c r="J313" s="24">
        <f t="shared" si="17"/>
        <v>7.3520770000000004</v>
      </c>
      <c r="K313" s="24">
        <f t="shared" si="18"/>
        <v>105.48</v>
      </c>
      <c r="L313" s="24">
        <f t="shared" si="19"/>
        <v>195.06</v>
      </c>
      <c r="M313" s="24">
        <f t="shared" si="20"/>
        <v>1347.91</v>
      </c>
    </row>
    <row r="314" spans="1:13" x14ac:dyDescent="0.25">
      <c r="A314" t="s">
        <v>41</v>
      </c>
      <c r="B314" t="s">
        <v>258</v>
      </c>
      <c r="C314" t="s">
        <v>234</v>
      </c>
      <c r="D314" s="24">
        <v>111543.26</v>
      </c>
      <c r="E314" s="24">
        <v>111543.26</v>
      </c>
      <c r="F314" s="24">
        <v>5.1878260000000003</v>
      </c>
      <c r="G314" s="24">
        <v>4.6951770000000002</v>
      </c>
      <c r="H314" s="24">
        <v>24.257816999999999</v>
      </c>
      <c r="I314" t="s">
        <v>15</v>
      </c>
      <c r="J314" s="24">
        <f t="shared" si="17"/>
        <v>0.111543</v>
      </c>
      <c r="K314" s="24">
        <f t="shared" si="18"/>
        <v>5.19</v>
      </c>
      <c r="L314" s="24">
        <f t="shared" si="19"/>
        <v>4.7</v>
      </c>
      <c r="M314" s="24">
        <f t="shared" si="20"/>
        <v>24.26</v>
      </c>
    </row>
    <row r="315" spans="1:13" x14ac:dyDescent="0.25">
      <c r="A315" t="s">
        <v>54</v>
      </c>
      <c r="B315" t="s">
        <v>258</v>
      </c>
      <c r="C315" t="s">
        <v>609</v>
      </c>
      <c r="D315" s="24">
        <v>208211.62</v>
      </c>
      <c r="E315" s="24">
        <v>208211.62</v>
      </c>
      <c r="F315" s="24">
        <v>0.19737099999999999</v>
      </c>
      <c r="G315" s="24">
        <v>8.8664000000000007E-2</v>
      </c>
      <c r="H315" s="24">
        <v>1.105712</v>
      </c>
      <c r="I315" t="s">
        <v>15</v>
      </c>
      <c r="J315" s="24">
        <f t="shared" si="17"/>
        <v>0.20821200000000001</v>
      </c>
      <c r="K315" s="24">
        <f t="shared" si="18"/>
        <v>0.2</v>
      </c>
      <c r="L315" s="24">
        <f t="shared" si="19"/>
        <v>0.09</v>
      </c>
      <c r="M315" s="24">
        <f t="shared" si="20"/>
        <v>1.1100000000000001</v>
      </c>
    </row>
    <row r="316" spans="1:13" x14ac:dyDescent="0.25">
      <c r="A316" t="s">
        <v>677</v>
      </c>
      <c r="B316" t="s">
        <v>258</v>
      </c>
      <c r="C316" t="s">
        <v>700</v>
      </c>
      <c r="D316" s="24">
        <v>30.37</v>
      </c>
      <c r="E316" s="24">
        <v>30.37</v>
      </c>
      <c r="F316" s="24">
        <v>9.2000000000000003E-4</v>
      </c>
      <c r="G316" s="24">
        <v>1.5300000000000001E-4</v>
      </c>
      <c r="H316" s="24">
        <v>1.6850000000000001E-3</v>
      </c>
      <c r="I316" t="s">
        <v>15</v>
      </c>
      <c r="J316" s="24">
        <f t="shared" si="17"/>
        <v>3.0000000000000001E-5</v>
      </c>
      <c r="K316" s="24">
        <f t="shared" si="18"/>
        <v>0</v>
      </c>
      <c r="L316" s="24">
        <f t="shared" si="19"/>
        <v>0</v>
      </c>
      <c r="M316" s="24">
        <f t="shared" si="20"/>
        <v>0</v>
      </c>
    </row>
    <row r="317" spans="1:13" x14ac:dyDescent="0.25">
      <c r="A317" t="s">
        <v>38</v>
      </c>
      <c r="B317" t="s">
        <v>258</v>
      </c>
      <c r="C317" t="s">
        <v>403</v>
      </c>
      <c r="D317" s="24">
        <v>365889.81</v>
      </c>
      <c r="E317" s="24">
        <v>365889.81</v>
      </c>
      <c r="F317" s="24">
        <v>5.249244</v>
      </c>
      <c r="G317" s="24">
        <v>9.7071170000000002</v>
      </c>
      <c r="H317" s="24">
        <v>67.080057999999994</v>
      </c>
      <c r="I317" t="s">
        <v>15</v>
      </c>
      <c r="J317" s="24">
        <f t="shared" si="17"/>
        <v>0.36588999999999999</v>
      </c>
      <c r="K317" s="24">
        <f t="shared" si="18"/>
        <v>5.25</v>
      </c>
      <c r="L317" s="24">
        <f t="shared" si="19"/>
        <v>9.7100000000000009</v>
      </c>
      <c r="M317" s="24">
        <f t="shared" si="20"/>
        <v>67.08</v>
      </c>
    </row>
    <row r="318" spans="1:13" x14ac:dyDescent="0.25">
      <c r="A318" t="s">
        <v>44</v>
      </c>
      <c r="B318" t="s">
        <v>258</v>
      </c>
      <c r="C318" t="s">
        <v>642</v>
      </c>
      <c r="D318" s="24">
        <v>3097552.0399999898</v>
      </c>
      <c r="E318" s="24">
        <v>3097687.6199999899</v>
      </c>
      <c r="F318" s="24">
        <v>95.326758999999996</v>
      </c>
      <c r="G318" s="24">
        <v>15.934937</v>
      </c>
      <c r="H318" s="24">
        <v>174.42354399999999</v>
      </c>
      <c r="I318" t="s">
        <v>15</v>
      </c>
      <c r="J318" s="24">
        <f t="shared" si="17"/>
        <v>3.0976880000000002</v>
      </c>
      <c r="K318" s="24">
        <f t="shared" si="18"/>
        <v>95.33</v>
      </c>
      <c r="L318" s="24">
        <f t="shared" si="19"/>
        <v>15.93</v>
      </c>
      <c r="M318" s="24">
        <f t="shared" si="20"/>
        <v>174.42</v>
      </c>
    </row>
    <row r="319" spans="1:13" x14ac:dyDescent="0.25">
      <c r="A319" t="s">
        <v>38</v>
      </c>
      <c r="B319" t="s">
        <v>258</v>
      </c>
      <c r="C319" t="s">
        <v>404</v>
      </c>
      <c r="D319" s="24">
        <v>2133384.37</v>
      </c>
      <c r="E319" s="24">
        <v>2133384.37</v>
      </c>
      <c r="F319" s="24">
        <v>406.42206599999997</v>
      </c>
      <c r="G319" s="24">
        <v>82.248271000000003</v>
      </c>
      <c r="H319" s="24">
        <v>651.78446199999996</v>
      </c>
      <c r="I319" t="s">
        <v>15</v>
      </c>
      <c r="J319" s="24">
        <f t="shared" si="17"/>
        <v>2.1333839999999999</v>
      </c>
      <c r="K319" s="24">
        <f t="shared" si="18"/>
        <v>406.42</v>
      </c>
      <c r="L319" s="24">
        <f t="shared" si="19"/>
        <v>82.25</v>
      </c>
      <c r="M319" s="24">
        <f t="shared" si="20"/>
        <v>651.78</v>
      </c>
    </row>
    <row r="320" spans="1:13" x14ac:dyDescent="0.25">
      <c r="A320" t="s">
        <v>38</v>
      </c>
      <c r="B320" t="s">
        <v>258</v>
      </c>
      <c r="C320" t="s">
        <v>405</v>
      </c>
      <c r="D320" s="24">
        <v>615.53</v>
      </c>
      <c r="E320" s="24">
        <v>615.53</v>
      </c>
      <c r="F320" s="24">
        <v>7.3056999999999997E-2</v>
      </c>
      <c r="G320" s="24">
        <v>1.7285999999999999E-2</v>
      </c>
      <c r="H320" s="24">
        <v>0.23771300000000001</v>
      </c>
      <c r="I320" t="s">
        <v>15</v>
      </c>
      <c r="J320" s="24">
        <f t="shared" si="17"/>
        <v>6.1600000000000001E-4</v>
      </c>
      <c r="K320" s="24">
        <f t="shared" si="18"/>
        <v>7.0000000000000007E-2</v>
      </c>
      <c r="L320" s="24">
        <f t="shared" si="19"/>
        <v>0.02</v>
      </c>
      <c r="M320" s="24">
        <f t="shared" si="20"/>
        <v>0.24</v>
      </c>
    </row>
    <row r="321" spans="1:13" x14ac:dyDescent="0.25">
      <c r="A321" t="s">
        <v>67</v>
      </c>
      <c r="B321" t="s">
        <v>258</v>
      </c>
      <c r="C321" t="s">
        <v>596</v>
      </c>
      <c r="D321" s="24">
        <v>330220.69</v>
      </c>
      <c r="E321" s="24">
        <v>330220.69</v>
      </c>
      <c r="F321" s="24">
        <v>0.313251</v>
      </c>
      <c r="G321" s="24">
        <v>0.14072799999999999</v>
      </c>
      <c r="H321" s="24">
        <v>1.7549410000000001</v>
      </c>
      <c r="I321" t="s">
        <v>15</v>
      </c>
      <c r="J321" s="24">
        <f t="shared" si="17"/>
        <v>0.33022099999999999</v>
      </c>
      <c r="K321" s="24">
        <f t="shared" si="18"/>
        <v>0.31</v>
      </c>
      <c r="L321" s="24">
        <f t="shared" si="19"/>
        <v>0.14000000000000001</v>
      </c>
      <c r="M321" s="24">
        <f t="shared" si="20"/>
        <v>1.75</v>
      </c>
    </row>
    <row r="322" spans="1:13" x14ac:dyDescent="0.25">
      <c r="A322" t="s">
        <v>54</v>
      </c>
      <c r="B322" t="s">
        <v>258</v>
      </c>
      <c r="C322" t="s">
        <v>701</v>
      </c>
      <c r="D322" s="24">
        <v>37198.04</v>
      </c>
      <c r="E322" s="24">
        <v>37198.04</v>
      </c>
      <c r="F322" s="24">
        <v>3.5264999999999998E-2</v>
      </c>
      <c r="G322" s="24">
        <v>1.5845000000000001E-2</v>
      </c>
      <c r="H322" s="24">
        <v>0.197545</v>
      </c>
      <c r="I322" t="s">
        <v>15</v>
      </c>
      <c r="J322" s="24">
        <f t="shared" si="17"/>
        <v>3.7198000000000002E-2</v>
      </c>
      <c r="K322" s="24">
        <f t="shared" si="18"/>
        <v>0.04</v>
      </c>
      <c r="L322" s="24">
        <f t="shared" si="19"/>
        <v>0.02</v>
      </c>
      <c r="M322" s="24">
        <f t="shared" si="20"/>
        <v>0.2</v>
      </c>
    </row>
    <row r="323" spans="1:13" x14ac:dyDescent="0.25">
      <c r="A323" t="s">
        <v>41</v>
      </c>
      <c r="B323" t="s">
        <v>258</v>
      </c>
      <c r="C323" t="s">
        <v>161</v>
      </c>
      <c r="D323" s="24">
        <v>22887.53</v>
      </c>
      <c r="E323" s="24">
        <v>22887.53</v>
      </c>
      <c r="F323" s="24">
        <v>0.110885</v>
      </c>
      <c r="G323" s="24">
        <v>0.24723600000000001</v>
      </c>
      <c r="H323" s="24">
        <v>0.98885599999999996</v>
      </c>
      <c r="I323" t="s">
        <v>15</v>
      </c>
      <c r="J323" s="24">
        <f t="shared" ref="J323:J386" si="21">+ROUND(E323,0)/1000000</f>
        <v>2.2887999999999999E-2</v>
      </c>
      <c r="K323" s="24">
        <f t="shared" ref="K323:K386" si="22">+ROUND(F323,2)</f>
        <v>0.11</v>
      </c>
      <c r="L323" s="24">
        <f t="shared" ref="L323:L386" si="23">+ROUND(G323,2)</f>
        <v>0.25</v>
      </c>
      <c r="M323" s="24">
        <f t="shared" ref="M323:M386" si="24">+ROUND(H323,2)</f>
        <v>0.99</v>
      </c>
    </row>
    <row r="324" spans="1:13" x14ac:dyDescent="0.25">
      <c r="A324" t="s">
        <v>38</v>
      </c>
      <c r="B324" t="s">
        <v>258</v>
      </c>
      <c r="C324" t="s">
        <v>188</v>
      </c>
      <c r="D324" s="24">
        <v>1539191.3299999901</v>
      </c>
      <c r="E324" s="24">
        <v>1539347.45999999</v>
      </c>
      <c r="F324" s="24">
        <v>183.77341100000001</v>
      </c>
      <c r="G324" s="24">
        <v>43.484684000000001</v>
      </c>
      <c r="H324" s="24">
        <v>597.94800599999996</v>
      </c>
      <c r="I324" t="s">
        <v>15</v>
      </c>
      <c r="J324" s="24">
        <f t="shared" si="21"/>
        <v>1.539347</v>
      </c>
      <c r="K324" s="24">
        <f t="shared" si="22"/>
        <v>183.77</v>
      </c>
      <c r="L324" s="24">
        <f t="shared" si="23"/>
        <v>43.48</v>
      </c>
      <c r="M324" s="24">
        <f t="shared" si="24"/>
        <v>597.95000000000005</v>
      </c>
    </row>
    <row r="325" spans="1:13" x14ac:dyDescent="0.25">
      <c r="A325" t="s">
        <v>54</v>
      </c>
      <c r="B325" t="s">
        <v>258</v>
      </c>
      <c r="C325" t="s">
        <v>613</v>
      </c>
      <c r="D325" s="24">
        <v>2824.83</v>
      </c>
      <c r="E325" s="24">
        <v>2824.83</v>
      </c>
      <c r="F325" s="24">
        <v>2.6770000000000001E-3</v>
      </c>
      <c r="G325" s="24">
        <v>1.2030000000000001E-3</v>
      </c>
      <c r="H325" s="24">
        <v>1.4997E-2</v>
      </c>
      <c r="I325" t="s">
        <v>15</v>
      </c>
      <c r="J325" s="24">
        <f t="shared" si="21"/>
        <v>2.8249999999999998E-3</v>
      </c>
      <c r="K325" s="24">
        <f t="shared" si="22"/>
        <v>0</v>
      </c>
      <c r="L325" s="24">
        <f t="shared" si="23"/>
        <v>0</v>
      </c>
      <c r="M325" s="24">
        <f t="shared" si="24"/>
        <v>0.01</v>
      </c>
    </row>
    <row r="326" spans="1:13" x14ac:dyDescent="0.25">
      <c r="A326" t="s">
        <v>38</v>
      </c>
      <c r="B326" t="s">
        <v>258</v>
      </c>
      <c r="C326" t="s">
        <v>93</v>
      </c>
      <c r="D326" s="24">
        <v>1785561.6499999899</v>
      </c>
      <c r="E326" s="24">
        <v>1785598.23999999</v>
      </c>
      <c r="F326" s="24">
        <v>83.066813999999994</v>
      </c>
      <c r="G326" s="24">
        <v>75.178533999999999</v>
      </c>
      <c r="H326" s="24">
        <v>388.41187400000001</v>
      </c>
      <c r="I326" t="s">
        <v>15</v>
      </c>
      <c r="J326" s="24">
        <f t="shared" si="21"/>
        <v>1.785598</v>
      </c>
      <c r="K326" s="24">
        <f t="shared" si="22"/>
        <v>83.07</v>
      </c>
      <c r="L326" s="24">
        <f t="shared" si="23"/>
        <v>75.180000000000007</v>
      </c>
      <c r="M326" s="24">
        <f t="shared" si="24"/>
        <v>388.41</v>
      </c>
    </row>
    <row r="327" spans="1:13" x14ac:dyDescent="0.25">
      <c r="A327" t="s">
        <v>34</v>
      </c>
      <c r="B327" t="s">
        <v>258</v>
      </c>
      <c r="C327" t="s">
        <v>524</v>
      </c>
      <c r="D327" s="24">
        <v>207931.03</v>
      </c>
      <c r="E327" s="24">
        <v>207931.03</v>
      </c>
      <c r="F327" s="24">
        <v>6.6002239999999999</v>
      </c>
      <c r="G327" s="24">
        <v>3.1350340000000001</v>
      </c>
      <c r="H327" s="24">
        <v>30.025613</v>
      </c>
      <c r="I327" t="s">
        <v>15</v>
      </c>
      <c r="J327" s="24">
        <f t="shared" si="21"/>
        <v>0.207931</v>
      </c>
      <c r="K327" s="24">
        <f t="shared" si="22"/>
        <v>6.6</v>
      </c>
      <c r="L327" s="24">
        <f t="shared" si="23"/>
        <v>3.14</v>
      </c>
      <c r="M327" s="24">
        <f t="shared" si="24"/>
        <v>30.03</v>
      </c>
    </row>
    <row r="328" spans="1:13" x14ac:dyDescent="0.25">
      <c r="A328" t="s">
        <v>73</v>
      </c>
      <c r="B328" t="s">
        <v>258</v>
      </c>
      <c r="C328" t="s">
        <v>476</v>
      </c>
      <c r="D328" s="24">
        <v>47702.06</v>
      </c>
      <c r="E328" s="24">
        <v>47702.06</v>
      </c>
      <c r="F328" s="24">
        <v>1.3115520000000001</v>
      </c>
      <c r="G328" s="24">
        <v>0.18428700000000001</v>
      </c>
      <c r="H328" s="24">
        <v>10.199260000000001</v>
      </c>
      <c r="I328" t="s">
        <v>15</v>
      </c>
      <c r="J328" s="24">
        <f t="shared" si="21"/>
        <v>4.7702000000000001E-2</v>
      </c>
      <c r="K328" s="24">
        <f t="shared" si="22"/>
        <v>1.31</v>
      </c>
      <c r="L328" s="24">
        <f t="shared" si="23"/>
        <v>0.18</v>
      </c>
      <c r="M328" s="24">
        <f t="shared" si="24"/>
        <v>10.199999999999999</v>
      </c>
    </row>
    <row r="329" spans="1:13" x14ac:dyDescent="0.25">
      <c r="A329" t="s">
        <v>133</v>
      </c>
      <c r="B329" t="s">
        <v>258</v>
      </c>
      <c r="C329" t="s">
        <v>562</v>
      </c>
      <c r="D329" s="24">
        <v>24665694.949999899</v>
      </c>
      <c r="E329" s="24">
        <v>24665903.519999899</v>
      </c>
      <c r="F329" s="24">
        <v>783.007205</v>
      </c>
      <c r="G329" s="24">
        <v>371.92030299999999</v>
      </c>
      <c r="H329" s="24">
        <v>3562.0346239999999</v>
      </c>
      <c r="I329" t="s">
        <v>15</v>
      </c>
      <c r="J329" s="24">
        <f t="shared" si="21"/>
        <v>24.665904000000001</v>
      </c>
      <c r="K329" s="24">
        <f t="shared" si="22"/>
        <v>783.01</v>
      </c>
      <c r="L329" s="24">
        <f t="shared" si="23"/>
        <v>371.92</v>
      </c>
      <c r="M329" s="24">
        <f t="shared" si="24"/>
        <v>3562.03</v>
      </c>
    </row>
    <row r="330" spans="1:13" x14ac:dyDescent="0.25">
      <c r="A330" t="s">
        <v>38</v>
      </c>
      <c r="B330" t="s">
        <v>258</v>
      </c>
      <c r="C330" t="s">
        <v>376</v>
      </c>
      <c r="D330" s="24">
        <v>137896.39000000001</v>
      </c>
      <c r="E330" s="24">
        <v>137896.39000000001</v>
      </c>
      <c r="F330" s="24">
        <v>26.268675000000002</v>
      </c>
      <c r="G330" s="24">
        <v>5.3160290000000003</v>
      </c>
      <c r="H330" s="24">
        <v>42.127428000000002</v>
      </c>
      <c r="I330" t="s">
        <v>15</v>
      </c>
      <c r="J330" s="24">
        <f t="shared" si="21"/>
        <v>0.13789599999999999</v>
      </c>
      <c r="K330" s="24">
        <f t="shared" si="22"/>
        <v>26.27</v>
      </c>
      <c r="L330" s="24">
        <f t="shared" si="23"/>
        <v>5.32</v>
      </c>
      <c r="M330" s="24">
        <f t="shared" si="24"/>
        <v>42.13</v>
      </c>
    </row>
    <row r="331" spans="1:13" x14ac:dyDescent="0.25">
      <c r="A331" t="s">
        <v>38</v>
      </c>
      <c r="B331" t="s">
        <v>258</v>
      </c>
      <c r="C331" t="s">
        <v>377</v>
      </c>
      <c r="D331" s="24">
        <v>60506.62</v>
      </c>
      <c r="E331" s="24">
        <v>60506.62</v>
      </c>
      <c r="F331" s="24">
        <v>0.99418700000000004</v>
      </c>
      <c r="G331" s="24">
        <v>0.45708900000000002</v>
      </c>
      <c r="H331" s="24">
        <v>13.426031</v>
      </c>
      <c r="I331" t="s">
        <v>15</v>
      </c>
      <c r="J331" s="24">
        <f t="shared" si="21"/>
        <v>6.0506999999999998E-2</v>
      </c>
      <c r="K331" s="24">
        <f t="shared" si="22"/>
        <v>0.99</v>
      </c>
      <c r="L331" s="24">
        <f t="shared" si="23"/>
        <v>0.46</v>
      </c>
      <c r="M331" s="24">
        <f t="shared" si="24"/>
        <v>13.43</v>
      </c>
    </row>
    <row r="332" spans="1:13" x14ac:dyDescent="0.25">
      <c r="A332" t="s">
        <v>38</v>
      </c>
      <c r="B332" t="s">
        <v>258</v>
      </c>
      <c r="C332" t="s">
        <v>180</v>
      </c>
      <c r="D332" s="24">
        <v>1313.3399999999899</v>
      </c>
      <c r="E332" s="24">
        <v>1313.50999999999</v>
      </c>
      <c r="F332" s="24">
        <v>2.9381000000000001E-2</v>
      </c>
      <c r="G332" s="24">
        <v>1.5970999999999999E-2</v>
      </c>
      <c r="H332" s="24">
        <v>0.26162800000000003</v>
      </c>
      <c r="I332" t="s">
        <v>15</v>
      </c>
      <c r="J332" s="24">
        <f t="shared" si="21"/>
        <v>1.3140000000000001E-3</v>
      </c>
      <c r="K332" s="24">
        <f t="shared" si="22"/>
        <v>0.03</v>
      </c>
      <c r="L332" s="24">
        <f t="shared" si="23"/>
        <v>0.02</v>
      </c>
      <c r="M332" s="24">
        <f t="shared" si="24"/>
        <v>0.26</v>
      </c>
    </row>
    <row r="333" spans="1:13" x14ac:dyDescent="0.25">
      <c r="A333" t="s">
        <v>662</v>
      </c>
      <c r="B333" t="s">
        <v>258</v>
      </c>
      <c r="C333" t="s">
        <v>702</v>
      </c>
      <c r="D333" s="24">
        <v>3501750.31</v>
      </c>
      <c r="E333" s="24">
        <v>3501750.31</v>
      </c>
      <c r="F333" s="24">
        <v>107.58105</v>
      </c>
      <c r="G333" s="24">
        <v>17.983574999999998</v>
      </c>
      <c r="H333" s="24">
        <v>196.84550899999999</v>
      </c>
      <c r="I333" t="s">
        <v>15</v>
      </c>
      <c r="J333" s="24">
        <f t="shared" si="21"/>
        <v>3.5017499999999999</v>
      </c>
      <c r="K333" s="24">
        <f t="shared" si="22"/>
        <v>107.58</v>
      </c>
      <c r="L333" s="24">
        <f t="shared" si="23"/>
        <v>17.98</v>
      </c>
      <c r="M333" s="24">
        <f t="shared" si="24"/>
        <v>196.85</v>
      </c>
    </row>
    <row r="334" spans="1:13" x14ac:dyDescent="0.25">
      <c r="A334" t="s">
        <v>677</v>
      </c>
      <c r="B334" t="s">
        <v>258</v>
      </c>
      <c r="C334" t="s">
        <v>678</v>
      </c>
      <c r="D334" s="24">
        <v>362.65</v>
      </c>
      <c r="E334" s="24">
        <v>362.65</v>
      </c>
      <c r="F334" s="24">
        <v>1.1056E-2</v>
      </c>
      <c r="G334" s="24">
        <v>1.8450000000000001E-3</v>
      </c>
      <c r="H334" s="24">
        <v>2.0233000000000001E-2</v>
      </c>
      <c r="I334" t="s">
        <v>15</v>
      </c>
      <c r="J334" s="24">
        <f t="shared" si="21"/>
        <v>3.6299999999999999E-4</v>
      </c>
      <c r="K334" s="24">
        <f t="shared" si="22"/>
        <v>0.01</v>
      </c>
      <c r="L334" s="24">
        <f t="shared" si="23"/>
        <v>0</v>
      </c>
      <c r="M334" s="24">
        <f t="shared" si="24"/>
        <v>0.02</v>
      </c>
    </row>
    <row r="335" spans="1:13" x14ac:dyDescent="0.25">
      <c r="A335" t="s">
        <v>125</v>
      </c>
      <c r="B335" t="s">
        <v>258</v>
      </c>
      <c r="C335" t="s">
        <v>283</v>
      </c>
      <c r="D335" s="24">
        <v>146308.56</v>
      </c>
      <c r="E335" s="24">
        <v>146308.56</v>
      </c>
      <c r="F335" s="24">
        <v>180.722589</v>
      </c>
      <c r="G335" s="24">
        <v>13.843958000000001</v>
      </c>
      <c r="H335" s="24">
        <v>73.022113000000004</v>
      </c>
      <c r="I335" t="s">
        <v>15</v>
      </c>
      <c r="J335" s="24">
        <f t="shared" si="21"/>
        <v>0.14630899999999999</v>
      </c>
      <c r="K335" s="24">
        <f t="shared" si="22"/>
        <v>180.72</v>
      </c>
      <c r="L335" s="24">
        <f t="shared" si="23"/>
        <v>13.84</v>
      </c>
      <c r="M335" s="24">
        <f t="shared" si="24"/>
        <v>73.02</v>
      </c>
    </row>
    <row r="336" spans="1:13" x14ac:dyDescent="0.25">
      <c r="A336" t="s">
        <v>38</v>
      </c>
      <c r="B336" t="s">
        <v>258</v>
      </c>
      <c r="C336" t="s">
        <v>382</v>
      </c>
      <c r="D336" s="24">
        <v>65547.63</v>
      </c>
      <c r="E336" s="24">
        <v>65547.63</v>
      </c>
      <c r="F336" s="24">
        <v>3.6314039999999999</v>
      </c>
      <c r="G336" s="24">
        <v>2.4690180000000002</v>
      </c>
      <c r="H336" s="24">
        <v>44.254886999999997</v>
      </c>
      <c r="I336" t="s">
        <v>15</v>
      </c>
      <c r="J336" s="24">
        <f t="shared" si="21"/>
        <v>6.5547999999999995E-2</v>
      </c>
      <c r="K336" s="24">
        <f t="shared" si="22"/>
        <v>3.63</v>
      </c>
      <c r="L336" s="24">
        <f t="shared" si="23"/>
        <v>2.4700000000000002</v>
      </c>
      <c r="M336" s="24">
        <f t="shared" si="24"/>
        <v>44.25</v>
      </c>
    </row>
    <row r="337" spans="1:13" x14ac:dyDescent="0.25">
      <c r="A337" t="s">
        <v>34</v>
      </c>
      <c r="B337" t="s">
        <v>258</v>
      </c>
      <c r="C337" t="s">
        <v>514</v>
      </c>
      <c r="D337" s="24">
        <v>2424.5100000000002</v>
      </c>
      <c r="E337" s="24">
        <v>2424.5100000000002</v>
      </c>
      <c r="F337" s="24">
        <v>7.6851000000000003E-2</v>
      </c>
      <c r="G337" s="24">
        <v>3.6500999999999999E-2</v>
      </c>
      <c r="H337" s="24">
        <v>0.34961999999999999</v>
      </c>
      <c r="I337" t="s">
        <v>15</v>
      </c>
      <c r="J337" s="24">
        <f t="shared" si="21"/>
        <v>2.4250000000000001E-3</v>
      </c>
      <c r="K337" s="24">
        <f t="shared" si="22"/>
        <v>0.08</v>
      </c>
      <c r="L337" s="24">
        <f t="shared" si="23"/>
        <v>0.04</v>
      </c>
      <c r="M337" s="24">
        <f t="shared" si="24"/>
        <v>0.35</v>
      </c>
    </row>
    <row r="338" spans="1:13" x14ac:dyDescent="0.25">
      <c r="A338" t="s">
        <v>662</v>
      </c>
      <c r="B338" t="s">
        <v>258</v>
      </c>
      <c r="C338" t="s">
        <v>672</v>
      </c>
      <c r="D338" s="24">
        <v>247852.09999999899</v>
      </c>
      <c r="E338" s="24">
        <v>247883.989999999</v>
      </c>
      <c r="F338" s="24">
        <v>7.6131339999999996</v>
      </c>
      <c r="G338" s="24">
        <v>1.2726040000000001</v>
      </c>
      <c r="H338" s="24">
        <v>13.930109</v>
      </c>
      <c r="I338" t="s">
        <v>15</v>
      </c>
      <c r="J338" s="24">
        <f t="shared" si="21"/>
        <v>0.24788399999999999</v>
      </c>
      <c r="K338" s="24">
        <f t="shared" si="22"/>
        <v>7.61</v>
      </c>
      <c r="L338" s="24">
        <f t="shared" si="23"/>
        <v>1.27</v>
      </c>
      <c r="M338" s="24">
        <f t="shared" si="24"/>
        <v>13.93</v>
      </c>
    </row>
    <row r="339" spans="1:13" x14ac:dyDescent="0.25">
      <c r="A339" t="s">
        <v>646</v>
      </c>
      <c r="B339" t="s">
        <v>258</v>
      </c>
      <c r="C339" t="s">
        <v>654</v>
      </c>
      <c r="D339" s="24">
        <v>1268300.54999999</v>
      </c>
      <c r="E339" s="24">
        <v>1268709.8599999901</v>
      </c>
      <c r="F339" s="24">
        <v>38.968915000000003</v>
      </c>
      <c r="G339" s="24">
        <v>6.5141159999999996</v>
      </c>
      <c r="H339" s="24">
        <v>71.303111000000001</v>
      </c>
      <c r="I339" t="s">
        <v>15</v>
      </c>
      <c r="J339" s="24">
        <f t="shared" si="21"/>
        <v>1.26871</v>
      </c>
      <c r="K339" s="24">
        <f t="shared" si="22"/>
        <v>38.97</v>
      </c>
      <c r="L339" s="24">
        <f t="shared" si="23"/>
        <v>6.51</v>
      </c>
      <c r="M339" s="24">
        <f t="shared" si="24"/>
        <v>71.3</v>
      </c>
    </row>
    <row r="340" spans="1:13" x14ac:dyDescent="0.25">
      <c r="A340" t="s">
        <v>54</v>
      </c>
      <c r="B340" t="s">
        <v>258</v>
      </c>
      <c r="C340" t="s">
        <v>614</v>
      </c>
      <c r="D340" s="24">
        <v>66153.899999999994</v>
      </c>
      <c r="E340" s="24">
        <v>66153.899999999994</v>
      </c>
      <c r="F340" s="24">
        <v>6.2703999999999996E-2</v>
      </c>
      <c r="G340" s="24">
        <v>2.8167999999999999E-2</v>
      </c>
      <c r="H340" s="24">
        <v>0.35127999999999998</v>
      </c>
      <c r="I340" t="s">
        <v>15</v>
      </c>
      <c r="J340" s="24">
        <f t="shared" si="21"/>
        <v>6.6154000000000004E-2</v>
      </c>
      <c r="K340" s="24">
        <f t="shared" si="22"/>
        <v>0.06</v>
      </c>
      <c r="L340" s="24">
        <f t="shared" si="23"/>
        <v>0.03</v>
      </c>
      <c r="M340" s="24">
        <f t="shared" si="24"/>
        <v>0.35</v>
      </c>
    </row>
    <row r="341" spans="1:13" x14ac:dyDescent="0.25">
      <c r="A341" t="s">
        <v>54</v>
      </c>
      <c r="B341" t="s">
        <v>258</v>
      </c>
      <c r="C341" t="s">
        <v>610</v>
      </c>
      <c r="D341" s="24">
        <v>117000.48</v>
      </c>
      <c r="E341" s="24">
        <v>117000.48</v>
      </c>
      <c r="F341" s="24">
        <v>7.3683540000000001</v>
      </c>
      <c r="G341" s="24">
        <v>0.52971500000000005</v>
      </c>
      <c r="H341" s="24">
        <v>11.488575000000001</v>
      </c>
      <c r="I341" t="s">
        <v>15</v>
      </c>
      <c r="J341" s="24">
        <f t="shared" si="21"/>
        <v>0.11700000000000001</v>
      </c>
      <c r="K341" s="24">
        <f t="shared" si="22"/>
        <v>7.37</v>
      </c>
      <c r="L341" s="24">
        <f t="shared" si="23"/>
        <v>0.53</v>
      </c>
      <c r="M341" s="24">
        <f t="shared" si="24"/>
        <v>11.49</v>
      </c>
    </row>
    <row r="342" spans="1:13" x14ac:dyDescent="0.25">
      <c r="A342" t="s">
        <v>44</v>
      </c>
      <c r="B342" t="s">
        <v>258</v>
      </c>
      <c r="C342" t="s">
        <v>641</v>
      </c>
      <c r="D342" s="24">
        <v>19189.66</v>
      </c>
      <c r="E342" s="24">
        <v>19189.66</v>
      </c>
      <c r="F342" s="24">
        <v>0.58949300000000004</v>
      </c>
      <c r="G342" s="24">
        <v>9.8540000000000003E-2</v>
      </c>
      <c r="H342" s="24">
        <v>1.078622</v>
      </c>
      <c r="I342" t="s">
        <v>15</v>
      </c>
      <c r="J342" s="24">
        <f t="shared" si="21"/>
        <v>1.9189999999999999E-2</v>
      </c>
      <c r="K342" s="24">
        <f t="shared" si="22"/>
        <v>0.59</v>
      </c>
      <c r="L342" s="24">
        <f t="shared" si="23"/>
        <v>0.1</v>
      </c>
      <c r="M342" s="24">
        <f t="shared" si="24"/>
        <v>1.08</v>
      </c>
    </row>
    <row r="343" spans="1:13" x14ac:dyDescent="0.25">
      <c r="A343" t="s">
        <v>34</v>
      </c>
      <c r="B343" t="s">
        <v>258</v>
      </c>
      <c r="C343" t="s">
        <v>515</v>
      </c>
      <c r="D343" s="24">
        <v>394127.31</v>
      </c>
      <c r="E343" s="24">
        <v>394127.31</v>
      </c>
      <c r="F343" s="24">
        <v>12.510142</v>
      </c>
      <c r="G343" s="24">
        <v>5.9421780000000002</v>
      </c>
      <c r="H343" s="24">
        <v>56.910953999999997</v>
      </c>
      <c r="I343" t="s">
        <v>15</v>
      </c>
      <c r="J343" s="24">
        <f t="shared" si="21"/>
        <v>0.39412700000000001</v>
      </c>
      <c r="K343" s="24">
        <f t="shared" si="22"/>
        <v>12.51</v>
      </c>
      <c r="L343" s="24">
        <f t="shared" si="23"/>
        <v>5.94</v>
      </c>
      <c r="M343" s="24">
        <f t="shared" si="24"/>
        <v>56.91</v>
      </c>
    </row>
    <row r="344" spans="1:13" x14ac:dyDescent="0.25">
      <c r="A344" t="s">
        <v>238</v>
      </c>
      <c r="B344" t="s">
        <v>258</v>
      </c>
      <c r="C344" t="s">
        <v>703</v>
      </c>
      <c r="D344" s="24">
        <v>1306.43</v>
      </c>
      <c r="E344" s="24">
        <v>1306.43</v>
      </c>
      <c r="F344" s="24">
        <v>1.238E-3</v>
      </c>
      <c r="G344" s="24">
        <v>5.5599999999999996E-4</v>
      </c>
      <c r="H344" s="24">
        <v>6.9350000000000002E-3</v>
      </c>
      <c r="I344" t="s">
        <v>15</v>
      </c>
      <c r="J344" s="24">
        <f t="shared" si="21"/>
        <v>1.3060000000000001E-3</v>
      </c>
      <c r="K344" s="24">
        <f t="shared" si="22"/>
        <v>0</v>
      </c>
      <c r="L344" s="24">
        <f t="shared" si="23"/>
        <v>0</v>
      </c>
      <c r="M344" s="24">
        <f t="shared" si="24"/>
        <v>0.01</v>
      </c>
    </row>
    <row r="345" spans="1:13" x14ac:dyDescent="0.25">
      <c r="A345" t="s">
        <v>626</v>
      </c>
      <c r="B345" t="s">
        <v>258</v>
      </c>
      <c r="C345" t="s">
        <v>632</v>
      </c>
      <c r="D345" s="24">
        <v>1257116.95999999</v>
      </c>
      <c r="E345" s="24">
        <v>1257131.8599999901</v>
      </c>
      <c r="F345" s="24">
        <v>38.62773</v>
      </c>
      <c r="G345" s="24">
        <v>6.4570179999999997</v>
      </c>
      <c r="H345" s="24">
        <v>70.678875000000005</v>
      </c>
      <c r="I345" t="s">
        <v>15</v>
      </c>
      <c r="J345" s="24">
        <f t="shared" si="21"/>
        <v>1.2571319999999999</v>
      </c>
      <c r="K345" s="24">
        <f t="shared" si="22"/>
        <v>38.630000000000003</v>
      </c>
      <c r="L345" s="24">
        <f t="shared" si="23"/>
        <v>6.46</v>
      </c>
      <c r="M345" s="24">
        <f t="shared" si="24"/>
        <v>70.680000000000007</v>
      </c>
    </row>
    <row r="346" spans="1:13" x14ac:dyDescent="0.25">
      <c r="A346" t="s">
        <v>173</v>
      </c>
      <c r="B346" t="s">
        <v>258</v>
      </c>
      <c r="C346" t="s">
        <v>293</v>
      </c>
      <c r="D346" s="24">
        <v>1023966.0699999901</v>
      </c>
      <c r="E346" s="24">
        <v>1024860.33999999</v>
      </c>
      <c r="F346" s="24">
        <v>575.42859999999996</v>
      </c>
      <c r="G346" s="24">
        <v>69.683394000000007</v>
      </c>
      <c r="H346" s="24">
        <v>370.337761</v>
      </c>
      <c r="I346" t="s">
        <v>15</v>
      </c>
      <c r="J346" s="24">
        <f t="shared" si="21"/>
        <v>1.0248600000000001</v>
      </c>
      <c r="K346" s="24">
        <f t="shared" si="22"/>
        <v>575.42999999999995</v>
      </c>
      <c r="L346" s="24">
        <f t="shared" si="23"/>
        <v>69.680000000000007</v>
      </c>
      <c r="M346" s="24">
        <f t="shared" si="24"/>
        <v>370.34</v>
      </c>
    </row>
    <row r="347" spans="1:13" x14ac:dyDescent="0.25">
      <c r="A347" t="s">
        <v>148</v>
      </c>
      <c r="B347" t="s">
        <v>258</v>
      </c>
      <c r="C347" t="s">
        <v>196</v>
      </c>
      <c r="D347" s="24">
        <v>64582.9</v>
      </c>
      <c r="E347" s="24">
        <v>64582.9</v>
      </c>
      <c r="F347" s="24">
        <v>36.290892999999997</v>
      </c>
      <c r="G347" s="24">
        <v>4.3947609999999999</v>
      </c>
      <c r="H347" s="24">
        <v>23.356307999999999</v>
      </c>
      <c r="I347" t="s">
        <v>15</v>
      </c>
      <c r="J347" s="24">
        <f t="shared" si="21"/>
        <v>6.4583000000000002E-2</v>
      </c>
      <c r="K347" s="24">
        <f t="shared" si="22"/>
        <v>36.29</v>
      </c>
      <c r="L347" s="24">
        <f t="shared" si="23"/>
        <v>4.3899999999999997</v>
      </c>
      <c r="M347" s="24">
        <f t="shared" si="24"/>
        <v>23.36</v>
      </c>
    </row>
    <row r="348" spans="1:13" x14ac:dyDescent="0.25">
      <c r="A348" t="s">
        <v>54</v>
      </c>
      <c r="B348" t="s">
        <v>258</v>
      </c>
      <c r="C348" t="s">
        <v>617</v>
      </c>
      <c r="D348" s="24">
        <v>80672.19</v>
      </c>
      <c r="E348" s="24">
        <v>80672.19</v>
      </c>
      <c r="F348" s="24">
        <v>7.6472999999999999E-2</v>
      </c>
      <c r="G348" s="24">
        <v>3.4356999999999999E-2</v>
      </c>
      <c r="H348" s="24">
        <v>0.428396</v>
      </c>
      <c r="I348" t="s">
        <v>15</v>
      </c>
      <c r="J348" s="24">
        <f t="shared" si="21"/>
        <v>8.0671999999999994E-2</v>
      </c>
      <c r="K348" s="24">
        <f t="shared" si="22"/>
        <v>0.08</v>
      </c>
      <c r="L348" s="24">
        <f t="shared" si="23"/>
        <v>0.03</v>
      </c>
      <c r="M348" s="24">
        <f t="shared" si="24"/>
        <v>0.43</v>
      </c>
    </row>
    <row r="349" spans="1:13" x14ac:dyDescent="0.25">
      <c r="A349" t="s">
        <v>34</v>
      </c>
      <c r="B349" t="s">
        <v>258</v>
      </c>
      <c r="C349" t="s">
        <v>537</v>
      </c>
      <c r="D349" s="24">
        <v>472028.4</v>
      </c>
      <c r="E349" s="24">
        <v>472028.4</v>
      </c>
      <c r="F349" s="24">
        <v>14.983033000000001</v>
      </c>
      <c r="G349" s="24">
        <v>7.1167680000000004</v>
      </c>
      <c r="H349" s="24">
        <v>68.160576000000006</v>
      </c>
      <c r="I349" t="s">
        <v>15</v>
      </c>
      <c r="J349" s="24">
        <f t="shared" si="21"/>
        <v>0.472028</v>
      </c>
      <c r="K349" s="24">
        <f t="shared" si="22"/>
        <v>14.98</v>
      </c>
      <c r="L349" s="24">
        <f t="shared" si="23"/>
        <v>7.12</v>
      </c>
      <c r="M349" s="24">
        <f t="shared" si="24"/>
        <v>68.16</v>
      </c>
    </row>
    <row r="350" spans="1:13" x14ac:dyDescent="0.25">
      <c r="A350" t="s">
        <v>38</v>
      </c>
      <c r="B350" t="s">
        <v>258</v>
      </c>
      <c r="C350" t="s">
        <v>438</v>
      </c>
      <c r="D350" s="24">
        <v>148007.5</v>
      </c>
      <c r="E350" s="24">
        <v>148007.5</v>
      </c>
      <c r="F350" s="24">
        <v>28.194109000000001</v>
      </c>
      <c r="G350" s="24">
        <v>5.7056719999999999</v>
      </c>
      <c r="H350" s="24">
        <v>45.215276000000003</v>
      </c>
      <c r="I350" t="s">
        <v>15</v>
      </c>
      <c r="J350" s="24">
        <f t="shared" si="21"/>
        <v>0.148008</v>
      </c>
      <c r="K350" s="24">
        <f t="shared" si="22"/>
        <v>28.19</v>
      </c>
      <c r="L350" s="24">
        <f t="shared" si="23"/>
        <v>5.71</v>
      </c>
      <c r="M350" s="24">
        <f t="shared" si="24"/>
        <v>45.22</v>
      </c>
    </row>
    <row r="351" spans="1:13" x14ac:dyDescent="0.25">
      <c r="A351" t="s">
        <v>38</v>
      </c>
      <c r="B351" t="s">
        <v>258</v>
      </c>
      <c r="C351" t="s">
        <v>439</v>
      </c>
      <c r="D351" s="24">
        <v>418657.109999999</v>
      </c>
      <c r="E351" s="24">
        <v>419030.28999999899</v>
      </c>
      <c r="F351" s="24">
        <v>6.0064640000000002</v>
      </c>
      <c r="G351" s="24">
        <v>11.107397000000001</v>
      </c>
      <c r="H351" s="24">
        <v>76.756601000000003</v>
      </c>
      <c r="I351" t="s">
        <v>15</v>
      </c>
      <c r="J351" s="24">
        <f t="shared" si="21"/>
        <v>0.41903000000000001</v>
      </c>
      <c r="K351" s="24">
        <f t="shared" si="22"/>
        <v>6.01</v>
      </c>
      <c r="L351" s="24">
        <f t="shared" si="23"/>
        <v>11.11</v>
      </c>
      <c r="M351" s="24">
        <f t="shared" si="24"/>
        <v>76.760000000000005</v>
      </c>
    </row>
    <row r="352" spans="1:13" x14ac:dyDescent="0.25">
      <c r="A352" t="s">
        <v>173</v>
      </c>
      <c r="B352" t="s">
        <v>258</v>
      </c>
      <c r="C352" t="s">
        <v>704</v>
      </c>
      <c r="D352" s="24">
        <v>4.37</v>
      </c>
      <c r="E352" s="24">
        <v>4.37</v>
      </c>
      <c r="F352" s="24">
        <v>2.2469999999999999E-3</v>
      </c>
      <c r="G352" s="24">
        <v>2.72E-4</v>
      </c>
      <c r="H352" s="24">
        <v>1.446E-3</v>
      </c>
      <c r="I352" t="s">
        <v>15</v>
      </c>
      <c r="J352" s="24">
        <f t="shared" si="21"/>
        <v>3.9999999999999998E-6</v>
      </c>
      <c r="K352" s="24">
        <f t="shared" si="22"/>
        <v>0</v>
      </c>
      <c r="L352" s="24">
        <f t="shared" si="23"/>
        <v>0</v>
      </c>
      <c r="M352" s="24">
        <f t="shared" si="24"/>
        <v>0</v>
      </c>
    </row>
    <row r="353" spans="1:13" x14ac:dyDescent="0.25">
      <c r="A353" t="s">
        <v>238</v>
      </c>
      <c r="B353" t="s">
        <v>258</v>
      </c>
      <c r="C353" t="s">
        <v>239</v>
      </c>
      <c r="D353" s="24">
        <v>10194.02</v>
      </c>
      <c r="E353" s="24">
        <v>10194.02</v>
      </c>
      <c r="F353" s="24">
        <v>1.022E-2</v>
      </c>
      <c r="G353" s="24">
        <v>4.5890000000000002E-3</v>
      </c>
      <c r="H353" s="24">
        <v>5.7263000000000001E-2</v>
      </c>
      <c r="I353" t="s">
        <v>15</v>
      </c>
      <c r="J353" s="24">
        <f t="shared" si="21"/>
        <v>1.0194E-2</v>
      </c>
      <c r="K353" s="24">
        <f t="shared" si="22"/>
        <v>0.01</v>
      </c>
      <c r="L353" s="24">
        <f t="shared" si="23"/>
        <v>0</v>
      </c>
      <c r="M353" s="24">
        <f t="shared" si="24"/>
        <v>0.06</v>
      </c>
    </row>
    <row r="354" spans="1:13" x14ac:dyDescent="0.25">
      <c r="A354" t="s">
        <v>125</v>
      </c>
      <c r="B354" t="s">
        <v>258</v>
      </c>
      <c r="C354" t="s">
        <v>285</v>
      </c>
      <c r="D354" s="24">
        <v>2312823.9199999901</v>
      </c>
      <c r="E354" s="24">
        <v>2312860.75999999</v>
      </c>
      <c r="F354" s="24">
        <v>2857.0613090000002</v>
      </c>
      <c r="G354" s="24">
        <v>218.86063200000001</v>
      </c>
      <c r="H354" s="24">
        <v>1154.4139050000001</v>
      </c>
      <c r="I354" t="s">
        <v>15</v>
      </c>
      <c r="J354" s="24">
        <f t="shared" si="21"/>
        <v>2.3128609999999998</v>
      </c>
      <c r="K354" s="24">
        <f t="shared" si="22"/>
        <v>2857.06</v>
      </c>
      <c r="L354" s="24">
        <f t="shared" si="23"/>
        <v>218.86</v>
      </c>
      <c r="M354" s="24">
        <f t="shared" si="24"/>
        <v>1154.4100000000001</v>
      </c>
    </row>
    <row r="355" spans="1:13" x14ac:dyDescent="0.25">
      <c r="A355" t="s">
        <v>624</v>
      </c>
      <c r="B355" t="s">
        <v>258</v>
      </c>
      <c r="C355" t="s">
        <v>705</v>
      </c>
      <c r="D355" s="24">
        <v>25499365.620000001</v>
      </c>
      <c r="E355" s="24">
        <v>25499365.620000001</v>
      </c>
      <c r="F355" s="24">
        <v>783.39400899999998</v>
      </c>
      <c r="G355" s="24">
        <v>130.954532</v>
      </c>
      <c r="H355" s="24">
        <v>1433.408496</v>
      </c>
      <c r="I355" t="s">
        <v>15</v>
      </c>
      <c r="J355" s="24">
        <f t="shared" si="21"/>
        <v>25.499365999999998</v>
      </c>
      <c r="K355" s="24">
        <f t="shared" si="22"/>
        <v>783.39</v>
      </c>
      <c r="L355" s="24">
        <f t="shared" si="23"/>
        <v>130.94999999999999</v>
      </c>
      <c r="M355" s="24">
        <f t="shared" si="24"/>
        <v>1433.41</v>
      </c>
    </row>
    <row r="356" spans="1:13" x14ac:dyDescent="0.25">
      <c r="A356" t="s">
        <v>148</v>
      </c>
      <c r="B356" t="s">
        <v>258</v>
      </c>
      <c r="C356" t="s">
        <v>467</v>
      </c>
      <c r="D356" s="24">
        <v>39217.599999999999</v>
      </c>
      <c r="E356" s="24">
        <v>39217.599999999999</v>
      </c>
      <c r="F356" s="24">
        <v>24.26566</v>
      </c>
      <c r="G356" s="24">
        <v>0.90085899999999997</v>
      </c>
      <c r="H356" s="24">
        <v>7.5337519999999998</v>
      </c>
      <c r="I356" t="s">
        <v>15</v>
      </c>
      <c r="J356" s="24">
        <f t="shared" si="21"/>
        <v>3.9218000000000003E-2</v>
      </c>
      <c r="K356" s="24">
        <f t="shared" si="22"/>
        <v>24.27</v>
      </c>
      <c r="L356" s="24">
        <f t="shared" si="23"/>
        <v>0.9</v>
      </c>
      <c r="M356" s="24">
        <f t="shared" si="24"/>
        <v>7.53</v>
      </c>
    </row>
    <row r="357" spans="1:13" x14ac:dyDescent="0.25">
      <c r="A357" t="s">
        <v>38</v>
      </c>
      <c r="B357" t="s">
        <v>258</v>
      </c>
      <c r="C357" t="s">
        <v>130</v>
      </c>
      <c r="D357" s="24">
        <v>67216.98</v>
      </c>
      <c r="E357" s="24">
        <v>67216.98</v>
      </c>
      <c r="F357" s="24">
        <v>12.808472999999999</v>
      </c>
      <c r="G357" s="24">
        <v>2.5920610000000002</v>
      </c>
      <c r="H357" s="24">
        <v>20.541119999999999</v>
      </c>
      <c r="I357" t="s">
        <v>15</v>
      </c>
      <c r="J357" s="24">
        <f t="shared" si="21"/>
        <v>6.7216999999999999E-2</v>
      </c>
      <c r="K357" s="24">
        <f t="shared" si="22"/>
        <v>12.81</v>
      </c>
      <c r="L357" s="24">
        <f t="shared" si="23"/>
        <v>2.59</v>
      </c>
      <c r="M357" s="24">
        <f t="shared" si="24"/>
        <v>20.54</v>
      </c>
    </row>
    <row r="358" spans="1:13" x14ac:dyDescent="0.25">
      <c r="A358" t="s">
        <v>125</v>
      </c>
      <c r="B358" t="s">
        <v>258</v>
      </c>
      <c r="C358" t="s">
        <v>278</v>
      </c>
      <c r="D358" s="24">
        <v>25342.58</v>
      </c>
      <c r="E358" s="24">
        <v>25342.58</v>
      </c>
      <c r="F358" s="24">
        <v>31.445323999999999</v>
      </c>
      <c r="G358" s="24">
        <v>2.4088180000000001</v>
      </c>
      <c r="H358" s="24">
        <v>12.705683000000001</v>
      </c>
      <c r="I358" t="s">
        <v>15</v>
      </c>
      <c r="J358" s="24">
        <f t="shared" si="21"/>
        <v>2.5343000000000001E-2</v>
      </c>
      <c r="K358" s="24">
        <f t="shared" si="22"/>
        <v>31.45</v>
      </c>
      <c r="L358" s="24">
        <f t="shared" si="23"/>
        <v>2.41</v>
      </c>
      <c r="M358" s="24">
        <f t="shared" si="24"/>
        <v>12.71</v>
      </c>
    </row>
    <row r="359" spans="1:13" x14ac:dyDescent="0.25">
      <c r="A359" t="s">
        <v>38</v>
      </c>
      <c r="B359" t="s">
        <v>258</v>
      </c>
      <c r="C359" t="s">
        <v>385</v>
      </c>
      <c r="D359" s="24">
        <v>964.28</v>
      </c>
      <c r="E359" s="24">
        <v>964.28</v>
      </c>
      <c r="F359" s="24">
        <v>1.5841999999999998E-2</v>
      </c>
      <c r="G359" s="24">
        <v>7.2830000000000004E-3</v>
      </c>
      <c r="H359" s="24">
        <v>0.21393799999999999</v>
      </c>
      <c r="I359" t="s">
        <v>15</v>
      </c>
      <c r="J359" s="24">
        <f t="shared" si="21"/>
        <v>9.6400000000000001E-4</v>
      </c>
      <c r="K359" s="24">
        <f t="shared" si="22"/>
        <v>0.02</v>
      </c>
      <c r="L359" s="24">
        <f t="shared" si="23"/>
        <v>0.01</v>
      </c>
      <c r="M359" s="24">
        <f t="shared" si="24"/>
        <v>0.21</v>
      </c>
    </row>
    <row r="360" spans="1:13" x14ac:dyDescent="0.25">
      <c r="A360" t="s">
        <v>38</v>
      </c>
      <c r="B360" t="s">
        <v>258</v>
      </c>
      <c r="C360" t="s">
        <v>386</v>
      </c>
      <c r="D360" s="24">
        <v>3829.1</v>
      </c>
      <c r="E360" s="24">
        <v>3829.1</v>
      </c>
      <c r="F360" s="24">
        <v>8.5771E-2</v>
      </c>
      <c r="G360" s="24">
        <v>4.6626000000000001E-2</v>
      </c>
      <c r="H360" s="24">
        <v>0.76373400000000002</v>
      </c>
      <c r="I360" t="s">
        <v>15</v>
      </c>
      <c r="J360" s="24">
        <f t="shared" si="21"/>
        <v>3.8289999999999999E-3</v>
      </c>
      <c r="K360" s="24">
        <f t="shared" si="22"/>
        <v>0.09</v>
      </c>
      <c r="L360" s="24">
        <f t="shared" si="23"/>
        <v>0.05</v>
      </c>
      <c r="M360" s="24">
        <f t="shared" si="24"/>
        <v>0.76</v>
      </c>
    </row>
    <row r="361" spans="1:13" x14ac:dyDescent="0.25">
      <c r="A361" t="s">
        <v>38</v>
      </c>
      <c r="B361" t="s">
        <v>258</v>
      </c>
      <c r="C361" t="s">
        <v>387</v>
      </c>
      <c r="D361" s="24">
        <v>208261.51</v>
      </c>
      <c r="E361" s="24">
        <v>208261.51</v>
      </c>
      <c r="F361" s="24">
        <v>2.9876909999999999</v>
      </c>
      <c r="G361" s="24">
        <v>5.524985</v>
      </c>
      <c r="H361" s="24">
        <v>38.180002999999999</v>
      </c>
      <c r="I361" t="s">
        <v>15</v>
      </c>
      <c r="J361" s="24">
        <f t="shared" si="21"/>
        <v>0.208262</v>
      </c>
      <c r="K361" s="24">
        <f t="shared" si="22"/>
        <v>2.99</v>
      </c>
      <c r="L361" s="24">
        <f t="shared" si="23"/>
        <v>5.52</v>
      </c>
      <c r="M361" s="24">
        <f t="shared" si="24"/>
        <v>38.18</v>
      </c>
    </row>
    <row r="362" spans="1:13" x14ac:dyDescent="0.25">
      <c r="A362" t="s">
        <v>67</v>
      </c>
      <c r="B362" t="s">
        <v>258</v>
      </c>
      <c r="C362" t="s">
        <v>243</v>
      </c>
      <c r="D362" s="24">
        <v>140710579.684659</v>
      </c>
      <c r="E362" s="24">
        <v>140710618.10465899</v>
      </c>
      <c r="F362" s="24">
        <v>133.40850800000001</v>
      </c>
      <c r="G362" s="24">
        <v>59.942714000000002</v>
      </c>
      <c r="H362" s="24">
        <v>747.29369299999996</v>
      </c>
      <c r="I362" t="s">
        <v>15</v>
      </c>
      <c r="J362" s="24">
        <f t="shared" si="21"/>
        <v>140.71061800000001</v>
      </c>
      <c r="K362" s="24">
        <f t="shared" si="22"/>
        <v>133.41</v>
      </c>
      <c r="L362" s="24">
        <f t="shared" si="23"/>
        <v>59.94</v>
      </c>
      <c r="M362" s="24">
        <f t="shared" si="24"/>
        <v>747.29</v>
      </c>
    </row>
    <row r="363" spans="1:13" x14ac:dyDescent="0.25">
      <c r="A363" t="s">
        <v>646</v>
      </c>
      <c r="B363" t="s">
        <v>258</v>
      </c>
      <c r="C363" t="s">
        <v>656</v>
      </c>
      <c r="D363" s="24">
        <v>953062.74999999895</v>
      </c>
      <c r="E363" s="24">
        <v>953268.28999999899</v>
      </c>
      <c r="F363" s="24">
        <v>29.278186000000002</v>
      </c>
      <c r="G363" s="24">
        <v>4.894183</v>
      </c>
      <c r="H363" s="24">
        <v>53.571570999999999</v>
      </c>
      <c r="I363" t="s">
        <v>15</v>
      </c>
      <c r="J363" s="24">
        <f t="shared" si="21"/>
        <v>0.953268</v>
      </c>
      <c r="K363" s="24">
        <f t="shared" si="22"/>
        <v>29.28</v>
      </c>
      <c r="L363" s="24">
        <f t="shared" si="23"/>
        <v>4.8899999999999997</v>
      </c>
      <c r="M363" s="24">
        <f t="shared" si="24"/>
        <v>53.57</v>
      </c>
    </row>
    <row r="364" spans="1:13" x14ac:dyDescent="0.25">
      <c r="A364" t="s">
        <v>148</v>
      </c>
      <c r="B364" t="s">
        <v>258</v>
      </c>
      <c r="C364" t="s">
        <v>466</v>
      </c>
      <c r="D364" s="24">
        <v>340087.64999999898</v>
      </c>
      <c r="E364" s="24">
        <v>340097.049999999</v>
      </c>
      <c r="F364" s="24">
        <v>13.879458</v>
      </c>
      <c r="G364" s="24">
        <v>5.050179</v>
      </c>
      <c r="H364" s="24">
        <v>48.511169000000002</v>
      </c>
      <c r="I364" t="s">
        <v>15</v>
      </c>
      <c r="J364" s="24">
        <f t="shared" si="21"/>
        <v>0.34009699999999998</v>
      </c>
      <c r="K364" s="24">
        <f t="shared" si="22"/>
        <v>13.88</v>
      </c>
      <c r="L364" s="24">
        <f t="shared" si="23"/>
        <v>5.05</v>
      </c>
      <c r="M364" s="24">
        <f t="shared" si="24"/>
        <v>48.51</v>
      </c>
    </row>
    <row r="365" spans="1:13" x14ac:dyDescent="0.25">
      <c r="A365" t="s">
        <v>47</v>
      </c>
      <c r="B365" t="s">
        <v>258</v>
      </c>
      <c r="C365" t="s">
        <v>18</v>
      </c>
      <c r="D365" s="24">
        <v>153732828.25999999</v>
      </c>
      <c r="E365" s="24">
        <v>153732828.25999999</v>
      </c>
      <c r="F365" s="24">
        <v>5056.4655149999999</v>
      </c>
      <c r="G365" s="24">
        <v>3531.7098660000001</v>
      </c>
      <c r="H365" s="24">
        <v>29535.044409999999</v>
      </c>
      <c r="I365" t="s">
        <v>15</v>
      </c>
      <c r="J365" s="24">
        <f t="shared" si="21"/>
        <v>153.73282800000001</v>
      </c>
      <c r="K365" s="24">
        <f t="shared" si="22"/>
        <v>5056.47</v>
      </c>
      <c r="L365" s="24">
        <f t="shared" si="23"/>
        <v>3531.71</v>
      </c>
      <c r="M365" s="24">
        <f t="shared" si="24"/>
        <v>29535.040000000001</v>
      </c>
    </row>
    <row r="366" spans="1:13" x14ac:dyDescent="0.25">
      <c r="A366" t="s">
        <v>38</v>
      </c>
      <c r="B366" t="s">
        <v>258</v>
      </c>
      <c r="C366" t="s">
        <v>443</v>
      </c>
      <c r="D366" s="24">
        <v>64056.279999999897</v>
      </c>
      <c r="E366" s="24">
        <v>64449.559999999903</v>
      </c>
      <c r="F366" s="24">
        <v>0.91894100000000001</v>
      </c>
      <c r="G366" s="24">
        <v>1.6993450000000001</v>
      </c>
      <c r="H366" s="24">
        <v>11.743171</v>
      </c>
      <c r="I366" t="s">
        <v>15</v>
      </c>
      <c r="J366" s="24">
        <f t="shared" si="21"/>
        <v>6.4449999999999993E-2</v>
      </c>
      <c r="K366" s="24">
        <f t="shared" si="22"/>
        <v>0.92</v>
      </c>
      <c r="L366" s="24">
        <f t="shared" si="23"/>
        <v>1.7</v>
      </c>
      <c r="M366" s="24">
        <f t="shared" si="24"/>
        <v>11.74</v>
      </c>
    </row>
    <row r="367" spans="1:13" x14ac:dyDescent="0.25">
      <c r="A367" t="s">
        <v>44</v>
      </c>
      <c r="B367" t="s">
        <v>258</v>
      </c>
      <c r="C367" t="s">
        <v>643</v>
      </c>
      <c r="D367" s="24">
        <v>498558.14999999898</v>
      </c>
      <c r="E367" s="24">
        <v>498632.429999999</v>
      </c>
      <c r="F367" s="24">
        <v>15.315132999999999</v>
      </c>
      <c r="G367" s="24">
        <v>2.5600869999999998</v>
      </c>
      <c r="H367" s="24">
        <v>28.022777000000001</v>
      </c>
      <c r="I367" t="s">
        <v>15</v>
      </c>
      <c r="J367" s="24">
        <f t="shared" si="21"/>
        <v>0.49863200000000002</v>
      </c>
      <c r="K367" s="24">
        <f t="shared" si="22"/>
        <v>15.32</v>
      </c>
      <c r="L367" s="24">
        <f t="shared" si="23"/>
        <v>2.56</v>
      </c>
      <c r="M367" s="24">
        <f t="shared" si="24"/>
        <v>28.02</v>
      </c>
    </row>
    <row r="368" spans="1:13" x14ac:dyDescent="0.25">
      <c r="A368" t="s">
        <v>646</v>
      </c>
      <c r="B368" t="s">
        <v>258</v>
      </c>
      <c r="C368" t="s">
        <v>657</v>
      </c>
      <c r="D368" s="24">
        <v>215.84</v>
      </c>
      <c r="E368" s="24">
        <v>215.84</v>
      </c>
      <c r="F368" s="24">
        <v>6.6049999999999998E-3</v>
      </c>
      <c r="G368" s="24">
        <v>1.1039999999999999E-3</v>
      </c>
      <c r="H368" s="24">
        <v>1.2085E-2</v>
      </c>
      <c r="I368" t="s">
        <v>15</v>
      </c>
      <c r="J368" s="24">
        <f t="shared" si="21"/>
        <v>2.1599999999999999E-4</v>
      </c>
      <c r="K368" s="24">
        <f t="shared" si="22"/>
        <v>0.01</v>
      </c>
      <c r="L368" s="24">
        <f t="shared" si="23"/>
        <v>0</v>
      </c>
      <c r="M368" s="24">
        <f t="shared" si="24"/>
        <v>0.01</v>
      </c>
    </row>
    <row r="369" spans="1:13" x14ac:dyDescent="0.25">
      <c r="A369" t="s">
        <v>73</v>
      </c>
      <c r="B369" t="s">
        <v>258</v>
      </c>
      <c r="C369" t="s">
        <v>479</v>
      </c>
      <c r="D369" s="24">
        <v>30612.86</v>
      </c>
      <c r="E369" s="24">
        <v>30612.86</v>
      </c>
      <c r="F369" s="24">
        <v>0.84162499999999996</v>
      </c>
      <c r="G369" s="24">
        <v>0.118255</v>
      </c>
      <c r="H369" s="24">
        <v>6.5449039999999998</v>
      </c>
      <c r="I369" t="s">
        <v>15</v>
      </c>
      <c r="J369" s="24">
        <f t="shared" si="21"/>
        <v>3.0613000000000001E-2</v>
      </c>
      <c r="K369" s="24">
        <f t="shared" si="22"/>
        <v>0.84</v>
      </c>
      <c r="L369" s="24">
        <f t="shared" si="23"/>
        <v>0.12</v>
      </c>
      <c r="M369" s="24">
        <f t="shared" si="24"/>
        <v>6.54</v>
      </c>
    </row>
    <row r="370" spans="1:13" x14ac:dyDescent="0.25">
      <c r="A370" t="s">
        <v>61</v>
      </c>
      <c r="B370" t="s">
        <v>258</v>
      </c>
      <c r="C370" t="s">
        <v>556</v>
      </c>
      <c r="D370" s="24">
        <v>5106035.3099999996</v>
      </c>
      <c r="E370" s="24">
        <v>5106035.3099999996</v>
      </c>
      <c r="F370" s="24">
        <v>321.63798800000001</v>
      </c>
      <c r="G370" s="24">
        <v>23.122976000000001</v>
      </c>
      <c r="H370" s="24">
        <v>501.49089300000003</v>
      </c>
      <c r="I370" t="s">
        <v>15</v>
      </c>
      <c r="J370" s="24">
        <f t="shared" si="21"/>
        <v>5.1060350000000003</v>
      </c>
      <c r="K370" s="24">
        <f t="shared" si="22"/>
        <v>321.64</v>
      </c>
      <c r="L370" s="24">
        <f t="shared" si="23"/>
        <v>23.12</v>
      </c>
      <c r="M370" s="24">
        <f t="shared" si="24"/>
        <v>501.49</v>
      </c>
    </row>
    <row r="371" spans="1:13" x14ac:dyDescent="0.25">
      <c r="A371" t="s">
        <v>34</v>
      </c>
      <c r="B371" t="s">
        <v>258</v>
      </c>
      <c r="C371" t="s">
        <v>521</v>
      </c>
      <c r="D371" s="24">
        <v>262814.15000000002</v>
      </c>
      <c r="E371" s="24">
        <v>262814.15000000002</v>
      </c>
      <c r="F371" s="24">
        <v>8.3427120000000006</v>
      </c>
      <c r="G371" s="24">
        <v>3.9626980000000001</v>
      </c>
      <c r="H371" s="24">
        <v>37.952452999999998</v>
      </c>
      <c r="I371" t="s">
        <v>15</v>
      </c>
      <c r="J371" s="24">
        <f t="shared" si="21"/>
        <v>0.26281399999999999</v>
      </c>
      <c r="K371" s="24">
        <f t="shared" si="22"/>
        <v>8.34</v>
      </c>
      <c r="L371" s="24">
        <f t="shared" si="23"/>
        <v>3.96</v>
      </c>
      <c r="M371" s="24">
        <f t="shared" si="24"/>
        <v>37.950000000000003</v>
      </c>
    </row>
    <row r="372" spans="1:13" x14ac:dyDescent="0.25">
      <c r="A372" t="s">
        <v>44</v>
      </c>
      <c r="B372" t="s">
        <v>258</v>
      </c>
      <c r="C372" t="s">
        <v>706</v>
      </c>
      <c r="D372" s="24">
        <v>3322.88</v>
      </c>
      <c r="E372" s="24">
        <v>3322.88</v>
      </c>
      <c r="F372" s="24">
        <v>0.101995</v>
      </c>
      <c r="G372" s="24">
        <v>1.7048000000000001E-2</v>
      </c>
      <c r="H372" s="24">
        <v>0.18662699999999999</v>
      </c>
      <c r="I372" t="s">
        <v>15</v>
      </c>
      <c r="J372" s="24">
        <f t="shared" si="21"/>
        <v>3.323E-3</v>
      </c>
      <c r="K372" s="24">
        <f t="shared" si="22"/>
        <v>0.1</v>
      </c>
      <c r="L372" s="24">
        <f t="shared" si="23"/>
        <v>0.02</v>
      </c>
      <c r="M372" s="24">
        <f t="shared" si="24"/>
        <v>0.19</v>
      </c>
    </row>
    <row r="373" spans="1:13" x14ac:dyDescent="0.25">
      <c r="A373" t="s">
        <v>38</v>
      </c>
      <c r="B373" t="s">
        <v>258</v>
      </c>
      <c r="C373" t="s">
        <v>397</v>
      </c>
      <c r="D373" s="24">
        <v>165283.28</v>
      </c>
      <c r="E373" s="24">
        <v>165283.28</v>
      </c>
      <c r="F373" s="24">
        <v>2.371162</v>
      </c>
      <c r="G373" s="24">
        <v>4.3848539999999998</v>
      </c>
      <c r="H373" s="24">
        <v>30.301123</v>
      </c>
      <c r="I373" t="s">
        <v>15</v>
      </c>
      <c r="J373" s="24">
        <f t="shared" si="21"/>
        <v>0.16528300000000001</v>
      </c>
      <c r="K373" s="24">
        <f t="shared" si="22"/>
        <v>2.37</v>
      </c>
      <c r="L373" s="24">
        <f t="shared" si="23"/>
        <v>4.38</v>
      </c>
      <c r="M373" s="24">
        <f t="shared" si="24"/>
        <v>30.3</v>
      </c>
    </row>
    <row r="374" spans="1:13" x14ac:dyDescent="0.25">
      <c r="A374" t="s">
        <v>38</v>
      </c>
      <c r="B374" t="s">
        <v>258</v>
      </c>
      <c r="C374" t="s">
        <v>100</v>
      </c>
      <c r="D374" s="24">
        <v>12377126.880000001</v>
      </c>
      <c r="E374" s="24">
        <v>12377126.880000001</v>
      </c>
      <c r="F374" s="24">
        <v>685.70960600000001</v>
      </c>
      <c r="G374" s="24">
        <v>466.21894400000002</v>
      </c>
      <c r="H374" s="24">
        <v>8356.5471120000002</v>
      </c>
      <c r="I374" t="s">
        <v>15</v>
      </c>
      <c r="J374" s="24">
        <f t="shared" si="21"/>
        <v>12.377127</v>
      </c>
      <c r="K374" s="24">
        <f t="shared" si="22"/>
        <v>685.71</v>
      </c>
      <c r="L374" s="24">
        <f t="shared" si="23"/>
        <v>466.22</v>
      </c>
      <c r="M374" s="24">
        <f t="shared" si="24"/>
        <v>8356.5499999999993</v>
      </c>
    </row>
    <row r="375" spans="1:13" x14ac:dyDescent="0.25">
      <c r="A375" t="s">
        <v>38</v>
      </c>
      <c r="B375" t="s">
        <v>258</v>
      </c>
      <c r="C375" t="s">
        <v>398</v>
      </c>
      <c r="D375" s="24">
        <v>1891.29</v>
      </c>
      <c r="E375" s="24">
        <v>1891.29</v>
      </c>
      <c r="F375" s="24">
        <v>4.2312000000000002E-2</v>
      </c>
      <c r="G375" s="24">
        <v>2.3E-2</v>
      </c>
      <c r="H375" s="24">
        <v>0.376776</v>
      </c>
      <c r="I375" t="s">
        <v>15</v>
      </c>
      <c r="J375" s="24">
        <f t="shared" si="21"/>
        <v>1.8910000000000001E-3</v>
      </c>
      <c r="K375" s="24">
        <f t="shared" si="22"/>
        <v>0.04</v>
      </c>
      <c r="L375" s="24">
        <f t="shared" si="23"/>
        <v>0.02</v>
      </c>
      <c r="M375" s="24">
        <f t="shared" si="24"/>
        <v>0.38</v>
      </c>
    </row>
    <row r="376" spans="1:13" x14ac:dyDescent="0.25">
      <c r="A376" t="s">
        <v>38</v>
      </c>
      <c r="B376" t="s">
        <v>258</v>
      </c>
      <c r="C376" t="s">
        <v>399</v>
      </c>
      <c r="D376" s="24">
        <v>-258.45999999999998</v>
      </c>
      <c r="E376" s="24">
        <v>-258.45999999999998</v>
      </c>
      <c r="F376" s="24">
        <v>1.7030000000000001E-3</v>
      </c>
      <c r="G376" s="24">
        <v>9.2500000000000004E-4</v>
      </c>
      <c r="H376" s="24">
        <v>1.5166000000000001E-2</v>
      </c>
      <c r="I376" t="s">
        <v>15</v>
      </c>
      <c r="J376" s="24">
        <f t="shared" si="21"/>
        <v>-2.5799999999999998E-4</v>
      </c>
      <c r="K376" s="24">
        <f t="shared" si="22"/>
        <v>0</v>
      </c>
      <c r="L376" s="24">
        <f t="shared" si="23"/>
        <v>0</v>
      </c>
      <c r="M376" s="24">
        <f t="shared" si="24"/>
        <v>0.02</v>
      </c>
    </row>
    <row r="377" spans="1:13" x14ac:dyDescent="0.25">
      <c r="A377" t="s">
        <v>662</v>
      </c>
      <c r="B377" t="s">
        <v>258</v>
      </c>
      <c r="C377" t="s">
        <v>673</v>
      </c>
      <c r="D377" s="24">
        <v>41998.06</v>
      </c>
      <c r="E377" s="24">
        <v>41998.06</v>
      </c>
      <c r="F377" s="24">
        <v>1.333027</v>
      </c>
      <c r="G377" s="24">
        <v>0.63317299999999999</v>
      </c>
      <c r="H377" s="24">
        <v>6.0641870000000004</v>
      </c>
      <c r="I377" t="s">
        <v>15</v>
      </c>
      <c r="J377" s="24">
        <f t="shared" si="21"/>
        <v>4.1998000000000001E-2</v>
      </c>
      <c r="K377" s="24">
        <f t="shared" si="22"/>
        <v>1.33</v>
      </c>
      <c r="L377" s="24">
        <f t="shared" si="23"/>
        <v>0.63</v>
      </c>
      <c r="M377" s="24">
        <f t="shared" si="24"/>
        <v>6.06</v>
      </c>
    </row>
    <row r="378" spans="1:13" x14ac:dyDescent="0.25">
      <c r="A378" t="s">
        <v>38</v>
      </c>
      <c r="B378" t="s">
        <v>258</v>
      </c>
      <c r="C378" t="s">
        <v>445</v>
      </c>
      <c r="D378" s="24">
        <v>8998.5400000000009</v>
      </c>
      <c r="E378" s="24">
        <v>8998.5400000000009</v>
      </c>
      <c r="F378" s="24">
        <v>0.418541</v>
      </c>
      <c r="G378" s="24">
        <v>0.37879499999999999</v>
      </c>
      <c r="H378" s="24">
        <v>1.9570620000000001</v>
      </c>
      <c r="I378" t="s">
        <v>15</v>
      </c>
      <c r="J378" s="24">
        <f t="shared" si="21"/>
        <v>8.9990000000000001E-3</v>
      </c>
      <c r="K378" s="24">
        <f t="shared" si="22"/>
        <v>0.42</v>
      </c>
      <c r="L378" s="24">
        <f t="shared" si="23"/>
        <v>0.38</v>
      </c>
      <c r="M378" s="24">
        <f t="shared" si="24"/>
        <v>1.96</v>
      </c>
    </row>
    <row r="379" spans="1:13" x14ac:dyDescent="0.25">
      <c r="A379" t="s">
        <v>34</v>
      </c>
      <c r="B379" t="s">
        <v>258</v>
      </c>
      <c r="C379" t="s">
        <v>542</v>
      </c>
      <c r="D379" s="24">
        <v>493881.55</v>
      </c>
      <c r="E379" s="24">
        <v>493881.55</v>
      </c>
      <c r="F379" s="24">
        <v>15.673581</v>
      </c>
      <c r="G379" s="24">
        <v>7.4447159999999997</v>
      </c>
      <c r="H379" s="24">
        <v>71.302323999999999</v>
      </c>
      <c r="I379" t="s">
        <v>15</v>
      </c>
      <c r="J379" s="24">
        <f t="shared" si="21"/>
        <v>0.49388199999999999</v>
      </c>
      <c r="K379" s="24">
        <f t="shared" si="22"/>
        <v>15.67</v>
      </c>
      <c r="L379" s="24">
        <f t="shared" si="23"/>
        <v>7.44</v>
      </c>
      <c r="M379" s="24">
        <f t="shared" si="24"/>
        <v>71.3</v>
      </c>
    </row>
    <row r="380" spans="1:13" x14ac:dyDescent="0.25">
      <c r="A380" t="s">
        <v>125</v>
      </c>
      <c r="B380" t="s">
        <v>258</v>
      </c>
      <c r="C380" t="s">
        <v>286</v>
      </c>
      <c r="D380" s="24">
        <v>18883.060000000001</v>
      </c>
      <c r="E380" s="24">
        <v>18883.060000000001</v>
      </c>
      <c r="F380" s="24">
        <v>23.327967000000001</v>
      </c>
      <c r="G380" s="24">
        <v>1.7869949999999999</v>
      </c>
      <c r="H380" s="24">
        <v>9.4258100000000002</v>
      </c>
      <c r="I380" t="s">
        <v>15</v>
      </c>
      <c r="J380" s="24">
        <f t="shared" si="21"/>
        <v>1.8883E-2</v>
      </c>
      <c r="K380" s="24">
        <f t="shared" si="22"/>
        <v>23.33</v>
      </c>
      <c r="L380" s="24">
        <f t="shared" si="23"/>
        <v>1.79</v>
      </c>
      <c r="M380" s="24">
        <f t="shared" si="24"/>
        <v>9.43</v>
      </c>
    </row>
    <row r="381" spans="1:13" x14ac:dyDescent="0.25">
      <c r="A381" t="s">
        <v>125</v>
      </c>
      <c r="B381" t="s">
        <v>258</v>
      </c>
      <c r="C381" t="s">
        <v>287</v>
      </c>
      <c r="D381" s="24">
        <v>181.22</v>
      </c>
      <c r="E381" s="24">
        <v>181.22</v>
      </c>
      <c r="F381" s="24">
        <v>0.22359399999999999</v>
      </c>
      <c r="G381" s="24">
        <v>1.7128000000000001E-2</v>
      </c>
      <c r="H381" s="24">
        <v>9.0343999999999994E-2</v>
      </c>
      <c r="I381" t="s">
        <v>15</v>
      </c>
      <c r="J381" s="24">
        <f t="shared" si="21"/>
        <v>1.8100000000000001E-4</v>
      </c>
      <c r="K381" s="24">
        <f t="shared" si="22"/>
        <v>0.22</v>
      </c>
      <c r="L381" s="24">
        <f t="shared" si="23"/>
        <v>0.02</v>
      </c>
      <c r="M381" s="24">
        <f t="shared" si="24"/>
        <v>0.09</v>
      </c>
    </row>
    <row r="382" spans="1:13" x14ac:dyDescent="0.25">
      <c r="A382" t="s">
        <v>34</v>
      </c>
      <c r="B382" t="s">
        <v>258</v>
      </c>
      <c r="C382" t="s">
        <v>543</v>
      </c>
      <c r="D382" s="24">
        <v>22138.22</v>
      </c>
      <c r="E382" s="24">
        <v>22138.22</v>
      </c>
      <c r="F382" s="24">
        <v>0.70270299999999997</v>
      </c>
      <c r="G382" s="24">
        <v>0.33377499999999999</v>
      </c>
      <c r="H382" s="24">
        <v>3.1967240000000001</v>
      </c>
      <c r="I382" t="s">
        <v>15</v>
      </c>
      <c r="J382" s="24">
        <f t="shared" si="21"/>
        <v>2.2138000000000001E-2</v>
      </c>
      <c r="K382" s="24">
        <f t="shared" si="22"/>
        <v>0.7</v>
      </c>
      <c r="L382" s="24">
        <f t="shared" si="23"/>
        <v>0.33</v>
      </c>
      <c r="M382" s="24">
        <f t="shared" si="24"/>
        <v>3.2</v>
      </c>
    </row>
    <row r="383" spans="1:13" x14ac:dyDescent="0.25">
      <c r="A383" t="s">
        <v>148</v>
      </c>
      <c r="B383" t="s">
        <v>258</v>
      </c>
      <c r="C383" t="s">
        <v>468</v>
      </c>
      <c r="D383" s="24">
        <v>280.83999999999997</v>
      </c>
      <c r="E383" s="24">
        <v>280.83999999999997</v>
      </c>
      <c r="F383" s="24">
        <v>1.1427E-2</v>
      </c>
      <c r="G383" s="24">
        <v>4.1580000000000002E-3</v>
      </c>
      <c r="H383" s="24">
        <v>3.9941999999999998E-2</v>
      </c>
      <c r="I383" t="s">
        <v>15</v>
      </c>
      <c r="J383" s="24">
        <f t="shared" si="21"/>
        <v>2.81E-4</v>
      </c>
      <c r="K383" s="24">
        <f t="shared" si="22"/>
        <v>0.01</v>
      </c>
      <c r="L383" s="24">
        <f t="shared" si="23"/>
        <v>0</v>
      </c>
      <c r="M383" s="24">
        <f t="shared" si="24"/>
        <v>0.04</v>
      </c>
    </row>
    <row r="384" spans="1:13" x14ac:dyDescent="0.25">
      <c r="A384" t="s">
        <v>54</v>
      </c>
      <c r="B384" t="s">
        <v>258</v>
      </c>
      <c r="C384" t="s">
        <v>618</v>
      </c>
      <c r="D384" s="24">
        <v>866026.57</v>
      </c>
      <c r="E384" s="24">
        <v>866026.57</v>
      </c>
      <c r="F384" s="24">
        <v>0.82115400000000005</v>
      </c>
      <c r="G384" s="24">
        <v>0.36891400000000002</v>
      </c>
      <c r="H384" s="24">
        <v>4.6001409999999998</v>
      </c>
      <c r="I384" t="s">
        <v>15</v>
      </c>
      <c r="J384" s="24">
        <f t="shared" si="21"/>
        <v>0.86602699999999999</v>
      </c>
      <c r="K384" s="24">
        <f t="shared" si="22"/>
        <v>0.82</v>
      </c>
      <c r="L384" s="24">
        <f t="shared" si="23"/>
        <v>0.37</v>
      </c>
      <c r="M384" s="24">
        <f t="shared" si="24"/>
        <v>4.5999999999999996</v>
      </c>
    </row>
    <row r="385" spans="1:13" x14ac:dyDescent="0.25">
      <c r="A385" t="s">
        <v>54</v>
      </c>
      <c r="B385" t="s">
        <v>258</v>
      </c>
      <c r="C385" t="s">
        <v>619</v>
      </c>
      <c r="D385" s="24">
        <v>172098.71</v>
      </c>
      <c r="E385" s="24">
        <v>172098.71</v>
      </c>
      <c r="F385" s="24">
        <v>0.163161</v>
      </c>
      <c r="G385" s="24">
        <v>7.3311000000000001E-2</v>
      </c>
      <c r="H385" s="24">
        <v>0.91396500000000003</v>
      </c>
      <c r="I385" t="s">
        <v>15</v>
      </c>
      <c r="J385" s="24">
        <f t="shared" si="21"/>
        <v>0.172099</v>
      </c>
      <c r="K385" s="24">
        <f t="shared" si="22"/>
        <v>0.16</v>
      </c>
      <c r="L385" s="24">
        <f t="shared" si="23"/>
        <v>7.0000000000000007E-2</v>
      </c>
      <c r="M385" s="24">
        <f t="shared" si="24"/>
        <v>0.91</v>
      </c>
    </row>
    <row r="386" spans="1:13" x14ac:dyDescent="0.25">
      <c r="A386" t="s">
        <v>34</v>
      </c>
      <c r="B386" t="s">
        <v>258</v>
      </c>
      <c r="C386" t="s">
        <v>205</v>
      </c>
      <c r="D386" s="24">
        <v>753556.33</v>
      </c>
      <c r="E386" s="24">
        <v>753556.33</v>
      </c>
      <c r="F386" s="24">
        <v>23.920217999999998</v>
      </c>
      <c r="G386" s="24">
        <v>11.361834999999999</v>
      </c>
      <c r="H386" s="24">
        <v>108.817324</v>
      </c>
      <c r="I386" t="s">
        <v>15</v>
      </c>
      <c r="J386" s="24">
        <f t="shared" si="21"/>
        <v>0.753556</v>
      </c>
      <c r="K386" s="24">
        <f t="shared" si="22"/>
        <v>23.92</v>
      </c>
      <c r="L386" s="24">
        <f t="shared" si="23"/>
        <v>11.36</v>
      </c>
      <c r="M386" s="24">
        <f t="shared" si="24"/>
        <v>108.82</v>
      </c>
    </row>
    <row r="387" spans="1:13" x14ac:dyDescent="0.25">
      <c r="A387" t="s">
        <v>38</v>
      </c>
      <c r="B387" t="s">
        <v>258</v>
      </c>
      <c r="C387" t="s">
        <v>409</v>
      </c>
      <c r="D387" s="24">
        <v>49174.71</v>
      </c>
      <c r="E387" s="24">
        <v>49174.71</v>
      </c>
      <c r="F387" s="24">
        <v>1.10206</v>
      </c>
      <c r="G387" s="24">
        <v>0.59909100000000004</v>
      </c>
      <c r="H387" s="24">
        <v>9.8128060000000001</v>
      </c>
      <c r="I387" t="s">
        <v>15</v>
      </c>
      <c r="J387" s="24">
        <f t="shared" ref="J387:J450" si="25">+ROUND(E387,0)/1000000</f>
        <v>4.9175000000000003E-2</v>
      </c>
      <c r="K387" s="24">
        <f t="shared" ref="K387:K450" si="26">+ROUND(F387,2)</f>
        <v>1.1000000000000001</v>
      </c>
      <c r="L387" s="24">
        <f t="shared" ref="L387:L450" si="27">+ROUND(G387,2)</f>
        <v>0.6</v>
      </c>
      <c r="M387" s="24">
        <f t="shared" ref="M387:M450" si="28">+ROUND(H387,2)</f>
        <v>9.81</v>
      </c>
    </row>
    <row r="388" spans="1:13" x14ac:dyDescent="0.25">
      <c r="A388" t="s">
        <v>41</v>
      </c>
      <c r="B388" t="s">
        <v>258</v>
      </c>
      <c r="C388" t="s">
        <v>576</v>
      </c>
      <c r="D388" s="24">
        <v>24965.27</v>
      </c>
      <c r="E388" s="24">
        <v>24965.27</v>
      </c>
      <c r="F388" s="24">
        <v>0.120961</v>
      </c>
      <c r="G388" s="24">
        <v>0.26969799999999999</v>
      </c>
      <c r="H388" s="24">
        <v>1.078695</v>
      </c>
      <c r="I388" t="s">
        <v>15</v>
      </c>
      <c r="J388" s="24">
        <f t="shared" si="25"/>
        <v>2.4965000000000001E-2</v>
      </c>
      <c r="K388" s="24">
        <f t="shared" si="26"/>
        <v>0.12</v>
      </c>
      <c r="L388" s="24">
        <f t="shared" si="27"/>
        <v>0.27</v>
      </c>
      <c r="M388" s="24">
        <f t="shared" si="28"/>
        <v>1.08</v>
      </c>
    </row>
    <row r="389" spans="1:13" x14ac:dyDescent="0.25">
      <c r="A389" t="s">
        <v>54</v>
      </c>
      <c r="B389" t="s">
        <v>258</v>
      </c>
      <c r="C389" t="s">
        <v>620</v>
      </c>
      <c r="D389" s="24">
        <v>78472.649999999994</v>
      </c>
      <c r="E389" s="24">
        <v>78472.649999999994</v>
      </c>
      <c r="F389" s="24">
        <v>4.9675390000000004</v>
      </c>
      <c r="G389" s="24">
        <v>0.35712300000000002</v>
      </c>
      <c r="H389" s="24">
        <v>7.7452839999999998</v>
      </c>
      <c r="I389" t="s">
        <v>15</v>
      </c>
      <c r="J389" s="24">
        <f t="shared" si="25"/>
        <v>7.8473000000000001E-2</v>
      </c>
      <c r="K389" s="24">
        <f t="shared" si="26"/>
        <v>4.97</v>
      </c>
      <c r="L389" s="24">
        <f t="shared" si="27"/>
        <v>0.36</v>
      </c>
      <c r="M389" s="24">
        <f t="shared" si="28"/>
        <v>7.75</v>
      </c>
    </row>
    <row r="390" spans="1:13" x14ac:dyDescent="0.25">
      <c r="A390" t="s">
        <v>34</v>
      </c>
      <c r="B390" t="s">
        <v>258</v>
      </c>
      <c r="C390" t="s">
        <v>544</v>
      </c>
      <c r="D390" s="24">
        <v>4793557.79</v>
      </c>
      <c r="E390" s="24">
        <v>4793557.79</v>
      </c>
      <c r="F390" s="24">
        <v>152.16843299999999</v>
      </c>
      <c r="G390" s="24">
        <v>72.278384000000003</v>
      </c>
      <c r="H390" s="24">
        <v>692.24060599999996</v>
      </c>
      <c r="I390" t="s">
        <v>15</v>
      </c>
      <c r="J390" s="24">
        <f t="shared" si="25"/>
        <v>4.793558</v>
      </c>
      <c r="K390" s="24">
        <f t="shared" si="26"/>
        <v>152.16999999999999</v>
      </c>
      <c r="L390" s="24">
        <f t="shared" si="27"/>
        <v>72.28</v>
      </c>
      <c r="M390" s="24">
        <f t="shared" si="28"/>
        <v>692.24</v>
      </c>
    </row>
    <row r="391" spans="1:13" x14ac:dyDescent="0.25">
      <c r="A391" t="s">
        <v>38</v>
      </c>
      <c r="B391" t="s">
        <v>258</v>
      </c>
      <c r="C391" t="s">
        <v>447</v>
      </c>
      <c r="D391" s="24">
        <v>991.49</v>
      </c>
      <c r="E391" s="24">
        <v>991.49</v>
      </c>
      <c r="F391" s="24">
        <v>2.2211000000000002E-2</v>
      </c>
      <c r="G391" s="24">
        <v>1.2074E-2</v>
      </c>
      <c r="H391" s="24">
        <v>0.197768</v>
      </c>
      <c r="I391" t="s">
        <v>15</v>
      </c>
      <c r="J391" s="24">
        <f t="shared" si="25"/>
        <v>9.9099999999999991E-4</v>
      </c>
      <c r="K391" s="24">
        <f t="shared" si="26"/>
        <v>0.02</v>
      </c>
      <c r="L391" s="24">
        <f t="shared" si="27"/>
        <v>0.01</v>
      </c>
      <c r="M391" s="24">
        <f t="shared" si="28"/>
        <v>0.2</v>
      </c>
    </row>
    <row r="392" spans="1:13" x14ac:dyDescent="0.25">
      <c r="A392" t="s">
        <v>38</v>
      </c>
      <c r="B392" t="s">
        <v>258</v>
      </c>
      <c r="C392" t="s">
        <v>448</v>
      </c>
      <c r="D392" s="24">
        <v>577521.73</v>
      </c>
      <c r="E392" s="24">
        <v>577521.73</v>
      </c>
      <c r="F392" s="24">
        <v>31.994976000000001</v>
      </c>
      <c r="G392" s="24">
        <v>21.753613000000001</v>
      </c>
      <c r="H392" s="24">
        <v>389.91374100000002</v>
      </c>
      <c r="I392" t="s">
        <v>15</v>
      </c>
      <c r="J392" s="24">
        <f t="shared" si="25"/>
        <v>0.57752199999999998</v>
      </c>
      <c r="K392" s="24">
        <f t="shared" si="26"/>
        <v>31.99</v>
      </c>
      <c r="L392" s="24">
        <f t="shared" si="27"/>
        <v>21.75</v>
      </c>
      <c r="M392" s="24">
        <f t="shared" si="28"/>
        <v>389.91</v>
      </c>
    </row>
    <row r="393" spans="1:13" x14ac:dyDescent="0.25">
      <c r="A393" t="s">
        <v>61</v>
      </c>
      <c r="B393" t="s">
        <v>258</v>
      </c>
      <c r="C393" t="s">
        <v>116</v>
      </c>
      <c r="D393" s="24">
        <v>14162.02</v>
      </c>
      <c r="E393" s="24">
        <v>14162.02</v>
      </c>
      <c r="F393" s="24">
        <v>0.89187799999999995</v>
      </c>
      <c r="G393" s="24">
        <v>6.4118999999999995E-2</v>
      </c>
      <c r="H393" s="24">
        <v>1.3905989999999999</v>
      </c>
      <c r="I393" t="s">
        <v>15</v>
      </c>
      <c r="J393" s="24">
        <f t="shared" si="25"/>
        <v>1.4161999999999999E-2</v>
      </c>
      <c r="K393" s="24">
        <f t="shared" si="26"/>
        <v>0.89</v>
      </c>
      <c r="L393" s="24">
        <f t="shared" si="27"/>
        <v>0.06</v>
      </c>
      <c r="M393" s="24">
        <f t="shared" si="28"/>
        <v>1.39</v>
      </c>
    </row>
    <row r="394" spans="1:13" x14ac:dyDescent="0.25">
      <c r="A394" t="s">
        <v>54</v>
      </c>
      <c r="B394" t="s">
        <v>258</v>
      </c>
      <c r="C394" t="s">
        <v>612</v>
      </c>
      <c r="D394" s="24">
        <v>92575.32</v>
      </c>
      <c r="E394" s="24">
        <v>92575.32</v>
      </c>
      <c r="F394" s="24">
        <v>8.7744000000000003E-2</v>
      </c>
      <c r="G394" s="24">
        <v>3.9418000000000002E-2</v>
      </c>
      <c r="H394" s="24">
        <v>0.49157099999999998</v>
      </c>
      <c r="I394" t="s">
        <v>15</v>
      </c>
      <c r="J394" s="24">
        <f t="shared" si="25"/>
        <v>9.2575000000000005E-2</v>
      </c>
      <c r="K394" s="24">
        <f t="shared" si="26"/>
        <v>0.09</v>
      </c>
      <c r="L394" s="24">
        <f t="shared" si="27"/>
        <v>0.04</v>
      </c>
      <c r="M394" s="24">
        <f t="shared" si="28"/>
        <v>0.49</v>
      </c>
    </row>
    <row r="395" spans="1:13" x14ac:dyDescent="0.25">
      <c r="A395" t="s">
        <v>67</v>
      </c>
      <c r="B395" t="s">
        <v>258</v>
      </c>
      <c r="C395" t="s">
        <v>599</v>
      </c>
      <c r="D395" s="24">
        <v>10859.69</v>
      </c>
      <c r="E395" s="24">
        <v>10859.69</v>
      </c>
      <c r="F395" s="24">
        <v>1.0284E-2</v>
      </c>
      <c r="G395" s="24">
        <v>4.6160000000000003E-3</v>
      </c>
      <c r="H395" s="24">
        <v>5.7636E-2</v>
      </c>
      <c r="I395" t="s">
        <v>15</v>
      </c>
      <c r="J395" s="24">
        <f t="shared" si="25"/>
        <v>1.086E-2</v>
      </c>
      <c r="K395" s="24">
        <f t="shared" si="26"/>
        <v>0.01</v>
      </c>
      <c r="L395" s="24">
        <f t="shared" si="27"/>
        <v>0</v>
      </c>
      <c r="M395" s="24">
        <f t="shared" si="28"/>
        <v>0.06</v>
      </c>
    </row>
    <row r="396" spans="1:13" x14ac:dyDescent="0.25">
      <c r="A396" t="s">
        <v>38</v>
      </c>
      <c r="B396" t="s">
        <v>258</v>
      </c>
      <c r="C396" t="s">
        <v>450</v>
      </c>
      <c r="D396" s="24">
        <v>88434.31</v>
      </c>
      <c r="E396" s="24">
        <v>88434.31</v>
      </c>
      <c r="F396" s="24">
        <v>1.268632</v>
      </c>
      <c r="G396" s="24">
        <v>2.3460100000000002</v>
      </c>
      <c r="H396" s="24">
        <v>16.211919000000002</v>
      </c>
      <c r="I396" t="s">
        <v>15</v>
      </c>
      <c r="J396" s="24">
        <f t="shared" si="25"/>
        <v>8.8433999999999999E-2</v>
      </c>
      <c r="K396" s="24">
        <f t="shared" si="26"/>
        <v>1.27</v>
      </c>
      <c r="L396" s="24">
        <f t="shared" si="27"/>
        <v>2.35</v>
      </c>
      <c r="M396" s="24">
        <f t="shared" si="28"/>
        <v>16.21</v>
      </c>
    </row>
    <row r="397" spans="1:13" x14ac:dyDescent="0.25">
      <c r="A397" t="s">
        <v>73</v>
      </c>
      <c r="B397" t="s">
        <v>258</v>
      </c>
      <c r="C397" t="s">
        <v>481</v>
      </c>
      <c r="D397" s="24">
        <v>147293.69</v>
      </c>
      <c r="E397" s="24">
        <v>147293.69</v>
      </c>
      <c r="F397" s="24">
        <v>4.0498139999999996</v>
      </c>
      <c r="G397" s="24">
        <v>0.56904100000000002</v>
      </c>
      <c r="H397" s="24">
        <v>31.493300000000001</v>
      </c>
      <c r="I397" t="s">
        <v>15</v>
      </c>
      <c r="J397" s="24">
        <f t="shared" si="25"/>
        <v>0.14729400000000001</v>
      </c>
      <c r="K397" s="24">
        <f t="shared" si="26"/>
        <v>4.05</v>
      </c>
      <c r="L397" s="24">
        <f t="shared" si="27"/>
        <v>0.56999999999999995</v>
      </c>
      <c r="M397" s="24">
        <f t="shared" si="28"/>
        <v>31.49</v>
      </c>
    </row>
    <row r="398" spans="1:13" x14ac:dyDescent="0.25">
      <c r="A398" t="s">
        <v>34</v>
      </c>
      <c r="B398" t="s">
        <v>258</v>
      </c>
      <c r="C398" t="s">
        <v>545</v>
      </c>
      <c r="D398" s="24">
        <v>1006327.85</v>
      </c>
      <c r="E398" s="24">
        <v>1006327.85</v>
      </c>
      <c r="F398" s="24">
        <v>31.944099999999999</v>
      </c>
      <c r="G398" s="24">
        <v>15.1731</v>
      </c>
      <c r="H398" s="24">
        <v>145.31943000000001</v>
      </c>
      <c r="I398" t="s">
        <v>15</v>
      </c>
      <c r="J398" s="24">
        <f t="shared" si="25"/>
        <v>1.0063279999999999</v>
      </c>
      <c r="K398" s="24">
        <f t="shared" si="26"/>
        <v>31.94</v>
      </c>
      <c r="L398" s="24">
        <f t="shared" si="27"/>
        <v>15.17</v>
      </c>
      <c r="M398" s="24">
        <f t="shared" si="28"/>
        <v>145.32</v>
      </c>
    </row>
    <row r="399" spans="1:13" x14ac:dyDescent="0.25">
      <c r="A399" t="s">
        <v>38</v>
      </c>
      <c r="B399" t="s">
        <v>258</v>
      </c>
      <c r="C399" t="s">
        <v>390</v>
      </c>
      <c r="D399" s="24">
        <v>80.77</v>
      </c>
      <c r="E399" s="24">
        <v>80.77</v>
      </c>
      <c r="F399" s="24">
        <v>1.7930000000000001E-3</v>
      </c>
      <c r="G399" s="24">
        <v>9.7400000000000004E-4</v>
      </c>
      <c r="H399" s="24">
        <v>1.5965E-2</v>
      </c>
      <c r="I399" t="s">
        <v>15</v>
      </c>
      <c r="J399" s="24">
        <f t="shared" si="25"/>
        <v>8.1000000000000004E-5</v>
      </c>
      <c r="K399" s="24">
        <f t="shared" si="26"/>
        <v>0</v>
      </c>
      <c r="L399" s="24">
        <f t="shared" si="27"/>
        <v>0</v>
      </c>
      <c r="M399" s="24">
        <f t="shared" si="28"/>
        <v>0.02</v>
      </c>
    </row>
    <row r="400" spans="1:13" x14ac:dyDescent="0.25">
      <c r="A400" t="s">
        <v>34</v>
      </c>
      <c r="B400" t="s">
        <v>258</v>
      </c>
      <c r="C400" t="s">
        <v>115</v>
      </c>
      <c r="D400" s="24">
        <v>392594.8</v>
      </c>
      <c r="E400" s="24">
        <v>392594.8</v>
      </c>
      <c r="F400" s="24">
        <v>12.461399</v>
      </c>
      <c r="G400" s="24">
        <v>5.9190259999999997</v>
      </c>
      <c r="H400" s="24">
        <v>56.68927</v>
      </c>
      <c r="I400" t="s">
        <v>15</v>
      </c>
      <c r="J400" s="24">
        <f t="shared" si="25"/>
        <v>0.39259500000000003</v>
      </c>
      <c r="K400" s="24">
        <f t="shared" si="26"/>
        <v>12.46</v>
      </c>
      <c r="L400" s="24">
        <f t="shared" si="27"/>
        <v>5.92</v>
      </c>
      <c r="M400" s="24">
        <f t="shared" si="28"/>
        <v>56.69</v>
      </c>
    </row>
    <row r="401" spans="1:13" x14ac:dyDescent="0.25">
      <c r="A401" t="s">
        <v>38</v>
      </c>
      <c r="B401" t="s">
        <v>258</v>
      </c>
      <c r="C401" t="s">
        <v>391</v>
      </c>
      <c r="D401" s="24">
        <v>509395.799999999</v>
      </c>
      <c r="E401" s="24">
        <v>509542.96999999898</v>
      </c>
      <c r="F401" s="24">
        <v>97.036873</v>
      </c>
      <c r="G401" s="24">
        <v>19.637484000000001</v>
      </c>
      <c r="H401" s="24">
        <v>155.61933500000001</v>
      </c>
      <c r="I401" t="s">
        <v>15</v>
      </c>
      <c r="J401" s="24">
        <f t="shared" si="25"/>
        <v>0.50954299999999997</v>
      </c>
      <c r="K401" s="24">
        <f t="shared" si="26"/>
        <v>97.04</v>
      </c>
      <c r="L401" s="24">
        <f t="shared" si="27"/>
        <v>19.64</v>
      </c>
      <c r="M401" s="24">
        <f t="shared" si="28"/>
        <v>155.62</v>
      </c>
    </row>
    <row r="402" spans="1:13" x14ac:dyDescent="0.25">
      <c r="A402" t="s">
        <v>54</v>
      </c>
      <c r="B402" t="s">
        <v>258</v>
      </c>
      <c r="C402" t="s">
        <v>611</v>
      </c>
      <c r="D402" s="24">
        <v>110517.9</v>
      </c>
      <c r="E402" s="24">
        <v>110517.9</v>
      </c>
      <c r="F402" s="24">
        <v>0.10476000000000001</v>
      </c>
      <c r="G402" s="24">
        <v>4.7064000000000002E-2</v>
      </c>
      <c r="H402" s="24">
        <v>0.58686700000000003</v>
      </c>
      <c r="I402" t="s">
        <v>15</v>
      </c>
      <c r="J402" s="24">
        <f t="shared" si="25"/>
        <v>0.11051800000000001</v>
      </c>
      <c r="K402" s="24">
        <f t="shared" si="26"/>
        <v>0.1</v>
      </c>
      <c r="L402" s="24">
        <f t="shared" si="27"/>
        <v>0.05</v>
      </c>
      <c r="M402" s="24">
        <f t="shared" si="28"/>
        <v>0.59</v>
      </c>
    </row>
    <row r="403" spans="1:13" x14ac:dyDescent="0.25">
      <c r="A403" t="s">
        <v>125</v>
      </c>
      <c r="B403" t="s">
        <v>258</v>
      </c>
      <c r="C403" t="s">
        <v>279</v>
      </c>
      <c r="D403" s="24">
        <v>77463.399999999994</v>
      </c>
      <c r="E403" s="24">
        <v>77463.399999999994</v>
      </c>
      <c r="F403" s="24">
        <v>95.691130000000001</v>
      </c>
      <c r="G403" s="24">
        <v>7.3302659999999999</v>
      </c>
      <c r="H403" s="24">
        <v>38.664613000000003</v>
      </c>
      <c r="I403" t="s">
        <v>15</v>
      </c>
      <c r="J403" s="24">
        <f t="shared" si="25"/>
        <v>7.7463000000000004E-2</v>
      </c>
      <c r="K403" s="24">
        <f t="shared" si="26"/>
        <v>95.69</v>
      </c>
      <c r="L403" s="24">
        <f t="shared" si="27"/>
        <v>7.33</v>
      </c>
      <c r="M403" s="24">
        <f t="shared" si="28"/>
        <v>38.659999999999997</v>
      </c>
    </row>
    <row r="404" spans="1:13" x14ac:dyDescent="0.25">
      <c r="A404" t="s">
        <v>125</v>
      </c>
      <c r="B404" t="s">
        <v>258</v>
      </c>
      <c r="C404" t="s">
        <v>280</v>
      </c>
      <c r="D404" s="24">
        <v>4.37</v>
      </c>
      <c r="E404" s="24">
        <v>4.37</v>
      </c>
      <c r="F404" s="24">
        <v>4.9410000000000001E-3</v>
      </c>
      <c r="G404" s="24">
        <v>3.7800000000000003E-4</v>
      </c>
      <c r="H404" s="24">
        <v>1.9959999999999999E-3</v>
      </c>
      <c r="I404" t="s">
        <v>15</v>
      </c>
      <c r="J404" s="24">
        <f t="shared" si="25"/>
        <v>3.9999999999999998E-6</v>
      </c>
      <c r="K404" s="24">
        <f t="shared" si="26"/>
        <v>0</v>
      </c>
      <c r="L404" s="24">
        <f t="shared" si="27"/>
        <v>0</v>
      </c>
      <c r="M404" s="24">
        <f t="shared" si="28"/>
        <v>0</v>
      </c>
    </row>
    <row r="405" spans="1:13" x14ac:dyDescent="0.25">
      <c r="A405" t="s">
        <v>34</v>
      </c>
      <c r="B405" t="s">
        <v>258</v>
      </c>
      <c r="C405" t="s">
        <v>518</v>
      </c>
      <c r="D405" s="24">
        <v>126576.44</v>
      </c>
      <c r="E405" s="24">
        <v>126576.44</v>
      </c>
      <c r="F405" s="24">
        <v>4.0956979999999996</v>
      </c>
      <c r="G405" s="24">
        <v>1.9454039999999999</v>
      </c>
      <c r="H405" s="24">
        <v>18.63214</v>
      </c>
      <c r="I405" t="s">
        <v>15</v>
      </c>
      <c r="J405" s="24">
        <f t="shared" si="25"/>
        <v>0.12657599999999999</v>
      </c>
      <c r="K405" s="24">
        <f t="shared" si="26"/>
        <v>4.0999999999999996</v>
      </c>
      <c r="L405" s="24">
        <f t="shared" si="27"/>
        <v>1.95</v>
      </c>
      <c r="M405" s="24">
        <f t="shared" si="28"/>
        <v>18.63</v>
      </c>
    </row>
    <row r="406" spans="1:13" x14ac:dyDescent="0.25">
      <c r="A406" t="s">
        <v>646</v>
      </c>
      <c r="B406" t="s">
        <v>258</v>
      </c>
      <c r="C406" t="s">
        <v>658</v>
      </c>
      <c r="D406" s="24">
        <v>21111.15</v>
      </c>
      <c r="E406" s="24">
        <v>21111.15</v>
      </c>
      <c r="F406" s="24">
        <v>0.64844800000000002</v>
      </c>
      <c r="G406" s="24">
        <v>0.108393</v>
      </c>
      <c r="H406" s="24">
        <v>1.186496</v>
      </c>
      <c r="I406" t="s">
        <v>15</v>
      </c>
      <c r="J406" s="24">
        <f t="shared" si="25"/>
        <v>2.1111000000000001E-2</v>
      </c>
      <c r="K406" s="24">
        <f t="shared" si="26"/>
        <v>0.65</v>
      </c>
      <c r="L406" s="24">
        <f t="shared" si="27"/>
        <v>0.11</v>
      </c>
      <c r="M406" s="24">
        <f t="shared" si="28"/>
        <v>1.19</v>
      </c>
    </row>
    <row r="407" spans="1:13" x14ac:dyDescent="0.25">
      <c r="A407" t="s">
        <v>41</v>
      </c>
      <c r="B407" t="s">
        <v>258</v>
      </c>
      <c r="C407" t="s">
        <v>579</v>
      </c>
      <c r="D407" s="24">
        <v>453758.25</v>
      </c>
      <c r="E407" s="24">
        <v>453758.25</v>
      </c>
      <c r="F407" s="24">
        <v>21.107199999999999</v>
      </c>
      <c r="G407" s="24">
        <v>19.102792999999998</v>
      </c>
      <c r="H407" s="24">
        <v>98.695170000000005</v>
      </c>
      <c r="I407" t="s">
        <v>15</v>
      </c>
      <c r="J407" s="24">
        <f t="shared" si="25"/>
        <v>0.45375799999999999</v>
      </c>
      <c r="K407" s="24">
        <f t="shared" si="26"/>
        <v>21.11</v>
      </c>
      <c r="L407" s="24">
        <f t="shared" si="27"/>
        <v>19.100000000000001</v>
      </c>
      <c r="M407" s="24">
        <f t="shared" si="28"/>
        <v>98.7</v>
      </c>
    </row>
    <row r="408" spans="1:13" x14ac:dyDescent="0.25">
      <c r="A408" t="s">
        <v>125</v>
      </c>
      <c r="B408" t="s">
        <v>258</v>
      </c>
      <c r="C408" t="s">
        <v>288</v>
      </c>
      <c r="D408" s="24">
        <v>39486.699999999997</v>
      </c>
      <c r="E408" s="24">
        <v>39486.699999999997</v>
      </c>
      <c r="F408" s="24">
        <v>48.774529999999999</v>
      </c>
      <c r="G408" s="24">
        <v>3.7362899999999999</v>
      </c>
      <c r="H408" s="24">
        <v>19.707657000000001</v>
      </c>
      <c r="I408" t="s">
        <v>15</v>
      </c>
      <c r="J408" s="24">
        <f t="shared" si="25"/>
        <v>3.9487000000000001E-2</v>
      </c>
      <c r="K408" s="24">
        <f t="shared" si="26"/>
        <v>48.77</v>
      </c>
      <c r="L408" s="24">
        <f t="shared" si="27"/>
        <v>3.74</v>
      </c>
      <c r="M408" s="24">
        <f t="shared" si="28"/>
        <v>19.71</v>
      </c>
    </row>
    <row r="409" spans="1:13" x14ac:dyDescent="0.25">
      <c r="A409" t="s">
        <v>38</v>
      </c>
      <c r="B409" t="s">
        <v>258</v>
      </c>
      <c r="C409" t="s">
        <v>451</v>
      </c>
      <c r="D409" s="24">
        <v>59819.63</v>
      </c>
      <c r="E409" s="24">
        <v>59819.63</v>
      </c>
      <c r="F409" s="24">
        <v>3.3140010000000002</v>
      </c>
      <c r="G409" s="24">
        <v>2.2532109999999999</v>
      </c>
      <c r="H409" s="24">
        <v>40.386817999999998</v>
      </c>
      <c r="I409" t="s">
        <v>15</v>
      </c>
      <c r="J409" s="24">
        <f t="shared" si="25"/>
        <v>5.9819999999999998E-2</v>
      </c>
      <c r="K409" s="24">
        <f t="shared" si="26"/>
        <v>3.31</v>
      </c>
      <c r="L409" s="24">
        <f t="shared" si="27"/>
        <v>2.25</v>
      </c>
      <c r="M409" s="24">
        <f t="shared" si="28"/>
        <v>40.39</v>
      </c>
    </row>
    <row r="410" spans="1:13" x14ac:dyDescent="0.25">
      <c r="A410" t="s">
        <v>646</v>
      </c>
      <c r="B410" t="s">
        <v>258</v>
      </c>
      <c r="C410" t="s">
        <v>659</v>
      </c>
      <c r="D410" s="24">
        <v>9640525.5099999998</v>
      </c>
      <c r="E410" s="24">
        <v>9640525.5099999998</v>
      </c>
      <c r="F410" s="24">
        <v>296.36853300000001</v>
      </c>
      <c r="G410" s="24">
        <v>49.541746000000003</v>
      </c>
      <c r="H410" s="24">
        <v>542.27792399999998</v>
      </c>
      <c r="I410" t="s">
        <v>15</v>
      </c>
      <c r="J410" s="24">
        <f t="shared" si="25"/>
        <v>9.6405259999999995</v>
      </c>
      <c r="K410" s="24">
        <f t="shared" si="26"/>
        <v>296.37</v>
      </c>
      <c r="L410" s="24">
        <f t="shared" si="27"/>
        <v>49.54</v>
      </c>
      <c r="M410" s="24">
        <f t="shared" si="28"/>
        <v>542.28</v>
      </c>
    </row>
    <row r="411" spans="1:13" x14ac:dyDescent="0.25">
      <c r="A411" t="s">
        <v>34</v>
      </c>
      <c r="B411" t="s">
        <v>258</v>
      </c>
      <c r="C411" t="s">
        <v>546</v>
      </c>
      <c r="D411" s="24">
        <v>1717347.05</v>
      </c>
      <c r="E411" s="24">
        <v>1717347.05</v>
      </c>
      <c r="F411" s="24">
        <v>54.524621000000003</v>
      </c>
      <c r="G411" s="24">
        <v>25.898561000000001</v>
      </c>
      <c r="H411" s="24">
        <v>248.04257899999999</v>
      </c>
      <c r="I411" t="s">
        <v>15</v>
      </c>
      <c r="J411" s="24">
        <f t="shared" si="25"/>
        <v>1.717347</v>
      </c>
      <c r="K411" s="24">
        <f t="shared" si="26"/>
        <v>54.52</v>
      </c>
      <c r="L411" s="24">
        <f t="shared" si="27"/>
        <v>25.9</v>
      </c>
      <c r="M411" s="24">
        <f t="shared" si="28"/>
        <v>248.04</v>
      </c>
    </row>
    <row r="412" spans="1:13" x14ac:dyDescent="0.25">
      <c r="A412" t="s">
        <v>34</v>
      </c>
      <c r="B412" t="s">
        <v>258</v>
      </c>
      <c r="C412" t="s">
        <v>70</v>
      </c>
      <c r="D412" s="24">
        <v>2425385.7599999998</v>
      </c>
      <c r="E412" s="24">
        <v>2425385.7599999998</v>
      </c>
      <c r="F412" s="24">
        <v>77.033889000000002</v>
      </c>
      <c r="G412" s="24">
        <v>36.590235</v>
      </c>
      <c r="H412" s="24">
        <v>350.44096000000002</v>
      </c>
      <c r="I412" t="s">
        <v>15</v>
      </c>
      <c r="J412" s="24">
        <f t="shared" si="25"/>
        <v>2.425386</v>
      </c>
      <c r="K412" s="24">
        <f t="shared" si="26"/>
        <v>77.03</v>
      </c>
      <c r="L412" s="24">
        <f t="shared" si="27"/>
        <v>36.590000000000003</v>
      </c>
      <c r="M412" s="24">
        <f t="shared" si="28"/>
        <v>350.44</v>
      </c>
    </row>
    <row r="413" spans="1:13" x14ac:dyDescent="0.25">
      <c r="A413" t="s">
        <v>34</v>
      </c>
      <c r="B413" t="s">
        <v>258</v>
      </c>
      <c r="C413" t="s">
        <v>212</v>
      </c>
      <c r="D413" s="24">
        <v>742140.28941900004</v>
      </c>
      <c r="E413" s="24">
        <v>742140.28941900004</v>
      </c>
      <c r="F413" s="24">
        <v>23.628720000000001</v>
      </c>
      <c r="G413" s="24">
        <v>11.223369999999999</v>
      </c>
      <c r="H413" s="24">
        <v>107.49130599999999</v>
      </c>
      <c r="I413" t="s">
        <v>15</v>
      </c>
      <c r="J413" s="24">
        <f t="shared" si="25"/>
        <v>0.74214000000000002</v>
      </c>
      <c r="K413" s="24">
        <f t="shared" si="26"/>
        <v>23.63</v>
      </c>
      <c r="L413" s="24">
        <f t="shared" si="27"/>
        <v>11.22</v>
      </c>
      <c r="M413" s="24">
        <f t="shared" si="28"/>
        <v>107.49</v>
      </c>
    </row>
    <row r="414" spans="1:13" x14ac:dyDescent="0.25">
      <c r="A414" t="s">
        <v>34</v>
      </c>
      <c r="B414" t="s">
        <v>258</v>
      </c>
      <c r="C414" t="s">
        <v>547</v>
      </c>
      <c r="D414" s="24">
        <v>498759.89</v>
      </c>
      <c r="E414" s="24">
        <v>498759.89</v>
      </c>
      <c r="F414" s="24">
        <v>15.831246</v>
      </c>
      <c r="G414" s="24">
        <v>7.5196569999999996</v>
      </c>
      <c r="H414" s="24">
        <v>72.019279999999995</v>
      </c>
      <c r="I414" t="s">
        <v>15</v>
      </c>
      <c r="J414" s="24">
        <f t="shared" si="25"/>
        <v>0.49875999999999998</v>
      </c>
      <c r="K414" s="24">
        <f t="shared" si="26"/>
        <v>15.83</v>
      </c>
      <c r="L414" s="24">
        <f t="shared" si="27"/>
        <v>7.52</v>
      </c>
      <c r="M414" s="24">
        <f t="shared" si="28"/>
        <v>72.02</v>
      </c>
    </row>
    <row r="415" spans="1:13" x14ac:dyDescent="0.25">
      <c r="A415" t="s">
        <v>61</v>
      </c>
      <c r="B415" t="s">
        <v>258</v>
      </c>
      <c r="C415" t="s">
        <v>558</v>
      </c>
      <c r="D415" s="24">
        <v>95685.86</v>
      </c>
      <c r="E415" s="24">
        <v>95685.86</v>
      </c>
      <c r="F415" s="24">
        <v>6.0269250000000003</v>
      </c>
      <c r="G415" s="24">
        <v>0.43329000000000001</v>
      </c>
      <c r="H415" s="24">
        <v>9.397043</v>
      </c>
      <c r="I415" t="s">
        <v>15</v>
      </c>
      <c r="J415" s="24">
        <f t="shared" si="25"/>
        <v>9.5685999999999993E-2</v>
      </c>
      <c r="K415" s="24">
        <f t="shared" si="26"/>
        <v>6.03</v>
      </c>
      <c r="L415" s="24">
        <f t="shared" si="27"/>
        <v>0.43</v>
      </c>
      <c r="M415" s="24">
        <f t="shared" si="28"/>
        <v>9.4</v>
      </c>
    </row>
    <row r="416" spans="1:13" x14ac:dyDescent="0.25">
      <c r="A416" t="s">
        <v>67</v>
      </c>
      <c r="B416" t="s">
        <v>258</v>
      </c>
      <c r="C416" t="s">
        <v>136</v>
      </c>
      <c r="D416" s="24">
        <v>352890851.73000002</v>
      </c>
      <c r="E416" s="24">
        <v>352890851.73000002</v>
      </c>
      <c r="F416" s="24">
        <v>334.575785</v>
      </c>
      <c r="G416" s="24">
        <v>150.33148299999999</v>
      </c>
      <c r="H416" s="24">
        <v>1874.132648</v>
      </c>
      <c r="I416" t="s">
        <v>15</v>
      </c>
      <c r="J416" s="24">
        <f t="shared" si="25"/>
        <v>352.890852</v>
      </c>
      <c r="K416" s="24">
        <f t="shared" si="26"/>
        <v>334.58</v>
      </c>
      <c r="L416" s="24">
        <f t="shared" si="27"/>
        <v>150.33000000000001</v>
      </c>
      <c r="M416" s="24">
        <f t="shared" si="28"/>
        <v>1874.13</v>
      </c>
    </row>
    <row r="417" spans="1:13" x14ac:dyDescent="0.25">
      <c r="A417" t="s">
        <v>626</v>
      </c>
      <c r="B417" t="s">
        <v>258</v>
      </c>
      <c r="C417" t="s">
        <v>634</v>
      </c>
      <c r="D417" s="24">
        <v>360252.29</v>
      </c>
      <c r="E417" s="24">
        <v>360252.29</v>
      </c>
      <c r="F417" s="24">
        <v>11.066934</v>
      </c>
      <c r="G417" s="24">
        <v>1.8499669999999999</v>
      </c>
      <c r="H417" s="24">
        <v>20.249652000000001</v>
      </c>
      <c r="I417" t="s">
        <v>15</v>
      </c>
      <c r="J417" s="24">
        <f t="shared" si="25"/>
        <v>0.36025200000000002</v>
      </c>
      <c r="K417" s="24">
        <f t="shared" si="26"/>
        <v>11.07</v>
      </c>
      <c r="L417" s="24">
        <f t="shared" si="27"/>
        <v>1.85</v>
      </c>
      <c r="M417" s="24">
        <f t="shared" si="28"/>
        <v>20.25</v>
      </c>
    </row>
    <row r="418" spans="1:13" x14ac:dyDescent="0.25">
      <c r="A418" t="s">
        <v>133</v>
      </c>
      <c r="B418" t="s">
        <v>258</v>
      </c>
      <c r="C418" t="s">
        <v>565</v>
      </c>
      <c r="D418" s="24">
        <v>5375984.6199999899</v>
      </c>
      <c r="E418" s="24">
        <v>5376604.3399999896</v>
      </c>
      <c r="F418" s="24">
        <v>170.68328199999999</v>
      </c>
      <c r="G418" s="24">
        <v>81.072501000000003</v>
      </c>
      <c r="H418" s="24">
        <v>776.47042099999999</v>
      </c>
      <c r="I418" t="s">
        <v>15</v>
      </c>
      <c r="J418" s="24">
        <f t="shared" si="25"/>
        <v>5.3766040000000004</v>
      </c>
      <c r="K418" s="24">
        <f t="shared" si="26"/>
        <v>170.68</v>
      </c>
      <c r="L418" s="24">
        <f t="shared" si="27"/>
        <v>81.069999999999993</v>
      </c>
      <c r="M418" s="24">
        <f t="shared" si="28"/>
        <v>776.47</v>
      </c>
    </row>
    <row r="419" spans="1:13" x14ac:dyDescent="0.25">
      <c r="A419" t="s">
        <v>38</v>
      </c>
      <c r="B419" t="s">
        <v>258</v>
      </c>
      <c r="C419" t="s">
        <v>414</v>
      </c>
      <c r="D419" s="24">
        <v>836652.24</v>
      </c>
      <c r="E419" s="24">
        <v>836652.24</v>
      </c>
      <c r="F419" s="24">
        <v>38.920592999999997</v>
      </c>
      <c r="G419" s="24">
        <v>35.224578000000001</v>
      </c>
      <c r="H419" s="24">
        <v>181.98861099999999</v>
      </c>
      <c r="I419" t="s">
        <v>15</v>
      </c>
      <c r="J419" s="24">
        <f t="shared" si="25"/>
        <v>0.83665199999999995</v>
      </c>
      <c r="K419" s="24">
        <f t="shared" si="26"/>
        <v>38.92</v>
      </c>
      <c r="L419" s="24">
        <f t="shared" si="27"/>
        <v>35.22</v>
      </c>
      <c r="M419" s="24">
        <f t="shared" si="28"/>
        <v>181.99</v>
      </c>
    </row>
    <row r="420" spans="1:13" x14ac:dyDescent="0.25">
      <c r="A420" t="s">
        <v>38</v>
      </c>
      <c r="B420" t="s">
        <v>258</v>
      </c>
      <c r="C420" t="s">
        <v>415</v>
      </c>
      <c r="D420" s="24">
        <v>28838.38</v>
      </c>
      <c r="E420" s="24">
        <v>28838.38</v>
      </c>
      <c r="F420" s="24">
        <v>1.1768179999999999</v>
      </c>
      <c r="G420" s="24">
        <v>0.42819400000000002</v>
      </c>
      <c r="H420" s="24">
        <v>4.1131929999999999</v>
      </c>
      <c r="I420" t="s">
        <v>15</v>
      </c>
      <c r="J420" s="24">
        <f t="shared" si="25"/>
        <v>2.8837999999999999E-2</v>
      </c>
      <c r="K420" s="24">
        <f t="shared" si="26"/>
        <v>1.18</v>
      </c>
      <c r="L420" s="24">
        <f t="shared" si="27"/>
        <v>0.43</v>
      </c>
      <c r="M420" s="24">
        <f t="shared" si="28"/>
        <v>4.1100000000000003</v>
      </c>
    </row>
    <row r="421" spans="1:13" x14ac:dyDescent="0.25">
      <c r="A421" t="s">
        <v>38</v>
      </c>
      <c r="B421" t="s">
        <v>258</v>
      </c>
      <c r="C421" t="s">
        <v>416</v>
      </c>
      <c r="D421" s="24">
        <v>16.59</v>
      </c>
      <c r="E421" s="24">
        <v>16.59</v>
      </c>
      <c r="F421" s="24">
        <v>1.91E-3</v>
      </c>
      <c r="G421" s="24">
        <v>4.5100000000000001E-4</v>
      </c>
      <c r="H421" s="24">
        <v>6.2139999999999999E-3</v>
      </c>
      <c r="I421" t="s">
        <v>15</v>
      </c>
      <c r="J421" s="24">
        <f t="shared" si="25"/>
        <v>1.7E-5</v>
      </c>
      <c r="K421" s="24">
        <f t="shared" si="26"/>
        <v>0</v>
      </c>
      <c r="L421" s="24">
        <f t="shared" si="27"/>
        <v>0</v>
      </c>
      <c r="M421" s="24">
        <f t="shared" si="28"/>
        <v>0.01</v>
      </c>
    </row>
    <row r="422" spans="1:13" x14ac:dyDescent="0.25">
      <c r="A422" t="s">
        <v>38</v>
      </c>
      <c r="B422" t="s">
        <v>258</v>
      </c>
      <c r="C422" t="s">
        <v>452</v>
      </c>
      <c r="D422" s="24">
        <v>2599742.52999999</v>
      </c>
      <c r="E422" s="24">
        <v>2599787.1399999899</v>
      </c>
      <c r="F422" s="24">
        <v>310.34753000000001</v>
      </c>
      <c r="G422" s="24">
        <v>73.434850999999995</v>
      </c>
      <c r="H422" s="24">
        <v>1009.785161</v>
      </c>
      <c r="I422" t="s">
        <v>15</v>
      </c>
      <c r="J422" s="24">
        <f t="shared" si="25"/>
        <v>2.5997870000000001</v>
      </c>
      <c r="K422" s="24">
        <f t="shared" si="26"/>
        <v>310.35000000000002</v>
      </c>
      <c r="L422" s="24">
        <f t="shared" si="27"/>
        <v>73.430000000000007</v>
      </c>
      <c r="M422" s="24">
        <f t="shared" si="28"/>
        <v>1009.79</v>
      </c>
    </row>
    <row r="423" spans="1:13" x14ac:dyDescent="0.25">
      <c r="A423" t="s">
        <v>67</v>
      </c>
      <c r="B423" t="s">
        <v>258</v>
      </c>
      <c r="C423" t="s">
        <v>600</v>
      </c>
      <c r="D423" s="24">
        <v>1038515.563743</v>
      </c>
      <c r="E423" s="24">
        <v>1038515.563743</v>
      </c>
      <c r="F423" s="24">
        <v>0.98476600000000003</v>
      </c>
      <c r="G423" s="24">
        <v>0.442409</v>
      </c>
      <c r="H423" s="24">
        <v>5.5167679999999999</v>
      </c>
      <c r="I423" t="s">
        <v>15</v>
      </c>
      <c r="J423" s="24">
        <f t="shared" si="25"/>
        <v>1.038516</v>
      </c>
      <c r="K423" s="24">
        <f t="shared" si="26"/>
        <v>0.98</v>
      </c>
      <c r="L423" s="24">
        <f t="shared" si="27"/>
        <v>0.44</v>
      </c>
      <c r="M423" s="24">
        <f t="shared" si="28"/>
        <v>5.52</v>
      </c>
    </row>
    <row r="424" spans="1:13" x14ac:dyDescent="0.25">
      <c r="A424" t="s">
        <v>44</v>
      </c>
      <c r="B424" t="s">
        <v>258</v>
      </c>
      <c r="C424" t="s">
        <v>644</v>
      </c>
      <c r="D424" s="24">
        <v>1287976.52</v>
      </c>
      <c r="E424" s="24">
        <v>1287976.52</v>
      </c>
      <c r="F424" s="24">
        <v>39.566746999999999</v>
      </c>
      <c r="G424" s="24">
        <v>6.6140249999999998</v>
      </c>
      <c r="H424" s="24">
        <v>72.396996000000001</v>
      </c>
      <c r="I424" t="s">
        <v>15</v>
      </c>
      <c r="J424" s="24">
        <f t="shared" si="25"/>
        <v>1.2879769999999999</v>
      </c>
      <c r="K424" s="24">
        <f t="shared" si="26"/>
        <v>39.57</v>
      </c>
      <c r="L424" s="24">
        <f t="shared" si="27"/>
        <v>6.61</v>
      </c>
      <c r="M424" s="24">
        <f t="shared" si="28"/>
        <v>72.400000000000006</v>
      </c>
    </row>
    <row r="425" spans="1:13" x14ac:dyDescent="0.25">
      <c r="A425" t="s">
        <v>34</v>
      </c>
      <c r="B425" t="s">
        <v>258</v>
      </c>
      <c r="C425" t="s">
        <v>520</v>
      </c>
      <c r="D425" s="24">
        <v>174883.48</v>
      </c>
      <c r="E425" s="24">
        <v>174883.48</v>
      </c>
      <c r="F425" s="24">
        <v>5.5510950000000001</v>
      </c>
      <c r="G425" s="24">
        <v>2.6366999999999998</v>
      </c>
      <c r="H425" s="24">
        <v>25.253032000000001</v>
      </c>
      <c r="I425" t="s">
        <v>15</v>
      </c>
      <c r="J425" s="24">
        <f t="shared" si="25"/>
        <v>0.17488300000000001</v>
      </c>
      <c r="K425" s="24">
        <f t="shared" si="26"/>
        <v>5.55</v>
      </c>
      <c r="L425" s="24">
        <f t="shared" si="27"/>
        <v>2.64</v>
      </c>
      <c r="M425" s="24">
        <f t="shared" si="28"/>
        <v>25.25</v>
      </c>
    </row>
    <row r="426" spans="1:13" x14ac:dyDescent="0.25">
      <c r="A426" t="s">
        <v>67</v>
      </c>
      <c r="B426" t="s">
        <v>321</v>
      </c>
      <c r="C426" t="s">
        <v>136</v>
      </c>
      <c r="D426" s="24">
        <v>24121498.699999999</v>
      </c>
      <c r="E426" s="24">
        <v>24121498.699999999</v>
      </c>
      <c r="F426" s="24">
        <v>22.869591</v>
      </c>
      <c r="G426" s="24">
        <v>10.275757</v>
      </c>
      <c r="H426" s="24">
        <v>128.10445000000001</v>
      </c>
      <c r="I426" t="s">
        <v>682</v>
      </c>
      <c r="J426" s="24">
        <f t="shared" si="25"/>
        <v>24.121499</v>
      </c>
      <c r="K426" s="24">
        <f t="shared" si="26"/>
        <v>22.87</v>
      </c>
      <c r="L426" s="24">
        <f t="shared" si="27"/>
        <v>10.28</v>
      </c>
      <c r="M426" s="24">
        <f t="shared" si="28"/>
        <v>128.1</v>
      </c>
    </row>
    <row r="427" spans="1:13" x14ac:dyDescent="0.25">
      <c r="A427" t="s">
        <v>38</v>
      </c>
      <c r="B427" t="s">
        <v>258</v>
      </c>
      <c r="C427" t="s">
        <v>395</v>
      </c>
      <c r="D427" s="24">
        <v>418.35</v>
      </c>
      <c r="E427" s="24">
        <v>418.35</v>
      </c>
      <c r="F427" s="24">
        <v>7.9247999999999999E-2</v>
      </c>
      <c r="G427" s="24">
        <v>1.6036999999999999E-2</v>
      </c>
      <c r="H427" s="24">
        <v>0.12709300000000001</v>
      </c>
      <c r="I427" t="s">
        <v>15</v>
      </c>
      <c r="J427" s="24">
        <f t="shared" si="25"/>
        <v>4.1800000000000002E-4</v>
      </c>
      <c r="K427" s="24">
        <f t="shared" si="26"/>
        <v>0.08</v>
      </c>
      <c r="L427" s="24">
        <f t="shared" si="27"/>
        <v>0.02</v>
      </c>
      <c r="M427" s="24">
        <f t="shared" si="28"/>
        <v>0.13</v>
      </c>
    </row>
    <row r="428" spans="1:13" x14ac:dyDescent="0.25">
      <c r="A428" t="s">
        <v>585</v>
      </c>
      <c r="B428" t="s">
        <v>258</v>
      </c>
      <c r="C428" t="s">
        <v>588</v>
      </c>
      <c r="D428" s="24">
        <v>128079672.97999901</v>
      </c>
      <c r="E428" s="24">
        <v>128079775.459999</v>
      </c>
      <c r="F428" s="24">
        <v>121.45695000000001</v>
      </c>
      <c r="G428" s="24">
        <v>54.572617999999999</v>
      </c>
      <c r="H428" s="24">
        <v>680.34731399999998</v>
      </c>
      <c r="I428" t="s">
        <v>15</v>
      </c>
      <c r="J428" s="24">
        <f t="shared" si="25"/>
        <v>128.07977500000001</v>
      </c>
      <c r="K428" s="24">
        <f t="shared" si="26"/>
        <v>121.46</v>
      </c>
      <c r="L428" s="24">
        <f t="shared" si="27"/>
        <v>54.57</v>
      </c>
      <c r="M428" s="24">
        <f t="shared" si="28"/>
        <v>680.35</v>
      </c>
    </row>
    <row r="429" spans="1:13" x14ac:dyDescent="0.25">
      <c r="A429" t="s">
        <v>38</v>
      </c>
      <c r="B429" t="s">
        <v>258</v>
      </c>
      <c r="C429" t="s">
        <v>419</v>
      </c>
      <c r="D429" s="24">
        <v>10353.879999999999</v>
      </c>
      <c r="E429" s="24">
        <v>10353.879999999999</v>
      </c>
      <c r="F429" s="24">
        <v>1.972116</v>
      </c>
      <c r="G429" s="24">
        <v>0.39909800000000001</v>
      </c>
      <c r="H429" s="24">
        <v>3.1627100000000001</v>
      </c>
      <c r="I429" t="s">
        <v>15</v>
      </c>
      <c r="J429" s="24">
        <f t="shared" si="25"/>
        <v>1.0354E-2</v>
      </c>
      <c r="K429" s="24">
        <f t="shared" si="26"/>
        <v>1.97</v>
      </c>
      <c r="L429" s="24">
        <f t="shared" si="27"/>
        <v>0.4</v>
      </c>
      <c r="M429" s="24">
        <f t="shared" si="28"/>
        <v>3.16</v>
      </c>
    </row>
    <row r="430" spans="1:13" x14ac:dyDescent="0.25">
      <c r="A430" t="s">
        <v>38</v>
      </c>
      <c r="B430" t="s">
        <v>258</v>
      </c>
      <c r="C430" t="s">
        <v>420</v>
      </c>
      <c r="D430" s="24">
        <v>287225.65999999898</v>
      </c>
      <c r="E430" s="24">
        <v>287312.68999999901</v>
      </c>
      <c r="F430" s="24">
        <v>34.289656000000001</v>
      </c>
      <c r="G430" s="24">
        <v>8.1136649999999992</v>
      </c>
      <c r="H430" s="24">
        <v>111.56906499999999</v>
      </c>
      <c r="I430" t="s">
        <v>15</v>
      </c>
      <c r="J430" s="24">
        <f t="shared" si="25"/>
        <v>0.28731299999999999</v>
      </c>
      <c r="K430" s="24">
        <f t="shared" si="26"/>
        <v>34.29</v>
      </c>
      <c r="L430" s="24">
        <f t="shared" si="27"/>
        <v>8.11</v>
      </c>
      <c r="M430" s="24">
        <f t="shared" si="28"/>
        <v>111.57</v>
      </c>
    </row>
    <row r="431" spans="1:13" x14ac:dyDescent="0.25">
      <c r="A431" t="s">
        <v>133</v>
      </c>
      <c r="B431" t="s">
        <v>258</v>
      </c>
      <c r="C431" t="s">
        <v>566</v>
      </c>
      <c r="D431" s="24">
        <v>21074530.029999901</v>
      </c>
      <c r="E431" s="24">
        <v>21076957.3199999</v>
      </c>
      <c r="F431" s="24">
        <v>669.02511800000002</v>
      </c>
      <c r="G431" s="24">
        <v>317.77941099999998</v>
      </c>
      <c r="H431" s="24">
        <v>3043.5160529999998</v>
      </c>
      <c r="I431" t="s">
        <v>15</v>
      </c>
      <c r="J431" s="24">
        <f t="shared" si="25"/>
        <v>21.076957</v>
      </c>
      <c r="K431" s="24">
        <f t="shared" si="26"/>
        <v>669.03</v>
      </c>
      <c r="L431" s="24">
        <f t="shared" si="27"/>
        <v>317.77999999999997</v>
      </c>
      <c r="M431" s="24">
        <f t="shared" si="28"/>
        <v>3043.52</v>
      </c>
    </row>
    <row r="432" spans="1:13" x14ac:dyDescent="0.25">
      <c r="A432" t="s">
        <v>38</v>
      </c>
      <c r="B432" t="s">
        <v>258</v>
      </c>
      <c r="C432" t="s">
        <v>707</v>
      </c>
      <c r="D432" s="24">
        <v>54307.01</v>
      </c>
      <c r="E432" s="24">
        <v>54307.01</v>
      </c>
      <c r="F432" s="24">
        <v>10.345427000000001</v>
      </c>
      <c r="G432" s="24">
        <v>2.0936180000000002</v>
      </c>
      <c r="H432" s="24">
        <v>16.591099</v>
      </c>
      <c r="I432" t="s">
        <v>15</v>
      </c>
      <c r="J432" s="24">
        <f t="shared" si="25"/>
        <v>5.4307000000000001E-2</v>
      </c>
      <c r="K432" s="24">
        <f t="shared" si="26"/>
        <v>10.35</v>
      </c>
      <c r="L432" s="24">
        <f t="shared" si="27"/>
        <v>2.09</v>
      </c>
      <c r="M432" s="24">
        <f t="shared" si="28"/>
        <v>16.59</v>
      </c>
    </row>
    <row r="433" spans="1:13" x14ac:dyDescent="0.25">
      <c r="A433" t="s">
        <v>38</v>
      </c>
      <c r="B433" t="s">
        <v>258</v>
      </c>
      <c r="C433" t="s">
        <v>453</v>
      </c>
      <c r="D433" s="24">
        <v>3029.67</v>
      </c>
      <c r="E433" s="24">
        <v>3029.67</v>
      </c>
      <c r="F433" s="24">
        <v>6.7842E-2</v>
      </c>
      <c r="G433" s="24">
        <v>3.6878000000000001E-2</v>
      </c>
      <c r="H433" s="24">
        <v>0.60407999999999995</v>
      </c>
      <c r="I433" t="s">
        <v>15</v>
      </c>
      <c r="J433" s="24">
        <f t="shared" si="25"/>
        <v>3.0300000000000001E-3</v>
      </c>
      <c r="K433" s="24">
        <f t="shared" si="26"/>
        <v>7.0000000000000007E-2</v>
      </c>
      <c r="L433" s="24">
        <f t="shared" si="27"/>
        <v>0.04</v>
      </c>
      <c r="M433" s="24">
        <f t="shared" si="28"/>
        <v>0.6</v>
      </c>
    </row>
    <row r="434" spans="1:13" x14ac:dyDescent="0.25">
      <c r="A434" t="s">
        <v>624</v>
      </c>
      <c r="B434" t="s">
        <v>258</v>
      </c>
      <c r="C434" t="s">
        <v>625</v>
      </c>
      <c r="D434" s="24">
        <v>7376.38</v>
      </c>
      <c r="E434" s="24">
        <v>7376.38</v>
      </c>
      <c r="F434" s="24">
        <v>0.22654199999999999</v>
      </c>
      <c r="G434" s="24">
        <v>3.7867999999999999E-2</v>
      </c>
      <c r="H434" s="24">
        <v>0.41451500000000002</v>
      </c>
      <c r="I434" t="s">
        <v>15</v>
      </c>
      <c r="J434" s="24">
        <f t="shared" si="25"/>
        <v>7.3759999999999997E-3</v>
      </c>
      <c r="K434" s="24">
        <f t="shared" si="26"/>
        <v>0.23</v>
      </c>
      <c r="L434" s="24">
        <f t="shared" si="27"/>
        <v>0.04</v>
      </c>
      <c r="M434" s="24">
        <f t="shared" si="28"/>
        <v>0.41</v>
      </c>
    </row>
    <row r="435" spans="1:13" x14ac:dyDescent="0.25">
      <c r="A435" t="s">
        <v>34</v>
      </c>
      <c r="B435" t="s">
        <v>258</v>
      </c>
      <c r="C435" t="s">
        <v>167</v>
      </c>
      <c r="D435" s="24">
        <v>3401024.9499999899</v>
      </c>
      <c r="E435" s="24">
        <v>3401040.6599999899</v>
      </c>
      <c r="F435" s="24">
        <v>108.005166</v>
      </c>
      <c r="G435" s="24">
        <v>51.301214999999999</v>
      </c>
      <c r="H435" s="24">
        <v>491.335194</v>
      </c>
      <c r="I435" t="s">
        <v>15</v>
      </c>
      <c r="J435" s="24">
        <f t="shared" si="25"/>
        <v>3.4010410000000002</v>
      </c>
      <c r="K435" s="24">
        <f t="shared" si="26"/>
        <v>108.01</v>
      </c>
      <c r="L435" s="24">
        <f t="shared" si="27"/>
        <v>51.3</v>
      </c>
      <c r="M435" s="24">
        <f t="shared" si="28"/>
        <v>491.34</v>
      </c>
    </row>
    <row r="436" spans="1:13" x14ac:dyDescent="0.25">
      <c r="A436" t="s">
        <v>38</v>
      </c>
      <c r="B436" t="s">
        <v>258</v>
      </c>
      <c r="C436" t="s">
        <v>454</v>
      </c>
      <c r="D436" s="24">
        <v>413073.7</v>
      </c>
      <c r="E436" s="24">
        <v>413073.7</v>
      </c>
      <c r="F436" s="24">
        <v>78.689633999999998</v>
      </c>
      <c r="G436" s="24">
        <v>15.924530000000001</v>
      </c>
      <c r="H436" s="24">
        <v>126.19561299999999</v>
      </c>
      <c r="I436" t="s">
        <v>15</v>
      </c>
      <c r="J436" s="24">
        <f t="shared" si="25"/>
        <v>0.413074</v>
      </c>
      <c r="K436" s="24">
        <f t="shared" si="26"/>
        <v>78.69</v>
      </c>
      <c r="L436" s="24">
        <f t="shared" si="27"/>
        <v>15.92</v>
      </c>
      <c r="M436" s="24">
        <f t="shared" si="28"/>
        <v>126.2</v>
      </c>
    </row>
    <row r="437" spans="1:13" x14ac:dyDescent="0.25">
      <c r="A437" t="s">
        <v>34</v>
      </c>
      <c r="B437" t="s">
        <v>258</v>
      </c>
      <c r="C437" t="s">
        <v>105</v>
      </c>
      <c r="D437" s="24">
        <v>430372.14</v>
      </c>
      <c r="E437" s="24">
        <v>430372.14</v>
      </c>
      <c r="F437" s="24">
        <v>13.660382999999999</v>
      </c>
      <c r="G437" s="24">
        <v>6.4885219999999997</v>
      </c>
      <c r="H437" s="24">
        <v>62.143610000000002</v>
      </c>
      <c r="I437" t="s">
        <v>15</v>
      </c>
      <c r="J437" s="24">
        <f t="shared" si="25"/>
        <v>0.43037199999999998</v>
      </c>
      <c r="K437" s="24">
        <f t="shared" si="26"/>
        <v>13.66</v>
      </c>
      <c r="L437" s="24">
        <f t="shared" si="27"/>
        <v>6.49</v>
      </c>
      <c r="M437" s="24">
        <f t="shared" si="28"/>
        <v>62.14</v>
      </c>
    </row>
    <row r="438" spans="1:13" x14ac:dyDescent="0.25">
      <c r="A438" t="s">
        <v>34</v>
      </c>
      <c r="B438" t="s">
        <v>258</v>
      </c>
      <c r="C438" t="s">
        <v>114</v>
      </c>
      <c r="D438" s="24">
        <v>497089.99</v>
      </c>
      <c r="E438" s="24">
        <v>497089.99</v>
      </c>
      <c r="F438" s="24">
        <v>15.779119</v>
      </c>
      <c r="G438" s="24">
        <v>7.4949089999999998</v>
      </c>
      <c r="H438" s="24">
        <v>71.782043000000002</v>
      </c>
      <c r="I438" t="s">
        <v>15</v>
      </c>
      <c r="J438" s="24">
        <f t="shared" si="25"/>
        <v>0.49708999999999998</v>
      </c>
      <c r="K438" s="24">
        <f t="shared" si="26"/>
        <v>15.78</v>
      </c>
      <c r="L438" s="24">
        <f t="shared" si="27"/>
        <v>7.49</v>
      </c>
      <c r="M438" s="24">
        <f t="shared" si="28"/>
        <v>71.78</v>
      </c>
    </row>
    <row r="439" spans="1:13" x14ac:dyDescent="0.25">
      <c r="A439" t="s">
        <v>125</v>
      </c>
      <c r="B439" t="s">
        <v>258</v>
      </c>
      <c r="C439" t="s">
        <v>289</v>
      </c>
      <c r="D439" s="24">
        <v>661848.799999999</v>
      </c>
      <c r="E439" s="24">
        <v>661865.73999999894</v>
      </c>
      <c r="F439" s="24">
        <v>817.56483300000002</v>
      </c>
      <c r="G439" s="24">
        <v>62.628231</v>
      </c>
      <c r="H439" s="24">
        <v>330.342288</v>
      </c>
      <c r="I439" t="s">
        <v>15</v>
      </c>
      <c r="J439" s="24">
        <f t="shared" si="25"/>
        <v>0.66186599999999995</v>
      </c>
      <c r="K439" s="24">
        <f t="shared" si="26"/>
        <v>817.56</v>
      </c>
      <c r="L439" s="24">
        <f t="shared" si="27"/>
        <v>62.63</v>
      </c>
      <c r="M439" s="24">
        <f t="shared" si="28"/>
        <v>330.34</v>
      </c>
    </row>
    <row r="440" spans="1:13" x14ac:dyDescent="0.25">
      <c r="A440" t="s">
        <v>38</v>
      </c>
      <c r="B440" t="s">
        <v>258</v>
      </c>
      <c r="C440" t="s">
        <v>455</v>
      </c>
      <c r="D440" s="24">
        <v>696.75</v>
      </c>
      <c r="E440" s="24">
        <v>696.75</v>
      </c>
      <c r="F440" s="24">
        <v>8.3086999999999994E-2</v>
      </c>
      <c r="G440" s="24">
        <v>1.966E-2</v>
      </c>
      <c r="H440" s="24">
        <v>0.27034200000000003</v>
      </c>
      <c r="I440" t="s">
        <v>15</v>
      </c>
      <c r="J440" s="24">
        <f t="shared" si="25"/>
        <v>6.9700000000000003E-4</v>
      </c>
      <c r="K440" s="24">
        <f t="shared" si="26"/>
        <v>0.08</v>
      </c>
      <c r="L440" s="24">
        <f t="shared" si="27"/>
        <v>0.02</v>
      </c>
      <c r="M440" s="24">
        <f t="shared" si="28"/>
        <v>0.27</v>
      </c>
    </row>
    <row r="441" spans="1:13" x14ac:dyDescent="0.25">
      <c r="A441" t="s">
        <v>585</v>
      </c>
      <c r="B441" t="s">
        <v>258</v>
      </c>
      <c r="C441" t="s">
        <v>589</v>
      </c>
      <c r="D441" s="24">
        <v>50203856.109999903</v>
      </c>
      <c r="E441" s="24">
        <v>50203931.9099999</v>
      </c>
      <c r="F441" s="24">
        <v>47.598108000000003</v>
      </c>
      <c r="G441" s="24">
        <v>21.386725999999999</v>
      </c>
      <c r="H441" s="24">
        <v>266.62213800000001</v>
      </c>
      <c r="I441" t="s">
        <v>15</v>
      </c>
      <c r="J441" s="24">
        <f t="shared" si="25"/>
        <v>50.203932000000002</v>
      </c>
      <c r="K441" s="24">
        <f t="shared" si="26"/>
        <v>47.6</v>
      </c>
      <c r="L441" s="24">
        <f t="shared" si="27"/>
        <v>21.39</v>
      </c>
      <c r="M441" s="24">
        <f t="shared" si="28"/>
        <v>266.62</v>
      </c>
    </row>
    <row r="442" spans="1:13" x14ac:dyDescent="0.25">
      <c r="A442" t="s">
        <v>646</v>
      </c>
      <c r="B442" t="s">
        <v>258</v>
      </c>
      <c r="C442" t="s">
        <v>660</v>
      </c>
      <c r="D442" s="24">
        <v>42534.21</v>
      </c>
      <c r="E442" s="24">
        <v>42534.21</v>
      </c>
      <c r="F442" s="24">
        <v>1.3067329999999999</v>
      </c>
      <c r="G442" s="24">
        <v>0.21843699999999999</v>
      </c>
      <c r="H442" s="24">
        <v>2.3909850000000001</v>
      </c>
      <c r="I442" t="s">
        <v>15</v>
      </c>
      <c r="J442" s="24">
        <f t="shared" si="25"/>
        <v>4.2534000000000002E-2</v>
      </c>
      <c r="K442" s="24">
        <f t="shared" si="26"/>
        <v>1.31</v>
      </c>
      <c r="L442" s="24">
        <f t="shared" si="27"/>
        <v>0.22</v>
      </c>
      <c r="M442" s="24">
        <f t="shared" si="28"/>
        <v>2.39</v>
      </c>
    </row>
    <row r="443" spans="1:13" x14ac:dyDescent="0.25">
      <c r="A443" t="s">
        <v>38</v>
      </c>
      <c r="B443" t="s">
        <v>258</v>
      </c>
      <c r="C443" t="s">
        <v>423</v>
      </c>
      <c r="D443" s="24">
        <v>4791217.9599999897</v>
      </c>
      <c r="E443" s="24">
        <v>4791240.7299999902</v>
      </c>
      <c r="F443" s="24">
        <v>68.818371999999997</v>
      </c>
      <c r="G443" s="24">
        <v>127.261757</v>
      </c>
      <c r="H443" s="24">
        <v>879.43021799999997</v>
      </c>
      <c r="I443" t="s">
        <v>15</v>
      </c>
      <c r="J443" s="24">
        <f t="shared" si="25"/>
        <v>4.7912410000000003</v>
      </c>
      <c r="K443" s="24">
        <f t="shared" si="26"/>
        <v>68.819999999999993</v>
      </c>
      <c r="L443" s="24">
        <f t="shared" si="27"/>
        <v>127.26</v>
      </c>
      <c r="M443" s="24">
        <f t="shared" si="28"/>
        <v>879.43</v>
      </c>
    </row>
    <row r="444" spans="1:13" x14ac:dyDescent="0.25">
      <c r="A444" t="s">
        <v>38</v>
      </c>
      <c r="B444" t="s">
        <v>258</v>
      </c>
      <c r="C444" t="s">
        <v>708</v>
      </c>
      <c r="D444" s="24">
        <v>1287814.7</v>
      </c>
      <c r="E444" s="24">
        <v>1287814.7</v>
      </c>
      <c r="F444" s="24">
        <v>153.73593700000001</v>
      </c>
      <c r="G444" s="24">
        <v>36.377220999999999</v>
      </c>
      <c r="H444" s="24">
        <v>500.21424000000002</v>
      </c>
      <c r="I444" t="s">
        <v>15</v>
      </c>
      <c r="J444" s="24">
        <f t="shared" si="25"/>
        <v>1.2878149999999999</v>
      </c>
      <c r="K444" s="24">
        <f t="shared" si="26"/>
        <v>153.74</v>
      </c>
      <c r="L444" s="24">
        <f t="shared" si="27"/>
        <v>36.380000000000003</v>
      </c>
      <c r="M444" s="24">
        <f t="shared" si="28"/>
        <v>500.21</v>
      </c>
    </row>
    <row r="445" spans="1:13" x14ac:dyDescent="0.25">
      <c r="A445" t="s">
        <v>34</v>
      </c>
      <c r="B445" t="s">
        <v>321</v>
      </c>
      <c r="C445" t="s">
        <v>99</v>
      </c>
      <c r="D445" s="24">
        <v>18830.400000000001</v>
      </c>
      <c r="E445" s="24">
        <v>18830.400000000001</v>
      </c>
      <c r="F445" s="24">
        <v>0.46381099999999997</v>
      </c>
      <c r="G445" s="24">
        <v>8.2033999999999996E-2</v>
      </c>
      <c r="H445" s="24">
        <v>2.9747819999999998</v>
      </c>
      <c r="I445" t="s">
        <v>682</v>
      </c>
      <c r="J445" s="24">
        <f t="shared" si="25"/>
        <v>1.883E-2</v>
      </c>
      <c r="K445" s="24">
        <f t="shared" si="26"/>
        <v>0.46</v>
      </c>
      <c r="L445" s="24">
        <f t="shared" si="27"/>
        <v>0.08</v>
      </c>
      <c r="M445" s="24">
        <f t="shared" si="28"/>
        <v>2.97</v>
      </c>
    </row>
    <row r="446" spans="1:13" x14ac:dyDescent="0.25">
      <c r="A446" t="s">
        <v>34</v>
      </c>
      <c r="B446" t="s">
        <v>258</v>
      </c>
      <c r="C446" t="s">
        <v>146</v>
      </c>
      <c r="D446" s="24">
        <v>10216678.6499999</v>
      </c>
      <c r="E446" s="24">
        <v>10216764.9899999</v>
      </c>
      <c r="F446" s="24">
        <v>324.32458000000003</v>
      </c>
      <c r="G446" s="24">
        <v>154.05079799999999</v>
      </c>
      <c r="H446" s="24">
        <v>1475.408604</v>
      </c>
      <c r="I446" t="s">
        <v>15</v>
      </c>
      <c r="J446" s="24">
        <f t="shared" si="25"/>
        <v>10.216765000000001</v>
      </c>
      <c r="K446" s="24">
        <f t="shared" si="26"/>
        <v>324.32</v>
      </c>
      <c r="L446" s="24">
        <f t="shared" si="27"/>
        <v>154.05000000000001</v>
      </c>
      <c r="M446" s="24">
        <f t="shared" si="28"/>
        <v>1475.41</v>
      </c>
    </row>
    <row r="447" spans="1:13" x14ac:dyDescent="0.25">
      <c r="A447" t="s">
        <v>67</v>
      </c>
      <c r="B447" t="s">
        <v>258</v>
      </c>
      <c r="C447" t="s">
        <v>598</v>
      </c>
      <c r="D447" s="24">
        <v>205545.82</v>
      </c>
      <c r="E447" s="24">
        <v>205545.82</v>
      </c>
      <c r="F447" s="24">
        <v>0.19484599999999999</v>
      </c>
      <c r="G447" s="24">
        <v>8.7540999999999994E-2</v>
      </c>
      <c r="H447" s="24">
        <v>1.0915250000000001</v>
      </c>
      <c r="I447" t="s">
        <v>15</v>
      </c>
      <c r="J447" s="24">
        <f t="shared" si="25"/>
        <v>0.20554600000000001</v>
      </c>
      <c r="K447" s="24">
        <f t="shared" si="26"/>
        <v>0.19</v>
      </c>
      <c r="L447" s="24">
        <f t="shared" si="27"/>
        <v>0.09</v>
      </c>
      <c r="M447" s="24">
        <f t="shared" si="28"/>
        <v>1.0900000000000001</v>
      </c>
    </row>
    <row r="448" spans="1:13" x14ac:dyDescent="0.25">
      <c r="A448" t="s">
        <v>38</v>
      </c>
      <c r="B448" t="s">
        <v>258</v>
      </c>
      <c r="C448" t="s">
        <v>123</v>
      </c>
      <c r="D448" s="24">
        <v>10856891.16</v>
      </c>
      <c r="E448" s="24">
        <v>10856891.16</v>
      </c>
      <c r="F448" s="24">
        <v>178.41693900000001</v>
      </c>
      <c r="G448" s="24">
        <v>82.029866999999996</v>
      </c>
      <c r="H448" s="24">
        <v>2409.4201539999999</v>
      </c>
      <c r="I448" t="s">
        <v>15</v>
      </c>
      <c r="J448" s="24">
        <f t="shared" si="25"/>
        <v>10.856890999999999</v>
      </c>
      <c r="K448" s="24">
        <f t="shared" si="26"/>
        <v>178.42</v>
      </c>
      <c r="L448" s="24">
        <f t="shared" si="27"/>
        <v>82.03</v>
      </c>
      <c r="M448" s="24">
        <f t="shared" si="28"/>
        <v>2409.42</v>
      </c>
    </row>
    <row r="449" spans="1:13" x14ac:dyDescent="0.25">
      <c r="A449" t="s">
        <v>54</v>
      </c>
      <c r="B449" t="s">
        <v>258</v>
      </c>
      <c r="C449" t="s">
        <v>621</v>
      </c>
      <c r="D449" s="24">
        <v>1272451.03999999</v>
      </c>
      <c r="E449" s="24">
        <v>1272460.23999999</v>
      </c>
      <c r="F449" s="24">
        <v>1.2061189999999999</v>
      </c>
      <c r="G449" s="24">
        <v>0.541852</v>
      </c>
      <c r="H449" s="24">
        <v>6.7568890000000001</v>
      </c>
      <c r="I449" t="s">
        <v>15</v>
      </c>
      <c r="J449" s="24">
        <f t="shared" si="25"/>
        <v>1.2724599999999999</v>
      </c>
      <c r="K449" s="24">
        <f t="shared" si="26"/>
        <v>1.21</v>
      </c>
      <c r="L449" s="24">
        <f t="shared" si="27"/>
        <v>0.54</v>
      </c>
      <c r="M449" s="24">
        <f t="shared" si="28"/>
        <v>6.76</v>
      </c>
    </row>
    <row r="450" spans="1:13" x14ac:dyDescent="0.25">
      <c r="A450" t="s">
        <v>38</v>
      </c>
      <c r="B450" t="s">
        <v>258</v>
      </c>
      <c r="C450" t="s">
        <v>456</v>
      </c>
      <c r="D450" s="24">
        <v>4086774.39</v>
      </c>
      <c r="E450" s="24">
        <v>4086774.39</v>
      </c>
      <c r="F450" s="24">
        <v>778.55305099999998</v>
      </c>
      <c r="G450" s="24">
        <v>157.55700100000001</v>
      </c>
      <c r="H450" s="24">
        <v>1248.575867</v>
      </c>
      <c r="I450" t="s">
        <v>15</v>
      </c>
      <c r="J450" s="24">
        <f t="shared" si="25"/>
        <v>4.0867740000000001</v>
      </c>
      <c r="K450" s="24">
        <f t="shared" si="26"/>
        <v>778.55</v>
      </c>
      <c r="L450" s="24">
        <f t="shared" si="27"/>
        <v>157.56</v>
      </c>
      <c r="M450" s="24">
        <f t="shared" si="28"/>
        <v>1248.58</v>
      </c>
    </row>
    <row r="451" spans="1:13" x14ac:dyDescent="0.25">
      <c r="A451" t="s">
        <v>38</v>
      </c>
      <c r="B451" t="s">
        <v>258</v>
      </c>
      <c r="C451" t="s">
        <v>457</v>
      </c>
      <c r="D451" s="24">
        <v>30702.45</v>
      </c>
      <c r="E451" s="24">
        <v>30702.45</v>
      </c>
      <c r="F451" s="24">
        <v>3.6649029999999998</v>
      </c>
      <c r="G451" s="24">
        <v>0.86719400000000002</v>
      </c>
      <c r="H451" s="24">
        <v>11.924583999999999</v>
      </c>
      <c r="I451" t="s">
        <v>15</v>
      </c>
      <c r="J451" s="24">
        <f t="shared" ref="J451:J514" si="29">+ROUND(E451,0)/1000000</f>
        <v>3.0702E-2</v>
      </c>
      <c r="K451" s="24">
        <f t="shared" ref="K451:K514" si="30">+ROUND(F451,2)</f>
        <v>3.66</v>
      </c>
      <c r="L451" s="24">
        <f t="shared" ref="L451:L514" si="31">+ROUND(G451,2)</f>
        <v>0.87</v>
      </c>
      <c r="M451" s="24">
        <f t="shared" ref="M451:M514" si="32">+ROUND(H451,2)</f>
        <v>11.92</v>
      </c>
    </row>
    <row r="452" spans="1:13" x14ac:dyDescent="0.25">
      <c r="A452" t="s">
        <v>44</v>
      </c>
      <c r="B452" t="s">
        <v>258</v>
      </c>
      <c r="C452" t="s">
        <v>645</v>
      </c>
      <c r="D452" s="24">
        <v>402452.11999999901</v>
      </c>
      <c r="E452" s="24">
        <v>402470.18999999901</v>
      </c>
      <c r="F452" s="24">
        <v>12.363312000000001</v>
      </c>
      <c r="G452" s="24">
        <v>2.0666699999999998</v>
      </c>
      <c r="H452" s="24">
        <v>22.621691999999999</v>
      </c>
      <c r="I452" t="s">
        <v>15</v>
      </c>
      <c r="J452" s="24">
        <f t="shared" si="29"/>
        <v>0.40246999999999999</v>
      </c>
      <c r="K452" s="24">
        <f t="shared" si="30"/>
        <v>12.36</v>
      </c>
      <c r="L452" s="24">
        <f t="shared" si="31"/>
        <v>2.0699999999999998</v>
      </c>
      <c r="M452" s="24">
        <f t="shared" si="32"/>
        <v>22.62</v>
      </c>
    </row>
    <row r="453" spans="1:13" x14ac:dyDescent="0.25">
      <c r="A453" t="s">
        <v>38</v>
      </c>
      <c r="B453" t="s">
        <v>258</v>
      </c>
      <c r="C453" t="s">
        <v>151</v>
      </c>
      <c r="D453" s="24">
        <v>374596.95</v>
      </c>
      <c r="E453" s="24">
        <v>374596.95</v>
      </c>
      <c r="F453" s="24">
        <v>20.753235</v>
      </c>
      <c r="G453" s="24">
        <v>14.110276000000001</v>
      </c>
      <c r="H453" s="24">
        <v>252.91372200000001</v>
      </c>
      <c r="I453" t="s">
        <v>15</v>
      </c>
      <c r="J453" s="24">
        <f t="shared" si="29"/>
        <v>0.37459700000000001</v>
      </c>
      <c r="K453" s="24">
        <f t="shared" si="30"/>
        <v>20.75</v>
      </c>
      <c r="L453" s="24">
        <f t="shared" si="31"/>
        <v>14.11</v>
      </c>
      <c r="M453" s="24">
        <f t="shared" si="32"/>
        <v>252.91</v>
      </c>
    </row>
    <row r="454" spans="1:13" x14ac:dyDescent="0.25">
      <c r="A454" t="s">
        <v>38</v>
      </c>
      <c r="B454" t="s">
        <v>258</v>
      </c>
      <c r="C454" t="s">
        <v>709</v>
      </c>
      <c r="D454" s="24">
        <v>2404.62</v>
      </c>
      <c r="E454" s="24">
        <v>2404.62</v>
      </c>
      <c r="F454" s="24">
        <v>5.3879999999999997E-2</v>
      </c>
      <c r="G454" s="24">
        <v>2.929E-2</v>
      </c>
      <c r="H454" s="24">
        <v>0.47975400000000001</v>
      </c>
      <c r="I454" t="s">
        <v>15</v>
      </c>
      <c r="J454" s="24">
        <f t="shared" si="29"/>
        <v>2.405E-3</v>
      </c>
      <c r="K454" s="24">
        <f t="shared" si="30"/>
        <v>0.05</v>
      </c>
      <c r="L454" s="24">
        <f t="shared" si="31"/>
        <v>0.03</v>
      </c>
      <c r="M454" s="24">
        <f t="shared" si="32"/>
        <v>0.48</v>
      </c>
    </row>
    <row r="455" spans="1:13" x14ac:dyDescent="0.25">
      <c r="A455" t="s">
        <v>73</v>
      </c>
      <c r="B455" t="s">
        <v>258</v>
      </c>
      <c r="C455" t="s">
        <v>482</v>
      </c>
      <c r="D455" s="24">
        <v>644242.70999999903</v>
      </c>
      <c r="E455" s="24">
        <v>644892.73999999894</v>
      </c>
      <c r="F455" s="24">
        <v>17.714697000000001</v>
      </c>
      <c r="G455" s="24">
        <v>2.489141</v>
      </c>
      <c r="H455" s="24">
        <v>137.757621</v>
      </c>
      <c r="I455" t="s">
        <v>15</v>
      </c>
      <c r="J455" s="24">
        <f t="shared" si="29"/>
        <v>0.64489300000000005</v>
      </c>
      <c r="K455" s="24">
        <f t="shared" si="30"/>
        <v>17.71</v>
      </c>
      <c r="L455" s="24">
        <f t="shared" si="31"/>
        <v>2.4900000000000002</v>
      </c>
      <c r="M455" s="24">
        <f t="shared" si="32"/>
        <v>137.76</v>
      </c>
    </row>
    <row r="456" spans="1:13" x14ac:dyDescent="0.25">
      <c r="A456" t="s">
        <v>34</v>
      </c>
      <c r="B456" t="s">
        <v>258</v>
      </c>
      <c r="C456" t="s">
        <v>548</v>
      </c>
      <c r="D456" s="24">
        <v>1214066.26999999</v>
      </c>
      <c r="E456" s="24">
        <v>1214107.9399999899</v>
      </c>
      <c r="F456" s="24">
        <v>38.538004000000001</v>
      </c>
      <c r="G456" s="24">
        <v>18.305123999999999</v>
      </c>
      <c r="H456" s="24">
        <v>175.316304</v>
      </c>
      <c r="I456" t="s">
        <v>15</v>
      </c>
      <c r="J456" s="24">
        <f t="shared" si="29"/>
        <v>1.214108</v>
      </c>
      <c r="K456" s="24">
        <f t="shared" si="30"/>
        <v>38.54</v>
      </c>
      <c r="L456" s="24">
        <f t="shared" si="31"/>
        <v>18.309999999999999</v>
      </c>
      <c r="M456" s="24">
        <f t="shared" si="32"/>
        <v>175.32</v>
      </c>
    </row>
    <row r="457" spans="1:13" x14ac:dyDescent="0.25">
      <c r="A457" t="s">
        <v>38</v>
      </c>
      <c r="B457" t="s">
        <v>258</v>
      </c>
      <c r="C457" t="s">
        <v>400</v>
      </c>
      <c r="D457" s="24">
        <v>36278.19</v>
      </c>
      <c r="E457" s="24">
        <v>36278.19</v>
      </c>
      <c r="F457" s="24">
        <v>0.81304900000000002</v>
      </c>
      <c r="G457" s="24">
        <v>0.44198100000000001</v>
      </c>
      <c r="H457" s="24">
        <v>7.2394179999999997</v>
      </c>
      <c r="I457" t="s">
        <v>15</v>
      </c>
      <c r="J457" s="24">
        <f t="shared" si="29"/>
        <v>3.6277999999999998E-2</v>
      </c>
      <c r="K457" s="24">
        <f t="shared" si="30"/>
        <v>0.81</v>
      </c>
      <c r="L457" s="24">
        <f t="shared" si="31"/>
        <v>0.44</v>
      </c>
      <c r="M457" s="24">
        <f t="shared" si="32"/>
        <v>7.24</v>
      </c>
    </row>
    <row r="458" spans="1:13" x14ac:dyDescent="0.25">
      <c r="A458" t="s">
        <v>38</v>
      </c>
      <c r="B458" t="s">
        <v>258</v>
      </c>
      <c r="C458" t="s">
        <v>401</v>
      </c>
      <c r="D458" s="24">
        <v>342016.54</v>
      </c>
      <c r="E458" s="24">
        <v>342016.54</v>
      </c>
      <c r="F458" s="24">
        <v>18.946705999999999</v>
      </c>
      <c r="G458" s="24">
        <v>12.881993</v>
      </c>
      <c r="H458" s="24">
        <v>230.89833400000001</v>
      </c>
      <c r="I458" t="s">
        <v>15</v>
      </c>
      <c r="J458" s="24">
        <f t="shared" si="29"/>
        <v>0.34201700000000002</v>
      </c>
      <c r="K458" s="24">
        <f t="shared" si="30"/>
        <v>18.95</v>
      </c>
      <c r="L458" s="24">
        <f t="shared" si="31"/>
        <v>12.88</v>
      </c>
      <c r="M458" s="24">
        <f t="shared" si="32"/>
        <v>230.9</v>
      </c>
    </row>
    <row r="459" spans="1:13" x14ac:dyDescent="0.25">
      <c r="A459" t="s">
        <v>73</v>
      </c>
      <c r="B459" t="s">
        <v>258</v>
      </c>
      <c r="C459" t="s">
        <v>475</v>
      </c>
      <c r="D459" s="24">
        <v>2356987.2999999998</v>
      </c>
      <c r="E459" s="24">
        <v>2356987.2999999998</v>
      </c>
      <c r="F459" s="24">
        <v>64.805501000000007</v>
      </c>
      <c r="G459" s="24">
        <v>9.1058749999999993</v>
      </c>
      <c r="H459" s="24">
        <v>503.95845100000003</v>
      </c>
      <c r="I459" t="s">
        <v>15</v>
      </c>
      <c r="J459" s="24">
        <f t="shared" si="29"/>
        <v>2.3569870000000002</v>
      </c>
      <c r="K459" s="24">
        <f t="shared" si="30"/>
        <v>64.81</v>
      </c>
      <c r="L459" s="24">
        <f t="shared" si="31"/>
        <v>9.11</v>
      </c>
      <c r="M459" s="24">
        <f t="shared" si="32"/>
        <v>503.96</v>
      </c>
    </row>
    <row r="460" spans="1:13" x14ac:dyDescent="0.25">
      <c r="A460" t="s">
        <v>34</v>
      </c>
      <c r="B460" t="s">
        <v>258</v>
      </c>
      <c r="C460" t="s">
        <v>522</v>
      </c>
      <c r="D460" s="24">
        <v>479066.96</v>
      </c>
      <c r="E460" s="24">
        <v>479066.96</v>
      </c>
      <c r="F460" s="24">
        <v>15.206391999999999</v>
      </c>
      <c r="G460" s="24">
        <v>7.2228599999999998</v>
      </c>
      <c r="H460" s="24">
        <v>69.176666999999995</v>
      </c>
      <c r="I460" t="s">
        <v>15</v>
      </c>
      <c r="J460" s="24">
        <f t="shared" si="29"/>
        <v>0.47906700000000002</v>
      </c>
      <c r="K460" s="24">
        <f t="shared" si="30"/>
        <v>15.21</v>
      </c>
      <c r="L460" s="24">
        <f t="shared" si="31"/>
        <v>7.22</v>
      </c>
      <c r="M460" s="24">
        <f t="shared" si="32"/>
        <v>69.180000000000007</v>
      </c>
    </row>
    <row r="461" spans="1:13" x14ac:dyDescent="0.25">
      <c r="A461" t="s">
        <v>646</v>
      </c>
      <c r="B461" t="s">
        <v>258</v>
      </c>
      <c r="C461" t="s">
        <v>652</v>
      </c>
      <c r="D461" s="24">
        <v>459109.12</v>
      </c>
      <c r="E461" s="24">
        <v>459109.12</v>
      </c>
      <c r="F461" s="24">
        <v>14.102648</v>
      </c>
      <c r="G461" s="24">
        <v>2.3573909999999998</v>
      </c>
      <c r="H461" s="24">
        <v>25.804281</v>
      </c>
      <c r="I461" t="s">
        <v>15</v>
      </c>
      <c r="J461" s="24">
        <f t="shared" si="29"/>
        <v>0.45910899999999999</v>
      </c>
      <c r="K461" s="24">
        <f t="shared" si="30"/>
        <v>14.1</v>
      </c>
      <c r="L461" s="24">
        <f t="shared" si="31"/>
        <v>2.36</v>
      </c>
      <c r="M461" s="24">
        <f t="shared" si="32"/>
        <v>25.8</v>
      </c>
    </row>
    <row r="462" spans="1:13" x14ac:dyDescent="0.25">
      <c r="A462" t="s">
        <v>61</v>
      </c>
      <c r="B462" t="s">
        <v>258</v>
      </c>
      <c r="C462" t="s">
        <v>710</v>
      </c>
      <c r="D462" s="24">
        <v>22.12</v>
      </c>
      <c r="E462" s="24">
        <v>22.12</v>
      </c>
      <c r="F462" s="24">
        <v>1.3849999999999999E-3</v>
      </c>
      <c r="G462" s="24">
        <v>9.8999999999999994E-5</v>
      </c>
      <c r="H462" s="24">
        <v>2.16E-3</v>
      </c>
      <c r="I462" t="s">
        <v>15</v>
      </c>
      <c r="J462" s="24">
        <f t="shared" si="29"/>
        <v>2.1999999999999999E-5</v>
      </c>
      <c r="K462" s="24">
        <f t="shared" si="30"/>
        <v>0</v>
      </c>
      <c r="L462" s="24">
        <f t="shared" si="31"/>
        <v>0</v>
      </c>
      <c r="M462" s="24">
        <f t="shared" si="32"/>
        <v>0</v>
      </c>
    </row>
    <row r="463" spans="1:13" x14ac:dyDescent="0.25">
      <c r="A463" t="s">
        <v>646</v>
      </c>
      <c r="B463" t="s">
        <v>258</v>
      </c>
      <c r="C463" t="s">
        <v>653</v>
      </c>
      <c r="D463" s="24">
        <v>980.81</v>
      </c>
      <c r="E463" s="24">
        <v>980.81</v>
      </c>
      <c r="F463" s="24">
        <v>3.0075999999999999E-2</v>
      </c>
      <c r="G463" s="24">
        <v>5.0260000000000001E-3</v>
      </c>
      <c r="H463" s="24">
        <v>5.5031999999999998E-2</v>
      </c>
      <c r="I463" t="s">
        <v>15</v>
      </c>
      <c r="J463" s="24">
        <f t="shared" si="29"/>
        <v>9.810000000000001E-4</v>
      </c>
      <c r="K463" s="24">
        <f t="shared" si="30"/>
        <v>0.03</v>
      </c>
      <c r="L463" s="24">
        <f t="shared" si="31"/>
        <v>0.01</v>
      </c>
      <c r="M463" s="24">
        <f t="shared" si="32"/>
        <v>0.06</v>
      </c>
    </row>
    <row r="464" spans="1:13" x14ac:dyDescent="0.25">
      <c r="A464" t="s">
        <v>125</v>
      </c>
      <c r="B464" t="s">
        <v>258</v>
      </c>
      <c r="C464" t="s">
        <v>284</v>
      </c>
      <c r="D464" s="24">
        <v>162341.179999999</v>
      </c>
      <c r="E464" s="24">
        <v>162463.22999999899</v>
      </c>
      <c r="F464" s="24">
        <v>200.513802</v>
      </c>
      <c r="G464" s="24">
        <v>15.36002</v>
      </c>
      <c r="H464" s="24">
        <v>81.018871000000004</v>
      </c>
      <c r="I464" t="s">
        <v>15</v>
      </c>
      <c r="J464" s="24">
        <f t="shared" si="29"/>
        <v>0.162463</v>
      </c>
      <c r="K464" s="24">
        <f t="shared" si="30"/>
        <v>200.51</v>
      </c>
      <c r="L464" s="24">
        <f t="shared" si="31"/>
        <v>15.36</v>
      </c>
      <c r="M464" s="24">
        <f t="shared" si="32"/>
        <v>81.02</v>
      </c>
    </row>
    <row r="465" spans="1:13" x14ac:dyDescent="0.25">
      <c r="A465" t="s">
        <v>38</v>
      </c>
      <c r="B465" t="s">
        <v>258</v>
      </c>
      <c r="C465" t="s">
        <v>139</v>
      </c>
      <c r="D465" s="24">
        <v>38720.949999999997</v>
      </c>
      <c r="E465" s="24">
        <v>38720.949999999997</v>
      </c>
      <c r="F465" s="24">
        <v>1.800786</v>
      </c>
      <c r="G465" s="24">
        <v>1.6297759999999999</v>
      </c>
      <c r="H465" s="24">
        <v>8.4203419999999998</v>
      </c>
      <c r="I465" t="s">
        <v>15</v>
      </c>
      <c r="J465" s="24">
        <f t="shared" si="29"/>
        <v>3.8720999999999998E-2</v>
      </c>
      <c r="K465" s="24">
        <f t="shared" si="30"/>
        <v>1.8</v>
      </c>
      <c r="L465" s="24">
        <f t="shared" si="31"/>
        <v>1.63</v>
      </c>
      <c r="M465" s="24">
        <f t="shared" si="32"/>
        <v>8.42</v>
      </c>
    </row>
    <row r="466" spans="1:13" x14ac:dyDescent="0.25">
      <c r="A466" t="s">
        <v>38</v>
      </c>
      <c r="B466" t="s">
        <v>258</v>
      </c>
      <c r="C466" t="s">
        <v>189</v>
      </c>
      <c r="D466" s="24">
        <v>547592.05000000005</v>
      </c>
      <c r="E466" s="24">
        <v>547592.05000000005</v>
      </c>
      <c r="F466" s="24">
        <v>12.273053000000001</v>
      </c>
      <c r="G466" s="24">
        <v>6.6717659999999999</v>
      </c>
      <c r="H466" s="24">
        <v>109.279595</v>
      </c>
      <c r="I466" t="s">
        <v>15</v>
      </c>
      <c r="J466" s="24">
        <f t="shared" si="29"/>
        <v>0.54759199999999997</v>
      </c>
      <c r="K466" s="24">
        <f t="shared" si="30"/>
        <v>12.27</v>
      </c>
      <c r="L466" s="24">
        <f t="shared" si="31"/>
        <v>6.67</v>
      </c>
      <c r="M466" s="24">
        <f t="shared" si="32"/>
        <v>109.28</v>
      </c>
    </row>
    <row r="467" spans="1:13" x14ac:dyDescent="0.25">
      <c r="A467" t="s">
        <v>44</v>
      </c>
      <c r="B467" t="s">
        <v>258</v>
      </c>
      <c r="C467" t="s">
        <v>249</v>
      </c>
      <c r="D467" s="24">
        <v>6252687.48999999</v>
      </c>
      <c r="E467" s="24">
        <v>6253222.48999999</v>
      </c>
      <c r="F467" s="24">
        <v>192.45786799999999</v>
      </c>
      <c r="G467" s="24">
        <v>32.171652999999999</v>
      </c>
      <c r="H467" s="24">
        <v>352.14838900000001</v>
      </c>
      <c r="I467" t="s">
        <v>15</v>
      </c>
      <c r="J467" s="24">
        <f t="shared" si="29"/>
        <v>6.2532220000000001</v>
      </c>
      <c r="K467" s="24">
        <f t="shared" si="30"/>
        <v>192.46</v>
      </c>
      <c r="L467" s="24">
        <f t="shared" si="31"/>
        <v>32.17</v>
      </c>
      <c r="M467" s="24">
        <f t="shared" si="32"/>
        <v>352.15</v>
      </c>
    </row>
    <row r="468" spans="1:13" x14ac:dyDescent="0.25">
      <c r="A468" t="s">
        <v>38</v>
      </c>
      <c r="B468" t="s">
        <v>258</v>
      </c>
      <c r="C468" t="s">
        <v>410</v>
      </c>
      <c r="D468" s="24">
        <v>108.31</v>
      </c>
      <c r="E468" s="24">
        <v>108.31</v>
      </c>
      <c r="F468" s="24">
        <v>1.7570000000000001E-3</v>
      </c>
      <c r="G468" s="24">
        <v>8.0699999999999999E-4</v>
      </c>
      <c r="H468" s="24">
        <v>2.3746E-2</v>
      </c>
      <c r="I468" t="s">
        <v>15</v>
      </c>
      <c r="J468" s="24">
        <f t="shared" si="29"/>
        <v>1.08E-4</v>
      </c>
      <c r="K468" s="24">
        <f t="shared" si="30"/>
        <v>0</v>
      </c>
      <c r="L468" s="24">
        <f t="shared" si="31"/>
        <v>0</v>
      </c>
      <c r="M468" s="24">
        <f t="shared" si="32"/>
        <v>0.02</v>
      </c>
    </row>
    <row r="469" spans="1:13" x14ac:dyDescent="0.25">
      <c r="A469" t="s">
        <v>38</v>
      </c>
      <c r="B469" t="s">
        <v>258</v>
      </c>
      <c r="C469" t="s">
        <v>711</v>
      </c>
      <c r="D469" s="24">
        <v>5568.89</v>
      </c>
      <c r="E469" s="24">
        <v>5568.89</v>
      </c>
      <c r="F469" s="24">
        <v>0.66469599999999995</v>
      </c>
      <c r="G469" s="24">
        <v>0.15728</v>
      </c>
      <c r="H469" s="24">
        <v>2.162738</v>
      </c>
      <c r="I469" t="s">
        <v>15</v>
      </c>
      <c r="J469" s="24">
        <f t="shared" si="29"/>
        <v>5.5690000000000002E-3</v>
      </c>
      <c r="K469" s="24">
        <f t="shared" si="30"/>
        <v>0.66</v>
      </c>
      <c r="L469" s="24">
        <f t="shared" si="31"/>
        <v>0.16</v>
      </c>
      <c r="M469" s="24">
        <f t="shared" si="32"/>
        <v>2.16</v>
      </c>
    </row>
    <row r="470" spans="1:13" x14ac:dyDescent="0.25">
      <c r="A470" t="s">
        <v>238</v>
      </c>
      <c r="B470" t="s">
        <v>258</v>
      </c>
      <c r="C470" t="s">
        <v>584</v>
      </c>
      <c r="D470" s="24">
        <v>461201.27</v>
      </c>
      <c r="E470" s="24">
        <v>461201.27</v>
      </c>
      <c r="F470" s="24">
        <v>0.43724099999999999</v>
      </c>
      <c r="G470" s="24">
        <v>0.19645599999999999</v>
      </c>
      <c r="H470" s="24">
        <v>2.4492699999999998</v>
      </c>
      <c r="I470" t="s">
        <v>15</v>
      </c>
      <c r="J470" s="24">
        <f t="shared" si="29"/>
        <v>0.46120100000000003</v>
      </c>
      <c r="K470" s="24">
        <f t="shared" si="30"/>
        <v>0.44</v>
      </c>
      <c r="L470" s="24">
        <f t="shared" si="31"/>
        <v>0.2</v>
      </c>
      <c r="M470" s="24">
        <f t="shared" si="32"/>
        <v>2.4500000000000002</v>
      </c>
    </row>
    <row r="471" spans="1:13" x14ac:dyDescent="0.25">
      <c r="A471" t="s">
        <v>38</v>
      </c>
      <c r="B471" t="s">
        <v>258</v>
      </c>
      <c r="C471" t="s">
        <v>411</v>
      </c>
      <c r="D471" s="24">
        <v>194078.29</v>
      </c>
      <c r="E471" s="24">
        <v>194078.29</v>
      </c>
      <c r="F471" s="24">
        <v>9.0360370000000003</v>
      </c>
      <c r="G471" s="24">
        <v>8.1779419999999998</v>
      </c>
      <c r="H471" s="24">
        <v>42.251623000000002</v>
      </c>
      <c r="I471" t="s">
        <v>15</v>
      </c>
      <c r="J471" s="24">
        <f t="shared" si="29"/>
        <v>0.194078</v>
      </c>
      <c r="K471" s="24">
        <f t="shared" si="30"/>
        <v>9.0399999999999991</v>
      </c>
      <c r="L471" s="24">
        <f t="shared" si="31"/>
        <v>8.18</v>
      </c>
      <c r="M471" s="24">
        <f t="shared" si="32"/>
        <v>42.25</v>
      </c>
    </row>
    <row r="472" spans="1:13" x14ac:dyDescent="0.25">
      <c r="A472" t="s">
        <v>41</v>
      </c>
      <c r="B472" t="s">
        <v>258</v>
      </c>
      <c r="C472" t="s">
        <v>164</v>
      </c>
      <c r="D472" s="24">
        <v>1764430.24999999</v>
      </c>
      <c r="E472" s="24">
        <v>1764841.0699999901</v>
      </c>
      <c r="F472" s="24">
        <v>1.674698</v>
      </c>
      <c r="G472" s="24">
        <v>0.75236899999999995</v>
      </c>
      <c r="H472" s="24">
        <v>9.3817830000000004</v>
      </c>
      <c r="I472" t="s">
        <v>15</v>
      </c>
      <c r="J472" s="24">
        <f t="shared" si="29"/>
        <v>1.7648410000000001</v>
      </c>
      <c r="K472" s="24">
        <f t="shared" si="30"/>
        <v>1.67</v>
      </c>
      <c r="L472" s="24">
        <f t="shared" si="31"/>
        <v>0.75</v>
      </c>
      <c r="M472" s="24">
        <f t="shared" si="32"/>
        <v>9.3800000000000008</v>
      </c>
    </row>
    <row r="473" spans="1:13" x14ac:dyDescent="0.25">
      <c r="A473" t="s">
        <v>34</v>
      </c>
      <c r="B473" t="s">
        <v>258</v>
      </c>
      <c r="C473" t="s">
        <v>525</v>
      </c>
      <c r="D473" s="24">
        <v>235632.66999999899</v>
      </c>
      <c r="E473" s="24">
        <v>235770.93999999901</v>
      </c>
      <c r="F473" s="24">
        <v>7.488016</v>
      </c>
      <c r="G473" s="24">
        <v>3.5567139999999999</v>
      </c>
      <c r="H473" s="24">
        <v>34.064397</v>
      </c>
      <c r="I473" t="s">
        <v>15</v>
      </c>
      <c r="J473" s="24">
        <f t="shared" si="29"/>
        <v>0.23577100000000001</v>
      </c>
      <c r="K473" s="24">
        <f t="shared" si="30"/>
        <v>7.49</v>
      </c>
      <c r="L473" s="24">
        <f t="shared" si="31"/>
        <v>3.56</v>
      </c>
      <c r="M473" s="24">
        <f t="shared" si="32"/>
        <v>34.06</v>
      </c>
    </row>
    <row r="474" spans="1:13" x14ac:dyDescent="0.25">
      <c r="A474" t="s">
        <v>34</v>
      </c>
      <c r="B474" t="s">
        <v>258</v>
      </c>
      <c r="C474" t="s">
        <v>526</v>
      </c>
      <c r="D474" s="24">
        <v>554865.75</v>
      </c>
      <c r="E474" s="24">
        <v>554865.75</v>
      </c>
      <c r="F474" s="24">
        <v>17.612100000000002</v>
      </c>
      <c r="G474" s="24">
        <v>8.3655480000000004</v>
      </c>
      <c r="H474" s="24">
        <v>80.120706999999996</v>
      </c>
      <c r="I474" t="s">
        <v>15</v>
      </c>
      <c r="J474" s="24">
        <f t="shared" si="29"/>
        <v>0.55486599999999997</v>
      </c>
      <c r="K474" s="24">
        <f t="shared" si="30"/>
        <v>17.61</v>
      </c>
      <c r="L474" s="24">
        <f t="shared" si="31"/>
        <v>8.3699999999999992</v>
      </c>
      <c r="M474" s="24">
        <f t="shared" si="32"/>
        <v>80.12</v>
      </c>
    </row>
    <row r="475" spans="1:13" x14ac:dyDescent="0.25">
      <c r="A475" t="s">
        <v>61</v>
      </c>
      <c r="B475" t="s">
        <v>258</v>
      </c>
      <c r="C475" t="s">
        <v>557</v>
      </c>
      <c r="D475" s="24">
        <v>35462.44</v>
      </c>
      <c r="E475" s="24">
        <v>35462.44</v>
      </c>
      <c r="F475" s="24">
        <v>2.233511</v>
      </c>
      <c r="G475" s="24">
        <v>0.16056999999999999</v>
      </c>
      <c r="H475" s="24">
        <v>3.4824410000000001</v>
      </c>
      <c r="I475" t="s">
        <v>15</v>
      </c>
      <c r="J475" s="24">
        <f t="shared" si="29"/>
        <v>3.5462E-2</v>
      </c>
      <c r="K475" s="24">
        <f t="shared" si="30"/>
        <v>2.23</v>
      </c>
      <c r="L475" s="24">
        <f t="shared" si="31"/>
        <v>0.16</v>
      </c>
      <c r="M475" s="24">
        <f t="shared" si="32"/>
        <v>3.48</v>
      </c>
    </row>
    <row r="476" spans="1:13" x14ac:dyDescent="0.25">
      <c r="A476" t="s">
        <v>38</v>
      </c>
      <c r="B476" t="s">
        <v>258</v>
      </c>
      <c r="C476" t="s">
        <v>413</v>
      </c>
      <c r="D476" s="24">
        <v>258791.87</v>
      </c>
      <c r="E476" s="24">
        <v>258791.87</v>
      </c>
      <c r="F476" s="24">
        <v>3.7126519999999998</v>
      </c>
      <c r="G476" s="24">
        <v>6.8655929999999996</v>
      </c>
      <c r="H476" s="24">
        <v>47.444049999999997</v>
      </c>
      <c r="I476" t="s">
        <v>15</v>
      </c>
      <c r="J476" s="24">
        <f t="shared" si="29"/>
        <v>0.25879200000000002</v>
      </c>
      <c r="K476" s="24">
        <f t="shared" si="30"/>
        <v>3.71</v>
      </c>
      <c r="L476" s="24">
        <f t="shared" si="31"/>
        <v>6.87</v>
      </c>
      <c r="M476" s="24">
        <f t="shared" si="32"/>
        <v>47.44</v>
      </c>
    </row>
    <row r="477" spans="1:13" x14ac:dyDescent="0.25">
      <c r="A477" t="s">
        <v>67</v>
      </c>
      <c r="B477" t="s">
        <v>258</v>
      </c>
      <c r="C477" t="s">
        <v>597</v>
      </c>
      <c r="D477" s="24">
        <v>801439.15</v>
      </c>
      <c r="E477" s="24">
        <v>801439.15</v>
      </c>
      <c r="F477" s="24">
        <v>0.76062300000000005</v>
      </c>
      <c r="G477" s="24">
        <v>0.34173599999999998</v>
      </c>
      <c r="H477" s="24">
        <v>4.2609409999999999</v>
      </c>
      <c r="I477" t="s">
        <v>15</v>
      </c>
      <c r="J477" s="24">
        <f t="shared" si="29"/>
        <v>0.80143900000000001</v>
      </c>
      <c r="K477" s="24">
        <f t="shared" si="30"/>
        <v>0.76</v>
      </c>
      <c r="L477" s="24">
        <f t="shared" si="31"/>
        <v>0.34</v>
      </c>
      <c r="M477" s="24">
        <f t="shared" si="32"/>
        <v>4.26</v>
      </c>
    </row>
    <row r="478" spans="1:13" x14ac:dyDescent="0.25">
      <c r="A478" t="s">
        <v>73</v>
      </c>
      <c r="B478" t="s">
        <v>258</v>
      </c>
      <c r="C478" t="s">
        <v>150</v>
      </c>
      <c r="D478" s="24">
        <v>2699039.99</v>
      </c>
      <c r="E478" s="24">
        <v>2699039.99</v>
      </c>
      <c r="F478" s="24">
        <v>74.207575000000006</v>
      </c>
      <c r="G478" s="24">
        <v>10.426876</v>
      </c>
      <c r="H478" s="24">
        <v>577.07428500000003</v>
      </c>
      <c r="I478" t="s">
        <v>15</v>
      </c>
      <c r="J478" s="24">
        <f t="shared" si="29"/>
        <v>2.6990400000000001</v>
      </c>
      <c r="K478" s="24">
        <f t="shared" si="30"/>
        <v>74.209999999999994</v>
      </c>
      <c r="L478" s="24">
        <f t="shared" si="31"/>
        <v>10.43</v>
      </c>
      <c r="M478" s="24">
        <f t="shared" si="32"/>
        <v>577.07000000000005</v>
      </c>
    </row>
    <row r="479" spans="1:13" x14ac:dyDescent="0.25">
      <c r="A479" t="s">
        <v>38</v>
      </c>
      <c r="B479" t="s">
        <v>258</v>
      </c>
      <c r="C479" t="s">
        <v>417</v>
      </c>
      <c r="D479" s="24">
        <v>82.28</v>
      </c>
      <c r="E479" s="24">
        <v>82.28</v>
      </c>
      <c r="F479" s="24">
        <v>1.5620999999999999E-2</v>
      </c>
      <c r="G479" s="24">
        <v>3.1610000000000002E-3</v>
      </c>
      <c r="H479" s="24">
        <v>2.5052000000000001E-2</v>
      </c>
      <c r="I479" t="s">
        <v>15</v>
      </c>
      <c r="J479" s="24">
        <f t="shared" si="29"/>
        <v>8.2000000000000001E-5</v>
      </c>
      <c r="K479" s="24">
        <f t="shared" si="30"/>
        <v>0.02</v>
      </c>
      <c r="L479" s="24">
        <f t="shared" si="31"/>
        <v>0</v>
      </c>
      <c r="M479" s="24">
        <f t="shared" si="32"/>
        <v>0.03</v>
      </c>
    </row>
    <row r="480" spans="1:13" x14ac:dyDescent="0.25">
      <c r="A480" t="s">
        <v>38</v>
      </c>
      <c r="B480" t="s">
        <v>258</v>
      </c>
      <c r="C480" t="s">
        <v>418</v>
      </c>
      <c r="D480" s="24">
        <v>2729244.62</v>
      </c>
      <c r="E480" s="24">
        <v>2729244.62</v>
      </c>
      <c r="F480" s="24">
        <v>151.19882200000001</v>
      </c>
      <c r="G480" s="24">
        <v>102.80115600000001</v>
      </c>
      <c r="H480" s="24">
        <v>1842.6178749999999</v>
      </c>
      <c r="I480" t="s">
        <v>15</v>
      </c>
      <c r="J480" s="24">
        <f t="shared" si="29"/>
        <v>2.7292450000000001</v>
      </c>
      <c r="K480" s="24">
        <f t="shared" si="30"/>
        <v>151.19999999999999</v>
      </c>
      <c r="L480" s="24">
        <f t="shared" si="31"/>
        <v>102.8</v>
      </c>
      <c r="M480" s="24">
        <f t="shared" si="32"/>
        <v>1842.62</v>
      </c>
    </row>
    <row r="481" spans="1:13" x14ac:dyDescent="0.25">
      <c r="A481" t="s">
        <v>73</v>
      </c>
      <c r="B481" t="s">
        <v>258</v>
      </c>
      <c r="C481" t="s">
        <v>477</v>
      </c>
      <c r="D481" s="24">
        <v>35141512.119999997</v>
      </c>
      <c r="E481" s="24">
        <v>35141512.119999997</v>
      </c>
      <c r="F481" s="24">
        <v>966.35526400000003</v>
      </c>
      <c r="G481" s="24">
        <v>135.78544600000001</v>
      </c>
      <c r="H481" s="24">
        <v>7514.8198890000003</v>
      </c>
      <c r="I481" t="s">
        <v>15</v>
      </c>
      <c r="J481" s="24">
        <f t="shared" si="29"/>
        <v>35.141511999999999</v>
      </c>
      <c r="K481" s="24">
        <f t="shared" si="30"/>
        <v>966.36</v>
      </c>
      <c r="L481" s="24">
        <f t="shared" si="31"/>
        <v>135.79</v>
      </c>
      <c r="M481" s="24">
        <f t="shared" si="32"/>
        <v>7514.82</v>
      </c>
    </row>
    <row r="482" spans="1:13" x14ac:dyDescent="0.25">
      <c r="A482" t="s">
        <v>38</v>
      </c>
      <c r="B482" t="s">
        <v>258</v>
      </c>
      <c r="C482" t="s">
        <v>422</v>
      </c>
      <c r="D482" s="24">
        <v>535773.39</v>
      </c>
      <c r="E482" s="24">
        <v>535773.39</v>
      </c>
      <c r="F482" s="24">
        <v>12.007899999999999</v>
      </c>
      <c r="G482" s="24">
        <v>6.5276209999999999</v>
      </c>
      <c r="H482" s="24">
        <v>106.91873200000001</v>
      </c>
      <c r="I482" t="s">
        <v>15</v>
      </c>
      <c r="J482" s="24">
        <f t="shared" si="29"/>
        <v>0.53577300000000005</v>
      </c>
      <c r="K482" s="24">
        <f t="shared" si="30"/>
        <v>12.01</v>
      </c>
      <c r="L482" s="24">
        <f t="shared" si="31"/>
        <v>6.53</v>
      </c>
      <c r="M482" s="24">
        <f t="shared" si="32"/>
        <v>106.92</v>
      </c>
    </row>
    <row r="483" spans="1:13" x14ac:dyDescent="0.25">
      <c r="A483" t="s">
        <v>662</v>
      </c>
      <c r="B483" t="s">
        <v>258</v>
      </c>
      <c r="C483" t="s">
        <v>675</v>
      </c>
      <c r="D483" s="24">
        <v>159315.29</v>
      </c>
      <c r="E483" s="24">
        <v>159315.29</v>
      </c>
      <c r="F483" s="24">
        <v>4.9671659999999997</v>
      </c>
      <c r="G483" s="24">
        <v>0.830318</v>
      </c>
      <c r="H483" s="24">
        <v>9.0886410000000009</v>
      </c>
      <c r="I483" t="s">
        <v>15</v>
      </c>
      <c r="J483" s="24">
        <f t="shared" si="29"/>
        <v>0.15931500000000001</v>
      </c>
      <c r="K483" s="24">
        <f t="shared" si="30"/>
        <v>4.97</v>
      </c>
      <c r="L483" s="24">
        <f t="shared" si="31"/>
        <v>0.83</v>
      </c>
      <c r="M483" s="24">
        <f t="shared" si="32"/>
        <v>9.09</v>
      </c>
    </row>
    <row r="484" spans="1:13" x14ac:dyDescent="0.25">
      <c r="A484" t="s">
        <v>38</v>
      </c>
      <c r="B484" t="s">
        <v>258</v>
      </c>
      <c r="C484" t="s">
        <v>131</v>
      </c>
      <c r="D484" s="24">
        <v>296484.31</v>
      </c>
      <c r="E484" s="24">
        <v>296484.31</v>
      </c>
      <c r="F484" s="24">
        <v>16.425812000000001</v>
      </c>
      <c r="G484" s="24">
        <v>11.168030999999999</v>
      </c>
      <c r="H484" s="24">
        <v>200.17663899999999</v>
      </c>
      <c r="I484" t="s">
        <v>15</v>
      </c>
      <c r="J484" s="24">
        <f t="shared" si="29"/>
        <v>0.29648400000000003</v>
      </c>
      <c r="K484" s="24">
        <f t="shared" si="30"/>
        <v>16.43</v>
      </c>
      <c r="L484" s="24">
        <f t="shared" si="31"/>
        <v>11.17</v>
      </c>
      <c r="M484" s="24">
        <f t="shared" si="32"/>
        <v>200.18</v>
      </c>
    </row>
    <row r="485" spans="1:13" x14ac:dyDescent="0.25">
      <c r="A485" t="s">
        <v>34</v>
      </c>
      <c r="B485" t="s">
        <v>258</v>
      </c>
      <c r="C485" t="s">
        <v>527</v>
      </c>
      <c r="D485" s="24">
        <v>829455.22999999905</v>
      </c>
      <c r="E485" s="24">
        <v>829467.02999999898</v>
      </c>
      <c r="F485" s="24">
        <v>26.328343</v>
      </c>
      <c r="G485" s="24">
        <v>12.505656999999999</v>
      </c>
      <c r="H485" s="24">
        <v>119.772447</v>
      </c>
      <c r="I485" t="s">
        <v>15</v>
      </c>
      <c r="J485" s="24">
        <f t="shared" si="29"/>
        <v>0.82946699999999995</v>
      </c>
      <c r="K485" s="24">
        <f t="shared" si="30"/>
        <v>26.33</v>
      </c>
      <c r="L485" s="24">
        <f t="shared" si="31"/>
        <v>12.51</v>
      </c>
      <c r="M485" s="24">
        <f t="shared" si="32"/>
        <v>119.77</v>
      </c>
    </row>
    <row r="486" spans="1:13" x14ac:dyDescent="0.25">
      <c r="A486" t="s">
        <v>38</v>
      </c>
      <c r="B486" t="s">
        <v>258</v>
      </c>
      <c r="C486" t="s">
        <v>424</v>
      </c>
      <c r="D486" s="24">
        <v>383145.81</v>
      </c>
      <c r="E486" s="24">
        <v>383145.81</v>
      </c>
      <c r="F486" s="24">
        <v>6.2964710000000004</v>
      </c>
      <c r="G486" s="24">
        <v>2.894898</v>
      </c>
      <c r="H486" s="24">
        <v>85.030313000000007</v>
      </c>
      <c r="I486" t="s">
        <v>15</v>
      </c>
      <c r="J486" s="24">
        <f t="shared" si="29"/>
        <v>0.38314599999999999</v>
      </c>
      <c r="K486" s="24">
        <f t="shared" si="30"/>
        <v>6.3</v>
      </c>
      <c r="L486" s="24">
        <f t="shared" si="31"/>
        <v>2.89</v>
      </c>
      <c r="M486" s="24">
        <f t="shared" si="32"/>
        <v>85.03</v>
      </c>
    </row>
    <row r="487" spans="1:13" x14ac:dyDescent="0.25">
      <c r="A487" t="s">
        <v>34</v>
      </c>
      <c r="B487" t="s">
        <v>258</v>
      </c>
      <c r="C487" t="s">
        <v>216</v>
      </c>
      <c r="D487" s="24">
        <v>2700425.99</v>
      </c>
      <c r="E487" s="24">
        <v>2700425.99</v>
      </c>
      <c r="F487" s="24">
        <v>85.724362999999997</v>
      </c>
      <c r="G487" s="24">
        <v>40.718159999999997</v>
      </c>
      <c r="H487" s="24">
        <v>389.97511800000001</v>
      </c>
      <c r="I487" t="s">
        <v>15</v>
      </c>
      <c r="J487" s="24">
        <f t="shared" si="29"/>
        <v>2.7004260000000002</v>
      </c>
      <c r="K487" s="24">
        <f t="shared" si="30"/>
        <v>85.72</v>
      </c>
      <c r="L487" s="24">
        <f t="shared" si="31"/>
        <v>40.72</v>
      </c>
      <c r="M487" s="24">
        <f t="shared" si="32"/>
        <v>389.98</v>
      </c>
    </row>
    <row r="488" spans="1:13" x14ac:dyDescent="0.25">
      <c r="A488" t="s">
        <v>34</v>
      </c>
      <c r="B488" t="s">
        <v>258</v>
      </c>
      <c r="C488" t="s">
        <v>528</v>
      </c>
      <c r="D488" s="24">
        <v>566778.19999999995</v>
      </c>
      <c r="E488" s="24">
        <v>566778.19999999995</v>
      </c>
      <c r="F488" s="24">
        <v>17.988347000000001</v>
      </c>
      <c r="G488" s="24">
        <v>8.5442239999999998</v>
      </c>
      <c r="H488" s="24">
        <v>81.832509999999999</v>
      </c>
      <c r="I488" t="s">
        <v>15</v>
      </c>
      <c r="J488" s="24">
        <f t="shared" si="29"/>
        <v>0.566778</v>
      </c>
      <c r="K488" s="24">
        <f t="shared" si="30"/>
        <v>17.989999999999998</v>
      </c>
      <c r="L488" s="24">
        <f t="shared" si="31"/>
        <v>8.5399999999999991</v>
      </c>
      <c r="M488" s="24">
        <f t="shared" si="32"/>
        <v>81.83</v>
      </c>
    </row>
    <row r="489" spans="1:13" x14ac:dyDescent="0.25">
      <c r="A489" t="s">
        <v>38</v>
      </c>
      <c r="B489" t="s">
        <v>258</v>
      </c>
      <c r="C489" t="s">
        <v>425</v>
      </c>
      <c r="D489" s="24">
        <v>80195.14</v>
      </c>
      <c r="E489" s="24">
        <v>80195.14</v>
      </c>
      <c r="F489" s="24">
        <v>1.7971239999999999</v>
      </c>
      <c r="G489" s="24">
        <v>0.97692800000000002</v>
      </c>
      <c r="H489" s="24">
        <v>16.001709999999999</v>
      </c>
      <c r="I489" t="s">
        <v>15</v>
      </c>
      <c r="J489" s="24">
        <f t="shared" si="29"/>
        <v>8.0195000000000002E-2</v>
      </c>
      <c r="K489" s="24">
        <f t="shared" si="30"/>
        <v>1.8</v>
      </c>
      <c r="L489" s="24">
        <f t="shared" si="31"/>
        <v>0.98</v>
      </c>
      <c r="M489" s="24">
        <f t="shared" si="32"/>
        <v>16</v>
      </c>
    </row>
    <row r="490" spans="1:13" x14ac:dyDescent="0.25">
      <c r="A490" t="s">
        <v>34</v>
      </c>
      <c r="B490" t="s">
        <v>258</v>
      </c>
      <c r="C490" t="s">
        <v>529</v>
      </c>
      <c r="D490" s="24">
        <v>2024055.8199999901</v>
      </c>
      <c r="E490" s="24">
        <v>2024071.1599999899</v>
      </c>
      <c r="F490" s="24">
        <v>64.248789000000002</v>
      </c>
      <c r="G490" s="24">
        <v>30.517451999999999</v>
      </c>
      <c r="H490" s="24">
        <v>292.27932800000002</v>
      </c>
      <c r="I490" t="s">
        <v>15</v>
      </c>
      <c r="J490" s="24">
        <f t="shared" si="29"/>
        <v>2.0240710000000002</v>
      </c>
      <c r="K490" s="24">
        <f t="shared" si="30"/>
        <v>64.25</v>
      </c>
      <c r="L490" s="24">
        <f t="shared" si="31"/>
        <v>30.52</v>
      </c>
      <c r="M490" s="24">
        <f t="shared" si="32"/>
        <v>292.27999999999997</v>
      </c>
    </row>
    <row r="491" spans="1:13" x14ac:dyDescent="0.25">
      <c r="A491" t="s">
        <v>38</v>
      </c>
      <c r="B491" t="s">
        <v>258</v>
      </c>
      <c r="C491" t="s">
        <v>426</v>
      </c>
      <c r="D491" s="24">
        <v>11866.35</v>
      </c>
      <c r="E491" s="24">
        <v>11866.35</v>
      </c>
      <c r="F491" s="24">
        <v>0.17016600000000001</v>
      </c>
      <c r="G491" s="24">
        <v>0.31468200000000002</v>
      </c>
      <c r="H491" s="24">
        <v>2.1746029999999998</v>
      </c>
      <c r="I491" t="s">
        <v>15</v>
      </c>
      <c r="J491" s="24">
        <f t="shared" si="29"/>
        <v>1.1866E-2</v>
      </c>
      <c r="K491" s="24">
        <f t="shared" si="30"/>
        <v>0.17</v>
      </c>
      <c r="L491" s="24">
        <f t="shared" si="31"/>
        <v>0.31</v>
      </c>
      <c r="M491" s="24">
        <f t="shared" si="32"/>
        <v>2.17</v>
      </c>
    </row>
    <row r="492" spans="1:13" x14ac:dyDescent="0.25">
      <c r="A492" t="s">
        <v>38</v>
      </c>
      <c r="B492" t="s">
        <v>258</v>
      </c>
      <c r="C492" t="s">
        <v>427</v>
      </c>
      <c r="D492" s="24">
        <v>3097.85</v>
      </c>
      <c r="E492" s="24">
        <v>3097.85</v>
      </c>
      <c r="F492" s="24">
        <v>0.17157900000000001</v>
      </c>
      <c r="G492" s="24">
        <v>0.116657</v>
      </c>
      <c r="H492" s="24">
        <v>2.0910090000000001</v>
      </c>
      <c r="I492" t="s">
        <v>15</v>
      </c>
      <c r="J492" s="24">
        <f t="shared" si="29"/>
        <v>3.0980000000000001E-3</v>
      </c>
      <c r="K492" s="24">
        <f t="shared" si="30"/>
        <v>0.17</v>
      </c>
      <c r="L492" s="24">
        <f t="shared" si="31"/>
        <v>0.12</v>
      </c>
      <c r="M492" s="24">
        <f t="shared" si="32"/>
        <v>2.09</v>
      </c>
    </row>
    <row r="493" spans="1:13" x14ac:dyDescent="0.25">
      <c r="A493" t="s">
        <v>61</v>
      </c>
      <c r="B493" t="s">
        <v>258</v>
      </c>
      <c r="C493" t="s">
        <v>559</v>
      </c>
      <c r="D493" s="24">
        <v>3251549.73</v>
      </c>
      <c r="E493" s="24">
        <v>3251549.73</v>
      </c>
      <c r="F493" s="24">
        <v>204.812276</v>
      </c>
      <c r="G493" s="24">
        <v>14.724582</v>
      </c>
      <c r="H493" s="24">
        <v>319.33851299999998</v>
      </c>
      <c r="I493" t="s">
        <v>15</v>
      </c>
      <c r="J493" s="24">
        <f t="shared" si="29"/>
        <v>3.2515499999999999</v>
      </c>
      <c r="K493" s="24">
        <f t="shared" si="30"/>
        <v>204.81</v>
      </c>
      <c r="L493" s="24">
        <f t="shared" si="31"/>
        <v>14.72</v>
      </c>
      <c r="M493" s="24">
        <f t="shared" si="32"/>
        <v>319.33999999999997</v>
      </c>
    </row>
    <row r="494" spans="1:13" x14ac:dyDescent="0.25">
      <c r="A494" t="s">
        <v>38</v>
      </c>
      <c r="B494" t="s">
        <v>258</v>
      </c>
      <c r="C494" t="s">
        <v>428</v>
      </c>
      <c r="D494" s="24">
        <v>3683.56</v>
      </c>
      <c r="E494" s="24">
        <v>3683.56</v>
      </c>
      <c r="F494" s="24">
        <v>0.70144200000000001</v>
      </c>
      <c r="G494" s="24">
        <v>0.14195099999999999</v>
      </c>
      <c r="H494" s="24">
        <v>1.1249119999999999</v>
      </c>
      <c r="I494" t="s">
        <v>15</v>
      </c>
      <c r="J494" s="24">
        <f t="shared" si="29"/>
        <v>3.6840000000000002E-3</v>
      </c>
      <c r="K494" s="24">
        <f t="shared" si="30"/>
        <v>0.7</v>
      </c>
      <c r="L494" s="24">
        <f t="shared" si="31"/>
        <v>0.14000000000000001</v>
      </c>
      <c r="M494" s="24">
        <f t="shared" si="32"/>
        <v>1.1200000000000001</v>
      </c>
    </row>
    <row r="495" spans="1:13" x14ac:dyDescent="0.25">
      <c r="A495" t="s">
        <v>38</v>
      </c>
      <c r="B495" t="s">
        <v>258</v>
      </c>
      <c r="C495" t="s">
        <v>429</v>
      </c>
      <c r="D495" s="24">
        <v>157280.76999999999</v>
      </c>
      <c r="E495" s="24">
        <v>157280.76999999999</v>
      </c>
      <c r="F495" s="24">
        <v>18.774806999999999</v>
      </c>
      <c r="G495" s="24">
        <v>4.4425150000000002</v>
      </c>
      <c r="H495" s="24">
        <v>61.088051999999998</v>
      </c>
      <c r="I495" t="s">
        <v>15</v>
      </c>
      <c r="J495" s="24">
        <f t="shared" si="29"/>
        <v>0.157281</v>
      </c>
      <c r="K495" s="24">
        <f t="shared" si="30"/>
        <v>18.77</v>
      </c>
      <c r="L495" s="24">
        <f t="shared" si="31"/>
        <v>4.4400000000000004</v>
      </c>
      <c r="M495" s="24">
        <f t="shared" si="32"/>
        <v>61.09</v>
      </c>
    </row>
    <row r="496" spans="1:13" x14ac:dyDescent="0.25">
      <c r="A496" t="s">
        <v>125</v>
      </c>
      <c r="B496" t="s">
        <v>258</v>
      </c>
      <c r="C496" t="s">
        <v>712</v>
      </c>
      <c r="D496" s="24">
        <v>158.61000000000001</v>
      </c>
      <c r="E496" s="24">
        <v>158.61000000000001</v>
      </c>
      <c r="F496" s="24">
        <v>0.19518199999999999</v>
      </c>
      <c r="G496" s="24">
        <v>1.4951000000000001E-2</v>
      </c>
      <c r="H496" s="24">
        <v>7.8864000000000004E-2</v>
      </c>
      <c r="I496" t="s">
        <v>15</v>
      </c>
      <c r="J496" s="24">
        <f t="shared" si="29"/>
        <v>1.5899999999999999E-4</v>
      </c>
      <c r="K496" s="24">
        <f t="shared" si="30"/>
        <v>0.2</v>
      </c>
      <c r="L496" s="24">
        <f t="shared" si="31"/>
        <v>0.01</v>
      </c>
      <c r="M496" s="24">
        <f t="shared" si="32"/>
        <v>0.08</v>
      </c>
    </row>
    <row r="497" spans="1:13" x14ac:dyDescent="0.25">
      <c r="A497" t="s">
        <v>38</v>
      </c>
      <c r="B497" t="s">
        <v>258</v>
      </c>
      <c r="C497" t="s">
        <v>430</v>
      </c>
      <c r="D497" s="24">
        <v>19121.16</v>
      </c>
      <c r="E497" s="24">
        <v>19121.16</v>
      </c>
      <c r="F497" s="24">
        <v>0.428508</v>
      </c>
      <c r="G497" s="24">
        <v>0.23294100000000001</v>
      </c>
      <c r="H497" s="24">
        <v>3.81548</v>
      </c>
      <c r="I497" t="s">
        <v>15</v>
      </c>
      <c r="J497" s="24">
        <f t="shared" si="29"/>
        <v>1.9120999999999999E-2</v>
      </c>
      <c r="K497" s="24">
        <f t="shared" si="30"/>
        <v>0.43</v>
      </c>
      <c r="L497" s="24">
        <f t="shared" si="31"/>
        <v>0.23</v>
      </c>
      <c r="M497" s="24">
        <f t="shared" si="32"/>
        <v>3.82</v>
      </c>
    </row>
    <row r="498" spans="1:13" x14ac:dyDescent="0.25">
      <c r="A498" t="s">
        <v>34</v>
      </c>
      <c r="B498" t="s">
        <v>258</v>
      </c>
      <c r="C498" t="s">
        <v>530</v>
      </c>
      <c r="D498" s="24">
        <v>69978.59</v>
      </c>
      <c r="E498" s="24">
        <v>69978.59</v>
      </c>
      <c r="F498" s="24">
        <v>2.2210190000000001</v>
      </c>
      <c r="G498" s="24">
        <v>1.0549569999999999</v>
      </c>
      <c r="H498" s="24">
        <v>10.103840999999999</v>
      </c>
      <c r="I498" t="s">
        <v>15</v>
      </c>
      <c r="J498" s="24">
        <f t="shared" si="29"/>
        <v>6.9979E-2</v>
      </c>
      <c r="K498" s="24">
        <f t="shared" si="30"/>
        <v>2.2200000000000002</v>
      </c>
      <c r="L498" s="24">
        <f t="shared" si="31"/>
        <v>1.05</v>
      </c>
      <c r="M498" s="24">
        <f t="shared" si="32"/>
        <v>10.1</v>
      </c>
    </row>
    <row r="499" spans="1:13" x14ac:dyDescent="0.25">
      <c r="A499" t="s">
        <v>38</v>
      </c>
      <c r="B499" t="s">
        <v>258</v>
      </c>
      <c r="C499" t="s">
        <v>431</v>
      </c>
      <c r="D499" s="24">
        <v>172944.91</v>
      </c>
      <c r="E499" s="24">
        <v>172944.91</v>
      </c>
      <c r="F499" s="24">
        <v>2.4809670000000001</v>
      </c>
      <c r="G499" s="24">
        <v>4.5879190000000003</v>
      </c>
      <c r="H499" s="24">
        <v>31.704402000000002</v>
      </c>
      <c r="I499" t="s">
        <v>15</v>
      </c>
      <c r="J499" s="24">
        <f t="shared" si="29"/>
        <v>0.17294499999999999</v>
      </c>
      <c r="K499" s="24">
        <f t="shared" si="30"/>
        <v>2.48</v>
      </c>
      <c r="L499" s="24">
        <f t="shared" si="31"/>
        <v>4.59</v>
      </c>
      <c r="M499" s="24">
        <f t="shared" si="32"/>
        <v>31.7</v>
      </c>
    </row>
    <row r="500" spans="1:13" x14ac:dyDescent="0.25">
      <c r="A500" t="s">
        <v>38</v>
      </c>
      <c r="B500" t="s">
        <v>258</v>
      </c>
      <c r="C500" t="s">
        <v>432</v>
      </c>
      <c r="D500" s="24">
        <v>554377.42000000004</v>
      </c>
      <c r="E500" s="24">
        <v>554377.42000000004</v>
      </c>
      <c r="F500" s="24">
        <v>30.713476</v>
      </c>
      <c r="G500" s="24">
        <v>20.882317</v>
      </c>
      <c r="H500" s="24">
        <v>374.29632400000003</v>
      </c>
      <c r="I500" t="s">
        <v>15</v>
      </c>
      <c r="J500" s="24">
        <f t="shared" si="29"/>
        <v>0.55437700000000001</v>
      </c>
      <c r="K500" s="24">
        <f t="shared" si="30"/>
        <v>30.71</v>
      </c>
      <c r="L500" s="24">
        <f t="shared" si="31"/>
        <v>20.88</v>
      </c>
      <c r="M500" s="24">
        <f t="shared" si="32"/>
        <v>374.3</v>
      </c>
    </row>
    <row r="501" spans="1:13" x14ac:dyDescent="0.25">
      <c r="A501" t="s">
        <v>38</v>
      </c>
      <c r="B501" t="s">
        <v>258</v>
      </c>
      <c r="C501" t="s">
        <v>433</v>
      </c>
      <c r="D501" s="24">
        <v>31336.58</v>
      </c>
      <c r="E501" s="24">
        <v>31336.58</v>
      </c>
      <c r="F501" s="24">
        <v>0.70232899999999998</v>
      </c>
      <c r="G501" s="24">
        <v>0.38179299999999999</v>
      </c>
      <c r="H501" s="24">
        <v>6.2535679999999996</v>
      </c>
      <c r="I501" t="s">
        <v>15</v>
      </c>
      <c r="J501" s="24">
        <f t="shared" si="29"/>
        <v>3.1336999999999997E-2</v>
      </c>
      <c r="K501" s="24">
        <f t="shared" si="30"/>
        <v>0.7</v>
      </c>
      <c r="L501" s="24">
        <f t="shared" si="31"/>
        <v>0.38</v>
      </c>
      <c r="M501" s="24">
        <f t="shared" si="32"/>
        <v>6.25</v>
      </c>
    </row>
    <row r="502" spans="1:13" x14ac:dyDescent="0.25">
      <c r="A502" t="s">
        <v>34</v>
      </c>
      <c r="B502" t="s">
        <v>258</v>
      </c>
      <c r="C502" t="s">
        <v>531</v>
      </c>
      <c r="D502" s="24">
        <v>6919357.7599999998</v>
      </c>
      <c r="E502" s="24">
        <v>6919357.7599999998</v>
      </c>
      <c r="F502" s="24">
        <v>219.64966000000001</v>
      </c>
      <c r="G502" s="24">
        <v>104.331249</v>
      </c>
      <c r="H502" s="24">
        <v>999.22458099999994</v>
      </c>
      <c r="I502" t="s">
        <v>15</v>
      </c>
      <c r="J502" s="24">
        <f t="shared" si="29"/>
        <v>6.9193579999999999</v>
      </c>
      <c r="K502" s="24">
        <f t="shared" si="30"/>
        <v>219.65</v>
      </c>
      <c r="L502" s="24">
        <f t="shared" si="31"/>
        <v>104.33</v>
      </c>
      <c r="M502" s="24">
        <f t="shared" si="32"/>
        <v>999.22</v>
      </c>
    </row>
    <row r="503" spans="1:13" x14ac:dyDescent="0.25">
      <c r="A503" t="s">
        <v>67</v>
      </c>
      <c r="B503" t="s">
        <v>258</v>
      </c>
      <c r="C503" t="s">
        <v>241</v>
      </c>
      <c r="D503" s="24">
        <v>142869.82999999999</v>
      </c>
      <c r="E503" s="24">
        <v>142869.82999999999</v>
      </c>
      <c r="F503" s="24">
        <v>0.135436</v>
      </c>
      <c r="G503" s="24">
        <v>6.0849E-2</v>
      </c>
      <c r="H503" s="24">
        <v>0.75869200000000003</v>
      </c>
      <c r="I503" t="s">
        <v>15</v>
      </c>
      <c r="J503" s="24">
        <f t="shared" si="29"/>
        <v>0.14287</v>
      </c>
      <c r="K503" s="24">
        <f t="shared" si="30"/>
        <v>0.14000000000000001</v>
      </c>
      <c r="L503" s="24">
        <f t="shared" si="31"/>
        <v>0.06</v>
      </c>
      <c r="M503" s="24">
        <f t="shared" si="32"/>
        <v>0.76</v>
      </c>
    </row>
    <row r="504" spans="1:13" x14ac:dyDescent="0.25">
      <c r="A504" t="s">
        <v>54</v>
      </c>
      <c r="B504" t="s">
        <v>258</v>
      </c>
      <c r="C504" t="s">
        <v>615</v>
      </c>
      <c r="D504" s="24">
        <v>26968.99</v>
      </c>
      <c r="E504" s="24">
        <v>26968.99</v>
      </c>
      <c r="F504" s="24">
        <v>2.5565999999999998E-2</v>
      </c>
      <c r="G504" s="24">
        <v>1.1486E-2</v>
      </c>
      <c r="H504" s="24">
        <v>0.14321500000000001</v>
      </c>
      <c r="I504" t="s">
        <v>15</v>
      </c>
      <c r="J504" s="24">
        <f t="shared" si="29"/>
        <v>2.6969E-2</v>
      </c>
      <c r="K504" s="24">
        <f t="shared" si="30"/>
        <v>0.03</v>
      </c>
      <c r="L504" s="24">
        <f t="shared" si="31"/>
        <v>0.01</v>
      </c>
      <c r="M504" s="24">
        <f t="shared" si="32"/>
        <v>0.14000000000000001</v>
      </c>
    </row>
    <row r="505" spans="1:13" x14ac:dyDescent="0.25">
      <c r="A505" t="s">
        <v>38</v>
      </c>
      <c r="B505" t="s">
        <v>258</v>
      </c>
      <c r="C505" t="s">
        <v>434</v>
      </c>
      <c r="D505" s="24">
        <v>31707.52</v>
      </c>
      <c r="E505" s="24">
        <v>31707.52</v>
      </c>
      <c r="F505" s="24">
        <v>1.474877</v>
      </c>
      <c r="G505" s="24">
        <v>1.3348180000000001</v>
      </c>
      <c r="H505" s="24">
        <v>6.8963770000000002</v>
      </c>
      <c r="I505" t="s">
        <v>15</v>
      </c>
      <c r="J505" s="24">
        <f t="shared" si="29"/>
        <v>3.1708E-2</v>
      </c>
      <c r="K505" s="24">
        <f t="shared" si="30"/>
        <v>1.47</v>
      </c>
      <c r="L505" s="24">
        <f t="shared" si="31"/>
        <v>1.33</v>
      </c>
      <c r="M505" s="24">
        <f t="shared" si="32"/>
        <v>6.9</v>
      </c>
    </row>
    <row r="506" spans="1:13" x14ac:dyDescent="0.25">
      <c r="A506" t="s">
        <v>54</v>
      </c>
      <c r="B506" t="s">
        <v>258</v>
      </c>
      <c r="C506" t="s">
        <v>622</v>
      </c>
      <c r="D506" s="24">
        <v>167772.89</v>
      </c>
      <c r="E506" s="24">
        <v>167772.89</v>
      </c>
      <c r="F506" s="24">
        <v>0.15901299999999999</v>
      </c>
      <c r="G506" s="24">
        <v>7.1435999999999999E-2</v>
      </c>
      <c r="H506" s="24">
        <v>0.89085800000000004</v>
      </c>
      <c r="I506" t="s">
        <v>15</v>
      </c>
      <c r="J506" s="24">
        <f t="shared" si="29"/>
        <v>0.16777300000000001</v>
      </c>
      <c r="K506" s="24">
        <f t="shared" si="30"/>
        <v>0.16</v>
      </c>
      <c r="L506" s="24">
        <f t="shared" si="31"/>
        <v>7.0000000000000007E-2</v>
      </c>
      <c r="M506" s="24">
        <f t="shared" si="32"/>
        <v>0.89</v>
      </c>
    </row>
    <row r="507" spans="1:13" x14ac:dyDescent="0.25">
      <c r="A507" t="s">
        <v>38</v>
      </c>
      <c r="B507" t="s">
        <v>258</v>
      </c>
      <c r="C507" t="s">
        <v>713</v>
      </c>
      <c r="D507" s="24">
        <v>2301.9299999999998</v>
      </c>
      <c r="E507" s="24">
        <v>2301.9299999999998</v>
      </c>
      <c r="F507" s="24">
        <v>5.1572E-2</v>
      </c>
      <c r="G507" s="24">
        <v>2.8035000000000001E-2</v>
      </c>
      <c r="H507" s="24">
        <v>0.45919900000000002</v>
      </c>
      <c r="I507" t="s">
        <v>15</v>
      </c>
      <c r="J507" s="24">
        <f t="shared" si="29"/>
        <v>2.3019999999999998E-3</v>
      </c>
      <c r="K507" s="24">
        <f t="shared" si="30"/>
        <v>0.05</v>
      </c>
      <c r="L507" s="24">
        <f t="shared" si="31"/>
        <v>0.03</v>
      </c>
      <c r="M507" s="24">
        <f t="shared" si="32"/>
        <v>0.46</v>
      </c>
    </row>
    <row r="508" spans="1:13" x14ac:dyDescent="0.25">
      <c r="A508" t="s">
        <v>34</v>
      </c>
      <c r="B508" t="s">
        <v>258</v>
      </c>
      <c r="C508" t="s">
        <v>532</v>
      </c>
      <c r="D508" s="24">
        <v>218293.299999999</v>
      </c>
      <c r="E508" s="24">
        <v>218363.679999999</v>
      </c>
      <c r="F508" s="24">
        <v>6.9280020000000002</v>
      </c>
      <c r="G508" s="24">
        <v>3.2906939999999998</v>
      </c>
      <c r="H508" s="24">
        <v>31.516909999999999</v>
      </c>
      <c r="I508" t="s">
        <v>15</v>
      </c>
      <c r="J508" s="24">
        <f t="shared" si="29"/>
        <v>0.218364</v>
      </c>
      <c r="K508" s="24">
        <f t="shared" si="30"/>
        <v>6.93</v>
      </c>
      <c r="L508" s="24">
        <f t="shared" si="31"/>
        <v>3.29</v>
      </c>
      <c r="M508" s="24">
        <f t="shared" si="32"/>
        <v>31.52</v>
      </c>
    </row>
    <row r="509" spans="1:13" x14ac:dyDescent="0.25">
      <c r="A509" t="s">
        <v>38</v>
      </c>
      <c r="B509" t="s">
        <v>258</v>
      </c>
      <c r="C509" t="s">
        <v>435</v>
      </c>
      <c r="D509" s="24">
        <v>835486.77</v>
      </c>
      <c r="E509" s="24">
        <v>835486.77</v>
      </c>
      <c r="F509" s="24">
        <v>159.163757</v>
      </c>
      <c r="G509" s="24">
        <v>32.210216000000003</v>
      </c>
      <c r="H509" s="24">
        <v>255.25303099999999</v>
      </c>
      <c r="I509" t="s">
        <v>15</v>
      </c>
      <c r="J509" s="24">
        <f t="shared" si="29"/>
        <v>0.83548699999999998</v>
      </c>
      <c r="K509" s="24">
        <f t="shared" si="30"/>
        <v>159.16</v>
      </c>
      <c r="L509" s="24">
        <f t="shared" si="31"/>
        <v>32.21</v>
      </c>
      <c r="M509" s="24">
        <f t="shared" si="32"/>
        <v>255.25</v>
      </c>
    </row>
    <row r="510" spans="1:13" x14ac:dyDescent="0.25">
      <c r="A510" t="s">
        <v>34</v>
      </c>
      <c r="B510" t="s">
        <v>258</v>
      </c>
      <c r="C510" t="s">
        <v>533</v>
      </c>
      <c r="D510" s="24">
        <v>330628.89</v>
      </c>
      <c r="E510" s="24">
        <v>330628.89</v>
      </c>
      <c r="F510" s="24">
        <v>10.495063</v>
      </c>
      <c r="G510" s="24">
        <v>4.9850339999999997</v>
      </c>
      <c r="H510" s="24">
        <v>47.743929000000001</v>
      </c>
      <c r="I510" t="s">
        <v>15</v>
      </c>
      <c r="J510" s="24">
        <f t="shared" si="29"/>
        <v>0.33062900000000001</v>
      </c>
      <c r="K510" s="24">
        <f t="shared" si="30"/>
        <v>10.5</v>
      </c>
      <c r="L510" s="24">
        <f t="shared" si="31"/>
        <v>4.99</v>
      </c>
      <c r="M510" s="24">
        <f t="shared" si="32"/>
        <v>47.74</v>
      </c>
    </row>
    <row r="511" spans="1:13" x14ac:dyDescent="0.25">
      <c r="A511" t="s">
        <v>34</v>
      </c>
      <c r="B511" t="s">
        <v>258</v>
      </c>
      <c r="C511" t="s">
        <v>534</v>
      </c>
      <c r="D511" s="24">
        <v>642251.07999999996</v>
      </c>
      <c r="E511" s="24">
        <v>642251.07999999996</v>
      </c>
      <c r="F511" s="24">
        <v>20.374495</v>
      </c>
      <c r="G511" s="24">
        <v>9.6774480000000001</v>
      </c>
      <c r="H511" s="24">
        <v>92.688603999999998</v>
      </c>
      <c r="I511" t="s">
        <v>15</v>
      </c>
      <c r="J511" s="24">
        <f t="shared" si="29"/>
        <v>0.64225100000000002</v>
      </c>
      <c r="K511" s="24">
        <f t="shared" si="30"/>
        <v>20.37</v>
      </c>
      <c r="L511" s="24">
        <f t="shared" si="31"/>
        <v>9.68</v>
      </c>
      <c r="M511" s="24">
        <f t="shared" si="32"/>
        <v>92.69</v>
      </c>
    </row>
    <row r="512" spans="1:13" x14ac:dyDescent="0.25">
      <c r="A512" t="s">
        <v>662</v>
      </c>
      <c r="B512" t="s">
        <v>258</v>
      </c>
      <c r="C512" t="s">
        <v>676</v>
      </c>
      <c r="D512" s="24">
        <v>16918.55</v>
      </c>
      <c r="E512" s="24">
        <v>16918.55</v>
      </c>
      <c r="F512" s="24">
        <v>0.37903900000000001</v>
      </c>
      <c r="G512" s="24">
        <v>0.20604800000000001</v>
      </c>
      <c r="H512" s="24">
        <v>3.3750369999999998</v>
      </c>
      <c r="I512" t="s">
        <v>15</v>
      </c>
      <c r="J512" s="24">
        <f t="shared" si="29"/>
        <v>1.6919E-2</v>
      </c>
      <c r="K512" s="24">
        <f t="shared" si="30"/>
        <v>0.38</v>
      </c>
      <c r="L512" s="24">
        <f t="shared" si="31"/>
        <v>0.21</v>
      </c>
      <c r="M512" s="24">
        <f t="shared" si="32"/>
        <v>3.38</v>
      </c>
    </row>
    <row r="513" spans="1:13" x14ac:dyDescent="0.25">
      <c r="A513" t="s">
        <v>34</v>
      </c>
      <c r="B513" t="s">
        <v>321</v>
      </c>
      <c r="C513" t="s">
        <v>518</v>
      </c>
      <c r="D513" s="24">
        <v>158.74</v>
      </c>
      <c r="E513" s="24">
        <v>158.74</v>
      </c>
      <c r="F513" s="24">
        <v>5.0150000000000004E-3</v>
      </c>
      <c r="G513" s="24">
        <v>2.382E-3</v>
      </c>
      <c r="H513" s="24">
        <v>2.2817E-2</v>
      </c>
      <c r="I513" t="s">
        <v>682</v>
      </c>
      <c r="J513" s="24">
        <f t="shared" si="29"/>
        <v>1.5899999999999999E-4</v>
      </c>
      <c r="K513" s="24">
        <f t="shared" si="30"/>
        <v>0.01</v>
      </c>
      <c r="L513" s="24">
        <f t="shared" si="31"/>
        <v>0</v>
      </c>
      <c r="M513" s="24">
        <f t="shared" si="32"/>
        <v>0.02</v>
      </c>
    </row>
    <row r="514" spans="1:13" x14ac:dyDescent="0.25">
      <c r="A514" t="s">
        <v>38</v>
      </c>
      <c r="B514" t="s">
        <v>258</v>
      </c>
      <c r="C514" t="s">
        <v>147</v>
      </c>
      <c r="D514" s="24">
        <v>76819.3</v>
      </c>
      <c r="E514" s="24">
        <v>76819.3</v>
      </c>
      <c r="F514" s="24">
        <v>4.2552810000000001</v>
      </c>
      <c r="G514" s="24">
        <v>2.8931909999999998</v>
      </c>
      <c r="H514" s="24">
        <v>51.857999999999997</v>
      </c>
      <c r="I514" t="s">
        <v>15</v>
      </c>
      <c r="J514" s="24">
        <f t="shared" si="29"/>
        <v>7.6818999999999998E-2</v>
      </c>
      <c r="K514" s="24">
        <f t="shared" si="30"/>
        <v>4.26</v>
      </c>
      <c r="L514" s="24">
        <f t="shared" si="31"/>
        <v>2.89</v>
      </c>
      <c r="M514" s="24">
        <f t="shared" si="32"/>
        <v>51.86</v>
      </c>
    </row>
    <row r="515" spans="1:13" x14ac:dyDescent="0.25">
      <c r="A515" t="s">
        <v>38</v>
      </c>
      <c r="B515" t="s">
        <v>258</v>
      </c>
      <c r="C515" t="s">
        <v>714</v>
      </c>
      <c r="D515" s="24">
        <v>120.37</v>
      </c>
      <c r="E515" s="24">
        <v>120.37</v>
      </c>
      <c r="F515" s="24">
        <v>2.2859999999999998E-2</v>
      </c>
      <c r="G515" s="24">
        <v>4.6259999999999999E-3</v>
      </c>
      <c r="H515" s="24">
        <v>3.6662E-2</v>
      </c>
      <c r="I515" t="s">
        <v>15</v>
      </c>
      <c r="J515" s="24">
        <f t="shared" ref="J515:J546" si="33">+ROUND(E515,0)/1000000</f>
        <v>1.2E-4</v>
      </c>
      <c r="K515" s="24">
        <f t="shared" ref="K515:K546" si="34">+ROUND(F515,2)</f>
        <v>0.02</v>
      </c>
      <c r="L515" s="24">
        <f t="shared" ref="L515:L546" si="35">+ROUND(G515,2)</f>
        <v>0</v>
      </c>
      <c r="M515" s="24">
        <f t="shared" ref="M515:M546" si="36">+ROUND(H515,2)</f>
        <v>0.04</v>
      </c>
    </row>
    <row r="516" spans="1:13" x14ac:dyDescent="0.25">
      <c r="A516" t="s">
        <v>34</v>
      </c>
      <c r="B516" t="s">
        <v>258</v>
      </c>
      <c r="C516" t="s">
        <v>50</v>
      </c>
      <c r="D516" s="24">
        <v>222387150.62999901</v>
      </c>
      <c r="E516" s="24">
        <v>222387499.389999</v>
      </c>
      <c r="F516" s="24">
        <v>7059.6409540000004</v>
      </c>
      <c r="G516" s="24">
        <v>3353.2563359999999</v>
      </c>
      <c r="H516" s="24">
        <v>32115.521072</v>
      </c>
      <c r="I516" t="s">
        <v>15</v>
      </c>
      <c r="J516" s="24">
        <f t="shared" si="33"/>
        <v>222.38749899999999</v>
      </c>
      <c r="K516" s="24">
        <f t="shared" si="34"/>
        <v>7059.64</v>
      </c>
      <c r="L516" s="24">
        <f t="shared" si="35"/>
        <v>3353.26</v>
      </c>
      <c r="M516" s="24">
        <f t="shared" si="36"/>
        <v>32115.52</v>
      </c>
    </row>
    <row r="517" spans="1:13" x14ac:dyDescent="0.25">
      <c r="A517" t="s">
        <v>73</v>
      </c>
      <c r="B517" t="s">
        <v>258</v>
      </c>
      <c r="C517" t="s">
        <v>74</v>
      </c>
      <c r="D517" s="24">
        <v>34109668.649999902</v>
      </c>
      <c r="E517" s="24">
        <v>34110047.919999897</v>
      </c>
      <c r="F517" s="24">
        <v>937.91812200000004</v>
      </c>
      <c r="G517" s="24">
        <v>131.78793899999999</v>
      </c>
      <c r="H517" s="24">
        <v>7293.6955250000001</v>
      </c>
      <c r="I517" t="s">
        <v>15</v>
      </c>
      <c r="J517" s="24">
        <f t="shared" si="33"/>
        <v>34.110047999999999</v>
      </c>
      <c r="K517" s="24">
        <f t="shared" si="34"/>
        <v>937.92</v>
      </c>
      <c r="L517" s="24">
        <f t="shared" si="35"/>
        <v>131.79</v>
      </c>
      <c r="M517" s="24">
        <f t="shared" si="36"/>
        <v>7293.7</v>
      </c>
    </row>
    <row r="518" spans="1:13" x14ac:dyDescent="0.25">
      <c r="A518" t="s">
        <v>38</v>
      </c>
      <c r="B518" t="s">
        <v>258</v>
      </c>
      <c r="C518" t="s">
        <v>436</v>
      </c>
      <c r="D518" s="24">
        <v>36699.599999999999</v>
      </c>
      <c r="E518" s="24">
        <v>36699.599999999999</v>
      </c>
      <c r="F518" s="24">
        <v>6.9908060000000001</v>
      </c>
      <c r="G518" s="24">
        <v>1.4147380000000001</v>
      </c>
      <c r="H518" s="24">
        <v>11.211249</v>
      </c>
      <c r="I518" t="s">
        <v>15</v>
      </c>
      <c r="J518" s="24">
        <f t="shared" si="33"/>
        <v>3.6700000000000003E-2</v>
      </c>
      <c r="K518" s="24">
        <f t="shared" si="34"/>
        <v>6.99</v>
      </c>
      <c r="L518" s="24">
        <f t="shared" si="35"/>
        <v>1.41</v>
      </c>
      <c r="M518" s="24">
        <f t="shared" si="36"/>
        <v>11.21</v>
      </c>
    </row>
    <row r="519" spans="1:13" x14ac:dyDescent="0.25">
      <c r="A519" t="s">
        <v>34</v>
      </c>
      <c r="B519" t="s">
        <v>258</v>
      </c>
      <c r="C519" t="s">
        <v>211</v>
      </c>
      <c r="D519" s="24">
        <v>86447.14</v>
      </c>
      <c r="E519" s="24">
        <v>86447.14</v>
      </c>
      <c r="F519" s="24">
        <v>2.7440540000000002</v>
      </c>
      <c r="G519" s="24">
        <v>1.3033939999999999</v>
      </c>
      <c r="H519" s="24">
        <v>12.483198</v>
      </c>
      <c r="I519" t="s">
        <v>15</v>
      </c>
      <c r="J519" s="24">
        <f t="shared" si="33"/>
        <v>8.6446999999999996E-2</v>
      </c>
      <c r="K519" s="24">
        <f t="shared" si="34"/>
        <v>2.74</v>
      </c>
      <c r="L519" s="24">
        <f t="shared" si="35"/>
        <v>1.3</v>
      </c>
      <c r="M519" s="24">
        <f t="shared" si="36"/>
        <v>12.48</v>
      </c>
    </row>
    <row r="520" spans="1:13" x14ac:dyDescent="0.25">
      <c r="A520" t="s">
        <v>34</v>
      </c>
      <c r="B520" t="s">
        <v>258</v>
      </c>
      <c r="C520" t="s">
        <v>535</v>
      </c>
      <c r="D520" s="24">
        <v>1100226.01</v>
      </c>
      <c r="E520" s="24">
        <v>1100226.01</v>
      </c>
      <c r="F520" s="24">
        <v>34.923467000000002</v>
      </c>
      <c r="G520" s="24">
        <v>16.588255</v>
      </c>
      <c r="H520" s="24">
        <v>158.87326999999999</v>
      </c>
      <c r="I520" t="s">
        <v>15</v>
      </c>
      <c r="J520" s="24">
        <f t="shared" si="33"/>
        <v>1.1002259999999999</v>
      </c>
      <c r="K520" s="24">
        <f t="shared" si="34"/>
        <v>34.92</v>
      </c>
      <c r="L520" s="24">
        <f t="shared" si="35"/>
        <v>16.59</v>
      </c>
      <c r="M520" s="24">
        <f t="shared" si="36"/>
        <v>158.87</v>
      </c>
    </row>
    <row r="521" spans="1:13" x14ac:dyDescent="0.25">
      <c r="A521" t="s">
        <v>61</v>
      </c>
      <c r="B521" t="s">
        <v>258</v>
      </c>
      <c r="C521" t="s">
        <v>560</v>
      </c>
      <c r="D521" s="24">
        <v>1037772.62</v>
      </c>
      <c r="E521" s="24">
        <v>1037772.62</v>
      </c>
      <c r="F521" s="24">
        <v>5.0300760000000002</v>
      </c>
      <c r="G521" s="24">
        <v>11.215161</v>
      </c>
      <c r="H521" s="24">
        <v>44.856566999999998</v>
      </c>
      <c r="I521" t="s">
        <v>15</v>
      </c>
      <c r="J521" s="24">
        <f t="shared" si="33"/>
        <v>1.0377730000000001</v>
      </c>
      <c r="K521" s="24">
        <f t="shared" si="34"/>
        <v>5.03</v>
      </c>
      <c r="L521" s="24">
        <f t="shared" si="35"/>
        <v>11.22</v>
      </c>
      <c r="M521" s="24">
        <f t="shared" si="36"/>
        <v>44.86</v>
      </c>
    </row>
    <row r="522" spans="1:13" x14ac:dyDescent="0.25">
      <c r="A522" t="s">
        <v>38</v>
      </c>
      <c r="B522" t="s">
        <v>258</v>
      </c>
      <c r="C522" t="s">
        <v>437</v>
      </c>
      <c r="D522" s="24">
        <v>4479.53</v>
      </c>
      <c r="E522" s="24">
        <v>4479.53</v>
      </c>
      <c r="F522" s="24">
        <v>7.3590000000000003E-2</v>
      </c>
      <c r="G522" s="24">
        <v>3.3833000000000002E-2</v>
      </c>
      <c r="H522" s="24">
        <v>0.99379600000000001</v>
      </c>
      <c r="I522" t="s">
        <v>15</v>
      </c>
      <c r="J522" s="24">
        <f t="shared" si="33"/>
        <v>4.4799999999999996E-3</v>
      </c>
      <c r="K522" s="24">
        <f t="shared" si="34"/>
        <v>7.0000000000000007E-2</v>
      </c>
      <c r="L522" s="24">
        <f t="shared" si="35"/>
        <v>0.03</v>
      </c>
      <c r="M522" s="24">
        <f t="shared" si="36"/>
        <v>0.99</v>
      </c>
    </row>
    <row r="523" spans="1:13" x14ac:dyDescent="0.25">
      <c r="A523" t="s">
        <v>54</v>
      </c>
      <c r="B523" t="s">
        <v>258</v>
      </c>
      <c r="C523" t="s">
        <v>616</v>
      </c>
      <c r="D523" s="24">
        <v>102624.31</v>
      </c>
      <c r="E523" s="24">
        <v>102624.31</v>
      </c>
      <c r="F523" s="24">
        <v>9.7279000000000004E-2</v>
      </c>
      <c r="G523" s="24">
        <v>4.3707999999999997E-2</v>
      </c>
      <c r="H523" s="24">
        <v>0.54495499999999997</v>
      </c>
      <c r="I523" t="s">
        <v>15</v>
      </c>
      <c r="J523" s="24">
        <f t="shared" si="33"/>
        <v>0.10262400000000001</v>
      </c>
      <c r="K523" s="24">
        <f t="shared" si="34"/>
        <v>0.1</v>
      </c>
      <c r="L523" s="24">
        <f t="shared" si="35"/>
        <v>0.04</v>
      </c>
      <c r="M523" s="24">
        <f t="shared" si="36"/>
        <v>0.54</v>
      </c>
    </row>
    <row r="524" spans="1:13" x14ac:dyDescent="0.25">
      <c r="A524" t="s">
        <v>34</v>
      </c>
      <c r="B524" t="s">
        <v>258</v>
      </c>
      <c r="C524" t="s">
        <v>536</v>
      </c>
      <c r="D524" s="24">
        <v>974912.87032299896</v>
      </c>
      <c r="E524" s="24">
        <v>974955.12032299896</v>
      </c>
      <c r="F524" s="24">
        <v>30.947368000000001</v>
      </c>
      <c r="G524" s="24">
        <v>14.699664</v>
      </c>
      <c r="H524" s="24">
        <v>140.78502399999999</v>
      </c>
      <c r="I524" t="s">
        <v>15</v>
      </c>
      <c r="J524" s="24">
        <f t="shared" si="33"/>
        <v>0.97495500000000002</v>
      </c>
      <c r="K524" s="24">
        <f t="shared" si="34"/>
        <v>30.95</v>
      </c>
      <c r="L524" s="24">
        <f t="shared" si="35"/>
        <v>14.7</v>
      </c>
      <c r="M524" s="24">
        <f t="shared" si="36"/>
        <v>140.79</v>
      </c>
    </row>
    <row r="525" spans="1:13" x14ac:dyDescent="0.25">
      <c r="A525" t="s">
        <v>626</v>
      </c>
      <c r="B525" t="s">
        <v>258</v>
      </c>
      <c r="C525" t="s">
        <v>635</v>
      </c>
      <c r="D525" s="24">
        <v>79237.16</v>
      </c>
      <c r="E525" s="24">
        <v>79237.16</v>
      </c>
      <c r="F525" s="24">
        <v>2.43404</v>
      </c>
      <c r="G525" s="24">
        <v>0.40687499999999999</v>
      </c>
      <c r="H525" s="24">
        <v>4.4536749999999996</v>
      </c>
      <c r="I525" t="s">
        <v>15</v>
      </c>
      <c r="J525" s="24">
        <f t="shared" si="33"/>
        <v>7.9237000000000002E-2</v>
      </c>
      <c r="K525" s="24">
        <f t="shared" si="34"/>
        <v>2.4300000000000002</v>
      </c>
      <c r="L525" s="24">
        <f t="shared" si="35"/>
        <v>0.41</v>
      </c>
      <c r="M525" s="24">
        <f t="shared" si="36"/>
        <v>4.45</v>
      </c>
    </row>
    <row r="526" spans="1:13" x14ac:dyDescent="0.25">
      <c r="A526" t="s">
        <v>626</v>
      </c>
      <c r="B526" t="s">
        <v>258</v>
      </c>
      <c r="C526" t="s">
        <v>636</v>
      </c>
      <c r="D526" s="24">
        <v>656356.93000000005</v>
      </c>
      <c r="E526" s="24">
        <v>656356.93000000005</v>
      </c>
      <c r="F526" s="24">
        <v>20.263614</v>
      </c>
      <c r="G526" s="24">
        <v>3.3873229999999999</v>
      </c>
      <c r="H526" s="24">
        <v>37.077179999999998</v>
      </c>
      <c r="I526" t="s">
        <v>15</v>
      </c>
      <c r="J526" s="24">
        <f t="shared" si="33"/>
        <v>0.65635699999999997</v>
      </c>
      <c r="K526" s="24">
        <f t="shared" si="34"/>
        <v>20.260000000000002</v>
      </c>
      <c r="L526" s="24">
        <f t="shared" si="35"/>
        <v>3.39</v>
      </c>
      <c r="M526" s="24">
        <f t="shared" si="36"/>
        <v>37.08</v>
      </c>
    </row>
    <row r="527" spans="1:13" x14ac:dyDescent="0.25">
      <c r="A527" t="s">
        <v>34</v>
      </c>
      <c r="B527" t="s">
        <v>258</v>
      </c>
      <c r="C527" t="s">
        <v>538</v>
      </c>
      <c r="D527" s="24">
        <v>2624517.2099999902</v>
      </c>
      <c r="E527" s="24">
        <v>2624569.4199999901</v>
      </c>
      <c r="F527" s="24">
        <v>83.311809999999994</v>
      </c>
      <c r="G527" s="24">
        <v>39.572203999999999</v>
      </c>
      <c r="H527" s="24">
        <v>379.00025399999998</v>
      </c>
      <c r="I527" t="s">
        <v>15</v>
      </c>
      <c r="J527" s="24">
        <f t="shared" si="33"/>
        <v>2.6245690000000002</v>
      </c>
      <c r="K527" s="24">
        <f t="shared" si="34"/>
        <v>83.31</v>
      </c>
      <c r="L527" s="24">
        <f t="shared" si="35"/>
        <v>39.57</v>
      </c>
      <c r="M527" s="24">
        <f t="shared" si="36"/>
        <v>379</v>
      </c>
    </row>
    <row r="528" spans="1:13" x14ac:dyDescent="0.25">
      <c r="A528" t="s">
        <v>34</v>
      </c>
      <c r="B528" t="s">
        <v>258</v>
      </c>
      <c r="C528" t="s">
        <v>539</v>
      </c>
      <c r="D528" s="24">
        <v>602024.22</v>
      </c>
      <c r="E528" s="24">
        <v>602024.22</v>
      </c>
      <c r="F528" s="24">
        <v>19.114394999999998</v>
      </c>
      <c r="G528" s="24">
        <v>9.0791140000000006</v>
      </c>
      <c r="H528" s="24">
        <v>86.954907000000006</v>
      </c>
      <c r="I528" t="s">
        <v>15</v>
      </c>
      <c r="J528" s="24">
        <f t="shared" si="33"/>
        <v>0.602024</v>
      </c>
      <c r="K528" s="24">
        <f t="shared" si="34"/>
        <v>19.11</v>
      </c>
      <c r="L528" s="24">
        <f t="shared" si="35"/>
        <v>9.08</v>
      </c>
      <c r="M528" s="24">
        <f t="shared" si="36"/>
        <v>86.95</v>
      </c>
    </row>
    <row r="529" spans="1:13" x14ac:dyDescent="0.25">
      <c r="A529" t="s">
        <v>34</v>
      </c>
      <c r="B529" t="s">
        <v>258</v>
      </c>
      <c r="C529" t="s">
        <v>540</v>
      </c>
      <c r="D529" s="24">
        <v>126939.019999999</v>
      </c>
      <c r="E529" s="24">
        <v>126990.039999999</v>
      </c>
      <c r="F529" s="24">
        <v>4.029045</v>
      </c>
      <c r="G529" s="24">
        <v>1.9137459999999999</v>
      </c>
      <c r="H529" s="24">
        <v>18.328880999999999</v>
      </c>
      <c r="I529" t="s">
        <v>15</v>
      </c>
      <c r="J529" s="24">
        <f t="shared" si="33"/>
        <v>0.12698999999999999</v>
      </c>
      <c r="K529" s="24">
        <f t="shared" si="34"/>
        <v>4.03</v>
      </c>
      <c r="L529" s="24">
        <f t="shared" si="35"/>
        <v>1.91</v>
      </c>
      <c r="M529" s="24">
        <f t="shared" si="36"/>
        <v>18.329999999999998</v>
      </c>
    </row>
    <row r="530" spans="1:13" x14ac:dyDescent="0.25">
      <c r="A530" t="s">
        <v>73</v>
      </c>
      <c r="B530" t="s">
        <v>258</v>
      </c>
      <c r="C530" t="s">
        <v>478</v>
      </c>
      <c r="D530" s="24">
        <v>805541.88</v>
      </c>
      <c r="E530" s="24">
        <v>805541.88</v>
      </c>
      <c r="F530" s="24">
        <v>22.219669</v>
      </c>
      <c r="G530" s="24">
        <v>3.1220720000000002</v>
      </c>
      <c r="H530" s="24">
        <v>172.791023</v>
      </c>
      <c r="I530" t="s">
        <v>15</v>
      </c>
      <c r="J530" s="24">
        <f t="shared" si="33"/>
        <v>0.80554199999999998</v>
      </c>
      <c r="K530" s="24">
        <f t="shared" si="34"/>
        <v>22.22</v>
      </c>
      <c r="L530" s="24">
        <f t="shared" si="35"/>
        <v>3.12</v>
      </c>
      <c r="M530" s="24">
        <f t="shared" si="36"/>
        <v>172.79</v>
      </c>
    </row>
    <row r="531" spans="1:13" x14ac:dyDescent="0.25">
      <c r="A531" t="s">
        <v>38</v>
      </c>
      <c r="B531" t="s">
        <v>258</v>
      </c>
      <c r="C531" t="s">
        <v>441</v>
      </c>
      <c r="D531" s="24">
        <v>12401.87</v>
      </c>
      <c r="E531" s="24">
        <v>12401.87</v>
      </c>
      <c r="F531" s="24">
        <v>0.20369000000000001</v>
      </c>
      <c r="G531" s="24">
        <v>9.3647999999999995E-2</v>
      </c>
      <c r="H531" s="24">
        <v>2.7508020000000002</v>
      </c>
      <c r="I531" t="s">
        <v>15</v>
      </c>
      <c r="J531" s="24">
        <f t="shared" si="33"/>
        <v>1.2402E-2</v>
      </c>
      <c r="K531" s="24">
        <f t="shared" si="34"/>
        <v>0.2</v>
      </c>
      <c r="L531" s="24">
        <f t="shared" si="35"/>
        <v>0.09</v>
      </c>
      <c r="M531" s="24">
        <f t="shared" si="36"/>
        <v>2.75</v>
      </c>
    </row>
    <row r="532" spans="1:13" x14ac:dyDescent="0.25">
      <c r="A532" t="s">
        <v>38</v>
      </c>
      <c r="B532" t="s">
        <v>258</v>
      </c>
      <c r="C532" t="s">
        <v>442</v>
      </c>
      <c r="D532" s="24">
        <v>697113.28</v>
      </c>
      <c r="E532" s="24">
        <v>697113.28</v>
      </c>
      <c r="F532" s="24">
        <v>83.211506</v>
      </c>
      <c r="G532" s="24">
        <v>19.689540000000001</v>
      </c>
      <c r="H532" s="24">
        <v>270.74742400000002</v>
      </c>
      <c r="I532" t="s">
        <v>15</v>
      </c>
      <c r="J532" s="24">
        <f t="shared" si="33"/>
        <v>0.69711299999999998</v>
      </c>
      <c r="K532" s="24">
        <f t="shared" si="34"/>
        <v>83.21</v>
      </c>
      <c r="L532" s="24">
        <f t="shared" si="35"/>
        <v>19.690000000000001</v>
      </c>
      <c r="M532" s="24">
        <f t="shared" si="36"/>
        <v>270.75</v>
      </c>
    </row>
    <row r="533" spans="1:13" x14ac:dyDescent="0.25">
      <c r="A533" t="s">
        <v>41</v>
      </c>
      <c r="B533" t="s">
        <v>258</v>
      </c>
      <c r="C533" t="s">
        <v>237</v>
      </c>
      <c r="D533" s="24">
        <v>757807.45</v>
      </c>
      <c r="E533" s="24">
        <v>757807.45</v>
      </c>
      <c r="F533" s="24">
        <v>0.71897800000000001</v>
      </c>
      <c r="G533" s="24">
        <v>0.32294899999999999</v>
      </c>
      <c r="H533" s="24">
        <v>4.0281459999999996</v>
      </c>
      <c r="I533" t="s">
        <v>15</v>
      </c>
      <c r="J533" s="24">
        <f t="shared" si="33"/>
        <v>0.75780700000000001</v>
      </c>
      <c r="K533" s="24">
        <f t="shared" si="34"/>
        <v>0.72</v>
      </c>
      <c r="L533" s="24">
        <f t="shared" si="35"/>
        <v>0.32</v>
      </c>
      <c r="M533" s="24">
        <f t="shared" si="36"/>
        <v>4.03</v>
      </c>
    </row>
    <row r="534" spans="1:13" x14ac:dyDescent="0.25">
      <c r="A534" t="s">
        <v>38</v>
      </c>
      <c r="B534" t="s">
        <v>258</v>
      </c>
      <c r="C534" t="s">
        <v>715</v>
      </c>
      <c r="D534" s="24">
        <v>0.26</v>
      </c>
      <c r="E534" s="24">
        <v>0.26</v>
      </c>
      <c r="F534" s="24">
        <v>0</v>
      </c>
      <c r="G534" s="24">
        <v>0</v>
      </c>
      <c r="H534" s="24">
        <v>0</v>
      </c>
      <c r="I534" t="s">
        <v>15</v>
      </c>
      <c r="J534" s="24">
        <f t="shared" si="33"/>
        <v>0</v>
      </c>
      <c r="K534" s="24">
        <f t="shared" si="34"/>
        <v>0</v>
      </c>
      <c r="L534" s="24">
        <f t="shared" si="35"/>
        <v>0</v>
      </c>
      <c r="M534" s="24">
        <f t="shared" si="36"/>
        <v>0</v>
      </c>
    </row>
    <row r="535" spans="1:13" x14ac:dyDescent="0.25">
      <c r="A535" t="s">
        <v>34</v>
      </c>
      <c r="B535" t="s">
        <v>258</v>
      </c>
      <c r="C535" t="s">
        <v>541</v>
      </c>
      <c r="D535" s="24">
        <v>53441.18</v>
      </c>
      <c r="E535" s="24">
        <v>53441.18</v>
      </c>
      <c r="F535" s="24">
        <v>1.6963159999999999</v>
      </c>
      <c r="G535" s="24">
        <v>0.80573099999999998</v>
      </c>
      <c r="H535" s="24">
        <v>7.7168489999999998</v>
      </c>
      <c r="I535" t="s">
        <v>15</v>
      </c>
      <c r="J535" s="24">
        <f t="shared" si="33"/>
        <v>5.3441000000000002E-2</v>
      </c>
      <c r="K535" s="24">
        <f t="shared" si="34"/>
        <v>1.7</v>
      </c>
      <c r="L535" s="24">
        <f t="shared" si="35"/>
        <v>0.81</v>
      </c>
      <c r="M535" s="24">
        <f t="shared" si="36"/>
        <v>7.72</v>
      </c>
    </row>
    <row r="536" spans="1:13" x14ac:dyDescent="0.25">
      <c r="A536" t="s">
        <v>41</v>
      </c>
      <c r="B536" t="s">
        <v>258</v>
      </c>
      <c r="C536" t="s">
        <v>577</v>
      </c>
      <c r="D536" s="24">
        <v>1334.05</v>
      </c>
      <c r="E536" s="24">
        <v>1334.05</v>
      </c>
      <c r="F536" s="24">
        <v>6.4510000000000001E-3</v>
      </c>
      <c r="G536" s="24">
        <v>1.4389000000000001E-2</v>
      </c>
      <c r="H536" s="24">
        <v>5.7555000000000002E-2</v>
      </c>
      <c r="I536" t="s">
        <v>15</v>
      </c>
      <c r="J536" s="24">
        <f t="shared" si="33"/>
        <v>1.3339999999999999E-3</v>
      </c>
      <c r="K536" s="24">
        <f t="shared" si="34"/>
        <v>0.01</v>
      </c>
      <c r="L536" s="24">
        <f t="shared" si="35"/>
        <v>0.01</v>
      </c>
      <c r="M536" s="24">
        <f t="shared" si="36"/>
        <v>0.06</v>
      </c>
    </row>
    <row r="537" spans="1:13" x14ac:dyDescent="0.25">
      <c r="A537" t="s">
        <v>38</v>
      </c>
      <c r="B537" t="s">
        <v>258</v>
      </c>
      <c r="C537" t="s">
        <v>444</v>
      </c>
      <c r="D537" s="24">
        <v>10116.790000000001</v>
      </c>
      <c r="E537" s="24">
        <v>10116.790000000001</v>
      </c>
      <c r="F537" s="24">
        <v>0.470551</v>
      </c>
      <c r="G537" s="24">
        <v>0.42586600000000002</v>
      </c>
      <c r="H537" s="24">
        <v>2.2002540000000002</v>
      </c>
      <c r="I537" t="s">
        <v>15</v>
      </c>
      <c r="J537" s="24">
        <f t="shared" si="33"/>
        <v>1.0116999999999999E-2</v>
      </c>
      <c r="K537" s="24">
        <f t="shared" si="34"/>
        <v>0.47</v>
      </c>
      <c r="L537" s="24">
        <f t="shared" si="35"/>
        <v>0.43</v>
      </c>
      <c r="M537" s="24">
        <f t="shared" si="36"/>
        <v>2.2000000000000002</v>
      </c>
    </row>
    <row r="538" spans="1:13" x14ac:dyDescent="0.25">
      <c r="A538" t="s">
        <v>41</v>
      </c>
      <c r="B538" t="s">
        <v>258</v>
      </c>
      <c r="C538" t="s">
        <v>578</v>
      </c>
      <c r="D538" s="24">
        <v>99554.43</v>
      </c>
      <c r="E538" s="24">
        <v>99554.43</v>
      </c>
      <c r="F538" s="24">
        <v>4.6303260000000002</v>
      </c>
      <c r="G538" s="24">
        <v>4.19062</v>
      </c>
      <c r="H538" s="24">
        <v>21.651009999999999</v>
      </c>
      <c r="I538" t="s">
        <v>15</v>
      </c>
      <c r="J538" s="24">
        <f t="shared" si="33"/>
        <v>9.9554000000000004E-2</v>
      </c>
      <c r="K538" s="24">
        <f t="shared" si="34"/>
        <v>4.63</v>
      </c>
      <c r="L538" s="24">
        <f t="shared" si="35"/>
        <v>4.1900000000000004</v>
      </c>
      <c r="M538" s="24">
        <f t="shared" si="36"/>
        <v>21.65</v>
      </c>
    </row>
    <row r="539" spans="1:13" x14ac:dyDescent="0.25">
      <c r="A539" t="s">
        <v>54</v>
      </c>
      <c r="B539" t="s">
        <v>258</v>
      </c>
      <c r="C539" t="s">
        <v>623</v>
      </c>
      <c r="D539" s="24">
        <v>261899.21</v>
      </c>
      <c r="E539" s="24">
        <v>261899.21</v>
      </c>
      <c r="F539" s="24">
        <v>0.248227</v>
      </c>
      <c r="G539" s="24">
        <v>0.111509</v>
      </c>
      <c r="H539" s="24">
        <v>1.390663</v>
      </c>
      <c r="I539" t="s">
        <v>15</v>
      </c>
      <c r="J539" s="24">
        <f t="shared" si="33"/>
        <v>0.26189899999999999</v>
      </c>
      <c r="K539" s="24">
        <f t="shared" si="34"/>
        <v>0.25</v>
      </c>
      <c r="L539" s="24">
        <f t="shared" si="35"/>
        <v>0.11</v>
      </c>
      <c r="M539" s="24">
        <f t="shared" si="36"/>
        <v>1.39</v>
      </c>
    </row>
    <row r="540" spans="1:13" x14ac:dyDescent="0.25">
      <c r="A540" t="s">
        <v>133</v>
      </c>
      <c r="B540" t="s">
        <v>258</v>
      </c>
      <c r="C540" t="s">
        <v>567</v>
      </c>
      <c r="D540" s="24">
        <v>163411.03</v>
      </c>
      <c r="E540" s="24">
        <v>163411.03</v>
      </c>
      <c r="F540" s="24">
        <v>5.187233</v>
      </c>
      <c r="G540" s="24">
        <v>2.4638819999999999</v>
      </c>
      <c r="H540" s="24">
        <v>23.597653999999999</v>
      </c>
      <c r="I540" t="s">
        <v>15</v>
      </c>
      <c r="J540" s="24">
        <f t="shared" si="33"/>
        <v>0.163411</v>
      </c>
      <c r="K540" s="24">
        <f t="shared" si="34"/>
        <v>5.19</v>
      </c>
      <c r="L540" s="24">
        <f t="shared" si="35"/>
        <v>2.46</v>
      </c>
      <c r="M540" s="24">
        <f t="shared" si="36"/>
        <v>23.6</v>
      </c>
    </row>
    <row r="541" spans="1:13" x14ac:dyDescent="0.25">
      <c r="A541" t="s">
        <v>44</v>
      </c>
      <c r="B541" t="s">
        <v>258</v>
      </c>
      <c r="C541" t="s">
        <v>45</v>
      </c>
      <c r="D541" s="24">
        <v>1213977.00999999</v>
      </c>
      <c r="E541" s="24">
        <v>1214086.99999999</v>
      </c>
      <c r="F541" s="24">
        <v>37.344414999999998</v>
      </c>
      <c r="G541" s="24">
        <v>6.2425160000000002</v>
      </c>
      <c r="H541" s="24">
        <v>68.330748999999997</v>
      </c>
      <c r="I541" t="s">
        <v>15</v>
      </c>
      <c r="J541" s="24">
        <f t="shared" si="33"/>
        <v>1.2140869999999999</v>
      </c>
      <c r="K541" s="24">
        <f t="shared" si="34"/>
        <v>37.340000000000003</v>
      </c>
      <c r="L541" s="24">
        <f t="shared" si="35"/>
        <v>6.24</v>
      </c>
      <c r="M541" s="24">
        <f t="shared" si="36"/>
        <v>68.33</v>
      </c>
    </row>
    <row r="542" spans="1:13" x14ac:dyDescent="0.25">
      <c r="A542" t="s">
        <v>54</v>
      </c>
      <c r="B542" t="s">
        <v>258</v>
      </c>
      <c r="C542" t="s">
        <v>159</v>
      </c>
      <c r="D542" s="24">
        <v>26057.85</v>
      </c>
      <c r="E542" s="24">
        <v>26057.85</v>
      </c>
      <c r="F542" s="24">
        <v>2.4691999999999999E-2</v>
      </c>
      <c r="G542" s="24">
        <v>1.1091E-2</v>
      </c>
      <c r="H542" s="24">
        <v>0.138347</v>
      </c>
      <c r="I542" t="s">
        <v>15</v>
      </c>
      <c r="J542" s="24">
        <f t="shared" si="33"/>
        <v>2.6058000000000001E-2</v>
      </c>
      <c r="K542" s="24">
        <f t="shared" si="34"/>
        <v>0.02</v>
      </c>
      <c r="L542" s="24">
        <f t="shared" si="35"/>
        <v>0.01</v>
      </c>
      <c r="M542" s="24">
        <f t="shared" si="36"/>
        <v>0.14000000000000001</v>
      </c>
    </row>
    <row r="543" spans="1:13" x14ac:dyDescent="0.25">
      <c r="A543" t="s">
        <v>73</v>
      </c>
      <c r="B543" t="s">
        <v>258</v>
      </c>
      <c r="C543" t="s">
        <v>480</v>
      </c>
      <c r="D543" s="24">
        <v>925951.81999999902</v>
      </c>
      <c r="E543" s="24">
        <v>925994.55999999901</v>
      </c>
      <c r="F543" s="24">
        <v>25.458981000000001</v>
      </c>
      <c r="G543" s="24">
        <v>3.577251</v>
      </c>
      <c r="H543" s="24">
        <v>197.98126600000001</v>
      </c>
      <c r="I543" t="s">
        <v>15</v>
      </c>
      <c r="J543" s="24">
        <f t="shared" si="33"/>
        <v>0.92599500000000001</v>
      </c>
      <c r="K543" s="24">
        <f t="shared" si="34"/>
        <v>25.46</v>
      </c>
      <c r="L543" s="24">
        <f t="shared" si="35"/>
        <v>3.58</v>
      </c>
      <c r="M543" s="24">
        <f t="shared" si="36"/>
        <v>197.98</v>
      </c>
    </row>
    <row r="544" spans="1:13" x14ac:dyDescent="0.25">
      <c r="A544" t="s">
        <v>38</v>
      </c>
      <c r="B544" t="s">
        <v>258</v>
      </c>
      <c r="C544" t="s">
        <v>446</v>
      </c>
      <c r="D544" s="24">
        <v>32924.47</v>
      </c>
      <c r="E544" s="24">
        <v>32924.47</v>
      </c>
      <c r="F544" s="24">
        <v>1.823787</v>
      </c>
      <c r="G544" s="24">
        <v>1.240005</v>
      </c>
      <c r="H544" s="24">
        <v>22.226015</v>
      </c>
      <c r="I544" t="s">
        <v>15</v>
      </c>
      <c r="J544" s="24">
        <f t="shared" si="33"/>
        <v>3.2924000000000002E-2</v>
      </c>
      <c r="K544" s="24">
        <f t="shared" si="34"/>
        <v>1.82</v>
      </c>
      <c r="L544" s="24">
        <f t="shared" si="35"/>
        <v>1.24</v>
      </c>
      <c r="M544" s="24">
        <f t="shared" si="36"/>
        <v>22.23</v>
      </c>
    </row>
    <row r="545" spans="1:13" x14ac:dyDescent="0.25">
      <c r="A545" t="s">
        <v>38</v>
      </c>
      <c r="B545" t="s">
        <v>258</v>
      </c>
      <c r="C545" t="s">
        <v>460</v>
      </c>
      <c r="D545" s="24">
        <v>145.46</v>
      </c>
      <c r="E545" s="24">
        <v>145.46</v>
      </c>
      <c r="F545" s="24">
        <v>1.7309000000000001E-2</v>
      </c>
      <c r="G545" s="24">
        <v>4.0940000000000004E-3</v>
      </c>
      <c r="H545" s="24">
        <v>5.6320000000000002E-2</v>
      </c>
      <c r="I545" t="s">
        <v>15</v>
      </c>
      <c r="J545" s="24">
        <f t="shared" si="33"/>
        <v>1.45E-4</v>
      </c>
      <c r="K545" s="24">
        <f t="shared" si="34"/>
        <v>0.02</v>
      </c>
      <c r="L545" s="24">
        <f t="shared" si="35"/>
        <v>0</v>
      </c>
      <c r="M545" s="24">
        <f t="shared" si="36"/>
        <v>0.06</v>
      </c>
    </row>
    <row r="546" spans="1:13" x14ac:dyDescent="0.25">
      <c r="A546" t="s">
        <v>646</v>
      </c>
      <c r="B546" t="s">
        <v>258</v>
      </c>
      <c r="C546" t="s">
        <v>661</v>
      </c>
      <c r="D546" s="24">
        <v>55517.62</v>
      </c>
      <c r="E546" s="24">
        <v>55517.62</v>
      </c>
      <c r="F546" s="24">
        <v>1.7054720000000001</v>
      </c>
      <c r="G546" s="24">
        <v>0.28508800000000001</v>
      </c>
      <c r="H546" s="24">
        <v>3.120574</v>
      </c>
      <c r="I546" t="s">
        <v>15</v>
      </c>
      <c r="J546" s="24">
        <f t="shared" si="33"/>
        <v>5.5517999999999998E-2</v>
      </c>
      <c r="K546" s="24">
        <f t="shared" si="34"/>
        <v>1.71</v>
      </c>
      <c r="L546" s="24">
        <f t="shared" si="35"/>
        <v>0.28999999999999998</v>
      </c>
      <c r="M546" s="24">
        <f t="shared" si="36"/>
        <v>3.12</v>
      </c>
    </row>
  </sheetData>
  <autoFilter ref="A1:M546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7838EF2-0532-43D2-A840-39246C77B5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51C914-48FA-4E72-829B-D8355F94631A}"/>
</file>

<file path=customXml/itemProps3.xml><?xml version="1.0" encoding="utf-8"?>
<ds:datastoreItem xmlns:ds="http://schemas.openxmlformats.org/officeDocument/2006/customXml" ds:itemID="{A1437066-1DDC-4E28-A19F-A8A5C0C49FC2}">
  <ds:schemaRefs>
    <ds:schemaRef ds:uri="http://schemas.microsoft.com/office/2006/metadata/properties"/>
    <ds:schemaRef ds:uri="http://schemas.microsoft.com/office/infopath/2007/PartnerControls"/>
    <ds:schemaRef ds:uri="5cb916c8-9d68-4383-983a-69d9d45073d0"/>
    <ds:schemaRef ds:uri="15969c5d-4c62-4017-a58c-7372f955020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SCIB</vt:lpstr>
      <vt:lpstr>SCIB_AUX</vt:lpstr>
      <vt:lpstr>DQS4</vt:lpstr>
      <vt:lpstr>DQS4_AUX</vt:lpstr>
      <vt:lpstr>DQS5</vt:lpstr>
      <vt:lpstr>DQ5_AUX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Andrea Ramos Cunto</dc:creator>
  <cp:lastModifiedBy>Hélder Filipe Felicidade Fernandes</cp:lastModifiedBy>
  <dcterms:created xsi:type="dcterms:W3CDTF">2024-07-04T16:12:13Z</dcterms:created>
  <dcterms:modified xsi:type="dcterms:W3CDTF">2025-10-15T13:20:52Z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2024-07-05T10:23:43Z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7d340efe-c6cd-41e5-9016-3e3a161ffb86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0x010100AE0148DB1B66DA499B9393429ED53FDC</vt:lpwstr>
  </property>
  <property fmtid="{D5CDD505-2E9C-101B-9397-08002B2CF9AE}" pid="10" name="MediaServiceImageTags">
    <vt:lpwstr/>
  </property>
</Properties>
</file>