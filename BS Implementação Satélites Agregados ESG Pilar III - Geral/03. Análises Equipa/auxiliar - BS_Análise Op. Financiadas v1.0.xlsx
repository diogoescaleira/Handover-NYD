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Ficheiros a enviar\"/>
    </mc:Choice>
  </mc:AlternateContent>
  <bookViews>
    <workbookView xWindow="0" yWindow="0" windowWidth="28800" windowHeight="12180"/>
  </bookViews>
  <sheets>
    <sheet name="Sheet" sheetId="1" r:id="rId1"/>
    <sheet name="Sheet3" sheetId="4" r:id="rId2"/>
    <sheet name="Sheet1" sheetId="2" r:id="rId3"/>
    <sheet name="Sheet2" sheetId="3" r:id="rId4"/>
  </sheets>
  <definedNames>
    <definedName name="_xlnm._FilterDatabase" localSheetId="0" hidden="1">Sheet!$A$1:$F$949</definedName>
    <definedName name="_xlnm._FilterDatabase" localSheetId="2" hidden="1">Sheet1!$A$1:$L$1415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D19" i="1" l="1"/>
  <c r="D717" i="1"/>
  <c r="D716" i="1"/>
  <c r="D20" i="1"/>
  <c r="D849" i="1"/>
  <c r="D842" i="1"/>
  <c r="D879" i="1"/>
  <c r="D757" i="1"/>
  <c r="D703" i="1"/>
  <c r="D681" i="1"/>
  <c r="D933" i="1"/>
  <c r="D655" i="1"/>
  <c r="D901" i="1"/>
  <c r="D902" i="1"/>
  <c r="D746" i="1"/>
  <c r="D735" i="1"/>
  <c r="D737" i="1"/>
  <c r="D698" i="1"/>
  <c r="D884" i="1"/>
  <c r="D895" i="1"/>
  <c r="D793" i="1"/>
  <c r="D712" i="1"/>
  <c r="D669" i="1"/>
  <c r="D789" i="1"/>
  <c r="D929" i="1"/>
  <c r="D834" i="1"/>
  <c r="D732" i="1"/>
  <c r="D945" i="1"/>
  <c r="D908" i="1"/>
  <c r="D928" i="1"/>
  <c r="D774" i="1"/>
  <c r="D868" i="1"/>
  <c r="D827" i="1"/>
  <c r="D695" i="1"/>
  <c r="D734" i="1"/>
  <c r="D836" i="1"/>
  <c r="D911" i="1"/>
  <c r="D770" i="1"/>
  <c r="D930" i="1"/>
  <c r="D808" i="1"/>
  <c r="D814" i="1"/>
  <c r="D791" i="1"/>
  <c r="D861" i="1"/>
  <c r="D862" i="1"/>
  <c r="D881" i="1"/>
  <c r="D756" i="1"/>
  <c r="D741" i="1"/>
  <c r="D809" i="1"/>
  <c r="D749" i="1"/>
  <c r="D662" i="1"/>
  <c r="D707" i="1"/>
  <c r="D934" i="1"/>
  <c r="D795" i="1"/>
  <c r="D761" i="1"/>
  <c r="D489" i="1"/>
  <c r="D463" i="1"/>
  <c r="D738" i="1"/>
  <c r="D120" i="1"/>
  <c r="D753" i="1"/>
  <c r="D758" i="1"/>
  <c r="D730" i="1"/>
  <c r="D729" i="1"/>
  <c r="D833" i="1"/>
  <c r="D832" i="1"/>
  <c r="D831" i="1"/>
  <c r="D913" i="1"/>
  <c r="D893" i="1"/>
  <c r="D556" i="1"/>
  <c r="D194" i="1"/>
  <c r="D303" i="1"/>
  <c r="D320" i="1"/>
  <c r="D854" i="1"/>
  <c r="D325" i="1"/>
  <c r="D436" i="1"/>
  <c r="D837" i="1"/>
  <c r="D66" i="1"/>
  <c r="D739" i="1"/>
  <c r="D47" i="1"/>
  <c r="D692" i="1"/>
  <c r="D642" i="1"/>
  <c r="D885" i="1"/>
  <c r="D379" i="1"/>
  <c r="D408" i="1"/>
  <c r="D512" i="1"/>
  <c r="D740" i="1"/>
  <c r="D3" i="1"/>
  <c r="D924" i="1"/>
  <c r="D935" i="1"/>
  <c r="D699" i="1"/>
  <c r="D217" i="1"/>
  <c r="D251" i="1"/>
  <c r="D663" i="1"/>
  <c r="D160" i="1"/>
  <c r="D159" i="1"/>
  <c r="D423" i="1"/>
  <c r="D422" i="1"/>
  <c r="D421" i="1"/>
  <c r="D742" i="1"/>
  <c r="D420" i="1"/>
  <c r="D654" i="1"/>
  <c r="D94" i="1"/>
  <c r="D683" i="1"/>
  <c r="D219" i="1"/>
  <c r="D882" i="1"/>
  <c r="D905" i="1"/>
  <c r="D385" i="1"/>
  <c r="D856" i="1"/>
  <c r="D544" i="1"/>
  <c r="D240" i="1"/>
  <c r="D304" i="1"/>
  <c r="D402" i="1"/>
  <c r="D625" i="1"/>
  <c r="D584" i="1"/>
  <c r="D595" i="1"/>
  <c r="D688" i="1"/>
  <c r="D651" i="1"/>
  <c r="D501" i="1"/>
  <c r="D248" i="1"/>
  <c r="D466" i="1"/>
  <c r="D702" i="1"/>
  <c r="D352" i="1"/>
  <c r="D363" i="1"/>
  <c r="D473" i="1"/>
  <c r="D736" i="1"/>
  <c r="D224" i="1"/>
  <c r="D365" i="1"/>
  <c r="D431" i="1"/>
  <c r="D948" i="1"/>
  <c r="D947" i="1"/>
  <c r="D768" i="1"/>
  <c r="D904" i="1"/>
  <c r="D927" i="1"/>
  <c r="D727" i="1"/>
  <c r="D873" i="1"/>
  <c r="D946" i="1"/>
  <c r="D257" i="1"/>
  <c r="D82" i="1"/>
  <c r="D269" i="1"/>
  <c r="D295" i="1"/>
  <c r="D153" i="1"/>
  <c r="D645" i="1"/>
  <c r="D674" i="1"/>
  <c r="D661" i="1"/>
  <c r="D206" i="1"/>
  <c r="D399" i="1"/>
  <c r="D650" i="1"/>
  <c r="D667" i="1"/>
  <c r="D723" i="1"/>
  <c r="D71" i="1"/>
  <c r="D357" i="1"/>
  <c r="D796" i="1"/>
  <c r="D477" i="1"/>
  <c r="D488" i="1"/>
  <c r="D291" i="1"/>
  <c r="D848" i="1"/>
  <c r="D282" i="1"/>
  <c r="D532" i="1"/>
  <c r="D318" i="1"/>
  <c r="D846" i="1"/>
  <c r="D204" i="1"/>
  <c r="D118" i="1"/>
  <c r="D577" i="1"/>
  <c r="D528" i="1"/>
  <c r="D125" i="1"/>
  <c r="D543" i="1"/>
  <c r="D612" i="1"/>
  <c r="D265" i="1"/>
  <c r="D503" i="1"/>
  <c r="D21" i="1"/>
  <c r="D665" i="1"/>
  <c r="D161" i="1"/>
  <c r="D572" i="1"/>
  <c r="D883" i="1"/>
  <c r="D797" i="1"/>
  <c r="D221" i="1"/>
  <c r="D491" i="1"/>
  <c r="D490" i="1"/>
  <c r="D714" i="1"/>
  <c r="D149" i="1"/>
  <c r="D728" i="1"/>
  <c r="D838" i="1"/>
  <c r="D70" i="1"/>
  <c r="D5" i="1"/>
  <c r="D571" i="1"/>
  <c r="D701" i="1"/>
  <c r="D841" i="1"/>
  <c r="D414" i="1"/>
  <c r="D158" i="1"/>
  <c r="D266" i="1"/>
  <c r="D448" i="1"/>
  <c r="D899" i="1"/>
  <c r="D116" i="1"/>
  <c r="D65" i="1"/>
  <c r="D101" i="1"/>
  <c r="D750" i="1"/>
  <c r="D314" i="1"/>
  <c r="D938" i="1"/>
  <c r="D148" i="1"/>
  <c r="D451" i="1"/>
  <c r="D500" i="1"/>
  <c r="D648" i="1"/>
  <c r="D760" i="1"/>
  <c r="D362" i="1"/>
  <c r="D129" i="1"/>
  <c r="D92" i="1"/>
  <c r="D358" i="1"/>
  <c r="D383" i="1"/>
  <c r="D400" i="1"/>
  <c r="D124" i="1"/>
  <c r="D123" i="1"/>
  <c r="D377" i="1"/>
  <c r="D659" i="1"/>
  <c r="D724" i="1"/>
  <c r="D675" i="1"/>
  <c r="D744" i="1"/>
  <c r="D471" i="1"/>
  <c r="D51" i="1"/>
  <c r="D696" i="1"/>
  <c r="D763" i="1"/>
  <c r="D949" i="1"/>
  <c r="D427" i="1"/>
  <c r="D430" i="1"/>
  <c r="D413" i="1"/>
  <c r="D32" i="1"/>
  <c r="D134" i="1"/>
  <c r="D73" i="1"/>
  <c r="D656" i="1"/>
  <c r="D218" i="1"/>
  <c r="D299" i="1"/>
  <c r="D525" i="1"/>
  <c r="D95" i="1"/>
  <c r="D184" i="1"/>
  <c r="D341" i="1"/>
  <c r="D613" i="1"/>
  <c r="D563" i="1"/>
  <c r="D805" i="1"/>
  <c r="D804" i="1"/>
  <c r="D69" i="1"/>
  <c r="D136" i="1"/>
  <c r="D115" i="1"/>
  <c r="D719" i="1"/>
  <c r="D524" i="1"/>
  <c r="D910" i="1"/>
  <c r="D171" i="1"/>
  <c r="D336" i="1"/>
  <c r="D754" i="1"/>
  <c r="D109" i="1"/>
  <c r="D772" i="1"/>
  <c r="D472" i="1"/>
  <c r="D531" i="1"/>
  <c r="D323" i="1"/>
  <c r="D322" i="1"/>
  <c r="D56" i="1"/>
  <c r="D350" i="1"/>
  <c r="D308" i="1"/>
  <c r="D220" i="1"/>
  <c r="D623" i="1"/>
  <c r="D201" i="1"/>
  <c r="D573" i="1"/>
  <c r="D585" i="1"/>
  <c r="D786" i="1"/>
  <c r="D785" i="1"/>
  <c r="D627" i="1"/>
  <c r="D23" i="1"/>
  <c r="D34" i="1"/>
  <c r="D61" i="1"/>
  <c r="D157" i="1"/>
  <c r="D582" i="1"/>
  <c r="D309" i="1"/>
  <c r="D183" i="1"/>
  <c r="D384" i="1"/>
  <c r="D677" i="1"/>
  <c r="D465" i="1"/>
  <c r="D921" i="1"/>
  <c r="D86" i="1"/>
  <c r="D256" i="1"/>
  <c r="D666" i="1"/>
  <c r="D156" i="1"/>
  <c r="D59" i="1"/>
  <c r="D686" i="1"/>
  <c r="D622" i="1"/>
  <c r="D344" i="1"/>
  <c r="D685" i="1"/>
  <c r="D202" i="1"/>
  <c r="D113" i="1"/>
  <c r="D243" i="1"/>
  <c r="D260" i="1"/>
  <c r="D892" i="1"/>
  <c r="D599" i="1"/>
  <c r="D633" i="1"/>
  <c r="D632" i="1"/>
  <c r="D631" i="1"/>
  <c r="D630" i="1"/>
  <c r="D629" i="1"/>
  <c r="D775" i="1"/>
  <c r="D647" i="1"/>
  <c r="D652" i="1"/>
  <c r="D382" i="1"/>
  <c r="D208" i="1"/>
  <c r="D60" i="1"/>
  <c r="D58" i="1"/>
  <c r="D579" i="1"/>
  <c r="D380" i="1"/>
  <c r="D564" i="1"/>
  <c r="D88" i="1"/>
  <c r="D68" i="1"/>
  <c r="D36" i="1"/>
  <c r="D876" i="1"/>
  <c r="D937" i="1"/>
  <c r="D54" i="1"/>
  <c r="D2" i="1"/>
  <c r="D79" i="1"/>
  <c r="D850" i="1"/>
  <c r="D275" i="1"/>
  <c r="D342" i="1"/>
  <c r="D562" i="1"/>
  <c r="D137" i="1"/>
  <c r="D769" i="1"/>
  <c r="D541" i="1"/>
  <c r="D880" i="1"/>
  <c r="D640" i="1"/>
  <c r="D50" i="1"/>
  <c r="D38" i="1"/>
  <c r="D44" i="1"/>
  <c r="D89" i="1"/>
  <c r="D11" i="1"/>
  <c r="D886" i="1"/>
  <c r="D690" i="1"/>
  <c r="D211" i="1"/>
  <c r="D527" i="1"/>
  <c r="D853" i="1"/>
  <c r="D366" i="1"/>
  <c r="D14" i="1"/>
  <c r="D590" i="1"/>
  <c r="D845" i="1"/>
  <c r="D639" i="1"/>
  <c r="D635" i="1"/>
  <c r="D371" i="1"/>
  <c r="D242" i="1"/>
  <c r="D481" i="1"/>
  <c r="D664" i="1"/>
  <c r="D261" i="1"/>
  <c r="D298" i="1"/>
  <c r="D306" i="1"/>
  <c r="D437" i="1"/>
  <c r="D33" i="1"/>
  <c r="D355" i="1"/>
  <c r="D840" i="1"/>
  <c r="D173" i="1"/>
  <c r="D235" i="1"/>
  <c r="D434" i="1"/>
  <c r="D138" i="1"/>
  <c r="D62" i="1"/>
  <c r="D272" i="1"/>
  <c r="D872" i="1"/>
  <c r="D871" i="1"/>
  <c r="D460" i="1"/>
  <c r="D844" i="1"/>
  <c r="D454" i="1"/>
  <c r="D230" i="1"/>
  <c r="D480" i="1"/>
  <c r="D401" i="1"/>
  <c r="D869" i="1"/>
  <c r="D406" i="1"/>
  <c r="D93" i="1"/>
  <c r="D839" i="1"/>
  <c r="D907" i="1"/>
  <c r="D405" i="1"/>
  <c r="D404" i="1"/>
  <c r="D222" i="1"/>
  <c r="D586" i="1"/>
  <c r="D898" i="1"/>
  <c r="D897" i="1"/>
  <c r="D896" i="1"/>
  <c r="D198" i="1"/>
  <c r="D246" i="1"/>
  <c r="D594" i="1"/>
  <c r="D593" i="1"/>
  <c r="D297" i="1"/>
  <c r="D289" i="1"/>
  <c r="D288" i="1"/>
  <c r="D287" i="1"/>
  <c r="D286" i="1"/>
  <c r="D285" i="1"/>
  <c r="D284" i="1"/>
  <c r="D513" i="1"/>
  <c r="D324" i="1"/>
  <c r="D813" i="1"/>
  <c r="D40" i="1"/>
  <c r="D53" i="1"/>
  <c r="D52" i="1"/>
  <c r="D196" i="1"/>
  <c r="D459" i="1"/>
  <c r="D255" i="1"/>
  <c r="D722" i="1"/>
  <c r="D55" i="1"/>
  <c r="D807" i="1"/>
  <c r="D679" i="1"/>
  <c r="D292" i="1"/>
  <c r="D210" i="1"/>
  <c r="D498" i="1"/>
  <c r="D535" i="1"/>
  <c r="D441" i="1"/>
  <c r="D440" i="1"/>
  <c r="D439" i="1"/>
  <c r="D438" i="1"/>
  <c r="D680" i="1"/>
  <c r="D176" i="1"/>
  <c r="D174" i="1"/>
  <c r="D569" i="1"/>
  <c r="D568" i="1"/>
  <c r="D830" i="1"/>
  <c r="D529" i="1"/>
  <c r="D238" i="1"/>
  <c r="D903" i="1"/>
  <c r="D800" i="1"/>
  <c r="D268" i="1"/>
  <c r="D185" i="1"/>
  <c r="D127" i="1"/>
  <c r="D213" i="1"/>
  <c r="D657" i="1"/>
  <c r="D316" i="1"/>
  <c r="D315" i="1"/>
  <c r="D783" i="1"/>
  <c r="D560" i="1"/>
  <c r="D274" i="1"/>
  <c r="D566" i="1"/>
  <c r="D281" i="1"/>
  <c r="D376" i="1"/>
  <c r="D576" i="1"/>
  <c r="D228" i="1"/>
  <c r="D170" i="1"/>
  <c r="D169" i="1"/>
  <c r="D748" i="1"/>
  <c r="D57" i="1"/>
  <c r="D598" i="1"/>
  <c r="D597" i="1"/>
  <c r="D851" i="1"/>
  <c r="D192" i="1"/>
  <c r="D875" i="1"/>
  <c r="D539" i="1"/>
  <c r="D24" i="1"/>
  <c r="D828" i="1"/>
  <c r="D374" i="1"/>
  <c r="D263" i="1"/>
  <c r="D752" i="1"/>
  <c r="D486" i="1"/>
  <c r="D485" i="1"/>
  <c r="D484" i="1"/>
  <c r="D483" i="1"/>
  <c r="D482" i="1"/>
  <c r="D432" i="1"/>
  <c r="D223" i="1"/>
  <c r="D264" i="1"/>
  <c r="D369" i="1"/>
  <c r="D923" i="1"/>
  <c r="D76" i="1"/>
  <c r="D660" i="1"/>
  <c r="D388" i="1"/>
  <c r="D387" i="1"/>
  <c r="D922" i="1"/>
  <c r="D710" i="1"/>
  <c r="D823" i="1"/>
  <c r="D822" i="1"/>
  <c r="D806" i="1"/>
  <c r="D258" i="1"/>
  <c r="D452" i="1"/>
  <c r="D802" i="1"/>
  <c r="D429" i="1"/>
  <c r="D940" i="1"/>
  <c r="D887" i="1"/>
  <c r="D743" i="1"/>
  <c r="D731" i="1"/>
  <c r="D918" i="1"/>
  <c r="D447" i="1"/>
  <c r="D177" i="1"/>
  <c r="D689" i="1"/>
  <c r="D191" i="1"/>
  <c r="D860" i="1"/>
  <c r="D909" i="1"/>
  <c r="D726" i="1"/>
  <c r="D146" i="1"/>
  <c r="D145" i="1"/>
  <c r="D122" i="1"/>
  <c r="D575" i="1"/>
  <c r="D144" i="1"/>
  <c r="D143" i="1"/>
  <c r="D142" i="1"/>
  <c r="D141" i="1"/>
  <c r="D140" i="1"/>
  <c r="D939" i="1"/>
  <c r="D824" i="1"/>
  <c r="D561" i="1"/>
  <c r="D100" i="1"/>
  <c r="D99" i="1"/>
  <c r="D98" i="1"/>
  <c r="D97" i="1"/>
  <c r="D636" i="1"/>
  <c r="D262" i="1"/>
  <c r="D259" i="1"/>
  <c r="D234" i="1"/>
  <c r="D233" i="1"/>
  <c r="D232" i="1"/>
  <c r="D920" i="1"/>
  <c r="D919" i="1"/>
  <c r="D356" i="1"/>
  <c r="D372" i="1"/>
  <c r="D135" i="1"/>
  <c r="D64" i="1"/>
  <c r="D610" i="1"/>
  <c r="D247" i="1"/>
  <c r="D45" i="1"/>
  <c r="D583" i="1"/>
  <c r="D835" i="1"/>
  <c r="D4" i="1"/>
  <c r="D790" i="1"/>
  <c r="D545" i="1"/>
  <c r="D678" i="1"/>
  <c r="D755" i="1"/>
  <c r="D555" i="1"/>
  <c r="D453" i="1"/>
  <c r="D870" i="1"/>
  <c r="D154" i="1"/>
  <c r="D254" i="1"/>
  <c r="D253" i="1"/>
  <c r="D305" i="1"/>
  <c r="D182" i="1"/>
  <c r="D815" i="1"/>
  <c r="D290" i="1"/>
  <c r="D829" i="1"/>
  <c r="D926" i="1"/>
  <c r="D195" i="1"/>
  <c r="D409" i="1"/>
  <c r="D205" i="1"/>
  <c r="D700" i="1"/>
  <c r="D102" i="1"/>
  <c r="D225" i="1"/>
  <c r="D537" i="1"/>
  <c r="D536" i="1"/>
  <c r="D670" i="1"/>
  <c r="D502" i="1"/>
  <c r="D765" i="1"/>
  <c r="D773" i="1"/>
  <c r="D231" i="1"/>
  <c r="D335" i="1"/>
  <c r="D334" i="1"/>
  <c r="D333" i="1"/>
  <c r="D359" i="1"/>
  <c r="D616" i="1"/>
  <c r="D779" i="1"/>
  <c r="D646" i="1"/>
  <c r="D475" i="1"/>
  <c r="D80" i="1"/>
  <c r="D825" i="1"/>
  <c r="D178" i="1"/>
  <c r="D476" i="1"/>
  <c r="D628" i="1"/>
  <c r="D373" i="1"/>
  <c r="D180" i="1"/>
  <c r="D179" i="1"/>
  <c r="D6" i="1"/>
  <c r="D464" i="1"/>
  <c r="D91" i="1"/>
  <c r="D912" i="1"/>
  <c r="D878" i="1"/>
  <c r="D516" i="1"/>
  <c r="D150" i="1"/>
  <c r="D811" i="1"/>
  <c r="D821" i="1"/>
  <c r="D580" i="1"/>
  <c r="D705" i="1"/>
  <c r="D48" i="1"/>
  <c r="D504" i="1"/>
  <c r="D462" i="1"/>
  <c r="D591" i="1"/>
  <c r="D784" i="1"/>
  <c r="D283" i="1"/>
  <c r="D317" i="1"/>
  <c r="D103" i="1"/>
  <c r="D119" i="1"/>
  <c r="D718" i="1"/>
  <c r="D96" i="1"/>
  <c r="D30" i="1"/>
  <c r="D469" i="1"/>
  <c r="D468" i="1"/>
  <c r="D467" i="1"/>
  <c r="D444" i="1"/>
  <c r="D546" i="1"/>
  <c r="D415" i="1"/>
  <c r="D425" i="1"/>
  <c r="D398" i="1"/>
  <c r="D526" i="1"/>
  <c r="D479" i="1"/>
  <c r="D592" i="1"/>
  <c r="D570" i="1"/>
  <c r="D771" i="1"/>
  <c r="D108" i="1"/>
  <c r="D375" i="1"/>
  <c r="D604" i="1"/>
  <c r="D658" i="1"/>
  <c r="D843" i="1"/>
  <c r="D152" i="1"/>
  <c r="D943" i="1"/>
  <c r="D533" i="1"/>
  <c r="D542" i="1"/>
  <c r="D8" i="1"/>
  <c r="D458" i="1"/>
  <c r="D457" i="1"/>
  <c r="D523" i="1"/>
  <c r="D626" i="1"/>
  <c r="D17" i="1"/>
  <c r="D18" i="1"/>
  <c r="D418" i="1"/>
  <c r="D273" i="1"/>
  <c r="D239" i="1"/>
  <c r="D244" i="1"/>
  <c r="D412" i="1"/>
  <c r="D72" i="1"/>
  <c r="D16" i="1"/>
  <c r="D497" i="1"/>
  <c r="D496" i="1"/>
  <c r="D495" i="1"/>
  <c r="D15" i="1"/>
  <c r="D340" i="1"/>
  <c r="D747" i="1"/>
  <c r="D181" i="1"/>
  <c r="D364" i="1"/>
  <c r="D151" i="1"/>
  <c r="D687" i="1"/>
  <c r="D553" i="1"/>
  <c r="D280" i="1"/>
  <c r="D944" i="1"/>
  <c r="D559" i="1"/>
  <c r="D241" i="1"/>
  <c r="D212" i="1"/>
  <c r="D367" i="1"/>
  <c r="D942" i="1"/>
  <c r="D410" i="1"/>
  <c r="D31" i="1"/>
  <c r="D370" i="1"/>
  <c r="D515" i="1"/>
  <c r="D874" i="1"/>
  <c r="D426" i="1"/>
  <c r="D565" i="1"/>
  <c r="D603" i="1"/>
  <c r="D596" i="1"/>
  <c r="D433" i="1"/>
  <c r="D858" i="1"/>
  <c r="D130" i="1"/>
  <c r="D267" i="1"/>
  <c r="D547" i="1"/>
  <c r="D77" i="1"/>
  <c r="D587" i="1"/>
  <c r="D307" i="1"/>
  <c r="D617" i="1"/>
  <c r="D932" i="1"/>
  <c r="D312" i="1"/>
  <c r="D900" i="1"/>
  <c r="D540" i="1"/>
  <c r="D608" i="1"/>
  <c r="D607" i="1"/>
  <c r="D606" i="1"/>
  <c r="D711" i="1"/>
  <c r="D442" i="1"/>
  <c r="D888" i="1"/>
  <c r="D745" i="1"/>
  <c r="D197" i="1"/>
  <c r="D397" i="1"/>
  <c r="D697" i="1"/>
  <c r="D110" i="1"/>
  <c r="D378" i="1"/>
  <c r="D925" i="1"/>
  <c r="D216" i="1"/>
  <c r="D611" i="1"/>
  <c r="D393" i="1"/>
  <c r="D549" i="1"/>
  <c r="D75" i="1"/>
  <c r="D634" i="1"/>
  <c r="D474" i="1"/>
  <c r="D799" i="1"/>
  <c r="D105" i="1"/>
  <c r="D104" i="1"/>
  <c r="D551" i="1"/>
  <c r="D131" i="1"/>
  <c r="D552" i="1"/>
  <c r="D117" i="1"/>
  <c r="D199" i="1"/>
  <c r="D682" i="1"/>
  <c r="D386" i="1"/>
  <c r="D87" i="1"/>
  <c r="D147" i="1"/>
  <c r="D449" i="1"/>
  <c r="D721" i="1"/>
  <c r="D493" i="1"/>
  <c r="D776" i="1"/>
  <c r="D855" i="1"/>
  <c r="D215" i="1"/>
  <c r="D214" i="1"/>
  <c r="D293" i="1"/>
  <c r="D877" i="1"/>
  <c r="D165" i="1"/>
  <c r="D443" i="1"/>
  <c r="D676" i="1"/>
  <c r="D416" i="1"/>
  <c r="D390" i="1"/>
  <c r="D803" i="1"/>
  <c r="D166" i="1"/>
  <c r="D866" i="1"/>
  <c r="D865" i="1"/>
  <c r="D864" i="1"/>
  <c r="D168" i="1"/>
  <c r="D10" i="1"/>
  <c r="D517" i="1"/>
  <c r="D81" i="1"/>
  <c r="D302" i="1"/>
  <c r="D301" i="1"/>
  <c r="D300" i="1"/>
  <c r="D511" i="1"/>
  <c r="D510" i="1"/>
  <c r="D509" i="1"/>
  <c r="D508" i="1"/>
  <c r="D507" i="1"/>
  <c r="D506" i="1"/>
  <c r="D419" i="1"/>
  <c r="D188" i="1"/>
  <c r="D187" i="1"/>
  <c r="D801" i="1"/>
  <c r="D121" i="1"/>
  <c r="D164" i="1"/>
  <c r="D764" i="1"/>
  <c r="D237" i="1"/>
  <c r="D668" i="1"/>
  <c r="D715" i="1"/>
  <c r="D578" i="1"/>
  <c r="D538" i="1"/>
  <c r="D816" i="1"/>
  <c r="D13" i="1"/>
  <c r="D391" i="1"/>
  <c r="D798" i="1"/>
  <c r="D29" i="1"/>
  <c r="D794" i="1"/>
  <c r="D226" i="1"/>
  <c r="D49" i="1"/>
  <c r="D891" i="1"/>
  <c r="D28" i="1"/>
  <c r="D589" i="1"/>
  <c r="D863" i="1"/>
  <c r="D361" i="1"/>
  <c r="D360" i="1"/>
  <c r="D505" i="1"/>
  <c r="D889" i="1"/>
  <c r="D190" i="1"/>
  <c r="D389" i="1"/>
  <c r="D332" i="1"/>
  <c r="D470" i="1"/>
  <c r="D193" i="1"/>
  <c r="D461" i="1"/>
  <c r="D588" i="1"/>
  <c r="D155" i="1"/>
  <c r="D203" i="1"/>
  <c r="D894" i="1"/>
  <c r="D602" i="1"/>
  <c r="D85" i="1"/>
  <c r="D456" i="1"/>
  <c r="D709" i="1"/>
  <c r="D936" i="1"/>
  <c r="D708" i="1"/>
  <c r="D294" i="1"/>
  <c r="D826" i="1"/>
  <c r="D857" i="1"/>
  <c r="D931" i="1"/>
  <c r="D26" i="1"/>
  <c r="D112" i="1"/>
  <c r="D39" i="1"/>
  <c r="D762" i="1"/>
  <c r="D492" i="1"/>
  <c r="D368" i="1"/>
  <c r="D684" i="1"/>
  <c r="D25" i="1"/>
  <c r="D407" i="1"/>
  <c r="D162" i="1"/>
  <c r="D417" i="1"/>
  <c r="D643" i="1"/>
  <c r="D766" i="1"/>
  <c r="D354" i="1"/>
  <c r="D353" i="1"/>
  <c r="D392" i="1"/>
  <c r="D767" i="1"/>
  <c r="D867" i="1"/>
  <c r="D574" i="1"/>
  <c r="D693" i="1"/>
  <c r="D780" i="1"/>
  <c r="D63" i="1"/>
  <c r="D522" i="1"/>
  <c r="D621" i="1"/>
  <c r="D620" i="1"/>
  <c r="D619" i="1"/>
  <c r="D618" i="1"/>
  <c r="D521" i="1"/>
  <c r="D520" i="1"/>
  <c r="D519" i="1"/>
  <c r="D518" i="1"/>
  <c r="D339" i="1"/>
  <c r="D338" i="1"/>
  <c r="D337" i="1"/>
  <c r="D534" i="1"/>
  <c r="D111" i="1"/>
  <c r="D132" i="1"/>
  <c r="D83" i="1"/>
  <c r="D175" i="1"/>
  <c r="D107" i="1"/>
  <c r="D494" i="1"/>
  <c r="D424" i="1"/>
  <c r="D172" i="1"/>
  <c r="D917" i="1"/>
  <c r="D916" i="1"/>
  <c r="D200" i="1"/>
  <c r="D782" i="1"/>
  <c r="D781" i="1"/>
  <c r="D638" i="1"/>
  <c r="D637" i="1"/>
  <c r="D311" i="1"/>
  <c r="D229" i="1"/>
  <c r="D915" i="1"/>
  <c r="D914" i="1"/>
  <c r="D163" i="1"/>
  <c r="D313" i="1"/>
  <c r="D609" i="1"/>
  <c r="D733" i="1"/>
  <c r="D270" i="1"/>
  <c r="D35" i="1"/>
  <c r="D704" i="1"/>
  <c r="D691" i="1"/>
  <c r="D411" i="1"/>
  <c r="D673" i="1"/>
  <c r="D672" i="1"/>
  <c r="D671" i="1"/>
  <c r="D207" i="1"/>
  <c r="D252" i="1"/>
  <c r="D84" i="1"/>
  <c r="D279" i="1"/>
  <c r="D778" i="1"/>
  <c r="D209" i="1"/>
  <c r="D548" i="1"/>
  <c r="D133" i="1"/>
  <c r="D271" i="1"/>
  <c r="D435" i="1"/>
  <c r="D810" i="1"/>
  <c r="D777" i="1"/>
  <c r="D319" i="1"/>
  <c r="D906" i="1"/>
  <c r="D601" i="1"/>
  <c r="D7" i="1"/>
  <c r="D396" i="1"/>
  <c r="D167" i="1"/>
  <c r="D720" i="1"/>
  <c r="D499" i="1"/>
  <c r="D694" i="1"/>
  <c r="D139" i="1"/>
  <c r="D343" i="1"/>
  <c r="D890" i="1"/>
  <c r="D249" i="1"/>
  <c r="D351" i="1"/>
  <c r="D605" i="1"/>
  <c r="D67" i="1"/>
  <c r="D90" i="1"/>
  <c r="D450" i="1"/>
  <c r="D558" i="1"/>
  <c r="D557" i="1"/>
  <c r="D641" i="1"/>
  <c r="D227" i="1"/>
  <c r="D644" i="1"/>
  <c r="D788" i="1"/>
  <c r="D787" i="1"/>
  <c r="D348" i="1"/>
  <c r="D347" i="1"/>
  <c r="D346" i="1"/>
  <c r="D345" i="1"/>
  <c r="D478" i="1"/>
  <c r="D649" i="1"/>
  <c r="D321" i="1"/>
  <c r="D759" i="1"/>
  <c r="D859" i="1"/>
  <c r="D22" i="1"/>
  <c r="D331" i="1"/>
  <c r="D330" i="1"/>
  <c r="D329" i="1"/>
  <c r="D328" i="1"/>
  <c r="D327" i="1"/>
  <c r="D326" i="1"/>
  <c r="D554" i="1"/>
  <c r="D812" i="1"/>
  <c r="D706" i="1"/>
  <c r="D550" i="1"/>
  <c r="D847" i="1"/>
  <c r="D852" i="1"/>
  <c r="D9" i="1"/>
  <c r="D74" i="1"/>
  <c r="D428" i="1"/>
  <c r="D487" i="1"/>
  <c r="D725" i="1"/>
  <c r="D186" i="1"/>
  <c r="D276" i="1"/>
  <c r="D106" i="1"/>
  <c r="D567" i="1"/>
  <c r="D615" i="1"/>
  <c r="D614" i="1"/>
  <c r="D751" i="1"/>
  <c r="D403" i="1"/>
  <c r="D530" i="1"/>
  <c r="D713" i="1"/>
  <c r="D581" i="1"/>
  <c r="D455" i="1"/>
  <c r="D189" i="1"/>
  <c r="D296" i="1"/>
  <c r="D653" i="1"/>
  <c r="D245" i="1"/>
  <c r="D624" i="1"/>
  <c r="D78" i="1"/>
  <c r="D42" i="1"/>
  <c r="D37" i="1"/>
  <c r="D41" i="1"/>
  <c r="D126" i="1"/>
  <c r="D114" i="1"/>
  <c r="D27" i="1"/>
  <c r="D941" i="1"/>
  <c r="D820" i="1"/>
  <c r="D819" i="1"/>
  <c r="D818" i="1"/>
  <c r="D278" i="1"/>
  <c r="D446" i="1"/>
  <c r="D817" i="1"/>
  <c r="D277" i="1"/>
  <c r="D310" i="1"/>
  <c r="D600" i="1"/>
  <c r="D395" i="1"/>
  <c r="D394" i="1"/>
  <c r="D445" i="1"/>
  <c r="D514" i="1"/>
  <c r="D128" i="1"/>
  <c r="D12" i="1"/>
  <c r="D250" i="1"/>
  <c r="D792" i="1"/>
  <c r="D43" i="1"/>
  <c r="D381" i="1"/>
  <c r="D46" i="1"/>
  <c r="D349" i="1"/>
  <c r="D236" i="1"/>
  <c r="E19" i="1"/>
  <c r="E717" i="1"/>
  <c r="F717" i="1" s="1"/>
  <c r="E716" i="1"/>
  <c r="F716" i="1" s="1"/>
  <c r="E20" i="1"/>
  <c r="F20" i="1" s="1"/>
  <c r="E849" i="1"/>
  <c r="F849" i="1" s="1"/>
  <c r="E842" i="1"/>
  <c r="E879" i="1"/>
  <c r="E757" i="1"/>
  <c r="E703" i="1"/>
  <c r="E681" i="1"/>
  <c r="F681" i="1" s="1"/>
  <c r="E933" i="1"/>
  <c r="F933" i="1" s="1"/>
  <c r="E655" i="1"/>
  <c r="F655" i="1" s="1"/>
  <c r="E901" i="1"/>
  <c r="F901" i="1" s="1"/>
  <c r="E902" i="1"/>
  <c r="E746" i="1"/>
  <c r="E735" i="1"/>
  <c r="E737" i="1"/>
  <c r="E698" i="1"/>
  <c r="F698" i="1" s="1"/>
  <c r="E884" i="1"/>
  <c r="F884" i="1" s="1"/>
  <c r="E895" i="1"/>
  <c r="F895" i="1" s="1"/>
  <c r="E793" i="1"/>
  <c r="F793" i="1" s="1"/>
  <c r="E712" i="1"/>
  <c r="E669" i="1"/>
  <c r="E789" i="1"/>
  <c r="E929" i="1"/>
  <c r="E834" i="1"/>
  <c r="F834" i="1" s="1"/>
  <c r="E732" i="1"/>
  <c r="F732" i="1" s="1"/>
  <c r="E945" i="1"/>
  <c r="F945" i="1" s="1"/>
  <c r="E908" i="1"/>
  <c r="F908" i="1" s="1"/>
  <c r="E928" i="1"/>
  <c r="E774" i="1"/>
  <c r="E868" i="1"/>
  <c r="E827" i="1"/>
  <c r="E695" i="1"/>
  <c r="F695" i="1" s="1"/>
  <c r="E734" i="1"/>
  <c r="F734" i="1" s="1"/>
  <c r="E836" i="1"/>
  <c r="F836" i="1" s="1"/>
  <c r="E911" i="1"/>
  <c r="F911" i="1" s="1"/>
  <c r="E770" i="1"/>
  <c r="E930" i="1"/>
  <c r="E808" i="1"/>
  <c r="E814" i="1"/>
  <c r="E791" i="1"/>
  <c r="F791" i="1" s="1"/>
  <c r="E861" i="1"/>
  <c r="F861" i="1" s="1"/>
  <c r="E862" i="1"/>
  <c r="F862" i="1" s="1"/>
  <c r="E881" i="1"/>
  <c r="F881" i="1" s="1"/>
  <c r="E756" i="1"/>
  <c r="E741" i="1"/>
  <c r="E809" i="1"/>
  <c r="E749" i="1"/>
  <c r="E662" i="1"/>
  <c r="F662" i="1" s="1"/>
  <c r="E707" i="1"/>
  <c r="F707" i="1" s="1"/>
  <c r="E934" i="1"/>
  <c r="F934" i="1" s="1"/>
  <c r="E795" i="1"/>
  <c r="F795" i="1" s="1"/>
  <c r="E761" i="1"/>
  <c r="E489" i="1"/>
  <c r="E463" i="1"/>
  <c r="E738" i="1"/>
  <c r="E120" i="1"/>
  <c r="F120" i="1" s="1"/>
  <c r="E753" i="1"/>
  <c r="F753" i="1" s="1"/>
  <c r="E758" i="1"/>
  <c r="F758" i="1" s="1"/>
  <c r="E730" i="1"/>
  <c r="F730" i="1" s="1"/>
  <c r="E729" i="1"/>
  <c r="E833" i="1"/>
  <c r="E832" i="1"/>
  <c r="E831" i="1"/>
  <c r="E913" i="1"/>
  <c r="F913" i="1" s="1"/>
  <c r="E893" i="1"/>
  <c r="F893" i="1" s="1"/>
  <c r="E556" i="1"/>
  <c r="F556" i="1" s="1"/>
  <c r="E194" i="1"/>
  <c r="F194" i="1" s="1"/>
  <c r="E303" i="1"/>
  <c r="E320" i="1"/>
  <c r="E854" i="1"/>
  <c r="E325" i="1"/>
  <c r="E436" i="1"/>
  <c r="F436" i="1" s="1"/>
  <c r="E837" i="1"/>
  <c r="F837" i="1" s="1"/>
  <c r="E66" i="1"/>
  <c r="F66" i="1" s="1"/>
  <c r="E739" i="1"/>
  <c r="F739" i="1" s="1"/>
  <c r="E47" i="1"/>
  <c r="E692" i="1"/>
  <c r="E642" i="1"/>
  <c r="E885" i="1"/>
  <c r="E379" i="1"/>
  <c r="F379" i="1" s="1"/>
  <c r="E408" i="1"/>
  <c r="F408" i="1" s="1"/>
  <c r="E512" i="1"/>
  <c r="F512" i="1" s="1"/>
  <c r="E740" i="1"/>
  <c r="F740" i="1" s="1"/>
  <c r="E3" i="1"/>
  <c r="E924" i="1"/>
  <c r="E935" i="1"/>
  <c r="E699" i="1"/>
  <c r="E217" i="1"/>
  <c r="F217" i="1" s="1"/>
  <c r="E251" i="1"/>
  <c r="F251" i="1" s="1"/>
  <c r="E663" i="1"/>
  <c r="F663" i="1" s="1"/>
  <c r="E160" i="1"/>
  <c r="F160" i="1" s="1"/>
  <c r="E159" i="1"/>
  <c r="E423" i="1"/>
  <c r="E422" i="1"/>
  <c r="E421" i="1"/>
  <c r="E742" i="1"/>
  <c r="F742" i="1" s="1"/>
  <c r="E420" i="1"/>
  <c r="F420" i="1" s="1"/>
  <c r="E654" i="1"/>
  <c r="F654" i="1" s="1"/>
  <c r="E94" i="1"/>
  <c r="F94" i="1" s="1"/>
  <c r="E683" i="1"/>
  <c r="E219" i="1"/>
  <c r="E882" i="1"/>
  <c r="E905" i="1"/>
  <c r="E385" i="1"/>
  <c r="F385" i="1" s="1"/>
  <c r="E856" i="1"/>
  <c r="F856" i="1" s="1"/>
  <c r="E544" i="1"/>
  <c r="F544" i="1" s="1"/>
  <c r="E240" i="1"/>
  <c r="F240" i="1" s="1"/>
  <c r="E304" i="1"/>
  <c r="E402" i="1"/>
  <c r="E625" i="1"/>
  <c r="E584" i="1"/>
  <c r="E595" i="1"/>
  <c r="F595" i="1" s="1"/>
  <c r="E688" i="1"/>
  <c r="F688" i="1" s="1"/>
  <c r="E651" i="1"/>
  <c r="F651" i="1" s="1"/>
  <c r="E501" i="1"/>
  <c r="F501" i="1" s="1"/>
  <c r="E248" i="1"/>
  <c r="E466" i="1"/>
  <c r="E702" i="1"/>
  <c r="E352" i="1"/>
  <c r="E363" i="1"/>
  <c r="F363" i="1" s="1"/>
  <c r="E473" i="1"/>
  <c r="F473" i="1" s="1"/>
  <c r="E736" i="1"/>
  <c r="F736" i="1" s="1"/>
  <c r="E224" i="1"/>
  <c r="F224" i="1" s="1"/>
  <c r="E365" i="1"/>
  <c r="E431" i="1"/>
  <c r="E948" i="1"/>
  <c r="E947" i="1"/>
  <c r="E768" i="1"/>
  <c r="F768" i="1" s="1"/>
  <c r="E904" i="1"/>
  <c r="F904" i="1" s="1"/>
  <c r="E927" i="1"/>
  <c r="F927" i="1" s="1"/>
  <c r="E727" i="1"/>
  <c r="F727" i="1" s="1"/>
  <c r="E873" i="1"/>
  <c r="E946" i="1"/>
  <c r="E257" i="1"/>
  <c r="E82" i="1"/>
  <c r="E269" i="1"/>
  <c r="F269" i="1" s="1"/>
  <c r="E295" i="1"/>
  <c r="F295" i="1" s="1"/>
  <c r="E153" i="1"/>
  <c r="F153" i="1" s="1"/>
  <c r="E645" i="1"/>
  <c r="F645" i="1" s="1"/>
  <c r="E674" i="1"/>
  <c r="E661" i="1"/>
  <c r="E206" i="1"/>
  <c r="E399" i="1"/>
  <c r="E650" i="1"/>
  <c r="F650" i="1" s="1"/>
  <c r="E667" i="1"/>
  <c r="F667" i="1" s="1"/>
  <c r="E723" i="1"/>
  <c r="F723" i="1" s="1"/>
  <c r="E71" i="1"/>
  <c r="F71" i="1" s="1"/>
  <c r="E357" i="1"/>
  <c r="E796" i="1"/>
  <c r="E477" i="1"/>
  <c r="E488" i="1"/>
  <c r="E291" i="1"/>
  <c r="F291" i="1" s="1"/>
  <c r="E848" i="1"/>
  <c r="F848" i="1" s="1"/>
  <c r="E282" i="1"/>
  <c r="F282" i="1" s="1"/>
  <c r="E532" i="1"/>
  <c r="F532" i="1" s="1"/>
  <c r="E318" i="1"/>
  <c r="E846" i="1"/>
  <c r="E204" i="1"/>
  <c r="E118" i="1"/>
  <c r="E577" i="1"/>
  <c r="F577" i="1" s="1"/>
  <c r="E528" i="1"/>
  <c r="F528" i="1" s="1"/>
  <c r="E125" i="1"/>
  <c r="F125" i="1" s="1"/>
  <c r="E543" i="1"/>
  <c r="F543" i="1" s="1"/>
  <c r="E612" i="1"/>
  <c r="E265" i="1"/>
  <c r="E503" i="1"/>
  <c r="E21" i="1"/>
  <c r="E665" i="1"/>
  <c r="F665" i="1" s="1"/>
  <c r="E161" i="1"/>
  <c r="F161" i="1" s="1"/>
  <c r="E572" i="1"/>
  <c r="F572" i="1" s="1"/>
  <c r="E883" i="1"/>
  <c r="F883" i="1" s="1"/>
  <c r="E797" i="1"/>
  <c r="E221" i="1"/>
  <c r="E491" i="1"/>
  <c r="E490" i="1"/>
  <c r="E714" i="1"/>
  <c r="F714" i="1" s="1"/>
  <c r="E149" i="1"/>
  <c r="F149" i="1" s="1"/>
  <c r="E728" i="1"/>
  <c r="F728" i="1" s="1"/>
  <c r="E838" i="1"/>
  <c r="F838" i="1" s="1"/>
  <c r="E70" i="1"/>
  <c r="E5" i="1"/>
  <c r="E571" i="1"/>
  <c r="E701" i="1"/>
  <c r="E841" i="1"/>
  <c r="F841" i="1" s="1"/>
  <c r="E414" i="1"/>
  <c r="F414" i="1" s="1"/>
  <c r="E158" i="1"/>
  <c r="F158" i="1" s="1"/>
  <c r="E266" i="1"/>
  <c r="F266" i="1" s="1"/>
  <c r="E448" i="1"/>
  <c r="E899" i="1"/>
  <c r="E116" i="1"/>
  <c r="E65" i="1"/>
  <c r="E101" i="1"/>
  <c r="F101" i="1" s="1"/>
  <c r="E750" i="1"/>
  <c r="F750" i="1" s="1"/>
  <c r="E314" i="1"/>
  <c r="F314" i="1" s="1"/>
  <c r="E938" i="1"/>
  <c r="F938" i="1" s="1"/>
  <c r="E148" i="1"/>
  <c r="E451" i="1"/>
  <c r="E500" i="1"/>
  <c r="E648" i="1"/>
  <c r="E760" i="1"/>
  <c r="F760" i="1" s="1"/>
  <c r="E362" i="1"/>
  <c r="F362" i="1" s="1"/>
  <c r="E129" i="1"/>
  <c r="F129" i="1" s="1"/>
  <c r="E92" i="1"/>
  <c r="F92" i="1" s="1"/>
  <c r="E358" i="1"/>
  <c r="E383" i="1"/>
  <c r="E400" i="1"/>
  <c r="E124" i="1"/>
  <c r="E123" i="1"/>
  <c r="F123" i="1" s="1"/>
  <c r="E377" i="1"/>
  <c r="F377" i="1" s="1"/>
  <c r="E659" i="1"/>
  <c r="F659" i="1" s="1"/>
  <c r="E724" i="1"/>
  <c r="F724" i="1" s="1"/>
  <c r="E675" i="1"/>
  <c r="E744" i="1"/>
  <c r="E471" i="1"/>
  <c r="E51" i="1"/>
  <c r="E696" i="1"/>
  <c r="F696" i="1" s="1"/>
  <c r="E763" i="1"/>
  <c r="F763" i="1" s="1"/>
  <c r="E949" i="1"/>
  <c r="F949" i="1" s="1"/>
  <c r="E427" i="1"/>
  <c r="F427" i="1" s="1"/>
  <c r="E430" i="1"/>
  <c r="E413" i="1"/>
  <c r="E32" i="1"/>
  <c r="E134" i="1"/>
  <c r="E73" i="1"/>
  <c r="F73" i="1" s="1"/>
  <c r="E656" i="1"/>
  <c r="F656" i="1" s="1"/>
  <c r="E218" i="1"/>
  <c r="F218" i="1" s="1"/>
  <c r="E299" i="1"/>
  <c r="F299" i="1" s="1"/>
  <c r="E525" i="1"/>
  <c r="E95" i="1"/>
  <c r="E184" i="1"/>
  <c r="E341" i="1"/>
  <c r="E613" i="1"/>
  <c r="F613" i="1" s="1"/>
  <c r="E563" i="1"/>
  <c r="F563" i="1" s="1"/>
  <c r="E805" i="1"/>
  <c r="F805" i="1" s="1"/>
  <c r="E804" i="1"/>
  <c r="F804" i="1" s="1"/>
  <c r="E69" i="1"/>
  <c r="E136" i="1"/>
  <c r="E115" i="1"/>
  <c r="E719" i="1"/>
  <c r="E524" i="1"/>
  <c r="F524" i="1" s="1"/>
  <c r="E910" i="1"/>
  <c r="F910" i="1" s="1"/>
  <c r="E171" i="1"/>
  <c r="F171" i="1" s="1"/>
  <c r="E336" i="1"/>
  <c r="F336" i="1" s="1"/>
  <c r="E754" i="1"/>
  <c r="E109" i="1"/>
  <c r="E772" i="1"/>
  <c r="E472" i="1"/>
  <c r="E531" i="1"/>
  <c r="F531" i="1" s="1"/>
  <c r="E323" i="1"/>
  <c r="F323" i="1" s="1"/>
  <c r="E322" i="1"/>
  <c r="F322" i="1" s="1"/>
  <c r="E56" i="1"/>
  <c r="F56" i="1" s="1"/>
  <c r="E350" i="1"/>
  <c r="E308" i="1"/>
  <c r="E220" i="1"/>
  <c r="E623" i="1"/>
  <c r="E201" i="1"/>
  <c r="F201" i="1" s="1"/>
  <c r="E573" i="1"/>
  <c r="F573" i="1" s="1"/>
  <c r="E585" i="1"/>
  <c r="F585" i="1" s="1"/>
  <c r="E786" i="1"/>
  <c r="F786" i="1" s="1"/>
  <c r="E785" i="1"/>
  <c r="E627" i="1"/>
  <c r="E23" i="1"/>
  <c r="E34" i="1"/>
  <c r="E61" i="1"/>
  <c r="F61" i="1" s="1"/>
  <c r="E157" i="1"/>
  <c r="F157" i="1" s="1"/>
  <c r="E582" i="1"/>
  <c r="F582" i="1" s="1"/>
  <c r="E309" i="1"/>
  <c r="F309" i="1" s="1"/>
  <c r="E183" i="1"/>
  <c r="E384" i="1"/>
  <c r="E677" i="1"/>
  <c r="E465" i="1"/>
  <c r="E921" i="1"/>
  <c r="F921" i="1" s="1"/>
  <c r="E86" i="1"/>
  <c r="F86" i="1" s="1"/>
  <c r="E256" i="1"/>
  <c r="F256" i="1" s="1"/>
  <c r="E666" i="1"/>
  <c r="F666" i="1" s="1"/>
  <c r="E156" i="1"/>
  <c r="E59" i="1"/>
  <c r="E686" i="1"/>
  <c r="E622" i="1"/>
  <c r="E344" i="1"/>
  <c r="F344" i="1" s="1"/>
  <c r="E685" i="1"/>
  <c r="F685" i="1" s="1"/>
  <c r="E202" i="1"/>
  <c r="F202" i="1" s="1"/>
  <c r="E113" i="1"/>
  <c r="F113" i="1" s="1"/>
  <c r="E243" i="1"/>
  <c r="E260" i="1"/>
  <c r="E892" i="1"/>
  <c r="E599" i="1"/>
  <c r="E633" i="1"/>
  <c r="F633" i="1" s="1"/>
  <c r="E632" i="1"/>
  <c r="F632" i="1" s="1"/>
  <c r="E631" i="1"/>
  <c r="F631" i="1" s="1"/>
  <c r="E630" i="1"/>
  <c r="F630" i="1" s="1"/>
  <c r="E629" i="1"/>
  <c r="E775" i="1"/>
  <c r="E647" i="1"/>
  <c r="E652" i="1"/>
  <c r="E382" i="1"/>
  <c r="F382" i="1" s="1"/>
  <c r="E208" i="1"/>
  <c r="F208" i="1" s="1"/>
  <c r="E60" i="1"/>
  <c r="F60" i="1" s="1"/>
  <c r="E58" i="1"/>
  <c r="F58" i="1" s="1"/>
  <c r="E579" i="1"/>
  <c r="E380" i="1"/>
  <c r="E564" i="1"/>
  <c r="E88" i="1"/>
  <c r="E68" i="1"/>
  <c r="F68" i="1" s="1"/>
  <c r="E36" i="1"/>
  <c r="F36" i="1" s="1"/>
  <c r="E876" i="1"/>
  <c r="F876" i="1" s="1"/>
  <c r="E937" i="1"/>
  <c r="F937" i="1" s="1"/>
  <c r="E54" i="1"/>
  <c r="E2" i="1"/>
  <c r="E79" i="1"/>
  <c r="E850" i="1"/>
  <c r="E275" i="1"/>
  <c r="F275" i="1" s="1"/>
  <c r="E342" i="1"/>
  <c r="F342" i="1" s="1"/>
  <c r="E562" i="1"/>
  <c r="F562" i="1" s="1"/>
  <c r="E137" i="1"/>
  <c r="F137" i="1" s="1"/>
  <c r="E769" i="1"/>
  <c r="E541" i="1"/>
  <c r="E880" i="1"/>
  <c r="E640" i="1"/>
  <c r="E50" i="1"/>
  <c r="F50" i="1" s="1"/>
  <c r="E38" i="1"/>
  <c r="F38" i="1" s="1"/>
  <c r="E44" i="1"/>
  <c r="F44" i="1" s="1"/>
  <c r="E89" i="1"/>
  <c r="F89" i="1" s="1"/>
  <c r="E11" i="1"/>
  <c r="E886" i="1"/>
  <c r="E690" i="1"/>
  <c r="E211" i="1"/>
  <c r="E527" i="1"/>
  <c r="F527" i="1" s="1"/>
  <c r="E853" i="1"/>
  <c r="F853" i="1" s="1"/>
  <c r="E366" i="1"/>
  <c r="F366" i="1" s="1"/>
  <c r="E14" i="1"/>
  <c r="E590" i="1"/>
  <c r="E845" i="1"/>
  <c r="E639" i="1"/>
  <c r="E635" i="1"/>
  <c r="E371" i="1"/>
  <c r="F371" i="1" s="1"/>
  <c r="E242" i="1"/>
  <c r="F242" i="1" s="1"/>
  <c r="E481" i="1"/>
  <c r="F481" i="1" s="1"/>
  <c r="E664" i="1"/>
  <c r="F664" i="1" s="1"/>
  <c r="E261" i="1"/>
  <c r="E298" i="1"/>
  <c r="E306" i="1"/>
  <c r="E437" i="1"/>
  <c r="E33" i="1"/>
  <c r="F33" i="1" s="1"/>
  <c r="E355" i="1"/>
  <c r="F355" i="1" s="1"/>
  <c r="E840" i="1"/>
  <c r="F840" i="1" s="1"/>
  <c r="E173" i="1"/>
  <c r="F173" i="1" s="1"/>
  <c r="E235" i="1"/>
  <c r="E434" i="1"/>
  <c r="E138" i="1"/>
  <c r="E62" i="1"/>
  <c r="E272" i="1"/>
  <c r="F272" i="1" s="1"/>
  <c r="E872" i="1"/>
  <c r="F872" i="1" s="1"/>
  <c r="E871" i="1"/>
  <c r="F871" i="1" s="1"/>
  <c r="E460" i="1"/>
  <c r="F460" i="1" s="1"/>
  <c r="E844" i="1"/>
  <c r="E454" i="1"/>
  <c r="E230" i="1"/>
  <c r="E480" i="1"/>
  <c r="E401" i="1"/>
  <c r="F401" i="1" s="1"/>
  <c r="E869" i="1"/>
  <c r="F869" i="1" s="1"/>
  <c r="E406" i="1"/>
  <c r="F406" i="1" s="1"/>
  <c r="E93" i="1"/>
  <c r="F93" i="1" s="1"/>
  <c r="E839" i="1"/>
  <c r="E907" i="1"/>
  <c r="E405" i="1"/>
  <c r="E404" i="1"/>
  <c r="E222" i="1"/>
  <c r="F222" i="1" s="1"/>
  <c r="E586" i="1"/>
  <c r="F586" i="1" s="1"/>
  <c r="E898" i="1"/>
  <c r="F898" i="1" s="1"/>
  <c r="E897" i="1"/>
  <c r="F897" i="1" s="1"/>
  <c r="E896" i="1"/>
  <c r="E198" i="1"/>
  <c r="E246" i="1"/>
  <c r="E594" i="1"/>
  <c r="E593" i="1"/>
  <c r="F593" i="1" s="1"/>
  <c r="E297" i="1"/>
  <c r="F297" i="1" s="1"/>
  <c r="E289" i="1"/>
  <c r="F289" i="1" s="1"/>
  <c r="E288" i="1"/>
  <c r="F288" i="1" s="1"/>
  <c r="E287" i="1"/>
  <c r="E286" i="1"/>
  <c r="E285" i="1"/>
  <c r="E284" i="1"/>
  <c r="E513" i="1"/>
  <c r="F513" i="1" s="1"/>
  <c r="E324" i="1"/>
  <c r="F324" i="1" s="1"/>
  <c r="E813" i="1"/>
  <c r="F813" i="1" s="1"/>
  <c r="E40" i="1"/>
  <c r="F40" i="1" s="1"/>
  <c r="E53" i="1"/>
  <c r="E52" i="1"/>
  <c r="E196" i="1"/>
  <c r="E459" i="1"/>
  <c r="E255" i="1"/>
  <c r="F255" i="1" s="1"/>
  <c r="E722" i="1"/>
  <c r="F722" i="1" s="1"/>
  <c r="E55" i="1"/>
  <c r="F55" i="1" s="1"/>
  <c r="E807" i="1"/>
  <c r="F807" i="1" s="1"/>
  <c r="E679" i="1"/>
  <c r="E292" i="1"/>
  <c r="E210" i="1"/>
  <c r="E498" i="1"/>
  <c r="E535" i="1"/>
  <c r="F535" i="1" s="1"/>
  <c r="E441" i="1"/>
  <c r="F441" i="1" s="1"/>
  <c r="E440" i="1"/>
  <c r="F440" i="1" s="1"/>
  <c r="E439" i="1"/>
  <c r="F439" i="1" s="1"/>
  <c r="E438" i="1"/>
  <c r="E680" i="1"/>
  <c r="E176" i="1"/>
  <c r="E174" i="1"/>
  <c r="E569" i="1"/>
  <c r="F569" i="1" s="1"/>
  <c r="E568" i="1"/>
  <c r="F568" i="1" s="1"/>
  <c r="E830" i="1"/>
  <c r="F830" i="1" s="1"/>
  <c r="E529" i="1"/>
  <c r="F529" i="1" s="1"/>
  <c r="E238" i="1"/>
  <c r="E903" i="1"/>
  <c r="E800" i="1"/>
  <c r="E268" i="1"/>
  <c r="E185" i="1"/>
  <c r="F185" i="1" s="1"/>
  <c r="E127" i="1"/>
  <c r="F127" i="1" s="1"/>
  <c r="E213" i="1"/>
  <c r="F213" i="1" s="1"/>
  <c r="E657" i="1"/>
  <c r="F657" i="1" s="1"/>
  <c r="E316" i="1"/>
  <c r="E315" i="1"/>
  <c r="E783" i="1"/>
  <c r="E560" i="1"/>
  <c r="E274" i="1"/>
  <c r="F274" i="1" s="1"/>
  <c r="E566" i="1"/>
  <c r="F566" i="1" s="1"/>
  <c r="E281" i="1"/>
  <c r="F281" i="1" s="1"/>
  <c r="E376" i="1"/>
  <c r="F376" i="1" s="1"/>
  <c r="E576" i="1"/>
  <c r="E228" i="1"/>
  <c r="E170" i="1"/>
  <c r="E169" i="1"/>
  <c r="E748" i="1"/>
  <c r="F748" i="1" s="1"/>
  <c r="E57" i="1"/>
  <c r="F57" i="1" s="1"/>
  <c r="E598" i="1"/>
  <c r="F598" i="1" s="1"/>
  <c r="E597" i="1"/>
  <c r="F597" i="1" s="1"/>
  <c r="E851" i="1"/>
  <c r="E192" i="1"/>
  <c r="E875" i="1"/>
  <c r="E539" i="1"/>
  <c r="E24" i="1"/>
  <c r="F24" i="1" s="1"/>
  <c r="E828" i="1"/>
  <c r="F828" i="1" s="1"/>
  <c r="E374" i="1"/>
  <c r="F374" i="1" s="1"/>
  <c r="E263" i="1"/>
  <c r="F263" i="1" s="1"/>
  <c r="E752" i="1"/>
  <c r="E486" i="1"/>
  <c r="E485" i="1"/>
  <c r="E484" i="1"/>
  <c r="E483" i="1"/>
  <c r="F483" i="1" s="1"/>
  <c r="E482" i="1"/>
  <c r="F482" i="1" s="1"/>
  <c r="E432" i="1"/>
  <c r="F432" i="1" s="1"/>
  <c r="E223" i="1"/>
  <c r="F223" i="1" s="1"/>
  <c r="E264" i="1"/>
  <c r="E369" i="1"/>
  <c r="E923" i="1"/>
  <c r="E76" i="1"/>
  <c r="E660" i="1"/>
  <c r="F660" i="1" s="1"/>
  <c r="E388" i="1"/>
  <c r="F388" i="1" s="1"/>
  <c r="E387" i="1"/>
  <c r="F387" i="1" s="1"/>
  <c r="E922" i="1"/>
  <c r="F922" i="1" s="1"/>
  <c r="E710" i="1"/>
  <c r="E823" i="1"/>
  <c r="E822" i="1"/>
  <c r="E806" i="1"/>
  <c r="E258" i="1"/>
  <c r="F258" i="1" s="1"/>
  <c r="E452" i="1"/>
  <c r="F452" i="1" s="1"/>
  <c r="E802" i="1"/>
  <c r="F802" i="1" s="1"/>
  <c r="E429" i="1"/>
  <c r="F429" i="1" s="1"/>
  <c r="E940" i="1"/>
  <c r="E887" i="1"/>
  <c r="E743" i="1"/>
  <c r="E731" i="1"/>
  <c r="E918" i="1"/>
  <c r="F918" i="1" s="1"/>
  <c r="E447" i="1"/>
  <c r="F447" i="1" s="1"/>
  <c r="E177" i="1"/>
  <c r="F177" i="1" s="1"/>
  <c r="E689" i="1"/>
  <c r="F689" i="1" s="1"/>
  <c r="E191" i="1"/>
  <c r="E860" i="1"/>
  <c r="E909" i="1"/>
  <c r="E726" i="1"/>
  <c r="E146" i="1"/>
  <c r="F146" i="1" s="1"/>
  <c r="E145" i="1"/>
  <c r="F145" i="1" s="1"/>
  <c r="E122" i="1"/>
  <c r="F122" i="1" s="1"/>
  <c r="E575" i="1"/>
  <c r="F575" i="1" s="1"/>
  <c r="E144" i="1"/>
  <c r="E143" i="1"/>
  <c r="E142" i="1"/>
  <c r="E141" i="1"/>
  <c r="E140" i="1"/>
  <c r="F140" i="1" s="1"/>
  <c r="E939" i="1"/>
  <c r="F939" i="1" s="1"/>
  <c r="E824" i="1"/>
  <c r="F824" i="1" s="1"/>
  <c r="E561" i="1"/>
  <c r="F561" i="1" s="1"/>
  <c r="E100" i="1"/>
  <c r="E99" i="1"/>
  <c r="E98" i="1"/>
  <c r="E97" i="1"/>
  <c r="E636" i="1"/>
  <c r="F636" i="1" s="1"/>
  <c r="E262" i="1"/>
  <c r="F262" i="1" s="1"/>
  <c r="E259" i="1"/>
  <c r="F259" i="1" s="1"/>
  <c r="E234" i="1"/>
  <c r="F234" i="1" s="1"/>
  <c r="E233" i="1"/>
  <c r="E232" i="1"/>
  <c r="E920" i="1"/>
  <c r="E919" i="1"/>
  <c r="E356" i="1"/>
  <c r="F356" i="1" s="1"/>
  <c r="E372" i="1"/>
  <c r="F372" i="1" s="1"/>
  <c r="E135" i="1"/>
  <c r="F135" i="1" s="1"/>
  <c r="E64" i="1"/>
  <c r="F64" i="1" s="1"/>
  <c r="E610" i="1"/>
  <c r="E247" i="1"/>
  <c r="E45" i="1"/>
  <c r="E583" i="1"/>
  <c r="E835" i="1"/>
  <c r="F835" i="1" s="1"/>
  <c r="E4" i="1"/>
  <c r="F4" i="1" s="1"/>
  <c r="E790" i="1"/>
  <c r="F790" i="1" s="1"/>
  <c r="E545" i="1"/>
  <c r="F545" i="1" s="1"/>
  <c r="E678" i="1"/>
  <c r="E755" i="1"/>
  <c r="E555" i="1"/>
  <c r="E453" i="1"/>
  <c r="E870" i="1"/>
  <c r="F870" i="1" s="1"/>
  <c r="E154" i="1"/>
  <c r="F154" i="1" s="1"/>
  <c r="E254" i="1"/>
  <c r="F254" i="1" s="1"/>
  <c r="E253" i="1"/>
  <c r="F253" i="1" s="1"/>
  <c r="E305" i="1"/>
  <c r="E182" i="1"/>
  <c r="E815" i="1"/>
  <c r="E290" i="1"/>
  <c r="E829" i="1"/>
  <c r="F829" i="1" s="1"/>
  <c r="E926" i="1"/>
  <c r="F926" i="1" s="1"/>
  <c r="E195" i="1"/>
  <c r="F195" i="1" s="1"/>
  <c r="E409" i="1"/>
  <c r="F409" i="1" s="1"/>
  <c r="E205" i="1"/>
  <c r="E700" i="1"/>
  <c r="E102" i="1"/>
  <c r="E225" i="1"/>
  <c r="E537" i="1"/>
  <c r="F537" i="1" s="1"/>
  <c r="E536" i="1"/>
  <c r="F536" i="1" s="1"/>
  <c r="E670" i="1"/>
  <c r="F670" i="1" s="1"/>
  <c r="E502" i="1"/>
  <c r="F502" i="1" s="1"/>
  <c r="E765" i="1"/>
  <c r="E773" i="1"/>
  <c r="E231" i="1"/>
  <c r="E335" i="1"/>
  <c r="E334" i="1"/>
  <c r="F334" i="1" s="1"/>
  <c r="E333" i="1"/>
  <c r="F333" i="1" s="1"/>
  <c r="E359" i="1"/>
  <c r="F359" i="1" s="1"/>
  <c r="E616" i="1"/>
  <c r="F616" i="1" s="1"/>
  <c r="E779" i="1"/>
  <c r="E646" i="1"/>
  <c r="E475" i="1"/>
  <c r="E80" i="1"/>
  <c r="E825" i="1"/>
  <c r="F825" i="1" s="1"/>
  <c r="E178" i="1"/>
  <c r="F178" i="1" s="1"/>
  <c r="E476" i="1"/>
  <c r="F476" i="1" s="1"/>
  <c r="E628" i="1"/>
  <c r="F628" i="1" s="1"/>
  <c r="E373" i="1"/>
  <c r="E180" i="1"/>
  <c r="E179" i="1"/>
  <c r="E6" i="1"/>
  <c r="E464" i="1"/>
  <c r="F464" i="1" s="1"/>
  <c r="E91" i="1"/>
  <c r="F91" i="1" s="1"/>
  <c r="E912" i="1"/>
  <c r="F912" i="1" s="1"/>
  <c r="E878" i="1"/>
  <c r="F878" i="1" s="1"/>
  <c r="E516" i="1"/>
  <c r="E150" i="1"/>
  <c r="E811" i="1"/>
  <c r="E821" i="1"/>
  <c r="E580" i="1"/>
  <c r="F580" i="1" s="1"/>
  <c r="E705" i="1"/>
  <c r="F705" i="1" s="1"/>
  <c r="E48" i="1"/>
  <c r="F48" i="1" s="1"/>
  <c r="E504" i="1"/>
  <c r="F504" i="1" s="1"/>
  <c r="E462" i="1"/>
  <c r="E591" i="1"/>
  <c r="E784" i="1"/>
  <c r="E283" i="1"/>
  <c r="E317" i="1"/>
  <c r="F317" i="1" s="1"/>
  <c r="E103" i="1"/>
  <c r="F103" i="1" s="1"/>
  <c r="E119" i="1"/>
  <c r="F119" i="1" s="1"/>
  <c r="E718" i="1"/>
  <c r="F718" i="1" s="1"/>
  <c r="E96" i="1"/>
  <c r="E30" i="1"/>
  <c r="E469" i="1"/>
  <c r="E468" i="1"/>
  <c r="E467" i="1"/>
  <c r="F467" i="1" s="1"/>
  <c r="E444" i="1"/>
  <c r="F444" i="1" s="1"/>
  <c r="E546" i="1"/>
  <c r="F546" i="1" s="1"/>
  <c r="E415" i="1"/>
  <c r="F415" i="1" s="1"/>
  <c r="E425" i="1"/>
  <c r="E398" i="1"/>
  <c r="E526" i="1"/>
  <c r="E479" i="1"/>
  <c r="E592" i="1"/>
  <c r="F592" i="1" s="1"/>
  <c r="E570" i="1"/>
  <c r="F570" i="1" s="1"/>
  <c r="E771" i="1"/>
  <c r="F771" i="1" s="1"/>
  <c r="E108" i="1"/>
  <c r="F108" i="1" s="1"/>
  <c r="E375" i="1"/>
  <c r="E604" i="1"/>
  <c r="E658" i="1"/>
  <c r="E843" i="1"/>
  <c r="E152" i="1"/>
  <c r="F152" i="1" s="1"/>
  <c r="E943" i="1"/>
  <c r="F943" i="1" s="1"/>
  <c r="E533" i="1"/>
  <c r="F533" i="1" s="1"/>
  <c r="E542" i="1"/>
  <c r="F542" i="1" s="1"/>
  <c r="E8" i="1"/>
  <c r="E458" i="1"/>
  <c r="E457" i="1"/>
  <c r="E523" i="1"/>
  <c r="E626" i="1"/>
  <c r="F626" i="1" s="1"/>
  <c r="E17" i="1"/>
  <c r="F17" i="1" s="1"/>
  <c r="E18" i="1"/>
  <c r="F18" i="1" s="1"/>
  <c r="E418" i="1"/>
  <c r="F418" i="1" s="1"/>
  <c r="E273" i="1"/>
  <c r="E239" i="1"/>
  <c r="E244" i="1"/>
  <c r="E412" i="1"/>
  <c r="E72" i="1"/>
  <c r="F72" i="1" s="1"/>
  <c r="E16" i="1"/>
  <c r="F16" i="1" s="1"/>
  <c r="E497" i="1"/>
  <c r="F497" i="1" s="1"/>
  <c r="E496" i="1"/>
  <c r="F496" i="1" s="1"/>
  <c r="E495" i="1"/>
  <c r="E15" i="1"/>
  <c r="E340" i="1"/>
  <c r="E747" i="1"/>
  <c r="E181" i="1"/>
  <c r="F181" i="1" s="1"/>
  <c r="E364" i="1"/>
  <c r="F364" i="1" s="1"/>
  <c r="E151" i="1"/>
  <c r="F151" i="1" s="1"/>
  <c r="E687" i="1"/>
  <c r="F687" i="1" s="1"/>
  <c r="E553" i="1"/>
  <c r="E280" i="1"/>
  <c r="E944" i="1"/>
  <c r="E559" i="1"/>
  <c r="E241" i="1"/>
  <c r="F241" i="1" s="1"/>
  <c r="E212" i="1"/>
  <c r="F212" i="1" s="1"/>
  <c r="E367" i="1"/>
  <c r="F367" i="1" s="1"/>
  <c r="E942" i="1"/>
  <c r="F942" i="1" s="1"/>
  <c r="E410" i="1"/>
  <c r="E31" i="1"/>
  <c r="E370" i="1"/>
  <c r="E515" i="1"/>
  <c r="E874" i="1"/>
  <c r="F874" i="1" s="1"/>
  <c r="E426" i="1"/>
  <c r="F426" i="1" s="1"/>
  <c r="E565" i="1"/>
  <c r="F565" i="1" s="1"/>
  <c r="E603" i="1"/>
  <c r="F603" i="1" s="1"/>
  <c r="E596" i="1"/>
  <c r="E433" i="1"/>
  <c r="E858" i="1"/>
  <c r="E130" i="1"/>
  <c r="E267" i="1"/>
  <c r="F267" i="1" s="1"/>
  <c r="E547" i="1"/>
  <c r="F547" i="1" s="1"/>
  <c r="E77" i="1"/>
  <c r="F77" i="1" s="1"/>
  <c r="E587" i="1"/>
  <c r="F587" i="1" s="1"/>
  <c r="E307" i="1"/>
  <c r="E617" i="1"/>
  <c r="E932" i="1"/>
  <c r="E312" i="1"/>
  <c r="E900" i="1"/>
  <c r="F900" i="1" s="1"/>
  <c r="E540" i="1"/>
  <c r="F540" i="1" s="1"/>
  <c r="E608" i="1"/>
  <c r="F608" i="1" s="1"/>
  <c r="E607" i="1"/>
  <c r="F607" i="1" s="1"/>
  <c r="E606" i="1"/>
  <c r="E711" i="1"/>
  <c r="E442" i="1"/>
  <c r="E888" i="1"/>
  <c r="E745" i="1"/>
  <c r="F745" i="1" s="1"/>
  <c r="E197" i="1"/>
  <c r="F197" i="1" s="1"/>
  <c r="E397" i="1"/>
  <c r="F397" i="1" s="1"/>
  <c r="E697" i="1"/>
  <c r="F697" i="1" s="1"/>
  <c r="E110" i="1"/>
  <c r="E378" i="1"/>
  <c r="E925" i="1"/>
  <c r="E216" i="1"/>
  <c r="E611" i="1"/>
  <c r="F611" i="1" s="1"/>
  <c r="E393" i="1"/>
  <c r="F393" i="1" s="1"/>
  <c r="E549" i="1"/>
  <c r="F549" i="1" s="1"/>
  <c r="E75" i="1"/>
  <c r="F75" i="1" s="1"/>
  <c r="E634" i="1"/>
  <c r="E474" i="1"/>
  <c r="E799" i="1"/>
  <c r="E105" i="1"/>
  <c r="E104" i="1"/>
  <c r="F104" i="1" s="1"/>
  <c r="E551" i="1"/>
  <c r="F551" i="1" s="1"/>
  <c r="E131" i="1"/>
  <c r="F131" i="1" s="1"/>
  <c r="E552" i="1"/>
  <c r="F552" i="1" s="1"/>
  <c r="E117" i="1"/>
  <c r="E199" i="1"/>
  <c r="E682" i="1"/>
  <c r="E386" i="1"/>
  <c r="E87" i="1"/>
  <c r="F87" i="1" s="1"/>
  <c r="E147" i="1"/>
  <c r="F147" i="1" s="1"/>
  <c r="E449" i="1"/>
  <c r="F449" i="1" s="1"/>
  <c r="E721" i="1"/>
  <c r="F721" i="1" s="1"/>
  <c r="E493" i="1"/>
  <c r="E776" i="1"/>
  <c r="E855" i="1"/>
  <c r="E215" i="1"/>
  <c r="E214" i="1"/>
  <c r="F214" i="1" s="1"/>
  <c r="E293" i="1"/>
  <c r="F293" i="1" s="1"/>
  <c r="E877" i="1"/>
  <c r="F877" i="1" s="1"/>
  <c r="E165" i="1"/>
  <c r="F165" i="1" s="1"/>
  <c r="E443" i="1"/>
  <c r="E676" i="1"/>
  <c r="E416" i="1"/>
  <c r="E390" i="1"/>
  <c r="E803" i="1"/>
  <c r="F803" i="1" s="1"/>
  <c r="E166" i="1"/>
  <c r="F166" i="1" s="1"/>
  <c r="E866" i="1"/>
  <c r="F866" i="1" s="1"/>
  <c r="E865" i="1"/>
  <c r="F865" i="1" s="1"/>
  <c r="E864" i="1"/>
  <c r="E168" i="1"/>
  <c r="F168" i="1" s="1"/>
  <c r="E10" i="1"/>
  <c r="E517" i="1"/>
  <c r="E81" i="1"/>
  <c r="F81" i="1" s="1"/>
  <c r="E302" i="1"/>
  <c r="F302" i="1" s="1"/>
  <c r="E301" i="1"/>
  <c r="F301" i="1" s="1"/>
  <c r="E300" i="1"/>
  <c r="F300" i="1" s="1"/>
  <c r="E511" i="1"/>
  <c r="F511" i="1" s="1"/>
  <c r="E510" i="1"/>
  <c r="F510" i="1" s="1"/>
  <c r="E509" i="1"/>
  <c r="E508" i="1"/>
  <c r="E507" i="1"/>
  <c r="F507" i="1" s="1"/>
  <c r="E506" i="1"/>
  <c r="F506" i="1" s="1"/>
  <c r="E419" i="1"/>
  <c r="F419" i="1" s="1"/>
  <c r="E188" i="1"/>
  <c r="F188" i="1" s="1"/>
  <c r="E187" i="1"/>
  <c r="F187" i="1" s="1"/>
  <c r="E801" i="1"/>
  <c r="F801" i="1" s="1"/>
  <c r="E121" i="1"/>
  <c r="E164" i="1"/>
  <c r="E764" i="1"/>
  <c r="F764" i="1" s="1"/>
  <c r="E237" i="1"/>
  <c r="F237" i="1" s="1"/>
  <c r="E668" i="1"/>
  <c r="F668" i="1" s="1"/>
  <c r="E715" i="1"/>
  <c r="F715" i="1" s="1"/>
  <c r="E578" i="1"/>
  <c r="F578" i="1" s="1"/>
  <c r="E538" i="1"/>
  <c r="F538" i="1" s="1"/>
  <c r="E816" i="1"/>
  <c r="E13" i="1"/>
  <c r="E391" i="1"/>
  <c r="F391" i="1" s="1"/>
  <c r="E798" i="1"/>
  <c r="F798" i="1" s="1"/>
  <c r="E29" i="1"/>
  <c r="F29" i="1" s="1"/>
  <c r="E794" i="1"/>
  <c r="F794" i="1" s="1"/>
  <c r="E226" i="1"/>
  <c r="F226" i="1" s="1"/>
  <c r="E49" i="1"/>
  <c r="F49" i="1" s="1"/>
  <c r="E891" i="1"/>
  <c r="E28" i="1"/>
  <c r="E589" i="1"/>
  <c r="F589" i="1" s="1"/>
  <c r="E863" i="1"/>
  <c r="F863" i="1" s="1"/>
  <c r="E361" i="1"/>
  <c r="F361" i="1" s="1"/>
  <c r="E360" i="1"/>
  <c r="F360" i="1" s="1"/>
  <c r="E505" i="1"/>
  <c r="F505" i="1" s="1"/>
  <c r="E889" i="1"/>
  <c r="F889" i="1" s="1"/>
  <c r="E190" i="1"/>
  <c r="E389" i="1"/>
  <c r="E332" i="1"/>
  <c r="F332" i="1" s="1"/>
  <c r="E470" i="1"/>
  <c r="F470" i="1" s="1"/>
  <c r="E193" i="1"/>
  <c r="F193" i="1" s="1"/>
  <c r="E461" i="1"/>
  <c r="F461" i="1" s="1"/>
  <c r="E588" i="1"/>
  <c r="F588" i="1" s="1"/>
  <c r="E155" i="1"/>
  <c r="F155" i="1" s="1"/>
  <c r="E203" i="1"/>
  <c r="E894" i="1"/>
  <c r="E602" i="1"/>
  <c r="F602" i="1" s="1"/>
  <c r="E85" i="1"/>
  <c r="F85" i="1" s="1"/>
  <c r="E456" i="1"/>
  <c r="F456" i="1" s="1"/>
  <c r="E709" i="1"/>
  <c r="F709" i="1" s="1"/>
  <c r="E936" i="1"/>
  <c r="F936" i="1" s="1"/>
  <c r="E708" i="1"/>
  <c r="F708" i="1" s="1"/>
  <c r="E294" i="1"/>
  <c r="E826" i="1"/>
  <c r="E857" i="1"/>
  <c r="F857" i="1" s="1"/>
  <c r="E931" i="1"/>
  <c r="F931" i="1" s="1"/>
  <c r="E26" i="1"/>
  <c r="F26" i="1" s="1"/>
  <c r="E112" i="1"/>
  <c r="F112" i="1" s="1"/>
  <c r="E39" i="1"/>
  <c r="F39" i="1" s="1"/>
  <c r="E762" i="1"/>
  <c r="F762" i="1" s="1"/>
  <c r="E492" i="1"/>
  <c r="E368" i="1"/>
  <c r="E684" i="1"/>
  <c r="F684" i="1" s="1"/>
  <c r="E25" i="1"/>
  <c r="F25" i="1" s="1"/>
  <c r="E407" i="1"/>
  <c r="F407" i="1" s="1"/>
  <c r="E162" i="1"/>
  <c r="F162" i="1" s="1"/>
  <c r="E417" i="1"/>
  <c r="F417" i="1" s="1"/>
  <c r="E643" i="1"/>
  <c r="F643" i="1" s="1"/>
  <c r="E766" i="1"/>
  <c r="E354" i="1"/>
  <c r="E353" i="1"/>
  <c r="F353" i="1" s="1"/>
  <c r="E392" i="1"/>
  <c r="F392" i="1" s="1"/>
  <c r="E767" i="1"/>
  <c r="F767" i="1" s="1"/>
  <c r="E867" i="1"/>
  <c r="F867" i="1" s="1"/>
  <c r="E574" i="1"/>
  <c r="F574" i="1" s="1"/>
  <c r="E693" i="1"/>
  <c r="F693" i="1" s="1"/>
  <c r="E780" i="1"/>
  <c r="E63" i="1"/>
  <c r="E522" i="1"/>
  <c r="F522" i="1" s="1"/>
  <c r="E621" i="1"/>
  <c r="F621" i="1" s="1"/>
  <c r="E620" i="1"/>
  <c r="F620" i="1" s="1"/>
  <c r="E619" i="1"/>
  <c r="F619" i="1" s="1"/>
  <c r="E618" i="1"/>
  <c r="F618" i="1" s="1"/>
  <c r="E521" i="1"/>
  <c r="F521" i="1" s="1"/>
  <c r="E520" i="1"/>
  <c r="E519" i="1"/>
  <c r="E518" i="1"/>
  <c r="F518" i="1" s="1"/>
  <c r="E339" i="1"/>
  <c r="F339" i="1" s="1"/>
  <c r="E338" i="1"/>
  <c r="F338" i="1" s="1"/>
  <c r="E337" i="1"/>
  <c r="F337" i="1" s="1"/>
  <c r="E534" i="1"/>
  <c r="F534" i="1" s="1"/>
  <c r="E111" i="1"/>
  <c r="F111" i="1" s="1"/>
  <c r="E132" i="1"/>
  <c r="E83" i="1"/>
  <c r="E175" i="1"/>
  <c r="F175" i="1" s="1"/>
  <c r="E107" i="1"/>
  <c r="F107" i="1" s="1"/>
  <c r="E494" i="1"/>
  <c r="F494" i="1" s="1"/>
  <c r="E424" i="1"/>
  <c r="F424" i="1" s="1"/>
  <c r="E172" i="1"/>
  <c r="F172" i="1" s="1"/>
  <c r="E917" i="1"/>
  <c r="F917" i="1" s="1"/>
  <c r="E916" i="1"/>
  <c r="E200" i="1"/>
  <c r="E782" i="1"/>
  <c r="F782" i="1" s="1"/>
  <c r="E781" i="1"/>
  <c r="F781" i="1" s="1"/>
  <c r="E638" i="1"/>
  <c r="F638" i="1" s="1"/>
  <c r="E637" i="1"/>
  <c r="F637" i="1" s="1"/>
  <c r="E311" i="1"/>
  <c r="F311" i="1" s="1"/>
  <c r="E229" i="1"/>
  <c r="F229" i="1" s="1"/>
  <c r="E915" i="1"/>
  <c r="E914" i="1"/>
  <c r="E163" i="1"/>
  <c r="F163" i="1" s="1"/>
  <c r="E313" i="1"/>
  <c r="F313" i="1" s="1"/>
  <c r="E609" i="1"/>
  <c r="F609" i="1" s="1"/>
  <c r="E733" i="1"/>
  <c r="F733" i="1" s="1"/>
  <c r="E270" i="1"/>
  <c r="F270" i="1" s="1"/>
  <c r="E35" i="1"/>
  <c r="F35" i="1" s="1"/>
  <c r="E704" i="1"/>
  <c r="E691" i="1"/>
  <c r="E411" i="1"/>
  <c r="F411" i="1" s="1"/>
  <c r="E673" i="1"/>
  <c r="F673" i="1" s="1"/>
  <c r="E672" i="1"/>
  <c r="F672" i="1" s="1"/>
  <c r="E671" i="1"/>
  <c r="F671" i="1" s="1"/>
  <c r="E207" i="1"/>
  <c r="F207" i="1" s="1"/>
  <c r="E252" i="1"/>
  <c r="F252" i="1" s="1"/>
  <c r="E84" i="1"/>
  <c r="E279" i="1"/>
  <c r="E778" i="1"/>
  <c r="F778" i="1" s="1"/>
  <c r="E209" i="1"/>
  <c r="F209" i="1" s="1"/>
  <c r="E548" i="1"/>
  <c r="F548" i="1" s="1"/>
  <c r="E133" i="1"/>
  <c r="F133" i="1" s="1"/>
  <c r="E271" i="1"/>
  <c r="F271" i="1" s="1"/>
  <c r="E435" i="1"/>
  <c r="F435" i="1" s="1"/>
  <c r="E810" i="1"/>
  <c r="E777" i="1"/>
  <c r="E319" i="1"/>
  <c r="F319" i="1" s="1"/>
  <c r="E906" i="1"/>
  <c r="F906" i="1" s="1"/>
  <c r="E601" i="1"/>
  <c r="F601" i="1" s="1"/>
  <c r="E7" i="1"/>
  <c r="F7" i="1" s="1"/>
  <c r="E396" i="1"/>
  <c r="F396" i="1" s="1"/>
  <c r="E167" i="1"/>
  <c r="F167" i="1" s="1"/>
  <c r="E720" i="1"/>
  <c r="E499" i="1"/>
  <c r="E694" i="1"/>
  <c r="F694" i="1" s="1"/>
  <c r="E139" i="1"/>
  <c r="F139" i="1" s="1"/>
  <c r="E343" i="1"/>
  <c r="F343" i="1" s="1"/>
  <c r="E890" i="1"/>
  <c r="F890" i="1" s="1"/>
  <c r="E249" i="1"/>
  <c r="F249" i="1" s="1"/>
  <c r="E351" i="1"/>
  <c r="F351" i="1" s="1"/>
  <c r="E605" i="1"/>
  <c r="E67" i="1"/>
  <c r="E90" i="1"/>
  <c r="F90" i="1" s="1"/>
  <c r="E450" i="1"/>
  <c r="F450" i="1" s="1"/>
  <c r="E558" i="1"/>
  <c r="F558" i="1" s="1"/>
  <c r="E557" i="1"/>
  <c r="F557" i="1" s="1"/>
  <c r="E641" i="1"/>
  <c r="F641" i="1" s="1"/>
  <c r="E227" i="1"/>
  <c r="F227" i="1" s="1"/>
  <c r="E644" i="1"/>
  <c r="E788" i="1"/>
  <c r="E787" i="1"/>
  <c r="F787" i="1" s="1"/>
  <c r="E348" i="1"/>
  <c r="F348" i="1" s="1"/>
  <c r="E347" i="1"/>
  <c r="F347" i="1" s="1"/>
  <c r="E346" i="1"/>
  <c r="F346" i="1" s="1"/>
  <c r="E345" i="1"/>
  <c r="F345" i="1" s="1"/>
  <c r="E478" i="1"/>
  <c r="F478" i="1" s="1"/>
  <c r="E649" i="1"/>
  <c r="E321" i="1"/>
  <c r="E759" i="1"/>
  <c r="F759" i="1" s="1"/>
  <c r="E859" i="1"/>
  <c r="F859" i="1" s="1"/>
  <c r="E22" i="1"/>
  <c r="F22" i="1" s="1"/>
  <c r="E331" i="1"/>
  <c r="F331" i="1" s="1"/>
  <c r="E330" i="1"/>
  <c r="F330" i="1" s="1"/>
  <c r="E329" i="1"/>
  <c r="F329" i="1" s="1"/>
  <c r="E328" i="1"/>
  <c r="E327" i="1"/>
  <c r="F327" i="1" s="1"/>
  <c r="E326" i="1"/>
  <c r="F326" i="1" s="1"/>
  <c r="E554" i="1"/>
  <c r="F554" i="1" s="1"/>
  <c r="E812" i="1"/>
  <c r="F812" i="1" s="1"/>
  <c r="E706" i="1"/>
  <c r="F706" i="1" s="1"/>
  <c r="E550" i="1"/>
  <c r="F550" i="1" s="1"/>
  <c r="E847" i="1"/>
  <c r="F847" i="1" s="1"/>
  <c r="E852" i="1"/>
  <c r="E9" i="1"/>
  <c r="F9" i="1" s="1"/>
  <c r="E74" i="1"/>
  <c r="F74" i="1" s="1"/>
  <c r="E428" i="1"/>
  <c r="F428" i="1" s="1"/>
  <c r="E487" i="1"/>
  <c r="F487" i="1" s="1"/>
  <c r="E725" i="1"/>
  <c r="F725" i="1" s="1"/>
  <c r="E186" i="1"/>
  <c r="F186" i="1" s="1"/>
  <c r="E276" i="1"/>
  <c r="F276" i="1" s="1"/>
  <c r="E106" i="1"/>
  <c r="E567" i="1"/>
  <c r="F567" i="1" s="1"/>
  <c r="E615" i="1"/>
  <c r="F615" i="1" s="1"/>
  <c r="E614" i="1"/>
  <c r="F614" i="1" s="1"/>
  <c r="E751" i="1"/>
  <c r="F751" i="1" s="1"/>
  <c r="E403" i="1"/>
  <c r="F403" i="1" s="1"/>
  <c r="E530" i="1"/>
  <c r="F530" i="1" s="1"/>
  <c r="E713" i="1"/>
  <c r="F713" i="1" s="1"/>
  <c r="E581" i="1"/>
  <c r="E455" i="1"/>
  <c r="F455" i="1" s="1"/>
  <c r="E189" i="1"/>
  <c r="F189" i="1" s="1"/>
  <c r="E296" i="1"/>
  <c r="F296" i="1" s="1"/>
  <c r="E653" i="1"/>
  <c r="F653" i="1" s="1"/>
  <c r="E245" i="1"/>
  <c r="F245" i="1" s="1"/>
  <c r="E624" i="1"/>
  <c r="F624" i="1" s="1"/>
  <c r="E78" i="1"/>
  <c r="F78" i="1" s="1"/>
  <c r="E42" i="1"/>
  <c r="E37" i="1"/>
  <c r="F37" i="1" s="1"/>
  <c r="E41" i="1"/>
  <c r="F41" i="1" s="1"/>
  <c r="E126" i="1"/>
  <c r="F126" i="1" s="1"/>
  <c r="E114" i="1"/>
  <c r="F114" i="1" s="1"/>
  <c r="E27" i="1"/>
  <c r="F27" i="1" s="1"/>
  <c r="E941" i="1"/>
  <c r="F941" i="1" s="1"/>
  <c r="E820" i="1"/>
  <c r="F820" i="1" s="1"/>
  <c r="E819" i="1"/>
  <c r="E818" i="1"/>
  <c r="F818" i="1" s="1"/>
  <c r="E278" i="1"/>
  <c r="F278" i="1" s="1"/>
  <c r="E446" i="1"/>
  <c r="F446" i="1" s="1"/>
  <c r="E817" i="1"/>
  <c r="F817" i="1" s="1"/>
  <c r="E277" i="1"/>
  <c r="F277" i="1" s="1"/>
  <c r="E310" i="1"/>
  <c r="F310" i="1" s="1"/>
  <c r="E600" i="1"/>
  <c r="F600" i="1" s="1"/>
  <c r="E395" i="1"/>
  <c r="E394" i="1"/>
  <c r="F394" i="1" s="1"/>
  <c r="E445" i="1"/>
  <c r="F445" i="1" s="1"/>
  <c r="E514" i="1"/>
  <c r="F514" i="1" s="1"/>
  <c r="E128" i="1"/>
  <c r="F128" i="1" s="1"/>
  <c r="E12" i="1"/>
  <c r="F12" i="1" s="1"/>
  <c r="E250" i="1"/>
  <c r="F250" i="1" s="1"/>
  <c r="E792" i="1"/>
  <c r="F792" i="1" s="1"/>
  <c r="E43" i="1"/>
  <c r="E381" i="1"/>
  <c r="F381" i="1" s="1"/>
  <c r="E46" i="1"/>
  <c r="F46" i="1" s="1"/>
  <c r="E349" i="1"/>
  <c r="F349" i="1" s="1"/>
  <c r="E236" i="1"/>
  <c r="F236" i="1" s="1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F676" i="1" l="1"/>
  <c r="F776" i="1"/>
  <c r="F199" i="1"/>
  <c r="F474" i="1"/>
  <c r="F378" i="1"/>
  <c r="F711" i="1"/>
  <c r="F617" i="1"/>
  <c r="F433" i="1"/>
  <c r="F31" i="1"/>
  <c r="F280" i="1"/>
  <c r="F15" i="1"/>
  <c r="F239" i="1"/>
  <c r="F458" i="1"/>
  <c r="F604" i="1"/>
  <c r="F398" i="1"/>
  <c r="F30" i="1"/>
  <c r="F591" i="1"/>
  <c r="F150" i="1"/>
  <c r="F180" i="1"/>
  <c r="F646" i="1"/>
  <c r="F773" i="1"/>
  <c r="F700" i="1"/>
  <c r="F182" i="1"/>
  <c r="F755" i="1"/>
  <c r="F247" i="1"/>
  <c r="F232" i="1"/>
  <c r="F99" i="1"/>
  <c r="F143" i="1"/>
  <c r="F860" i="1"/>
  <c r="F887" i="1"/>
  <c r="F823" i="1"/>
  <c r="F369" i="1"/>
  <c r="F486" i="1"/>
  <c r="F192" i="1"/>
  <c r="F228" i="1"/>
  <c r="F315" i="1"/>
  <c r="F903" i="1"/>
  <c r="F680" i="1"/>
  <c r="F292" i="1"/>
  <c r="F52" i="1"/>
  <c r="F286" i="1"/>
  <c r="F198" i="1"/>
  <c r="F907" i="1"/>
  <c r="F454" i="1"/>
  <c r="F434" i="1"/>
  <c r="F298" i="1"/>
  <c r="F845" i="1"/>
  <c r="F886" i="1"/>
  <c r="F541" i="1"/>
  <c r="F2" i="1"/>
  <c r="F380" i="1"/>
  <c r="F775" i="1"/>
  <c r="F260" i="1"/>
  <c r="F59" i="1"/>
  <c r="F384" i="1"/>
  <c r="F627" i="1"/>
  <c r="F308" i="1"/>
  <c r="F109" i="1"/>
  <c r="F136" i="1"/>
  <c r="F95" i="1"/>
  <c r="F413" i="1"/>
  <c r="F744" i="1"/>
  <c r="F383" i="1"/>
  <c r="F451" i="1"/>
  <c r="F899" i="1"/>
  <c r="F5" i="1"/>
  <c r="F221" i="1"/>
  <c r="F265" i="1"/>
  <c r="F846" i="1"/>
  <c r="F796" i="1"/>
  <c r="F661" i="1"/>
  <c r="F946" i="1"/>
  <c r="F431" i="1"/>
  <c r="F466" i="1"/>
  <c r="F402" i="1"/>
  <c r="F219" i="1"/>
  <c r="F423" i="1"/>
  <c r="F924" i="1"/>
  <c r="F692" i="1"/>
  <c r="F320" i="1"/>
  <c r="F833" i="1"/>
  <c r="F489" i="1"/>
  <c r="F741" i="1"/>
  <c r="F930" i="1"/>
  <c r="F774" i="1"/>
  <c r="F669" i="1"/>
  <c r="F746" i="1"/>
  <c r="F879" i="1"/>
  <c r="F321" i="1"/>
  <c r="F788" i="1"/>
  <c r="F67" i="1"/>
  <c r="F499" i="1"/>
  <c r="F777" i="1"/>
  <c r="F279" i="1"/>
  <c r="F691" i="1"/>
  <c r="F914" i="1"/>
  <c r="F200" i="1"/>
  <c r="F83" i="1"/>
  <c r="F519" i="1"/>
  <c r="F63" i="1"/>
  <c r="F354" i="1"/>
  <c r="F368" i="1"/>
  <c r="F826" i="1"/>
  <c r="F894" i="1"/>
  <c r="F389" i="1"/>
  <c r="F28" i="1"/>
  <c r="F13" i="1"/>
  <c r="F164" i="1"/>
  <c r="F508" i="1"/>
  <c r="F517" i="1"/>
  <c r="F390" i="1"/>
  <c r="F215" i="1"/>
  <c r="F386" i="1"/>
  <c r="F105" i="1"/>
  <c r="D1" i="1"/>
  <c r="F216" i="1"/>
  <c r="F888" i="1"/>
  <c r="F312" i="1"/>
  <c r="F130" i="1"/>
  <c r="F515" i="1"/>
  <c r="F559" i="1"/>
  <c r="F747" i="1"/>
  <c r="F412" i="1"/>
  <c r="F523" i="1"/>
  <c r="F843" i="1"/>
  <c r="F479" i="1"/>
  <c r="F468" i="1"/>
  <c r="F283" i="1"/>
  <c r="F821" i="1"/>
  <c r="F6" i="1"/>
  <c r="F80" i="1"/>
  <c r="F335" i="1"/>
  <c r="F225" i="1"/>
  <c r="F290" i="1"/>
  <c r="F453" i="1"/>
  <c r="F583" i="1"/>
  <c r="F919" i="1"/>
  <c r="F97" i="1"/>
  <c r="F141" i="1"/>
  <c r="F726" i="1"/>
  <c r="F731" i="1"/>
  <c r="F806" i="1"/>
  <c r="F76" i="1"/>
  <c r="F484" i="1"/>
  <c r="F539" i="1"/>
  <c r="F169" i="1"/>
  <c r="F560" i="1"/>
  <c r="F268" i="1"/>
  <c r="F174" i="1"/>
  <c r="F498" i="1"/>
  <c r="F459" i="1"/>
  <c r="F284" i="1"/>
  <c r="F594" i="1"/>
  <c r="F404" i="1"/>
  <c r="F480" i="1"/>
  <c r="F62" i="1"/>
  <c r="F437" i="1"/>
  <c r="F635" i="1"/>
  <c r="F211" i="1"/>
  <c r="F640" i="1"/>
  <c r="F850" i="1"/>
  <c r="F88" i="1"/>
  <c r="F652" i="1"/>
  <c r="F599" i="1"/>
  <c r="F622" i="1"/>
  <c r="F465" i="1"/>
  <c r="F34" i="1"/>
  <c r="F623" i="1"/>
  <c r="F472" i="1"/>
  <c r="F719" i="1"/>
  <c r="F341" i="1"/>
  <c r="F134" i="1"/>
  <c r="F51" i="1"/>
  <c r="F124" i="1"/>
  <c r="F648" i="1"/>
  <c r="F65" i="1"/>
  <c r="F701" i="1"/>
  <c r="F490" i="1"/>
  <c r="F21" i="1"/>
  <c r="F118" i="1"/>
  <c r="F488" i="1"/>
  <c r="F399" i="1"/>
  <c r="F82" i="1"/>
  <c r="F947" i="1"/>
  <c r="F352" i="1"/>
  <c r="F584" i="1"/>
  <c r="F905" i="1"/>
  <c r="F421" i="1"/>
  <c r="F699" i="1"/>
  <c r="F885" i="1"/>
  <c r="F325" i="1"/>
  <c r="F831" i="1"/>
  <c r="F738" i="1"/>
  <c r="F749" i="1"/>
  <c r="F814" i="1"/>
  <c r="F827" i="1"/>
  <c r="F929" i="1"/>
  <c r="F737" i="1"/>
  <c r="F703" i="1"/>
  <c r="F19" i="1"/>
  <c r="F14" i="1"/>
  <c r="E1" i="1"/>
  <c r="F864" i="1"/>
  <c r="F443" i="1"/>
  <c r="F493" i="1"/>
  <c r="F117" i="1"/>
  <c r="F634" i="1"/>
  <c r="F110" i="1"/>
  <c r="F606" i="1"/>
  <c r="F307" i="1"/>
  <c r="F596" i="1"/>
  <c r="F410" i="1"/>
  <c r="F553" i="1"/>
  <c r="F495" i="1"/>
  <c r="F273" i="1"/>
  <c r="F8" i="1"/>
  <c r="F375" i="1"/>
  <c r="F425" i="1"/>
  <c r="F96" i="1"/>
  <c r="F462" i="1"/>
  <c r="F516" i="1"/>
  <c r="F373" i="1"/>
  <c r="F779" i="1"/>
  <c r="F765" i="1"/>
  <c r="F205" i="1"/>
  <c r="F305" i="1"/>
  <c r="F678" i="1"/>
  <c r="F610" i="1"/>
  <c r="F233" i="1"/>
  <c r="F100" i="1"/>
  <c r="F144" i="1"/>
  <c r="F191" i="1"/>
  <c r="F940" i="1"/>
  <c r="F710" i="1"/>
  <c r="F264" i="1"/>
  <c r="F752" i="1"/>
  <c r="F851" i="1"/>
  <c r="F576" i="1"/>
  <c r="F316" i="1"/>
  <c r="F238" i="1"/>
  <c r="F438" i="1"/>
  <c r="F679" i="1"/>
  <c r="F53" i="1"/>
  <c r="F287" i="1"/>
  <c r="F896" i="1"/>
  <c r="F839" i="1"/>
  <c r="F844" i="1"/>
  <c r="F235" i="1"/>
  <c r="F261" i="1"/>
  <c r="F590" i="1"/>
  <c r="F11" i="1"/>
  <c r="F769" i="1"/>
  <c r="F54" i="1"/>
  <c r="F579" i="1"/>
  <c r="F629" i="1"/>
  <c r="F243" i="1"/>
  <c r="F156" i="1"/>
  <c r="F183" i="1"/>
  <c r="F785" i="1"/>
  <c r="F350" i="1"/>
  <c r="F754" i="1"/>
  <c r="F69" i="1"/>
  <c r="F525" i="1"/>
  <c r="F430" i="1"/>
  <c r="F675" i="1"/>
  <c r="F358" i="1"/>
  <c r="F148" i="1"/>
  <c r="F448" i="1"/>
  <c r="F70" i="1"/>
  <c r="F797" i="1"/>
  <c r="F612" i="1"/>
  <c r="F318" i="1"/>
  <c r="F357" i="1"/>
  <c r="F674" i="1"/>
  <c r="F873" i="1"/>
  <c r="F365" i="1"/>
  <c r="F248" i="1"/>
  <c r="F304" i="1"/>
  <c r="F683" i="1"/>
  <c r="F159" i="1"/>
  <c r="F3" i="1"/>
  <c r="F47" i="1"/>
  <c r="F303" i="1"/>
  <c r="F729" i="1"/>
  <c r="F761" i="1"/>
  <c r="F756" i="1"/>
  <c r="F770" i="1"/>
  <c r="F928" i="1"/>
  <c r="F712" i="1"/>
  <c r="F902" i="1"/>
  <c r="F842" i="1"/>
  <c r="F43" i="1"/>
  <c r="F395" i="1"/>
  <c r="F819" i="1"/>
  <c r="F42" i="1"/>
  <c r="F581" i="1"/>
  <c r="F106" i="1"/>
  <c r="F852" i="1"/>
  <c r="F328" i="1"/>
  <c r="F649" i="1"/>
  <c r="F644" i="1"/>
  <c r="F605" i="1"/>
  <c r="F720" i="1"/>
  <c r="F810" i="1"/>
  <c r="F84" i="1"/>
  <c r="F704" i="1"/>
  <c r="F915" i="1"/>
  <c r="F916" i="1"/>
  <c r="F132" i="1"/>
  <c r="F520" i="1"/>
  <c r="F780" i="1"/>
  <c r="F766" i="1"/>
  <c r="F492" i="1"/>
  <c r="F294" i="1"/>
  <c r="F203" i="1"/>
  <c r="F190" i="1"/>
  <c r="F891" i="1"/>
  <c r="F816" i="1"/>
  <c r="F121" i="1"/>
  <c r="F509" i="1"/>
  <c r="F10" i="1"/>
  <c r="F416" i="1"/>
  <c r="F855" i="1"/>
  <c r="F682" i="1"/>
  <c r="F799" i="1"/>
  <c r="F925" i="1"/>
  <c r="F442" i="1"/>
  <c r="F932" i="1"/>
  <c r="F858" i="1"/>
  <c r="F370" i="1"/>
  <c r="F944" i="1"/>
  <c r="F340" i="1"/>
  <c r="F244" i="1"/>
  <c r="F457" i="1"/>
  <c r="F658" i="1"/>
  <c r="F526" i="1"/>
  <c r="F469" i="1"/>
  <c r="F784" i="1"/>
  <c r="F811" i="1"/>
  <c r="F179" i="1"/>
  <c r="F475" i="1"/>
  <c r="F231" i="1"/>
  <c r="F102" i="1"/>
  <c r="F815" i="1"/>
  <c r="F555" i="1"/>
  <c r="F45" i="1"/>
  <c r="F920" i="1"/>
  <c r="F98" i="1"/>
  <c r="F142" i="1"/>
  <c r="F909" i="1"/>
  <c r="F743" i="1"/>
  <c r="F822" i="1"/>
  <c r="F923" i="1"/>
  <c r="F485" i="1"/>
  <c r="F875" i="1"/>
  <c r="F170" i="1"/>
  <c r="F783" i="1"/>
  <c r="F800" i="1"/>
  <c r="F176" i="1"/>
  <c r="F210" i="1"/>
  <c r="F196" i="1"/>
  <c r="F285" i="1"/>
  <c r="F246" i="1"/>
  <c r="F405" i="1"/>
  <c r="F230" i="1"/>
  <c r="F138" i="1"/>
  <c r="F306" i="1"/>
  <c r="F639" i="1"/>
  <c r="F690" i="1"/>
  <c r="F880" i="1"/>
  <c r="F79" i="1"/>
  <c r="F564" i="1"/>
  <c r="F647" i="1"/>
  <c r="F892" i="1"/>
  <c r="F686" i="1"/>
  <c r="F677" i="1"/>
  <c r="F23" i="1"/>
  <c r="F220" i="1"/>
  <c r="F772" i="1"/>
  <c r="F115" i="1"/>
  <c r="F184" i="1"/>
  <c r="F32" i="1"/>
  <c r="F471" i="1"/>
  <c r="F400" i="1"/>
  <c r="F500" i="1"/>
  <c r="F116" i="1"/>
  <c r="F571" i="1"/>
  <c r="F491" i="1"/>
  <c r="F503" i="1"/>
  <c r="F204" i="1"/>
  <c r="F477" i="1"/>
  <c r="F206" i="1"/>
  <c r="F257" i="1"/>
  <c r="F948" i="1"/>
  <c r="F702" i="1"/>
  <c r="F625" i="1"/>
  <c r="F882" i="1"/>
  <c r="F422" i="1"/>
  <c r="F935" i="1"/>
  <c r="F642" i="1"/>
  <c r="F854" i="1"/>
  <c r="F832" i="1"/>
  <c r="F463" i="1"/>
  <c r="F809" i="1"/>
  <c r="F808" i="1"/>
  <c r="F868" i="1"/>
  <c r="F789" i="1"/>
  <c r="F735" i="1"/>
  <c r="F757" i="1"/>
</calcChain>
</file>

<file path=xl/sharedStrings.xml><?xml version="1.0" encoding="utf-8"?>
<sst xmlns="http://schemas.openxmlformats.org/spreadsheetml/2006/main" count="17470" uniqueCount="2543">
  <si>
    <t>chave</t>
  </si>
  <si>
    <t>scp1</t>
  </si>
  <si>
    <t>scp2</t>
  </si>
  <si>
    <t>89000000000244757000420000658159</t>
  </si>
  <si>
    <t>89000000000237417000420000678208</t>
  </si>
  <si>
    <t>89000000000246424000420000747209</t>
  </si>
  <si>
    <t>89000000000248893000420000477899</t>
  </si>
  <si>
    <t>89000000000244445000450000480539</t>
  </si>
  <si>
    <t>89000000000244417000420000693689</t>
  </si>
  <si>
    <t>89000000000242021000420000751232</t>
  </si>
  <si>
    <t>89000000000248139000420000474735</t>
  </si>
  <si>
    <t>89000000000236893000420000739549</t>
  </si>
  <si>
    <t>89000000000244209000420000673843</t>
  </si>
  <si>
    <t>89000000000245978000450000685201</t>
  </si>
  <si>
    <t>89000000005108833000510000519498</t>
  </si>
  <si>
    <t>89000000000245054000450000474788</t>
  </si>
  <si>
    <t>89000000000226300000420000659907</t>
  </si>
  <si>
    <t>89000000000235249000450000735942</t>
  </si>
  <si>
    <t>89000000000246056000420000729521</t>
  </si>
  <si>
    <t>89000000000249618000420000321896</t>
  </si>
  <si>
    <t>89000000000250622000420000778107</t>
  </si>
  <si>
    <t>89000000000231451000450000599212</t>
  </si>
  <si>
    <t>89000000000226870000420000321896</t>
  </si>
  <si>
    <t>89000000000244968000450000513235</t>
  </si>
  <si>
    <t>89000000000237244000420000599212</t>
  </si>
  <si>
    <t>89000000000237393000420000709714</t>
  </si>
  <si>
    <t>89000000000247933000420000635931</t>
  </si>
  <si>
    <t>89000000000228419000420000690608</t>
  </si>
  <si>
    <t>89000000000244712000450000579367</t>
  </si>
  <si>
    <t>89000000000222385000420000656779</t>
  </si>
  <si>
    <t>89000000000247240000420000478253</t>
  </si>
  <si>
    <t>89000000000231471000420000728721</t>
  </si>
  <si>
    <t>89000000000243403000420000673843</t>
  </si>
  <si>
    <t>89000000000242519000450000470883</t>
  </si>
  <si>
    <t>89000000000248935000450000728759</t>
  </si>
  <si>
    <t>89000000000243171000420000474336</t>
  </si>
  <si>
    <t>89000000000246432000420000747209</t>
  </si>
  <si>
    <t>89000000000222064000420000655540</t>
  </si>
  <si>
    <t>89000000000242022000420000747209</t>
  </si>
  <si>
    <t>89000000000251679000450000481601</t>
  </si>
  <si>
    <t>89000000000246829000420000480428</t>
  </si>
  <si>
    <t>89000000000239627000450000694683</t>
  </si>
  <si>
    <t>89000000000250677000420000778414</t>
  </si>
  <si>
    <t>89000000000245981000420000475666</t>
  </si>
  <si>
    <t>89000000000237778000420000741276</t>
  </si>
  <si>
    <t>89000000000240879000420000477899</t>
  </si>
  <si>
    <t>89000000000244940000420000763217</t>
  </si>
  <si>
    <t>89000000000231812000420000322610</t>
  </si>
  <si>
    <t>89000000000245734000420000475639</t>
  </si>
  <si>
    <t>89000000005111711000510000659304</t>
  </si>
  <si>
    <t>89000000000246050000420000709244</t>
  </si>
  <si>
    <t>89000000000242922000420000660673</t>
  </si>
  <si>
    <t>89000000000246971000420000403495</t>
  </si>
  <si>
    <t>89000000000243977000420000748355</t>
  </si>
  <si>
    <t>89000000000229669000420000658958</t>
  </si>
  <si>
    <t>89000000000247970000420000709344</t>
  </si>
  <si>
    <t>89000000000234019000420000666000</t>
  </si>
  <si>
    <t>89000000000248251000450000769101</t>
  </si>
  <si>
    <t>89000000000228751000420000599212</t>
  </si>
  <si>
    <t>89000000000245298000420000673935</t>
  </si>
  <si>
    <t>89000000000229843000420000564660</t>
  </si>
  <si>
    <t>89000000000244531000420000613968</t>
  </si>
  <si>
    <t>89000000000239629000420000427752</t>
  </si>
  <si>
    <t>89000000000231578000420000109318</t>
  </si>
  <si>
    <t>89000000008046232000530000768922</t>
  </si>
  <si>
    <t>89000000000250666000420000666000</t>
  </si>
  <si>
    <t>89000000000226801000420000620890</t>
  </si>
  <si>
    <t>89000000000248105000420000403495</t>
  </si>
  <si>
    <t>89000000000251011000450000779553</t>
  </si>
  <si>
    <t>89000000000241826000450000750007</t>
  </si>
  <si>
    <t>89000000008046130000530000737662</t>
  </si>
  <si>
    <t>89000000000243707000420000591204</t>
  </si>
  <si>
    <t>89000000000228761000420000563407</t>
  </si>
  <si>
    <t>89000000000244849000420000740057</t>
  </si>
  <si>
    <t>89000000000246548000420000410734</t>
  </si>
  <si>
    <t>89000000000248339000450000765724</t>
  </si>
  <si>
    <t>89000000000247818000420000323361</t>
  </si>
  <si>
    <t>89000000000235913000420000683673</t>
  </si>
  <si>
    <t>89000000000237292000420000620890</t>
  </si>
  <si>
    <t>89000000000248311000420000321896</t>
  </si>
  <si>
    <t>89000000000240503000420000705999</t>
  </si>
  <si>
    <t>89000000000245723000420000476912</t>
  </si>
  <si>
    <t>89000000000233239000420000425938</t>
  </si>
  <si>
    <t>89000000000251596000450000474788</t>
  </si>
  <si>
    <t>89000000000228646000450000471908</t>
  </si>
  <si>
    <t>89000000000251522000420000729521</t>
  </si>
  <si>
    <t>89000000000247812000450000657699</t>
  </si>
  <si>
    <t>89000000000248048000420000771911</t>
  </si>
  <si>
    <t>89000000000249072000420000729568</t>
  </si>
  <si>
    <t>89000000000242726000450000480764</t>
  </si>
  <si>
    <t>89000000000247001000420000741648</t>
  </si>
  <si>
    <t>89000000000251583000450000781835</t>
  </si>
  <si>
    <t>89000000000242988000450000765625</t>
  </si>
  <si>
    <t>89000000000246720000420000742599</t>
  </si>
  <si>
    <t>89000000000248104000420000321896</t>
  </si>
  <si>
    <t>89000000000239984000450000651716</t>
  </si>
  <si>
    <t>89000000000232183000450000599212</t>
  </si>
  <si>
    <t>89000000000241536000420000660673</t>
  </si>
  <si>
    <t>89000000005111681000510000753233</t>
  </si>
  <si>
    <t>89000000000248306000420000474735</t>
  </si>
  <si>
    <t>89000000000246802000420000748671</t>
  </si>
  <si>
    <t>89000000000245195000420000100840</t>
  </si>
  <si>
    <t>89000000000236436000420000642729</t>
  </si>
  <si>
    <t>89000000000247219000420000479718</t>
  </si>
  <si>
    <t>89000000000249167000420000738750</t>
  </si>
  <si>
    <t>89000000000247111000420000678089</t>
  </si>
  <si>
    <t>89000000000250623000420000778107</t>
  </si>
  <si>
    <t>89000000000247971000420000673677</t>
  </si>
  <si>
    <t>89000000000237291000420000620890</t>
  </si>
  <si>
    <t>89000000000247865000420000321896</t>
  </si>
  <si>
    <t>89000000000223731000420000701006</t>
  </si>
  <si>
    <t>89000000000228400000420000480431</t>
  </si>
  <si>
    <t>89000000000247436000420000455041</t>
  </si>
  <si>
    <t>89000000000237766000450000741124</t>
  </si>
  <si>
    <t>89000000000246662000450000474788</t>
  </si>
  <si>
    <t>89000000000221101000420000515640</t>
  </si>
  <si>
    <t>89000000000250998000420000776278</t>
  </si>
  <si>
    <t>89000000000241604000420000726995</t>
  </si>
  <si>
    <t>89000000000250891000450000773025</t>
  </si>
  <si>
    <t>89000000000226656000420000425938</t>
  </si>
  <si>
    <t>89000000000236098000420000738326</t>
  </si>
  <si>
    <t>89000000000248882000420000324453</t>
  </si>
  <si>
    <t>89000000000244259000450000758820</t>
  </si>
  <si>
    <t>89000000000225310000420000408655</t>
  </si>
  <si>
    <t>89000000000248851000420000635931</t>
  </si>
  <si>
    <t>89000000000244470000420000752476</t>
  </si>
  <si>
    <t>89000000000239417000420000777685</t>
  </si>
  <si>
    <t>89000000000251410000420000662976</t>
  </si>
  <si>
    <t>89000000000244736000450000728250</t>
  </si>
  <si>
    <t>89000000000244786000420000426446</t>
  </si>
  <si>
    <t>89000000000244278000420000737588</t>
  </si>
  <si>
    <t>89000000000238044000420000665274</t>
  </si>
  <si>
    <t>89000000000247813000450000769101</t>
  </si>
  <si>
    <t>89000000008047123000530000737662</t>
  </si>
  <si>
    <t>89000000000239612000420000474307</t>
  </si>
  <si>
    <t>89000000000249109000420000726023</t>
  </si>
  <si>
    <t>89000000000248340000450000765724</t>
  </si>
  <si>
    <t>89000000000244444000420000322385</t>
  </si>
  <si>
    <t>89000000000250403000420000597845</t>
  </si>
  <si>
    <t>89000000000231829000420000322610</t>
  </si>
  <si>
    <t>89000000000224886000420000673677</t>
  </si>
  <si>
    <t>89000000000248890000420000675475</t>
  </si>
  <si>
    <t>89000000008047033000530000323749</t>
  </si>
  <si>
    <t>89000000008045534000530000770448</t>
  </si>
  <si>
    <t>89000000000240037000420000745424</t>
  </si>
  <si>
    <t>89000000000248571000420000690736</t>
  </si>
  <si>
    <t>89000000000249331000420000774659</t>
  </si>
  <si>
    <t>89000000000234613000420000463755</t>
  </si>
  <si>
    <t>89000000000227668000420000620890</t>
  </si>
  <si>
    <t>89000000000240530000420000741276</t>
  </si>
  <si>
    <t>89000000000248875000420000666000</t>
  </si>
  <si>
    <t>89000000000241968000420000482661</t>
  </si>
  <si>
    <t>89000000000251350000450000482829</t>
  </si>
  <si>
    <t>89000000000244761000420000658159</t>
  </si>
  <si>
    <t>89000000005105881000510000738955</t>
  </si>
  <si>
    <t>89000000000237293000420000620890</t>
  </si>
  <si>
    <t>89000000000245000000420000673843</t>
  </si>
  <si>
    <t>89000000000233132000420000426801</t>
  </si>
  <si>
    <t>89000000000248310000420000321896</t>
  </si>
  <si>
    <t>89000000000250662000420000778628</t>
  </si>
  <si>
    <t>89000000000235343000450000599212</t>
  </si>
  <si>
    <t>89000000000226949000450000599212</t>
  </si>
  <si>
    <t>89000000000248865000420000740900</t>
  </si>
  <si>
    <t>89000000000248806000420000769527</t>
  </si>
  <si>
    <t>89000000000251561000420000772600</t>
  </si>
  <si>
    <t>89000000000241711000420000577193</t>
  </si>
  <si>
    <t>89000000000236251000420000665274</t>
  </si>
  <si>
    <t>89000000000244296000420000762814</t>
  </si>
  <si>
    <t>89000000000251203000450000742718</t>
  </si>
  <si>
    <t>89000000000233130000420000426801</t>
  </si>
  <si>
    <t>89000000000243068000420000679505</t>
  </si>
  <si>
    <t>89000000000246514000420000731701</t>
  </si>
  <si>
    <t>89000000000244126000420000326936</t>
  </si>
  <si>
    <t>89000000000233131000420000426801</t>
  </si>
  <si>
    <t>89000000000244737000450000763782</t>
  </si>
  <si>
    <t>89000000000248786000450000774106</t>
  </si>
  <si>
    <t>89000000000237967000420000470883</t>
  </si>
  <si>
    <t>89000000000245062000450000474788</t>
  </si>
  <si>
    <t>89000000008043991000530000627457</t>
  </si>
  <si>
    <t>89000000005117994000510000464952</t>
  </si>
  <si>
    <t>89000000000236276000420000531961</t>
  </si>
  <si>
    <t>89000000000244613000420000673935</t>
  </si>
  <si>
    <t>89000000000248753000420000104205</t>
  </si>
  <si>
    <t>89000000000222824000420000688408</t>
  </si>
  <si>
    <t>89000000000247825000420000703032</t>
  </si>
  <si>
    <t>89000000000237590000420000473000</t>
  </si>
  <si>
    <t>89000000000233485000450000464952</t>
  </si>
  <si>
    <t>89000000000241226000450000481355</t>
  </si>
  <si>
    <t>89000000000236081000420000422249</t>
  </si>
  <si>
    <t>89000000000246491000420000759522</t>
  </si>
  <si>
    <t>89000000005103485000510000419251</t>
  </si>
  <si>
    <t>89000000000233196000420000731701</t>
  </si>
  <si>
    <t>89000000000233535000420000572690</t>
  </si>
  <si>
    <t>89000000000245527000420000658159</t>
  </si>
  <si>
    <t>89000000000235719000420000426446</t>
  </si>
  <si>
    <t>89000000000250840000450000656519</t>
  </si>
  <si>
    <t>89000000000245425000420000104205</t>
  </si>
  <si>
    <t>89000000000238587000450000694683</t>
  </si>
  <si>
    <t>89000000000245559000450000764958</t>
  </si>
  <si>
    <t>89000000000241391000420000748355</t>
  </si>
  <si>
    <t>89000000000251600000450000474788</t>
  </si>
  <si>
    <t>89000000000242891000420000474623</t>
  </si>
  <si>
    <t>89000000000245524000420000658159</t>
  </si>
  <si>
    <t>89000000000248056000420000415323</t>
  </si>
  <si>
    <t>89000000000247966000420000772323</t>
  </si>
  <si>
    <t>89000000000242299000420000572690</t>
  </si>
  <si>
    <t>89000000000250450000420000775371</t>
  </si>
  <si>
    <t>89000000000250327000420000610405</t>
  </si>
  <si>
    <t>89000000000244926000450000764632</t>
  </si>
  <si>
    <t>89000000008043978000530000659304</t>
  </si>
  <si>
    <t>89000000000235609000450000599212</t>
  </si>
  <si>
    <t>89000000000225309000420000699772</t>
  </si>
  <si>
    <t>89000000000250410000420000321896</t>
  </si>
  <si>
    <t>89000000000216667000420000532622</t>
  </si>
  <si>
    <t>89000000000225717000420000697701</t>
  </si>
  <si>
    <t>89000000000250324000420000678208</t>
  </si>
  <si>
    <t>89000000008043783000530000748671</t>
  </si>
  <si>
    <t>89000000000245344000450000579367</t>
  </si>
  <si>
    <t>89000000000239289000420000702302</t>
  </si>
  <si>
    <t>89000000000251597000450000474788</t>
  </si>
  <si>
    <t>89000000000231513000420000427267</t>
  </si>
  <si>
    <t>89000000000222491000450000692226</t>
  </si>
  <si>
    <t>89000000000248877000420000736512</t>
  </si>
  <si>
    <t>89000000000230038000450000656519</t>
  </si>
  <si>
    <t>89000000000248045000420000658159</t>
  </si>
  <si>
    <t>89000000000221821000420000656779</t>
  </si>
  <si>
    <t>89000000000245053000450000474788</t>
  </si>
  <si>
    <t>89000000000247320000420000734344</t>
  </si>
  <si>
    <t>89000000000247130000420000658159</t>
  </si>
  <si>
    <t>89000000000245297000420000673935</t>
  </si>
  <si>
    <t>89000000000249241000420000703372</t>
  </si>
  <si>
    <t>89000000000232625000420000419251</t>
  </si>
  <si>
    <t>89000000000248906000420000421902</t>
  </si>
  <si>
    <t>89000000000248839000450000769101</t>
  </si>
  <si>
    <t>89000000000230762000450000599212</t>
  </si>
  <si>
    <t>89000000000247428000450000750374</t>
  </si>
  <si>
    <t>89000000000226281000420000201143</t>
  </si>
  <si>
    <t>89000000000241844000420000731271</t>
  </si>
  <si>
    <t>89000000000248961000420000626733</t>
  </si>
  <si>
    <t>89000000000222946000420000688408</t>
  </si>
  <si>
    <t>89000000000237269000420000740298</t>
  </si>
  <si>
    <t>89000000000251948000420000513110</t>
  </si>
  <si>
    <t>89000000008045381000530000678089</t>
  </si>
  <si>
    <t>89000000000250257000420000572690</t>
  </si>
  <si>
    <t>89000000000233216000420000426801</t>
  </si>
  <si>
    <t>89000000000239110000420000564660</t>
  </si>
  <si>
    <t>89000000000241581000420000747209</t>
  </si>
  <si>
    <t>89000000008046033000530000763782</t>
  </si>
  <si>
    <t>89000000000222560000420000572087</t>
  </si>
  <si>
    <t>89000000000236695000420000474553</t>
  </si>
  <si>
    <t>89000000008044578000530000673836</t>
  </si>
  <si>
    <t>89000000000231315000420000599212</t>
  </si>
  <si>
    <t>89000000000237288000420000620890</t>
  </si>
  <si>
    <t>89000000000245337000420000409991</t>
  </si>
  <si>
    <t>89000000000246300000420000323361</t>
  </si>
  <si>
    <t>89000000000245380000420000422249</t>
  </si>
  <si>
    <t>89000000000241565000420000481601</t>
  </si>
  <si>
    <t>89000000000246936000450000767629</t>
  </si>
  <si>
    <t>89000000000248417000420000321896</t>
  </si>
  <si>
    <t>89000000000248116000420000321896</t>
  </si>
  <si>
    <t>89000000000231496000420000408182</t>
  </si>
  <si>
    <t>89000000000249605000420000702265</t>
  </si>
  <si>
    <t>89000000000244123000450000689774</t>
  </si>
  <si>
    <t>89000000000245605000420000752284</t>
  </si>
  <si>
    <t>89000000000247777000420000740900</t>
  </si>
  <si>
    <t>89000000000234296000420000727328</t>
  </si>
  <si>
    <t>89000000000237168000450000599212</t>
  </si>
  <si>
    <t>89000000000232761000420000407771</t>
  </si>
  <si>
    <t>89000000000249720000450000769101</t>
  </si>
  <si>
    <t>89000000000237060000420000739953</t>
  </si>
  <si>
    <t>89000000000247954000420000321896</t>
  </si>
  <si>
    <t>89000000000250809000450000779233</t>
  </si>
  <si>
    <t>89000000000248922000420000483005</t>
  </si>
  <si>
    <t>89000000000244775000420000481355</t>
  </si>
  <si>
    <t>89000000000240451000420000400955</t>
  </si>
  <si>
    <t>89000000000247433000450000323361</t>
  </si>
  <si>
    <t>89000000000248868000420000740900</t>
  </si>
  <si>
    <t>89000000000227646000420000620890</t>
  </si>
  <si>
    <t>89000000000237544000420000473000</t>
  </si>
  <si>
    <t>89000000000249135000420000678089</t>
  </si>
  <si>
    <t>89000000000242020000420000747209</t>
  </si>
  <si>
    <t>89000000000248887000420000321896</t>
  </si>
  <si>
    <t>89000000000244357000420000758888</t>
  </si>
  <si>
    <t>89000000000246297000450000703092</t>
  </si>
  <si>
    <t>89000000000236399000420000620890</t>
  </si>
  <si>
    <t>89000000000233133000420000426801</t>
  </si>
  <si>
    <t>89000000000230548000420000647903</t>
  </si>
  <si>
    <t>89000000000240105000450000741124</t>
  </si>
  <si>
    <t>89000000000238357000420000742118</t>
  </si>
  <si>
    <t>89000000000220557000420000688408</t>
  </si>
  <si>
    <t>89000000008043496000530000746962</t>
  </si>
  <si>
    <t>89000000000223470000420000572690</t>
  </si>
  <si>
    <t>89000000000240422000420000744784</t>
  </si>
  <si>
    <t>89000000000235611000450000599212</t>
  </si>
  <si>
    <t>89000000000250337000420000475054</t>
  </si>
  <si>
    <t>89000000000226805000420000620890</t>
  </si>
  <si>
    <t>89000000000245142000420000476912</t>
  </si>
  <si>
    <t>89000000000249070000450000478372</t>
  </si>
  <si>
    <t>89000000000226803000420000620890</t>
  </si>
  <si>
    <t>89000000000222384000420000656779</t>
  </si>
  <si>
    <t>89000000000224857000420000584506</t>
  </si>
  <si>
    <t>89000000000240578000420000615225</t>
  </si>
  <si>
    <t>89000000000243307000420000756755</t>
  </si>
  <si>
    <t>89000000000230373000420000641587</t>
  </si>
  <si>
    <t>89000000000251718000420000421902</t>
  </si>
  <si>
    <t>89000000000220959000420000688408</t>
  </si>
  <si>
    <t>89000000000249895000420000321896</t>
  </si>
  <si>
    <t>89000000000245155000450000579367</t>
  </si>
  <si>
    <t>89000000000241583000420000747209</t>
  </si>
  <si>
    <t>89000000000232967000420000104205</t>
  </si>
  <si>
    <t>89000000000248629000420000478253</t>
  </si>
  <si>
    <t>89000000000243554000420000474105</t>
  </si>
  <si>
    <t>89000000000225653000420000599212</t>
  </si>
  <si>
    <t>89000000000226802000420000620890</t>
  </si>
  <si>
    <t>89000000000250422000450000767958</t>
  </si>
  <si>
    <t>89000000000248261000420000753090</t>
  </si>
  <si>
    <t>89000000000240008000420000744782</t>
  </si>
  <si>
    <t>89000000000245194000420000708570</t>
  </si>
  <si>
    <t>89000000000250735000420000419251</t>
  </si>
  <si>
    <t>89000000000243303000420000475715</t>
  </si>
  <si>
    <t>89000000000243445000420000323361</t>
  </si>
  <si>
    <t>89000000000250582000420000104205</t>
  </si>
  <si>
    <t>89000000000248883000420000773712</t>
  </si>
  <si>
    <t>89000000000250480000450000470772</t>
  </si>
  <si>
    <t>89000000000235114000420000632013</t>
  </si>
  <si>
    <t>89000000000249691000450000476117</t>
  </si>
  <si>
    <t>89000000000242695000450000754223</t>
  </si>
  <si>
    <t>89000000000248189000420000483005</t>
  </si>
  <si>
    <t>89000000000237290000420000620890</t>
  </si>
  <si>
    <t>89000000000243798000420000749375</t>
  </si>
  <si>
    <t>89000000000244720000420000474024</t>
  </si>
  <si>
    <t>89000000000244933000450000479718</t>
  </si>
  <si>
    <t>89000000000236595000420000572694</t>
  </si>
  <si>
    <t>89000000000248278000420000681871</t>
  </si>
  <si>
    <t>89000000008043033000530000744194</t>
  </si>
  <si>
    <t>89000000000232776000420000647903</t>
  </si>
  <si>
    <t>89000000000246808000420000599212</t>
  </si>
  <si>
    <t>89000000000226067000420000702029</t>
  </si>
  <si>
    <t>89000000000240735000450000585966</t>
  </si>
  <si>
    <t>89000000000251214000420000678581</t>
  </si>
  <si>
    <t>89000000000245603000420000694045</t>
  </si>
  <si>
    <t>89000000008046656000530000616538</t>
  </si>
  <si>
    <t>89000000000247662000420000481601</t>
  </si>
  <si>
    <t>89000000000246742000450000769101</t>
  </si>
  <si>
    <t>89000000000244758000420000658159</t>
  </si>
  <si>
    <t>89000000000240185000420000641587</t>
  </si>
  <si>
    <t>89000000000238169000450000741738</t>
  </si>
  <si>
    <t>89000000000236612000450000564660</t>
  </si>
  <si>
    <t>89000000000251101000420000673146</t>
  </si>
  <si>
    <t>89000000000250178000420000748355</t>
  </si>
  <si>
    <t>89000000008044909000530000481291</t>
  </si>
  <si>
    <t>89000000000247423000450000476117</t>
  </si>
  <si>
    <t>89000000000235667000420000481601</t>
  </si>
  <si>
    <t>89000000000249573000420000761975</t>
  </si>
  <si>
    <t>89000000000236831000420000652505</t>
  </si>
  <si>
    <t>89000000000246095000450000587303</t>
  </si>
  <si>
    <t>89000000000246004000450000673146</t>
  </si>
  <si>
    <t>89000000000246519000420000731701</t>
  </si>
  <si>
    <t>89000000000239251000420000614718</t>
  </si>
  <si>
    <t>89000000000241586000420000747209</t>
  </si>
  <si>
    <t>89000000000229200000420000659907</t>
  </si>
  <si>
    <t>89000000000237173000420000599212</t>
  </si>
  <si>
    <t>89000000000245379000420000422249</t>
  </si>
  <si>
    <t>89000000000251508000420000777062</t>
  </si>
  <si>
    <t>89000000000239016000420000741648</t>
  </si>
  <si>
    <t>89000000000249706000420000776201</t>
  </si>
  <si>
    <t>89000000000246119000420000481355</t>
  </si>
  <si>
    <t>89000000000222316000420000637589</t>
  </si>
  <si>
    <t>89000000000245658000420000104205</t>
  </si>
  <si>
    <t>89000000000240160000450000745649</t>
  </si>
  <si>
    <t>89000000000247471000420000770877</t>
  </si>
  <si>
    <t>89000000000249645000420000773025</t>
  </si>
  <si>
    <t>89000000000227983000420000599212</t>
  </si>
  <si>
    <t>89000000000245725000420000476912</t>
  </si>
  <si>
    <t>89000000000250089000420000321896</t>
  </si>
  <si>
    <t>89000000000243066000420000660673</t>
  </si>
  <si>
    <t>89000000000249117000420000482273</t>
  </si>
  <si>
    <t>89000000000251647000420000421902</t>
  </si>
  <si>
    <t>89000000000246550000420000410734</t>
  </si>
  <si>
    <t>89000000000246130000420000481355</t>
  </si>
  <si>
    <t>89000000000248617000420000321896</t>
  </si>
  <si>
    <t>89000000000248447000420000678089</t>
  </si>
  <si>
    <t>89000000000242408000450000688572</t>
  </si>
  <si>
    <t>89000000005110494000510000730704</t>
  </si>
  <si>
    <t>89000000000248044000420000658159</t>
  </si>
  <si>
    <t>89000000000244772000420000659077</t>
  </si>
  <si>
    <t>89000000000236777000420000480114</t>
  </si>
  <si>
    <t>89000000000244760000420000658159</t>
  </si>
  <si>
    <t>89000000000250050000450000465516</t>
  </si>
  <si>
    <t>89000000000250980000450000769101</t>
  </si>
  <si>
    <t>89000000000238118000420000731701</t>
  </si>
  <si>
    <t>89000000000242184000420000745297</t>
  </si>
  <si>
    <t>89000000000234167000420000729416</t>
  </si>
  <si>
    <t>89000000000246732000420000626733</t>
  </si>
  <si>
    <t>89000000000242206000420000696750</t>
  </si>
  <si>
    <t>89000000000241164000420000660673</t>
  </si>
  <si>
    <t>89000000000246463000420000323361</t>
  </si>
  <si>
    <t>89000000000241725000420000729416</t>
  </si>
  <si>
    <t>89000000000234402000450000480276</t>
  </si>
  <si>
    <t>89000000000249538000420000483005</t>
  </si>
  <si>
    <t>89000000000245669000420000668743</t>
  </si>
  <si>
    <t>89000000000242492000420000660673</t>
  </si>
  <si>
    <t>89000000000249719000450000769101</t>
  </si>
  <si>
    <t>89000000000233496000450000599212</t>
  </si>
  <si>
    <t>89000000000241526000420000667246</t>
  </si>
  <si>
    <t>89000000000242359000420000481355</t>
  </si>
  <si>
    <t>89000000000249880000420000635931</t>
  </si>
  <si>
    <t>89000000000247940000420000415323</t>
  </si>
  <si>
    <t>89000000000222210000420000406521</t>
  </si>
  <si>
    <t>89000000000246302000420000105548</t>
  </si>
  <si>
    <t>89000000000243180000450000591204</t>
  </si>
  <si>
    <t>89000000000235653000420000652505</t>
  </si>
  <si>
    <t>89000000000226395000420000683673</t>
  </si>
  <si>
    <t>89000000000246902000450000769505</t>
  </si>
  <si>
    <t>89000000000247329000420000759297</t>
  </si>
  <si>
    <t>89000000000247117000420000748355</t>
  </si>
  <si>
    <t>89000000000247878000420000751907</t>
  </si>
  <si>
    <t>89000000000251066000420000474307</t>
  </si>
  <si>
    <t>89000000000220438000420000690115</t>
  </si>
  <si>
    <t>89000000000244762000420000658159</t>
  </si>
  <si>
    <t>89000000000245300000420000673935</t>
  </si>
  <si>
    <t>89000000000248495000420000707604</t>
  </si>
  <si>
    <t>89000000000248955000420000321896</t>
  </si>
  <si>
    <t>89000000000221760000420000656779</t>
  </si>
  <si>
    <t>89000000000232021000420000482273</t>
  </si>
  <si>
    <t>89000000000248928000420000483005</t>
  </si>
  <si>
    <t>89000000000246218000420000767958</t>
  </si>
  <si>
    <t>89000000000242982000420000400955</t>
  </si>
  <si>
    <t>89000000000251773000450000779553</t>
  </si>
  <si>
    <t>89000000000232369000420000322610</t>
  </si>
  <si>
    <t>89000000000226468000450000656519</t>
  </si>
  <si>
    <t>89000000000236199000420000666000</t>
  </si>
  <si>
    <t>89000000000245538000420000478494</t>
  </si>
  <si>
    <t>89000000000233627000450000681360</t>
  </si>
  <si>
    <t>89000000000238233000450000463964</t>
  </si>
  <si>
    <t>89000000000233134000420000426801</t>
  </si>
  <si>
    <t>89000000000249361000450000675475</t>
  </si>
  <si>
    <t>89000000000248771000420000677934</t>
  </si>
  <si>
    <t>89000000000222823000420000688408</t>
  </si>
  <si>
    <t>89000000000227667000420000620890</t>
  </si>
  <si>
    <t>89000000000237594000420000577193</t>
  </si>
  <si>
    <t>89000000000240830000420000665274</t>
  </si>
  <si>
    <t>89000000000231911000420000729049</t>
  </si>
  <si>
    <t>89000000000247434000420000510278</t>
  </si>
  <si>
    <t>89000000000220615000420000688408</t>
  </si>
  <si>
    <t>89000000000229871000450000712994</t>
  </si>
  <si>
    <t>89000000000249647000420000664413</t>
  </si>
  <si>
    <t>89000000000233767000420000632143</t>
  </si>
  <si>
    <t>89000000000233871000420000733368</t>
  </si>
  <si>
    <t>89000000000250790000420000321896</t>
  </si>
  <si>
    <t>89000000000249278000450000473163</t>
  </si>
  <si>
    <t>89000000000244918000420000479269</t>
  </si>
  <si>
    <t>89000000000250750000420000635931</t>
  </si>
  <si>
    <t>89000000000237834000420000707694</t>
  </si>
  <si>
    <t>89000000000233195000420000731701</t>
  </si>
  <si>
    <t>89000000000247077000420000477929</t>
  </si>
  <si>
    <t>89000000000246492000420000759522</t>
  </si>
  <si>
    <t>89000000000251051000420000666000</t>
  </si>
  <si>
    <t>89000000005112968000510000659304</t>
  </si>
  <si>
    <t>89000000000251390000450000480431</t>
  </si>
  <si>
    <t>89000000000248838000450000769101</t>
  </si>
  <si>
    <t>89000000000247080000420000479284</t>
  </si>
  <si>
    <t>89000000000247955000420000690494</t>
  </si>
  <si>
    <t>89000000000245604000420000694045</t>
  </si>
  <si>
    <t>89000000000249240000420000703372</t>
  </si>
  <si>
    <t>89000000000240379000420000426801</t>
  </si>
  <si>
    <t>89000000000221647000420000637589</t>
  </si>
  <si>
    <t>89000000000249574000420000761975</t>
  </si>
  <si>
    <t>89000000000241086000450000747661</t>
  </si>
  <si>
    <t>89000000000244074000450000758820</t>
  </si>
  <si>
    <t>89000000000244780000420000426446</t>
  </si>
  <si>
    <t>89000000000249119000420000482273</t>
  </si>
  <si>
    <t>89000000008045146000530000706755</t>
  </si>
  <si>
    <t>89000000000238656000420000679083</t>
  </si>
  <si>
    <t>89000000000250934000420000564950</t>
  </si>
  <si>
    <t>89000000000231644000420000513235</t>
  </si>
  <si>
    <t>89000000000237198000420000426446</t>
  </si>
  <si>
    <t>89000000000228414000420000581769</t>
  </si>
  <si>
    <t>89000000000228214000420000104205</t>
  </si>
  <si>
    <t>89000000000245695000420000400955</t>
  </si>
  <si>
    <t>89000000000250121000420000455058</t>
  </si>
  <si>
    <t>89000000000242619000450000585966</t>
  </si>
  <si>
    <t>89000000000244234000420000762404</t>
  </si>
  <si>
    <t>89000000000243480000420000629100</t>
  </si>
  <si>
    <t>89000000000224281000420000655462</t>
  </si>
  <si>
    <t>89000000000231449000450000599212</t>
  </si>
  <si>
    <t>89000000000244587000420000478743</t>
  </si>
  <si>
    <t>89000000000248262000420000109318</t>
  </si>
  <si>
    <t>89000000000242900000420000660098</t>
  </si>
  <si>
    <t>89000000000245739000420000682643</t>
  </si>
  <si>
    <t>89000000000251262000420000626733</t>
  </si>
  <si>
    <t>89000000000250373000450000664937</t>
  </si>
  <si>
    <t>89000000005112983000510000109318</t>
  </si>
  <si>
    <t>89000000000241311000420000667195</t>
  </si>
  <si>
    <t>89000000000241588000420000673146</t>
  </si>
  <si>
    <t>89000000000247067000420000651052</t>
  </si>
  <si>
    <t>89000000000247796000420000664413</t>
  </si>
  <si>
    <t>89000000000224698000450000698852</t>
  </si>
  <si>
    <t>89000000000251573000420000781835</t>
  </si>
  <si>
    <t>89000000000228351000420000615225</t>
  </si>
  <si>
    <t>89000000000246731000420000626733</t>
  </si>
  <si>
    <t>89000000000237039000450000729705</t>
  </si>
  <si>
    <t>89000000000249529000420000473308</t>
  </si>
  <si>
    <t>89000000000233054000420000478601</t>
  </si>
  <si>
    <t>89000000000242030000420000750934</t>
  </si>
  <si>
    <t>89000000000248042000420000658159</t>
  </si>
  <si>
    <t>89000000000241780000420000684165</t>
  </si>
  <si>
    <t>89000000000225243000420000107842</t>
  </si>
  <si>
    <t>89000000000244615000420000673935</t>
  </si>
  <si>
    <t>89000000000250092000450000673843</t>
  </si>
  <si>
    <t>89000000000242712000420000696876</t>
  </si>
  <si>
    <t>89000000000244339000450000579367</t>
  </si>
  <si>
    <t>89000000000238545000420000410734</t>
  </si>
  <si>
    <t>89000000000239270000450000685201</t>
  </si>
  <si>
    <t>89000000000246943000420000477929</t>
  </si>
  <si>
    <t>89000000000248408000420000772241</t>
  </si>
  <si>
    <t>89000000000245052000450000474788</t>
  </si>
  <si>
    <t>89000000000242917000420000614718</t>
  </si>
  <si>
    <t>89000000000246049000420000709244</t>
  </si>
  <si>
    <t>89000000000247066000420000478494</t>
  </si>
  <si>
    <t>89000000000236495000420000612527</t>
  </si>
  <si>
    <t>89000000000240115000420000426801</t>
  </si>
  <si>
    <t>89000000000246120000420000481355</t>
  </si>
  <si>
    <t>89000000000249943000420000771887</t>
  </si>
  <si>
    <t>89000000000251448000450000480347</t>
  </si>
  <si>
    <t>89000000000250399000450000703859</t>
  </si>
  <si>
    <t>89000000000242564000420000482829</t>
  </si>
  <si>
    <t>89000000000248043000420000658159</t>
  </si>
  <si>
    <t>89000000000246810000420000477929</t>
  </si>
  <si>
    <t>89000000000222286000420000656779</t>
  </si>
  <si>
    <t>89000000000226800000420000620890</t>
  </si>
  <si>
    <t>89000000000248308000420000474735</t>
  </si>
  <si>
    <t>89000000000245181000450000474788</t>
  </si>
  <si>
    <t>89000000000223094000420000572087</t>
  </si>
  <si>
    <t>89000000000235342000450000599212</t>
  </si>
  <si>
    <t>89000000000246517000420000731701</t>
  </si>
  <si>
    <t>89000000000244789000450000323361</t>
  </si>
  <si>
    <t>89000000000228346000420000615225</t>
  </si>
  <si>
    <t>89000000000251400000420000780387</t>
  </si>
  <si>
    <t>89000000000249726000420000475666</t>
  </si>
  <si>
    <t>89000000000248027000420000483005</t>
  </si>
  <si>
    <t>89000000008041979000530000599212</t>
  </si>
  <si>
    <t>89000000000250368000450000767958</t>
  </si>
  <si>
    <t>89000000000250826000420000698219</t>
  </si>
  <si>
    <t>89000000008045930000530000728933</t>
  </si>
  <si>
    <t>89000000000246660000450000474788</t>
  </si>
  <si>
    <t>89000000000229439000420000572690</t>
  </si>
  <si>
    <t>89000000000246524000420000688653</t>
  </si>
  <si>
    <t>89000000000232066000420000482273</t>
  </si>
  <si>
    <t>89000000000247783000420000477899</t>
  </si>
  <si>
    <t>89000000000227670000420000620890</t>
  </si>
  <si>
    <t>89000000000241641000420000517763</t>
  </si>
  <si>
    <t>89000000000226375000450000695757</t>
  </si>
  <si>
    <t>89000000000249118000420000482273</t>
  </si>
  <si>
    <t>89000000000247717000420000651052</t>
  </si>
  <si>
    <t>89000000000243291000420000756788</t>
  </si>
  <si>
    <t>89000000000245335000420000684672</t>
  </si>
  <si>
    <t>89000000000230784000420000673838</t>
  </si>
  <si>
    <t>89000000000244586000420000478743</t>
  </si>
  <si>
    <t>89000000000248756000420000654819</t>
  </si>
  <si>
    <t>89000000000244924000450000480248</t>
  </si>
  <si>
    <t>89000000000240174000420000641587</t>
  </si>
  <si>
    <t>89000000000230704000420000694045</t>
  </si>
  <si>
    <t>89000000000227887000420000599212</t>
  </si>
  <si>
    <t>89000000000247239000420000478253</t>
  </si>
  <si>
    <t>89000000000242958000420000702029</t>
  </si>
  <si>
    <t>89000000000241486000420000730704</t>
  </si>
  <si>
    <t>89000000000237365000420000740158</t>
  </si>
  <si>
    <t>89000000000251019000420000658159</t>
  </si>
  <si>
    <t>89000000000235921000420000422249</t>
  </si>
  <si>
    <t>89000000000237214000420000640795</t>
  </si>
  <si>
    <t>89000000000249097000450000640795</t>
  </si>
  <si>
    <t>89000000008046190000530000464430</t>
  </si>
  <si>
    <t>89000000000250345000420000477391</t>
  </si>
  <si>
    <t>89000000000250318000420000696182</t>
  </si>
  <si>
    <t>89000000000246518000420000731701</t>
  </si>
  <si>
    <t>89000000000234069000450000517280</t>
  </si>
  <si>
    <t>89000000008045944000530000760847</t>
  </si>
  <si>
    <t>89000000000251108000450000653278</t>
  </si>
  <si>
    <t>89000000000249730000420000325557</t>
  </si>
  <si>
    <t>89000000000235405000420000635931</t>
  </si>
  <si>
    <t>89000000000248388000420000772600</t>
  </si>
  <si>
    <t>89000000000244721000420000474024</t>
  </si>
  <si>
    <t>89000000000251585000450000642729</t>
  </si>
  <si>
    <t>89000000000246415000420000758888</t>
  </si>
  <si>
    <t>89000000000233118000420000480431</t>
  </si>
  <si>
    <t>89000000000246661000450000474788</t>
  </si>
  <si>
    <t>89000000000225860000420000323345</t>
  </si>
  <si>
    <t>89000000000249564000420000584506</t>
  </si>
  <si>
    <t>89000000000246740000450000769101</t>
  </si>
  <si>
    <t>89000000000235789000420000467096</t>
  </si>
  <si>
    <t>89000000000228145000420000482273</t>
  </si>
  <si>
    <t>89000000000247134000420000658159</t>
  </si>
  <si>
    <t>89000000000242413000420000326968</t>
  </si>
  <si>
    <t>89000000000230306000450000478258</t>
  </si>
  <si>
    <t>89000000000220134000420000688408</t>
  </si>
  <si>
    <t>89000000000236494000450000737662</t>
  </si>
  <si>
    <t>89000000000242775000450000754223</t>
  </si>
  <si>
    <t>89000000000248290000420000771911</t>
  </si>
  <si>
    <t>89000000000250351000420000474735</t>
  </si>
  <si>
    <t>89000000000246570000420000588088</t>
  </si>
  <si>
    <t>89000000008047036000530000729521</t>
  </si>
  <si>
    <t>89000000000239060000420000410734</t>
  </si>
  <si>
    <t>89000000000251022000420000658159</t>
  </si>
  <si>
    <t>89000000000241751000420000665274</t>
  </si>
  <si>
    <t>89000000000245672000420000743794</t>
  </si>
  <si>
    <t>89000000008046280000530000730704</t>
  </si>
  <si>
    <t>89000000000230572000420000649591</t>
  </si>
  <si>
    <t>89000000000241698000420000747209</t>
  </si>
  <si>
    <t>89000000008045746000530000668649</t>
  </si>
  <si>
    <t>89000000000233495000420000478069</t>
  </si>
  <si>
    <t>89000000000241717000420000749702</t>
  </si>
  <si>
    <t>89000000000245011000420000657604</t>
  </si>
  <si>
    <t>89000000000239473000420000667246</t>
  </si>
  <si>
    <t>89000000000248731000420000684165</t>
  </si>
  <si>
    <t>89000000000244519000420000763454</t>
  </si>
  <si>
    <t>89000000000247615000420000767555</t>
  </si>
  <si>
    <t>89000000000247003000420000684406</t>
  </si>
  <si>
    <t>89000000000248656000420000422249</t>
  </si>
  <si>
    <t>89000000000241263000420000593171</t>
  </si>
  <si>
    <t>89000000000250477000420000419251</t>
  </si>
  <si>
    <t>89000000000249410000450000703703</t>
  </si>
  <si>
    <t>89000000000237294000420000620890</t>
  </si>
  <si>
    <t>89000000000236418000450000678071</t>
  </si>
  <si>
    <t>89000000000251598000450000474788</t>
  </si>
  <si>
    <t>89000000000241521000450000585395</t>
  </si>
  <si>
    <t>89000000000247801000420000323361</t>
  </si>
  <si>
    <t>89000000000251193000450000481355</t>
  </si>
  <si>
    <t>89000000000250021000420000478743</t>
  </si>
  <si>
    <t>89000000000244562000420000678089</t>
  </si>
  <si>
    <t>89000000000247316000420000323361</t>
  </si>
  <si>
    <t>89000000000240136000420000426801</t>
  </si>
  <si>
    <t>89000000000242722000420000426446</t>
  </si>
  <si>
    <t>89000000000246818000420000635931</t>
  </si>
  <si>
    <t>89000000005112972000510000515111</t>
  </si>
  <si>
    <t>89000000000241142000420000647903</t>
  </si>
  <si>
    <t>89000000000230637000420000480114</t>
  </si>
  <si>
    <t>89000000000251378000420000321896</t>
  </si>
  <si>
    <t>89000000000251319000420000780475</t>
  </si>
  <si>
    <t>89000000000250728000450000474788</t>
  </si>
  <si>
    <t>89000000000245857000420000767045</t>
  </si>
  <si>
    <t>89000000000249688000420000735942</t>
  </si>
  <si>
    <t>89000000000249884000420000686286</t>
  </si>
  <si>
    <t>89000000000246179000420000767934</t>
  </si>
  <si>
    <t>89000000000238828000420000704425</t>
  </si>
  <si>
    <t>89000000000251280000420000780075</t>
  </si>
  <si>
    <t>89000000000227337000420000694212</t>
  </si>
  <si>
    <t>89000000008043505000530000746962</t>
  </si>
  <si>
    <t>89000000000251386000450000673843</t>
  </si>
  <si>
    <t>89000000000241584000420000747209</t>
  </si>
  <si>
    <t>89000000000238187000420000320845</t>
  </si>
  <si>
    <t>89000000000244846000450000763782</t>
  </si>
  <si>
    <t>89000000000250238000420000642166</t>
  </si>
  <si>
    <t>89000000000223389000420000695941</t>
  </si>
  <si>
    <t>89000000000251021000420000658159</t>
  </si>
  <si>
    <t>89000000000248046000420000658159</t>
  </si>
  <si>
    <t>89000000000244180000420000572694</t>
  </si>
  <si>
    <t>89000000000249581000450000706510</t>
  </si>
  <si>
    <t>89000000000235610000450000599212</t>
  </si>
  <si>
    <t>89000000008040651000530000668863</t>
  </si>
  <si>
    <t>89000000000222382000420000656779</t>
  </si>
  <si>
    <t>89000000000225725000420000700416</t>
  </si>
  <si>
    <t>89000000005112287000510000766098</t>
  </si>
  <si>
    <t>89000000000244921000450000639630</t>
  </si>
  <si>
    <t>89000000000239838000450000692603</t>
  </si>
  <si>
    <t>89000000000236461000420000612527</t>
  </si>
  <si>
    <t>89000000000246478000420000323361</t>
  </si>
  <si>
    <t>89000000000241184000420000615225</t>
  </si>
  <si>
    <t>89000000000249788000420000322610</t>
  </si>
  <si>
    <t>89000000000248051000420000771911</t>
  </si>
  <si>
    <t>89000000000247380000420000473308</t>
  </si>
  <si>
    <t>89000000000249591000450000687669</t>
  </si>
  <si>
    <t>89000000000237245000420000599212</t>
  </si>
  <si>
    <t>89000000000241484000420000748563</t>
  </si>
  <si>
    <t>89000000000244718000420000474024</t>
  </si>
  <si>
    <t>89000000000239921000420000464430</t>
  </si>
  <si>
    <t>89000000000246520000420000731701</t>
  </si>
  <si>
    <t>89000000000233398000450000599212</t>
  </si>
  <si>
    <t>89000000000248683000450000675475</t>
  </si>
  <si>
    <t>89000000000250054000420000769797</t>
  </si>
  <si>
    <t>89000000000250440000450000767958</t>
  </si>
  <si>
    <t>89000000000244719000420000474024</t>
  </si>
  <si>
    <t>89000000000245499000420000481601</t>
  </si>
  <si>
    <t>89000000000240135000420000426801</t>
  </si>
  <si>
    <t>89000000000248257000420000477899</t>
  </si>
  <si>
    <t>89000000000244899000450000754223</t>
  </si>
  <si>
    <t>89000000000250224000420000661554</t>
  </si>
  <si>
    <t>89000000000242370000420000632013</t>
  </si>
  <si>
    <t>89000000000232904000420000482480</t>
  </si>
  <si>
    <t>89000000000250536000420000730704</t>
  </si>
  <si>
    <t>89000000000237973000450000599212</t>
  </si>
  <si>
    <t>89000000000234525000420000427752</t>
  </si>
  <si>
    <t>89000000000243951000420000761102</t>
  </si>
  <si>
    <t>89000000000233128000420000426801</t>
  </si>
  <si>
    <t>89000000000249948000450000776899</t>
  </si>
  <si>
    <t>89000000000235822000420000518881</t>
  </si>
  <si>
    <t>89000000000251388000420000683673</t>
  </si>
  <si>
    <t>89000000000233588000420000731701</t>
  </si>
  <si>
    <t>89000000000240138000420000482751</t>
  </si>
  <si>
    <t>89000000000248113000420000321896</t>
  </si>
  <si>
    <t>89000000000243305000420000475715</t>
  </si>
  <si>
    <t>89000000000241081000420000410734</t>
  </si>
  <si>
    <t>89000000000247928000420000738750</t>
  </si>
  <si>
    <t>89000000000241986000420000739540</t>
  </si>
  <si>
    <t>89000000000246216000420000592822</t>
  </si>
  <si>
    <t>89000000000243304000420000475715</t>
  </si>
  <si>
    <t>89000000000248386000420000763857</t>
  </si>
  <si>
    <t>89000000000245281000420000741648</t>
  </si>
  <si>
    <t>89000000000223799000420000691486</t>
  </si>
  <si>
    <t>89000000000233129000420000426801</t>
  </si>
  <si>
    <t>89000000000247337000420000770448</t>
  </si>
  <si>
    <t>89000000000245782000420000761975</t>
  </si>
  <si>
    <t>89000000000250726000420000321896</t>
  </si>
  <si>
    <t>89000000000245330000420000765682</t>
  </si>
  <si>
    <t>89000000000249343000420000762809</t>
  </si>
  <si>
    <t>89000000000237289000420000620890</t>
  </si>
  <si>
    <t>89000000000250072000420000478949</t>
  </si>
  <si>
    <t>89000000000233587000420000731701</t>
  </si>
  <si>
    <t>89000000000243515000420000688572</t>
  </si>
  <si>
    <t>89000000000248835000420000738750</t>
  </si>
  <si>
    <t>89000000000247496000420000597845</t>
  </si>
  <si>
    <t>89000000000248717000450000767958</t>
  </si>
  <si>
    <t>89000000000244119000420000323361</t>
  </si>
  <si>
    <t>89000000000246263000450000656961</t>
  </si>
  <si>
    <t>89000000008046214000530000687302</t>
  </si>
  <si>
    <t>89000000000233198000420000731701</t>
  </si>
  <si>
    <t>89000000000250402000450000777982</t>
  </si>
  <si>
    <t>89000000000246079000420000475666</t>
  </si>
  <si>
    <t>89000000008046823000530000765724</t>
  </si>
  <si>
    <t>89000000000249707000420000776201</t>
  </si>
  <si>
    <t>89000000000244665000420000738750</t>
  </si>
  <si>
    <t>89000000000242270000420000748246</t>
  </si>
  <si>
    <t>89000000000229598000420000515640</t>
  </si>
  <si>
    <t>89000000000248146000450000737662</t>
  </si>
  <si>
    <t>89000000000246699000420000419251</t>
  </si>
  <si>
    <t>89000000000248313000420000674810</t>
  </si>
  <si>
    <t>89000000000227370000420000650440</t>
  </si>
  <si>
    <t>89000000000231540000450000577934</t>
  </si>
  <si>
    <t>89000000000251356000420000476355</t>
  </si>
  <si>
    <t>89000000000249862000420000740900</t>
  </si>
  <si>
    <t>89000000000244614000420000673935</t>
  </si>
  <si>
    <t>89000000000237296000420000620890</t>
  </si>
  <si>
    <t>89000000000241666000420000694045</t>
  </si>
  <si>
    <t>89000000000247289000450000323361</t>
  </si>
  <si>
    <t>89000000000242878000420000660673</t>
  </si>
  <si>
    <t>89000000000242655000420000753489</t>
  </si>
  <si>
    <t>89000000000246513000420000731701</t>
  </si>
  <si>
    <t>89000000000238398000420000400955</t>
  </si>
  <si>
    <t>89000000008044516000530000475666</t>
  </si>
  <si>
    <t>89000000000251248000450000474024</t>
  </si>
  <si>
    <t>89000000000244030000420000682643</t>
  </si>
  <si>
    <t>89000000000226567000450000599212</t>
  </si>
  <si>
    <t>89000000000246462000420000323361</t>
  </si>
  <si>
    <t>89000000000242612000420000660673</t>
  </si>
  <si>
    <t>89000000000245157000420000728250</t>
  </si>
  <si>
    <t>89000000000234038000420000480951</t>
  </si>
  <si>
    <t>89000000000229361000450000470321</t>
  </si>
  <si>
    <t>89000000000245607000420000761975</t>
  </si>
  <si>
    <t>89000000000247646000450000474788</t>
  </si>
  <si>
    <t>89000000000241949000420000593171</t>
  </si>
  <si>
    <t>89000000000242449000420000752721</t>
  </si>
  <si>
    <t>89000000000241527000420000748671</t>
  </si>
  <si>
    <t>89000000008045150000530000466041</t>
  </si>
  <si>
    <t>89000000000247318000450000408182</t>
  </si>
  <si>
    <t>89000000000249717000420000321896</t>
  </si>
  <si>
    <t>89000000008044769000530000753233</t>
  </si>
  <si>
    <t>89000000005109053000510000466079</t>
  </si>
  <si>
    <t>89000000000247492000420000770877</t>
  </si>
  <si>
    <t>89000000000250794000420000776278</t>
  </si>
  <si>
    <t>89000000000250510000420000774861</t>
  </si>
  <si>
    <t>89000000000248049000420000771911</t>
  </si>
  <si>
    <t>89000000000251354000420000775843</t>
  </si>
  <si>
    <t>89000000000237194000420000736237</t>
  </si>
  <si>
    <t>89000000000244427000450000575344</t>
  </si>
  <si>
    <t>89000000000241726000420000729416</t>
  </si>
  <si>
    <t>89000000000237080000420000666000</t>
  </si>
  <si>
    <t>89000000008046299000530000776733</t>
  </si>
  <si>
    <t>89000000000229036000420000599212</t>
  </si>
  <si>
    <t>89000000000246804000450000324453</t>
  </si>
  <si>
    <t>89000000000251085000420000625264</t>
  </si>
  <si>
    <t>89000000000249536000450000422249</t>
  </si>
  <si>
    <t>89000000000242929000420000742118</t>
  </si>
  <si>
    <t>89000000000225790000450000577934</t>
  </si>
  <si>
    <t>89000000000249784000450000767958</t>
  </si>
  <si>
    <t>89000000000232302000450000599212</t>
  </si>
  <si>
    <t>89000000000248706000420000688634</t>
  </si>
  <si>
    <t>89000000000242007000420000104205</t>
  </si>
  <si>
    <t>89000000000238257000420000410819</t>
  </si>
  <si>
    <t>89000000008043956000530000746962</t>
  </si>
  <si>
    <t>89000000000247751000420000748316</t>
  </si>
  <si>
    <t>89000000000249301000420000763217</t>
  </si>
  <si>
    <t>89000000000231947000420000677696</t>
  </si>
  <si>
    <t>89000000000248867000420000709244</t>
  </si>
  <si>
    <t>89000000008045510000530000763239</t>
  </si>
  <si>
    <t>89000000000242356000420000481355</t>
  </si>
  <si>
    <t>89000000000228146000420000482273</t>
  </si>
  <si>
    <t>89000000000231450000450000599212</t>
  </si>
  <si>
    <t>89000000000248057000420000738339</t>
  </si>
  <si>
    <t>89000000000231492000450000656519</t>
  </si>
  <si>
    <t>89000000000245204000420000765262</t>
  </si>
  <si>
    <t>89000000000250268000420000679002</t>
  </si>
  <si>
    <t>89000000000249606000420000775937</t>
  </si>
  <si>
    <t>89000000000248898000420000673146</t>
  </si>
  <si>
    <t>89000000000246769000420000323361</t>
  </si>
  <si>
    <t>89000000000232614000420000482480</t>
  </si>
  <si>
    <t>89000000000244792000450000738410</t>
  </si>
  <si>
    <t>89000000000240823000420000666000</t>
  </si>
  <si>
    <t>89000000000250538000420000658159</t>
  </si>
  <si>
    <t>89000000000245730000420000729568</t>
  </si>
  <si>
    <t>89000000000236407000420000426801</t>
  </si>
  <si>
    <t>89000000000243979000420000655540</t>
  </si>
  <si>
    <t>89000000008046254000530000679505</t>
  </si>
  <si>
    <t>89000000000230783000420000673838</t>
  </si>
  <si>
    <t>89000000000238188000420000320845</t>
  </si>
  <si>
    <t>89000000000233197000420000731701</t>
  </si>
  <si>
    <t>89000000000245018000450000661222</t>
  </si>
  <si>
    <t>89000000000226951000450000599212</t>
  </si>
  <si>
    <t>89000000005112444000510000664937</t>
  </si>
  <si>
    <t>89000000000246481000450000730704</t>
  </si>
  <si>
    <t>89000000000247037000450000705943</t>
  </si>
  <si>
    <t>89000000000246557000420000481753</t>
  </si>
  <si>
    <t>89000000000237591000420000473000</t>
  </si>
  <si>
    <t>89000000000226343000450000701206</t>
  </si>
  <si>
    <t>89000000000245989000420000726908</t>
  </si>
  <si>
    <t>89000000000248846000420000774159</t>
  </si>
  <si>
    <t>89000000000249902000420000480148</t>
  </si>
  <si>
    <t>89000000000250152000420000471695</t>
  </si>
  <si>
    <t>89000000000244468000420000479269</t>
  </si>
  <si>
    <t>89000000000246932000450000738410</t>
  </si>
  <si>
    <t>89000000000239719000420000572690</t>
  </si>
  <si>
    <t>89000000000245299000420000673935</t>
  </si>
  <si>
    <t>89000000000244580000420000763735</t>
  </si>
  <si>
    <t>89000000000249886000420000774866</t>
  </si>
  <si>
    <t>89000000000227666000420000620890</t>
  </si>
  <si>
    <t>89000000000239411000420000698219</t>
  </si>
  <si>
    <t>89000000000242521000420000704425</t>
  </si>
  <si>
    <t>89000000000239945000420000666000</t>
  </si>
  <si>
    <t>89000000000245627000420000726023</t>
  </si>
  <si>
    <t>89000000000249315000420000684406</t>
  </si>
  <si>
    <t>89000000000250008000420000726908</t>
  </si>
  <si>
    <t>89000000000242421000420000737588</t>
  </si>
  <si>
    <t>89000000000249517000420000709244</t>
  </si>
  <si>
    <t>89000000008045246000530000768922</t>
  </si>
  <si>
    <t>89000000000242683000450000685201</t>
  </si>
  <si>
    <t>89000000000244917000420000740057</t>
  </si>
  <si>
    <t>89000000000244467000420000508088</t>
  </si>
  <si>
    <t>89000000000249986000420000703092</t>
  </si>
  <si>
    <t>89000000000228045000420000479718</t>
  </si>
  <si>
    <t>89000000000244934000450000479718</t>
  </si>
  <si>
    <t>89000000000242086000420000581769</t>
  </si>
  <si>
    <t>89000000000241338000420000477899</t>
  </si>
  <si>
    <t>89000000000222287000420000656779</t>
  </si>
  <si>
    <t>89000000000249388000420000700994</t>
  </si>
  <si>
    <t>89000000000222628000420000694212</t>
  </si>
  <si>
    <t>89000000000241739000420000427267</t>
  </si>
  <si>
    <t>89000000000248309000420000322385</t>
  </si>
  <si>
    <t>89000000000237170000450000599212</t>
  </si>
  <si>
    <t>89000000008046853000530000768922</t>
  </si>
  <si>
    <t>89000000000245374000420000321765</t>
  </si>
  <si>
    <t>89000000000241697000420000747209</t>
  </si>
  <si>
    <t>89000000000237310000420000599212</t>
  </si>
  <si>
    <t>89000000000248681000420000684406</t>
  </si>
  <si>
    <t>89000000000241696000420000747209</t>
  </si>
  <si>
    <t>89000000000237968000420000104205</t>
  </si>
  <si>
    <t>89000000000240971000420000703092</t>
  </si>
  <si>
    <t>89000000000245141000420000476912</t>
  </si>
  <si>
    <t>89000000000248929000450000774609</t>
  </si>
  <si>
    <t>89000000000239290000420000702302</t>
  </si>
  <si>
    <t>89000000000244677000420000695746</t>
  </si>
  <si>
    <t>89000000008044279000530000737662</t>
  </si>
  <si>
    <t>89000000000235723000450000737662</t>
  </si>
  <si>
    <t>89000000000242381000420000732409</t>
  </si>
  <si>
    <t>89000000008042332000530000742089</t>
  </si>
  <si>
    <t>89000000000242309000420000475869</t>
  </si>
  <si>
    <t>89000000000232310000420000422249</t>
  </si>
  <si>
    <t>89000000000250346000420000684672</t>
  </si>
  <si>
    <t>89000000000244563000420000426446</t>
  </si>
  <si>
    <t>89000000000229977000420000572690</t>
  </si>
  <si>
    <t>89000000000249835000420000744140</t>
  </si>
  <si>
    <t>89000000008045119000530000763782</t>
  </si>
  <si>
    <t>89000000000251052000420000666000</t>
  </si>
  <si>
    <t>89000000000236408000420000426801</t>
  </si>
  <si>
    <t>89000000000246125000420000481355</t>
  </si>
  <si>
    <t>89000000000222383000420000656779</t>
  </si>
  <si>
    <t>89000000000226804000420000620890</t>
  </si>
  <si>
    <t>89000000000220136000420000688408</t>
  </si>
  <si>
    <t>89000000008046615000530000665653</t>
  </si>
  <si>
    <t>89000000000241585000420000747209</t>
  </si>
  <si>
    <t>89000000000227269000420000615225</t>
  </si>
  <si>
    <t>89000000000249495000420000321896</t>
  </si>
  <si>
    <t>89000000000246962000420000321896</t>
  </si>
  <si>
    <t>89000000000243269000420000696876</t>
  </si>
  <si>
    <t>89000000000230857000420000649591</t>
  </si>
  <si>
    <t>89000000000237230000450000599212</t>
  </si>
  <si>
    <t>89000000000241152000420000742118</t>
  </si>
  <si>
    <t>89000000000244050000450000426446</t>
  </si>
  <si>
    <t>89000000000249807000420000749194</t>
  </si>
  <si>
    <t>89000000000249264000420000774659</t>
  </si>
  <si>
    <t>89000000000246157000420000731455</t>
  </si>
  <si>
    <t>89000000000247047000420000744412</t>
  </si>
  <si>
    <t>89000000008047037000530000729521</t>
  </si>
  <si>
    <t>89000000000227669000420000620890</t>
  </si>
  <si>
    <t>89000000000225718000420000697701</t>
  </si>
  <si>
    <t>89000000000220119000420000514177</t>
  </si>
  <si>
    <t>89000000000248050000420000771911</t>
  </si>
  <si>
    <t>89000000000239250000420000614718</t>
  </si>
  <si>
    <t>89000000000248201000420000321896</t>
  </si>
  <si>
    <t>89000000000250539000420000673677</t>
  </si>
  <si>
    <t>89000000000241587000420000747209</t>
  </si>
  <si>
    <t>89000000000245700000420000738955</t>
  </si>
  <si>
    <t>89000000000231619000420000645784</t>
  </si>
  <si>
    <t>89000000000243610000420000474105</t>
  </si>
  <si>
    <t>89000000000247002000420000684406</t>
  </si>
  <si>
    <t>89000000000247610000450000769101</t>
  </si>
  <si>
    <t>89000000000233953000420000400955</t>
  </si>
  <si>
    <t>89000000000248627000420000478253</t>
  </si>
  <si>
    <t>89000000000248811000420000684672</t>
  </si>
  <si>
    <t>89000000000245754000420000649591</t>
  </si>
  <si>
    <t>89000000000251599000450000474788</t>
  </si>
  <si>
    <t>89000000000241457000450000596634</t>
  </si>
  <si>
    <t>89000000000241595000420000426446</t>
  </si>
  <si>
    <t>89000000000232368000420000322610</t>
  </si>
  <si>
    <t>89000000000237786000420000477391</t>
  </si>
  <si>
    <t>89000000000237295000420000620890</t>
  </si>
  <si>
    <t>89000000000251013000420000658159</t>
  </si>
  <si>
    <t>89000000000231479000450000728759</t>
  </si>
  <si>
    <t>89000000000245301000420000673935</t>
  </si>
  <si>
    <t>89000000000247685000420000681871</t>
  </si>
  <si>
    <t>89000000000240296000420000476082</t>
  </si>
  <si>
    <t>89000000000242916000420000614718</t>
  </si>
  <si>
    <t>89000000000233498000450000599212</t>
  </si>
  <si>
    <t>89000000000246927000420000426446</t>
  </si>
  <si>
    <t>89000000000248115000420000321896</t>
  </si>
  <si>
    <t>89000000000249098000420000726023</t>
  </si>
  <si>
    <t>89000000000251883000420000106178</t>
  </si>
  <si>
    <t>89000000000222752000420000668649</t>
  </si>
  <si>
    <t>89000000000244734000420000474024</t>
  </si>
  <si>
    <t>89000000000239396000420000481601</t>
  </si>
  <si>
    <t>89000000000238112000420000731701</t>
  </si>
  <si>
    <t>89000000000244223000420000673843</t>
  </si>
  <si>
    <t>89000000000213179000420000532622</t>
  </si>
  <si>
    <t>89000000000250475000420000477391</t>
  </si>
  <si>
    <t>89000000000242118000420000467180</t>
  </si>
  <si>
    <t>89000000000250256000420000777053</t>
  </si>
  <si>
    <t>89000000000232744000420000709011</t>
  </si>
  <si>
    <t>89000000000251015000450000768037</t>
  </si>
  <si>
    <t>89000000000223496000420000323345</t>
  </si>
  <si>
    <t>89000000000223911000420000686286</t>
  </si>
  <si>
    <t>89000000000235903000420000642729</t>
  </si>
  <si>
    <t>89000000000242583000420000422249</t>
  </si>
  <si>
    <t>89000000000242358000420000481355</t>
  </si>
  <si>
    <t>INSTRMNT_ID</t>
  </si>
  <si>
    <t>PRTCTN_ID</t>
  </si>
  <si>
    <t>TYP_VHCL</t>
  </si>
  <si>
    <t>DT_INCPTN</t>
  </si>
  <si>
    <t>IDCMB</t>
  </si>
  <si>
    <t>TYP_PRTCTN</t>
  </si>
  <si>
    <t>TYP_RLTN</t>
  </si>
  <si>
    <t>SCOPE_USED</t>
  </si>
  <si>
    <t>CALCULATION_APPROACH_LOC</t>
  </si>
  <si>
    <t>SOURCE_EMISSION_LOC</t>
  </si>
  <si>
    <t>DATA_QUALITY_SCORE_LOC</t>
  </si>
  <si>
    <t>GHG_FINANCED_EMISSIONS</t>
  </si>
  <si>
    <t>M_0000_00000248887_000000000000002</t>
  </si>
  <si>
    <t>VEH16</t>
  </si>
  <si>
    <t>2024-05-15</t>
  </si>
  <si>
    <t>CONT1;HFS2;B01;MC02;PR0302;ACPF6;SC0303;STAG1;SUBO2;DEFA2;FORB2;SSC3;PURP6;COLL4;TYVA01;FVAD3</t>
  </si>
  <si>
    <t>51</t>
  </si>
  <si>
    <t>REL01</t>
  </si>
  <si>
    <t>SCOPE_1</t>
  </si>
  <si>
    <t>CAAP4</t>
  </si>
  <si>
    <t>SOUR2</t>
  </si>
  <si>
    <t>DQS4</t>
  </si>
  <si>
    <t>M_0000_00000248887_000000000000001</t>
  </si>
  <si>
    <t>M_0000_00000249098_000000000000001</t>
  </si>
  <si>
    <t>VEH05</t>
  </si>
  <si>
    <t>2024-07-01</t>
  </si>
  <si>
    <t>CONT1;HFS2;B01;MC02;PR0302;ACPF6;SC0303;STAG1;SUBO2;DEFA2;FORB2;SSC4;PURP6;COLL4;TYVA01;FVAD3</t>
  </si>
  <si>
    <t>M_0000_00000245700_000000000000001</t>
  </si>
  <si>
    <t>2024-03-01</t>
  </si>
  <si>
    <t>CONT1;HFS2;B01;MC02;PR0302;ACPF6;SC0303;STAG2;POCI2;SUBO2;DEFA2;FORB2;SSC4;PURP6;COLL4;TYVA01;FVAD3</t>
  </si>
  <si>
    <t>M_0000_00000247812_000000000000001</t>
  </si>
  <si>
    <t>VEH01</t>
  </si>
  <si>
    <t>2024-01-15</t>
  </si>
  <si>
    <t>M_0000_00000243610_000000000000001</t>
  </si>
  <si>
    <t>2022-05-15</t>
  </si>
  <si>
    <t>M_0000_00000243554_000000000000001</t>
  </si>
  <si>
    <t>M_0000_00000251011_000000000000001</t>
  </si>
  <si>
    <t>VEH04</t>
  </si>
  <si>
    <t>2025-02-15</t>
  </si>
  <si>
    <t>M_0000_00005112287_000000000000001</t>
  </si>
  <si>
    <t>2023-06-15</t>
  </si>
  <si>
    <t>M_0000_00000235114_000000000000001</t>
  </si>
  <si>
    <t>2020-07-15</t>
  </si>
  <si>
    <t>M_0000_00000235114_000000000000003</t>
  </si>
  <si>
    <t>M_0000_00000235114_000000000000005</t>
  </si>
  <si>
    <t>M_0000_00000235114_000000000000002</t>
  </si>
  <si>
    <t>M_0000_00000245730_000000000000001</t>
  </si>
  <si>
    <t>2023-06-01</t>
  </si>
  <si>
    <t>M_0000_00000251883_000000000000001</t>
  </si>
  <si>
    <t>2025-06-26</t>
  </si>
  <si>
    <t>M_0000_00000251378_000000000000002</t>
  </si>
  <si>
    <t>2025-05-13</t>
  </si>
  <si>
    <t>M_0000_00000251378_000000000000004</t>
  </si>
  <si>
    <t>M_0000_00000251378_000000000000001</t>
  </si>
  <si>
    <t>M_0000_00000251378_000000000000003</t>
  </si>
  <si>
    <t>M_0000_00000251021_000000000000001</t>
  </si>
  <si>
    <t>2025-04-16</t>
  </si>
  <si>
    <t>M_0000_00000251019_000000000000001</t>
  </si>
  <si>
    <t>M_0000_00000251022_000000000000001</t>
  </si>
  <si>
    <t>M_0000_00000251013_000000000000001</t>
  </si>
  <si>
    <t>M_0000_00000250790_000000000000004</t>
  </si>
  <si>
    <t>2025-02-01</t>
  </si>
  <si>
    <t>M_0000_00000250726_000000000000001</t>
  </si>
  <si>
    <t>M_0000_00000250790_000000000000003</t>
  </si>
  <si>
    <t>M_0000_00000250790_000000000000002</t>
  </si>
  <si>
    <t>M_0000_00000250790_000000000000001</t>
  </si>
  <si>
    <t>M_0000_00000251214_000000000000002</t>
  </si>
  <si>
    <t>2025-05-30</t>
  </si>
  <si>
    <t>M_0000_00000251214_000000000000001</t>
  </si>
  <si>
    <t>M_0000_00000251718_000000000000001</t>
  </si>
  <si>
    <t>2025-06-05</t>
  </si>
  <si>
    <t>M_0000_00000251388_000000000000002</t>
  </si>
  <si>
    <t>2025-06-18</t>
  </si>
  <si>
    <t>M_0000_00000251388_000000000000001</t>
  </si>
  <si>
    <t>M_0000_00000251647_000000000000001</t>
  </si>
  <si>
    <t>2025-06-17</t>
  </si>
  <si>
    <t>M_0000_00000250538_000000000000001</t>
  </si>
  <si>
    <t>2024-12-15</t>
  </si>
  <si>
    <t>M_0000_00000251051_000000000000001</t>
  </si>
  <si>
    <t>M_0000_00000251052_000000000000001</t>
  </si>
  <si>
    <t>M_0000_00000249895_000000000000001</t>
  </si>
  <si>
    <t>2024-10-01</t>
  </si>
  <si>
    <t>M_0000_00000249895_000000000000002</t>
  </si>
  <si>
    <t>M_0000_00000250662_000000000000001</t>
  </si>
  <si>
    <t>2025-04-01</t>
  </si>
  <si>
    <t>M_0000_00000251400_000000000000001</t>
  </si>
  <si>
    <t>2025-04-29</t>
  </si>
  <si>
    <t>M_0000_00000249717_000000000000002</t>
  </si>
  <si>
    <t>2024-11-15</t>
  </si>
  <si>
    <t>M_0000_00000249717_000000000000001</t>
  </si>
  <si>
    <t>M_0000_00000250089_000000000000001</t>
  </si>
  <si>
    <t>2024-11-01</t>
  </si>
  <si>
    <t>M_0000_00000250089_000000000000002</t>
  </si>
  <si>
    <t>M_0000_00000250410_000000000000001</t>
  </si>
  <si>
    <t>M_0000_00000250582_000000000000001</t>
  </si>
  <si>
    <t>M_0000_00000251085_000000000000001</t>
  </si>
  <si>
    <t>2025-03-15</t>
  </si>
  <si>
    <t>M_0000_00000250735_000000000000001</t>
  </si>
  <si>
    <t>2025-03-01</t>
  </si>
  <si>
    <t>M_0000_00000251410_000000000000001</t>
  </si>
  <si>
    <t>2025-04-30</t>
  </si>
  <si>
    <t>M_0000_00000250477_000000000000001</t>
  </si>
  <si>
    <t>M_0000_00000249241_000000000000007</t>
  </si>
  <si>
    <t>2024-09-15</t>
  </si>
  <si>
    <t>M_0000_00000249240_000000000000001</t>
  </si>
  <si>
    <t>M_0000_00000249241_000000000000001</t>
  </si>
  <si>
    <t>M_0000_00000249240_000000000000008</t>
  </si>
  <si>
    <t>M_0000_00000249241_000000000000006</t>
  </si>
  <si>
    <t>M_0000_00000249240_000000000000006</t>
  </si>
  <si>
    <t>M_0000_00000249240_000000000000004</t>
  </si>
  <si>
    <t>M_0000_00000249240_000000000000002</t>
  </si>
  <si>
    <t>M_0000_00000249241_000000000000003</t>
  </si>
  <si>
    <t>M_0000_00000249240_000000000000007</t>
  </si>
  <si>
    <t>M_0000_00000249240_000000000000005</t>
  </si>
  <si>
    <t>M_0000_00000249241_000000000000002</t>
  </si>
  <si>
    <t>M_0000_00000249241_000000000000004</t>
  </si>
  <si>
    <t>M_0000_00000249241_000000000000005</t>
  </si>
  <si>
    <t>M_0000_00000249240_000000000000003</t>
  </si>
  <si>
    <t>M_0000_00000249884_000000000000001</t>
  </si>
  <si>
    <t>2024-10-15</t>
  </si>
  <si>
    <t>M_0000_00000249884_000000000000002</t>
  </si>
  <si>
    <t>M_0000_00000251508_000000000000001</t>
  </si>
  <si>
    <t>2025-05-16</t>
  </si>
  <si>
    <t>M_0000_00000250021_000000000000001</t>
  </si>
  <si>
    <t>2024-12-01</t>
  </si>
  <si>
    <t>M_0000_00000250152_000000000000002</t>
  </si>
  <si>
    <t>M_0000_00000250152_000000000000001</t>
  </si>
  <si>
    <t>M_0000_00000250238_000000000000001</t>
  </si>
  <si>
    <t>2025-01-15</t>
  </si>
  <si>
    <t>M_0000_00000251573_000000000000001</t>
  </si>
  <si>
    <t>2025-05-29</t>
  </si>
  <si>
    <t>M_0000_00000249072_000000000000001</t>
  </si>
  <si>
    <t>M_0000_00000250337_000000000000001</t>
  </si>
  <si>
    <t>M_0000_00000249495_000000000000001</t>
  </si>
  <si>
    <t>2024-08-15</t>
  </si>
  <si>
    <t>M_0000_00000249495_000000000000002</t>
  </si>
  <si>
    <t>M_0000_00000248955_000000000000002</t>
  </si>
  <si>
    <t>M_0000_00000248955_000000000000003</t>
  </si>
  <si>
    <t>M_0000_00000248955_000000000000005</t>
  </si>
  <si>
    <t>M_0000_00000249618_000000000000003</t>
  </si>
  <si>
    <t>M_0000_00000248955_000000000000004</t>
  </si>
  <si>
    <t>M_0000_00000248955_000000000000001</t>
  </si>
  <si>
    <t>M_0000_00000249618_000000000000002</t>
  </si>
  <si>
    <t>M_0000_00000249618_000000000000001</t>
  </si>
  <si>
    <t>M_0000_00000249902_000000000000001</t>
  </si>
  <si>
    <t>M_0000_00000251101_000000000000001</t>
  </si>
  <si>
    <t>M_0000_00000249943_000000000000007</t>
  </si>
  <si>
    <t>M_0000_00000249943_000000000000006</t>
  </si>
  <si>
    <t>M_0000_00000249943_000000000000002</t>
  </si>
  <si>
    <t>M_0000_00000249943_000000000000005</t>
  </si>
  <si>
    <t>M_0000_00000249943_000000000000004</t>
  </si>
  <si>
    <t>M_0000_00000249943_000000000000009</t>
  </si>
  <si>
    <t>M_0000_00000249943_000000000000008</t>
  </si>
  <si>
    <t>M_0000_00000249943_000000000000003</t>
  </si>
  <si>
    <t>M_0000_00000249943_000000000000001</t>
  </si>
  <si>
    <t>M_0000_00000249943_000000000000010</t>
  </si>
  <si>
    <t>M_0000_00000250666_000000000000001</t>
  </si>
  <si>
    <t>M_0000_00000250327_000000000000001</t>
  </si>
  <si>
    <t>M_0000_00000250224_000000000000001</t>
  </si>
  <si>
    <t>M_0000_00000251066_000000000000001</t>
  </si>
  <si>
    <t>M_0000_00000251356_000000000000001</t>
  </si>
  <si>
    <t>2025-05-19</t>
  </si>
  <si>
    <t>M_0000_00000250351_000000000000001</t>
  </si>
  <si>
    <t>VEH03</t>
  </si>
  <si>
    <t>M_0000_00000250794_000000000000001</t>
  </si>
  <si>
    <t>M_0000_00000249647_000000000000001</t>
  </si>
  <si>
    <t>2024-09-01</t>
  </si>
  <si>
    <t>M_0000_00000251561_000000000000001</t>
  </si>
  <si>
    <t>M_0000_00000250998_000000000000001</t>
  </si>
  <si>
    <t>M_0000_00000249605_000000000000001</t>
  </si>
  <si>
    <t>M_0000_00000251262_000000000000001</t>
  </si>
  <si>
    <t>M_0000_00000250623_000000000000001</t>
  </si>
  <si>
    <t>M_0000_00000250622_000000000000001</t>
  </si>
  <si>
    <t>M_0000_00000248113_000000000000001</t>
  </si>
  <si>
    <t>2024-04-01</t>
  </si>
  <si>
    <t>M_0000_00000248417_000000000000001</t>
  </si>
  <si>
    <t>M_0000_00000248104_000000000000002</t>
  </si>
  <si>
    <t>2024-04-15</t>
  </si>
  <si>
    <t>M_0000_00000248115_000000000000005</t>
  </si>
  <si>
    <t>M_0000_00000248104_000000000000004</t>
  </si>
  <si>
    <t>M_0000_00000248104_000000000000003</t>
  </si>
  <si>
    <t>M_0000_00000248115_000000000000004</t>
  </si>
  <si>
    <t>M_0000_00000248115_000000000000002</t>
  </si>
  <si>
    <t>M_0000_00000248115_000000000000003</t>
  </si>
  <si>
    <t>M_0000_00000248056_000000000000001</t>
  </si>
  <si>
    <t>M_0000_00000248115_000000000000001</t>
  </si>
  <si>
    <t>M_0000_00000248104_000000000000001</t>
  </si>
  <si>
    <t>M_0000_00000248104_000000000000005</t>
  </si>
  <si>
    <t>M_0000_00000249517_000000000000002</t>
  </si>
  <si>
    <t>M_0000_00000249517_000000000000004</t>
  </si>
  <si>
    <t>M_0000_00000249517_000000000000001</t>
  </si>
  <si>
    <t>M_0000_00000249517_000000000000003</t>
  </si>
  <si>
    <t>M_0000_00000248617_000000000000001</t>
  </si>
  <si>
    <t>2024-05-01</t>
  </si>
  <si>
    <t>M_0000_00000248617_000000000000002</t>
  </si>
  <si>
    <t>M_0000_00000248617_000000000000003</t>
  </si>
  <si>
    <t>M_0000_00000248311_000000000000001</t>
  </si>
  <si>
    <t>M_0000_00000248311_000000000000005</t>
  </si>
  <si>
    <t>M_0000_00000248311_000000000000007</t>
  </si>
  <si>
    <t>M_0000_00000248311_000000000000004</t>
  </si>
  <si>
    <t>M_0000_00000248311_000000000000002</t>
  </si>
  <si>
    <t>M_0000_00000248311_000000000000008</t>
  </si>
  <si>
    <t>M_0000_00000248310_000000000000005</t>
  </si>
  <si>
    <t>M_0000_00000248310_000000000000004</t>
  </si>
  <si>
    <t>M_0000_00000248310_000000000000002</t>
  </si>
  <si>
    <t>M_0000_00000248311_000000000000003</t>
  </si>
  <si>
    <t>M_0000_00000248310_000000000000006</t>
  </si>
  <si>
    <t>M_0000_00000248311_000000000000010</t>
  </si>
  <si>
    <t>M_0000_00000248310_000000000000001</t>
  </si>
  <si>
    <t>M_0000_00000248311_000000000000006</t>
  </si>
  <si>
    <t>M_0000_00000248310_000000000000003</t>
  </si>
  <si>
    <t>M_0000_00000248311_000000000000009</t>
  </si>
  <si>
    <t>M_0000_00000250345_000000000000001</t>
  </si>
  <si>
    <t>2025-01-01</t>
  </si>
  <si>
    <t>M_0000_00000250475_000000000000001</t>
  </si>
  <si>
    <t>M_0000_00000250346_000000000000003</t>
  </si>
  <si>
    <t>M_0000_00000250346_000000000000001</t>
  </si>
  <si>
    <t>M_0000_00000250346_000000000000002</t>
  </si>
  <si>
    <t>M_0000_00000250750_000000000000001</t>
  </si>
  <si>
    <t>M_0000_00000250324_000000000000001</t>
  </si>
  <si>
    <t>M_0000_00000249807_000000000000001</t>
  </si>
  <si>
    <t>M_0000_00000250008_000000000000001</t>
  </si>
  <si>
    <t>M_0000_00000249862_000000000000001</t>
  </si>
  <si>
    <t>M_0000_00000250539_000000000000001</t>
  </si>
  <si>
    <t>M_0000_00000250268_000000000000001</t>
  </si>
  <si>
    <t>M_0000_00000248890_000000000000001</t>
  </si>
  <si>
    <t>2024-06-15</t>
  </si>
  <si>
    <t>M_0000_00000250403_000000000000001</t>
  </si>
  <si>
    <t>M_0000_00000249730_000000000000001</t>
  </si>
  <si>
    <t>M_0000_00000249706_000000000000001</t>
  </si>
  <si>
    <t>M_0000_00000249707_000000000000001</t>
  </si>
  <si>
    <t>M_0000_00000250934_000000000000001</t>
  </si>
  <si>
    <t>M_0000_00000248806_000000000000001</t>
  </si>
  <si>
    <t>M_0000_00000248105_000000000000001</t>
  </si>
  <si>
    <t>2024-03-15</t>
  </si>
  <si>
    <t>M_0000_00000249688_000000000000001</t>
  </si>
  <si>
    <t>M_0000_00000250256_000000000000001</t>
  </si>
  <si>
    <t>M_0000_00000248877_000000000000001</t>
  </si>
  <si>
    <t>VEH21</t>
  </si>
  <si>
    <t>M_0000_00000249788_000000000000007</t>
  </si>
  <si>
    <t>M_0000_00000249788_000000000000002</t>
  </si>
  <si>
    <t>M_0000_00000249788_000000000000003</t>
  </si>
  <si>
    <t>M_0000_00000249788_000000000000008</t>
  </si>
  <si>
    <t>M_0000_00000249788_000000000000005</t>
  </si>
  <si>
    <t>M_0000_00000249788_000000000000004</t>
  </si>
  <si>
    <t>M_0000_00000249788_000000000000006</t>
  </si>
  <si>
    <t>M_0000_00000249788_000000000000010</t>
  </si>
  <si>
    <t>M_0000_00000249788_000000000000001</t>
  </si>
  <si>
    <t>M_0000_00000249788_000000000000009</t>
  </si>
  <si>
    <t>M_0000_00000246518_000000000000001</t>
  </si>
  <si>
    <t>2023-11-01</t>
  </si>
  <si>
    <t>M_0000_00000246513_000000000000001</t>
  </si>
  <si>
    <t>M_0000_00000246514_000000000000001</t>
  </si>
  <si>
    <t>M_0000_00000246519_000000000000001</t>
  </si>
  <si>
    <t>M_0000_00000246517_000000000000001</t>
  </si>
  <si>
    <t>M_0000_00000246520_000000000000001</t>
  </si>
  <si>
    <t>M_0000_00000248868_000000000000001</t>
  </si>
  <si>
    <t>2024-08-01</t>
  </si>
  <si>
    <t>M_0000_00000250257_000000000000001</t>
  </si>
  <si>
    <t>M_0000_00000250677_000000000000001</t>
  </si>
  <si>
    <t>M_0000_00000250826_000000000000001</t>
  </si>
  <si>
    <t>M_0000_00000248753_000000000000001</t>
  </si>
  <si>
    <t>M_0000_00000249135_000000000000001</t>
  </si>
  <si>
    <t>M_0000_00000250072_000000000000001</t>
  </si>
  <si>
    <t>M_0000_00000248867_000000000000002</t>
  </si>
  <si>
    <t>M_0000_00000248867_000000000000001</t>
  </si>
  <si>
    <t>M_0000_00000248278_000000000000001</t>
  </si>
  <si>
    <t>M_0000_00000251319_000000000000001</t>
  </si>
  <si>
    <t>M_0000_00000249835_000000000000001</t>
  </si>
  <si>
    <t>M_0000_00000249986_000000000000001</t>
  </si>
  <si>
    <t>M_0000_00000248893_000000000000003</t>
  </si>
  <si>
    <t>2024-06-01</t>
  </si>
  <si>
    <t>CONT1;HFS2;B01;MC02;PR0302;ACPF6;SC0303;STAG2;POCI2;SUBO2;DEFA2;FORB2;SSC3;PURP6;COLL4;TYVA01;FVAD3</t>
  </si>
  <si>
    <t>M_0000_00000248893_000000000000004</t>
  </si>
  <si>
    <t>M_0000_00000248893_000000000000006</t>
  </si>
  <si>
    <t>M_0000_00000248893_000000000000005</t>
  </si>
  <si>
    <t>M_0000_00000248893_000000000000001</t>
  </si>
  <si>
    <t>M_0000_00000248893_000000000000002</t>
  </si>
  <si>
    <t>M_0000_00000247865_000000000000001</t>
  </si>
  <si>
    <t>2024-02-15</t>
  </si>
  <si>
    <t>M_0000_00000247865_000000000000002</t>
  </si>
  <si>
    <t>M_0000_00000247954_000000000000001</t>
  </si>
  <si>
    <t>M_0000_00000247954_000000000000003</t>
  </si>
  <si>
    <t>M_0000_00000247954_000000000000002</t>
  </si>
  <si>
    <t>M_0000_00000248201_000000000000001</t>
  </si>
  <si>
    <t>M_0000_00000248201_000000000000002</t>
  </si>
  <si>
    <t>M_0000_00000247940_000000000000002</t>
  </si>
  <si>
    <t>M_0000_00000247940_000000000000004</t>
  </si>
  <si>
    <t>M_0000_00000248116_000000000000001</t>
  </si>
  <si>
    <t>M_0000_00000247940_000000000000001</t>
  </si>
  <si>
    <t>M_0000_00000248116_000000000000005</t>
  </si>
  <si>
    <t>M_0000_00000247940_000000000000003</t>
  </si>
  <si>
    <t>M_0000_00000248116_000000000000002</t>
  </si>
  <si>
    <t>M_0000_00000247940_000000000000005</t>
  </si>
  <si>
    <t>M_0000_00000248116_000000000000004</t>
  </si>
  <si>
    <t>M_0000_00000248116_000000000000003</t>
  </si>
  <si>
    <t>M_0000_00000248706_000000000000001</t>
  </si>
  <si>
    <t>M_0000_00000248906_000000000000001</t>
  </si>
  <si>
    <t>M_0000_00000248309_000000000000004</t>
  </si>
  <si>
    <t>M_0000_00000248309_000000000000002</t>
  </si>
  <si>
    <t>M_0000_00000248309_000000000000005</t>
  </si>
  <si>
    <t>M_0000_00000248309_000000000000008</t>
  </si>
  <si>
    <t>M_0000_00000248309_000000000000001</t>
  </si>
  <si>
    <t>M_0000_00000248309_000000000000007</t>
  </si>
  <si>
    <t>M_0000_00000248309_000000000000003</t>
  </si>
  <si>
    <t>M_0000_00000248309_000000000000006</t>
  </si>
  <si>
    <t>M_0000_00000248865_000000000000001</t>
  </si>
  <si>
    <t>M_0000_00000249645_000000000000002</t>
  </si>
  <si>
    <t>M_0000_00000249645_000000000000001</t>
  </si>
  <si>
    <t>M_0000_00000249726_000000000000001</t>
  </si>
  <si>
    <t>M_0000_00000250121_000000000000001</t>
  </si>
  <si>
    <t>M_0000_00000248261_000000000000001</t>
  </si>
  <si>
    <t>M_0000_00000249388_000000000000001</t>
  </si>
  <si>
    <t>M_0000_00000249109_000000000000001</t>
  </si>
  <si>
    <t>M_0000_00000249538_000000000000001</t>
  </si>
  <si>
    <t>M_0000_00000247878_000000000000001</t>
  </si>
  <si>
    <t>M_0000_00000248846_000000000000001</t>
  </si>
  <si>
    <t>M_0000_00000246971_000000000000001</t>
  </si>
  <si>
    <t>M_0000_00000247777_000000000000001</t>
  </si>
  <si>
    <t>M_0000_00000248875_000000000000001</t>
  </si>
  <si>
    <t>M_0000_00000249880_000000000000001</t>
  </si>
  <si>
    <t>M_0000_00000251354_000000000000001</t>
  </si>
  <si>
    <t>M_0000_00000248447_000000000000001</t>
  </si>
  <si>
    <t>M_0000_00000248771_000000000000001</t>
  </si>
  <si>
    <t>M_0000_00000247717_000000000000001</t>
  </si>
  <si>
    <t>M_0000_00000248257_000000000000001</t>
  </si>
  <si>
    <t>M_0000_00000248257_000000000000003</t>
  </si>
  <si>
    <t>M_0000_00000248257_000000000000004</t>
  </si>
  <si>
    <t>M_0000_00000248257_000000000000005</t>
  </si>
  <si>
    <t>M_0000_00000248257_000000000000002</t>
  </si>
  <si>
    <t>M_0000_00000249886_000000000000001</t>
  </si>
  <si>
    <t>M_0000_00000249564_000000000000001</t>
  </si>
  <si>
    <t>M_0000_00000247080_000000000000001</t>
  </si>
  <si>
    <t>M_0000_00000248898_000000000000001</t>
  </si>
  <si>
    <t>M_0000_00000248835_000000000000002</t>
  </si>
  <si>
    <t>M_0000_00000248835_000000000000001</t>
  </si>
  <si>
    <t>M_0000_00000246962_000000000000001</t>
  </si>
  <si>
    <t>2023-11-15</t>
  </si>
  <si>
    <t>M_0000_00000246962_000000000000002</t>
  </si>
  <si>
    <t>M_0000_00000246962_000000000000004</t>
  </si>
  <si>
    <t>M_0000_00000246962_000000000000003</t>
  </si>
  <si>
    <t>M_0000_00000247685_000000000000001</t>
  </si>
  <si>
    <t>2024-02-01</t>
  </si>
  <si>
    <t>M_0000_00000247796_000000000000001</t>
  </si>
  <si>
    <t>M_0000_00000247796_000000000000007</t>
  </si>
  <si>
    <t>M_0000_00000247796_000000000000008</t>
  </si>
  <si>
    <t>M_0000_00000247796_000000000000003</t>
  </si>
  <si>
    <t>M_0000_00000247796_000000000000002</t>
  </si>
  <si>
    <t>M_0000_00000247796_000000000000004</t>
  </si>
  <si>
    <t>M_0000_00000247796_000000000000006</t>
  </si>
  <si>
    <t>M_0000_00000247796_000000000000005</t>
  </si>
  <si>
    <t>M_0000_00000247067_000000000000001</t>
  </si>
  <si>
    <t>M_0000_00000248922_000000000000001</t>
  </si>
  <si>
    <t>M_0000_00000248928_000000000000001</t>
  </si>
  <si>
    <t>M_0000_00000248851_000000000000001</t>
  </si>
  <si>
    <t>M_0000_00000249573_000000000000001</t>
  </si>
  <si>
    <t>M_0000_00000249119_000000000000001</t>
  </si>
  <si>
    <t>M_0000_00000249117_000000000000001</t>
  </si>
  <si>
    <t>M_0000_00000249118_000000000000001</t>
  </si>
  <si>
    <t>M_0000_00000247825_000000000000001</t>
  </si>
  <si>
    <t>M_0000_00000247825_000000000000002</t>
  </si>
  <si>
    <t>M_0000_00000248627_000000000000001</t>
  </si>
  <si>
    <t>M_0000_00000248629_000000000000001</t>
  </si>
  <si>
    <t>M_0000_00000250054_000000000000001</t>
  </si>
  <si>
    <t>M_0000_00000248811_000000000000001</t>
  </si>
  <si>
    <t>M_0000_00000250510_000000000000001</t>
  </si>
  <si>
    <t>M_0000_00000247066_000000000000005</t>
  </si>
  <si>
    <t>M_0000_00000247066_000000000000002</t>
  </si>
  <si>
    <t>M_0000_00000247066_000000000000004</t>
  </si>
  <si>
    <t>M_0000_00000247066_000000000000003</t>
  </si>
  <si>
    <t>M_0000_00000247066_000000000000001</t>
  </si>
  <si>
    <t>M_0000_00000248046_000000000000001</t>
  </si>
  <si>
    <t>M_0000_00000248045_000000000000001</t>
  </si>
  <si>
    <t>M_0000_00000248043_000000000000001</t>
  </si>
  <si>
    <t>M_0000_00000248044_000000000000001</t>
  </si>
  <si>
    <t>M_0000_00000248042_000000000000001</t>
  </si>
  <si>
    <t>M_0000_00000248656_000000000000001</t>
  </si>
  <si>
    <t>M_0000_00000249529_000000000000001</t>
  </si>
  <si>
    <t>M_0000_00000247436_000000000000001</t>
  </si>
  <si>
    <t>M_0000_00000247436_000000000000007</t>
  </si>
  <si>
    <t>M_0000_00000247436_000000000000006</t>
  </si>
  <si>
    <t>M_0000_00000247436_000000000000002</t>
  </si>
  <si>
    <t>M_0000_00000247436_000000000000003</t>
  </si>
  <si>
    <t>M_0000_00000247436_000000000000005</t>
  </si>
  <si>
    <t>M_0000_00000247436_000000000000008</t>
  </si>
  <si>
    <t>M_0000_00000247436_000000000000004</t>
  </si>
  <si>
    <t>M_0000_00000247436_000000000000010</t>
  </si>
  <si>
    <t>M_0000_00000247436_000000000000009</t>
  </si>
  <si>
    <t>M_0000_00000248306_000000000000001</t>
  </si>
  <si>
    <t>M_0000_00000248308_000000000000001</t>
  </si>
  <si>
    <t>M_0000_00000248139_000000000000001</t>
  </si>
  <si>
    <t>M_0000_00000248408_000000000000001</t>
  </si>
  <si>
    <t>M_0000_00000250450_000000000000001</t>
  </si>
  <si>
    <t>M_0000_00000248571_000000000000001</t>
  </si>
  <si>
    <t>M_0000_00000247239_000000000000001</t>
  </si>
  <si>
    <t>M_0000_00000247329_000000000000001</t>
  </si>
  <si>
    <t>M_0000_00000246302_000000000000001</t>
  </si>
  <si>
    <t>2023-08-15</t>
  </si>
  <si>
    <t>M_0000_00000247928_000000000000001</t>
  </si>
  <si>
    <t>M_0000_00000246049_000000000000001</t>
  </si>
  <si>
    <t>2023-07-15</t>
  </si>
  <si>
    <t>M_0000_00000246050_000000000000001</t>
  </si>
  <si>
    <t>M_0000_00000247955_000000000000001</t>
  </si>
  <si>
    <t>M_0000_00000247077_000000000000001</t>
  </si>
  <si>
    <t>M_0000_00000247003_000000000000001</t>
  </si>
  <si>
    <t>2023-12-15</t>
  </si>
  <si>
    <t>M_0000_00000247001_000000000000001</t>
  </si>
  <si>
    <t>M_0000_00000248027_000000000000001</t>
  </si>
  <si>
    <t>M_0000_00000248313_000000000000001</t>
  </si>
  <si>
    <t>M_0000_00000247240_000000000000001</t>
  </si>
  <si>
    <t>M_0000_00000251522_000000000000001</t>
  </si>
  <si>
    <t>2025-05-27</t>
  </si>
  <si>
    <t>M_0000_00000247933_000000000000001</t>
  </si>
  <si>
    <t>M_0000_00000248049_000000000000001</t>
  </si>
  <si>
    <t>M_0000_00000248189_000000000000001</t>
  </si>
  <si>
    <t>M_0000_00000248882_000000000000001</t>
  </si>
  <si>
    <t>M_0000_00000247615_000000000000001</t>
  </si>
  <si>
    <t>M_0000_00000248057_000000000000001</t>
  </si>
  <si>
    <t>CONT1;HFS2;B01;MC02;PR0302;ACPF6;SC0303;STAG3;POCI2;SUBO2;DEFA1;FORB2;SSC4;PURP6;COLL4;TYVA01;FVAD3</t>
  </si>
  <si>
    <t>M_0000_00000251280_000000000000001</t>
  </si>
  <si>
    <t>2025-05-07</t>
  </si>
  <si>
    <t>M_0000_00000248048_000000000000001</t>
  </si>
  <si>
    <t>M_0000_00000247783_000000000000003</t>
  </si>
  <si>
    <t>M_0000_00000247783_000000000000002</t>
  </si>
  <si>
    <t>M_0000_00000247783_000000000000001</t>
  </si>
  <si>
    <t>M_0000_00000244587_000000000000001</t>
  </si>
  <si>
    <t>2022-12-15</t>
  </si>
  <si>
    <t>M_0000_00000244586_000000000000001</t>
  </si>
  <si>
    <t>M_0000_00000247002_000000000000001</t>
  </si>
  <si>
    <t>M_0000_00000248731_000000000000001</t>
  </si>
  <si>
    <t>M_0000_00000249301_000000000000001</t>
  </si>
  <si>
    <t>2024-07-15</t>
  </si>
  <si>
    <t>M_0000_00000246810_000000000000001</t>
  </si>
  <si>
    <t>2023-10-01</t>
  </si>
  <si>
    <t>M_0000_00000246943_000000000000002</t>
  </si>
  <si>
    <t>2023-10-15</t>
  </si>
  <si>
    <t>M_0000_00000246943_000000000000001</t>
  </si>
  <si>
    <t>M_0000_00000250536_000000000000001</t>
  </si>
  <si>
    <t>M_0000_00000246927_000000000000001</t>
  </si>
  <si>
    <t>M_0000_00000247662_000000000000001</t>
  </si>
  <si>
    <t>M_0000_00000247130_000000000000001</t>
  </si>
  <si>
    <t>M_0000_00000250318_000000000000001</t>
  </si>
  <si>
    <t>M_0000_00000248386_000000000000001</t>
  </si>
  <si>
    <t>M_0000_00000249167_000000000000001</t>
  </si>
  <si>
    <t>M_0000_00000245281_000000000000001</t>
  </si>
  <si>
    <t>2023-03-15</t>
  </si>
  <si>
    <t>M_0000_00000248262_000000000000001</t>
  </si>
  <si>
    <t>M_0000_00000247966_000000000000001</t>
  </si>
  <si>
    <t>M_0000_00000250178_000000000000001</t>
  </si>
  <si>
    <t>VEH20</t>
  </si>
  <si>
    <t>M_0000_00000248388_000000000000001</t>
  </si>
  <si>
    <t>M_0000_00000248961_000000000000001</t>
  </si>
  <si>
    <t>M_0000_00000246699_000000000000001</t>
  </si>
  <si>
    <t>M_0000_00000249606_000000000000002</t>
  </si>
  <si>
    <t>M_0000_00000249606_000000000000001</t>
  </si>
  <si>
    <t>M_0000_00000247496_000000000000001</t>
  </si>
  <si>
    <t>M_0000_00000246732_000000000000001</t>
  </si>
  <si>
    <t>2023-09-01</t>
  </si>
  <si>
    <t>M_0000_00000246731_000000000000001</t>
  </si>
  <si>
    <t>M_0000_00000247219_000000000000001</t>
  </si>
  <si>
    <t>M_0000_00000249315_000000000000001</t>
  </si>
  <si>
    <t>M_0000_00000247320_000000000000001</t>
  </si>
  <si>
    <t>2023-12-01</t>
  </si>
  <si>
    <t>M_0000_00000247111_000000000000001</t>
  </si>
  <si>
    <t>M_0000_00000247818_000000000000003</t>
  </si>
  <si>
    <t>M_0000_00000247818_000000000000002</t>
  </si>
  <si>
    <t>M_0000_00000247818_000000000000006</t>
  </si>
  <si>
    <t>M_0000_00000247818_000000000000005</t>
  </si>
  <si>
    <t>M_0000_00000247801_000000000000004</t>
  </si>
  <si>
    <t>M_0000_00000247801_000000000000003</t>
  </si>
  <si>
    <t>M_0000_00000247801_000000000000007</t>
  </si>
  <si>
    <t>M_0000_00000247801_000000000000001</t>
  </si>
  <si>
    <t>M_0000_00000247818_000000000000009</t>
  </si>
  <si>
    <t>M_0000_00000247818_000000000000008</t>
  </si>
  <si>
    <t>M_0000_00000247818_000000000000001</t>
  </si>
  <si>
    <t>M_0000_00000247801_000000000000006</t>
  </si>
  <si>
    <t>M_0000_00000247818_000000000000011</t>
  </si>
  <si>
    <t>M_0000_00000247818_000000000000010</t>
  </si>
  <si>
    <t>M_0000_00000247801_000000000000002</t>
  </si>
  <si>
    <t>M_0000_00000247801_000000000000008</t>
  </si>
  <si>
    <t>M_0000_00000247801_000000000000005</t>
  </si>
  <si>
    <t>M_0000_00000247818_000000000000007</t>
  </si>
  <si>
    <t>M_0000_00000247818_000000000000004</t>
  </si>
  <si>
    <t>M_0000_00000247818_000000000000012</t>
  </si>
  <si>
    <t>M_0000_00000249574_000000000000001</t>
  </si>
  <si>
    <t>M_0000_00000247134_000000000000001</t>
  </si>
  <si>
    <t>M_0000_00000247316_000000000000001</t>
  </si>
  <si>
    <t>M_0000_00000247316_000000000000002</t>
  </si>
  <si>
    <t>M_0000_00000246808_000000000000001</t>
  </si>
  <si>
    <t>M_0000_00000244665_000000000000001</t>
  </si>
  <si>
    <t>2023-02-15</t>
  </si>
  <si>
    <t>M_0000_00000245672_000000000000001</t>
  </si>
  <si>
    <t>2023-07-01</t>
  </si>
  <si>
    <t>M_0000_00000248495_000000000000001</t>
  </si>
  <si>
    <t>M_0000_00000246157_000000000000001</t>
  </si>
  <si>
    <t>2023-08-01</t>
  </si>
  <si>
    <t>M_0000_00000246802_000000000000001</t>
  </si>
  <si>
    <t>M_0000_00000246524_000000000000001</t>
  </si>
  <si>
    <t>M_0000_00000247971_000000000000001</t>
  </si>
  <si>
    <t>M_0000_00000246550_000000000000001</t>
  </si>
  <si>
    <t>M_0000_00000246548_000000000000001</t>
  </si>
  <si>
    <t>M_0000_00000248883_000000000000001</t>
  </si>
  <si>
    <t>M_0000_00000246218_000000000000001</t>
  </si>
  <si>
    <t>M_0000_00000248681_000000000000001</t>
  </si>
  <si>
    <t>M_0000_00000249331_000000000000001</t>
  </si>
  <si>
    <t>M_0000_00000246570_000000000000001</t>
  </si>
  <si>
    <t>2023-09-15</t>
  </si>
  <si>
    <t>M_0000_00000246491_000000000000001</t>
  </si>
  <si>
    <t>M_0000_00000246769_000000000000001</t>
  </si>
  <si>
    <t>M_0000_00000246769_000000000000002</t>
  </si>
  <si>
    <t>M_0000_00000244519_000000000000001</t>
  </si>
  <si>
    <t>M_0000_00000245374_000000000000004</t>
  </si>
  <si>
    <t>M_0000_00000245374_000000000000006</t>
  </si>
  <si>
    <t>M_0000_00000245374_000000000000003</t>
  </si>
  <si>
    <t>M_0000_00000245374_000000000000007</t>
  </si>
  <si>
    <t>M_0000_00000245374_000000000000008</t>
  </si>
  <si>
    <t>M_0000_00000245374_000000000000001</t>
  </si>
  <si>
    <t>M_0000_00000245374_000000000000002</t>
  </si>
  <si>
    <t>M_0000_00000245374_000000000000010</t>
  </si>
  <si>
    <t>M_0000_00000245374_000000000000005</t>
  </si>
  <si>
    <t>M_0000_00000245374_000000000000009</t>
  </si>
  <si>
    <t>M_0000_00000246818_000000000000001</t>
  </si>
  <si>
    <t>M_0000_00000246492_000000000000001</t>
  </si>
  <si>
    <t>M_0000_00000246829_000000000000001</t>
  </si>
  <si>
    <t>M_0000_00000247337_000000000000001</t>
  </si>
  <si>
    <t>M_0000_00000244531_000000000000002</t>
  </si>
  <si>
    <t>2023-03-01</t>
  </si>
  <si>
    <t>M_0000_00000244531_000000000000001</t>
  </si>
  <si>
    <t>M_0000_00000244531_000000000000003</t>
  </si>
  <si>
    <t>M_0000_00000245195_000000000000001</t>
  </si>
  <si>
    <t>M_0000_00000246079_000000000000001</t>
  </si>
  <si>
    <t>M_0000_00000245658_000000000000001</t>
  </si>
  <si>
    <t>2023-04-01</t>
  </si>
  <si>
    <t>M_0000_00000245695_000000000000001</t>
  </si>
  <si>
    <t>2023-04-15</t>
  </si>
  <si>
    <t>M_0000_00000247380_000000000000001</t>
  </si>
  <si>
    <t>M_0000_00000246557_000000000000001</t>
  </si>
  <si>
    <t>M_0000_00000232625_000000000000001</t>
  </si>
  <si>
    <t>2020-02-15</t>
  </si>
  <si>
    <t>M_0000_00000247047_000000000000001</t>
  </si>
  <si>
    <t>M_0000_00000245605_000000000000001</t>
  </si>
  <si>
    <t>M_0000_00000245981_000000000000001</t>
  </si>
  <si>
    <t>M_0000_00000247751_000000000000001</t>
  </si>
  <si>
    <t>M_0000_00000248756_000000000000001</t>
  </si>
  <si>
    <t>M_0000_00000246462_000000000000004</t>
  </si>
  <si>
    <t>M_0000_00000246463_000000000000005</t>
  </si>
  <si>
    <t>M_0000_00000246463_000000000000003</t>
  </si>
  <si>
    <t>M_0000_00000246462_000000000000003</t>
  </si>
  <si>
    <t>M_0000_00000246463_000000000000004</t>
  </si>
  <si>
    <t>M_0000_00000246462_000000000000005</t>
  </si>
  <si>
    <t>M_0000_00000246462_000000000000002</t>
  </si>
  <si>
    <t>M_0000_00000246463_000000000000002</t>
  </si>
  <si>
    <t>M_0000_00000246463_000000000000001</t>
  </si>
  <si>
    <t>M_0000_00000246462_000000000000001</t>
  </si>
  <si>
    <t>M_0000_00000246478_000000000000006</t>
  </si>
  <si>
    <t>M_0000_00000246478_000000000000004</t>
  </si>
  <si>
    <t>M_0000_00000246478_000000000000003</t>
  </si>
  <si>
    <t>M_0000_00000246478_000000000000002</t>
  </si>
  <si>
    <t>M_0000_00000246478_000000000000001</t>
  </si>
  <si>
    <t>M_0000_00000246478_000000000000007</t>
  </si>
  <si>
    <t>M_0000_00000246478_000000000000008</t>
  </si>
  <si>
    <t>M_0000_00000246478_000000000000005</t>
  </si>
  <si>
    <t>M_0000_00000244278_000000000000001</t>
  </si>
  <si>
    <t>2022-10-01</t>
  </si>
  <si>
    <t>M_0000_00000244417_000000000000001</t>
  </si>
  <si>
    <t>2022-10-15</t>
  </si>
  <si>
    <t>M_0000_00000248051_000000000000001</t>
  </si>
  <si>
    <t>M_0000_00000249264_000000000000001</t>
  </si>
  <si>
    <t>M_0000_00000251948_000000000000001</t>
  </si>
  <si>
    <t>2025-06-25</t>
  </si>
  <si>
    <t>M_0000_00000247434_000000000000002</t>
  </si>
  <si>
    <t>2024-01-01</t>
  </si>
  <si>
    <t>M_0000_00000247434_000000000000001</t>
  </si>
  <si>
    <t>M_0000_00000245739_000000000000001</t>
  </si>
  <si>
    <t>2023-05-01</t>
  </si>
  <si>
    <t>M_0000_00000246720_000000000000001</t>
  </si>
  <si>
    <t>M_0000_00000245782_000000000000001</t>
  </si>
  <si>
    <t>2023-05-15</t>
  </si>
  <si>
    <t>M_0000_00000245627_000000000000001</t>
  </si>
  <si>
    <t>M_0000_00000246300_000000000000004</t>
  </si>
  <si>
    <t>M_0000_00000246300_000000000000005</t>
  </si>
  <si>
    <t>M_0000_00000246300_000000000000002</t>
  </si>
  <si>
    <t>M_0000_00000246300_000000000000001</t>
  </si>
  <si>
    <t>M_0000_00000246300_000000000000003</t>
  </si>
  <si>
    <t>M_0000_00000247117_000000000000001</t>
  </si>
  <si>
    <t>M_0000_00000245335_000000000000001</t>
  </si>
  <si>
    <t>M_0000_00000245734_000000000000001</t>
  </si>
  <si>
    <t>M_0000_00000245499_000000000000001</t>
  </si>
  <si>
    <t>M_0000_00000245607_000000000000001</t>
  </si>
  <si>
    <t>M_0000_00000248050_000000000000001</t>
  </si>
  <si>
    <t>M_0000_00000246415_000000000000001</t>
  </si>
  <si>
    <t>M_0000_00000244917_000000000000001</t>
  </si>
  <si>
    <t>2023-01-01</t>
  </si>
  <si>
    <t>M_0000_00000245337_000000000000001</t>
  </si>
  <si>
    <t>M_0000_00000245857_000000000000001</t>
  </si>
  <si>
    <t>M_0000_00000244563_000000000000001</t>
  </si>
  <si>
    <t>2022-12-01</t>
  </si>
  <si>
    <t>M_0000_00000244786_000000000000001</t>
  </si>
  <si>
    <t>M_0000_00000244780_000000000000001</t>
  </si>
  <si>
    <t>M_0000_00000244849_000000000000001</t>
  </si>
  <si>
    <t>M_0000_00000245603_000000000000001</t>
  </si>
  <si>
    <t>M_0000_00000245604_000000000000001</t>
  </si>
  <si>
    <t>M_0000_00000246432_000000000000001</t>
  </si>
  <si>
    <t>M_0000_00000245669_000000000000001</t>
  </si>
  <si>
    <t>M_0000_00000247970_000000000000001</t>
  </si>
  <si>
    <t>M_0000_00000246424_000000000000001</t>
  </si>
  <si>
    <t>M_0000_00000246125_000000000000001</t>
  </si>
  <si>
    <t>M_0000_00000246120_000000000000001</t>
  </si>
  <si>
    <t>M_0000_00000246130_000000000000001</t>
  </si>
  <si>
    <t>M_0000_00000246119_000000000000001</t>
  </si>
  <si>
    <t>M_0000_00000245142_000000000000001</t>
  </si>
  <si>
    <t>M_0000_00000245141_000000000000001</t>
  </si>
  <si>
    <t>M_0000_00000226870_000000000000003</t>
  </si>
  <si>
    <t>2018-12-15</t>
  </si>
  <si>
    <t>M_0000_00000226870_000000000000005</t>
  </si>
  <si>
    <t>M_0000_00000226870_000000000000002</t>
  </si>
  <si>
    <t>M_0000_00000226870_000000000000004</t>
  </si>
  <si>
    <t>M_0000_00000226870_000000000000006</t>
  </si>
  <si>
    <t>M_0000_00000226870_000000000000001</t>
  </si>
  <si>
    <t>M_0000_00000226870_000000000000008</t>
  </si>
  <si>
    <t>M_0000_00000226870_000000000000007</t>
  </si>
  <si>
    <t>M_0000_00000245000_000000000000001</t>
  </si>
  <si>
    <t>M_0000_00000245725_000000000000001</t>
  </si>
  <si>
    <t>M_0000_00000245723_000000000000001</t>
  </si>
  <si>
    <t>M_0000_00000244615_000000000000001</t>
  </si>
  <si>
    <t>2022-11-15</t>
  </si>
  <si>
    <t>M_0000_00000244613_000000000000001</t>
  </si>
  <si>
    <t>M_0000_00000244614_000000000000001</t>
  </si>
  <si>
    <t>M_0000_00000245524_000000000000001</t>
  </si>
  <si>
    <t>M_0000_00000245527_000000000000001</t>
  </si>
  <si>
    <t>M_0000_00000244734_000000000000001</t>
  </si>
  <si>
    <t>M_0000_00000244718_000000000000001</t>
  </si>
  <si>
    <t>M_0000_00000244720_000000000000001</t>
  </si>
  <si>
    <t>M_0000_00000244719_000000000000001</t>
  </si>
  <si>
    <t>M_0000_00000244721_000000000000001</t>
  </si>
  <si>
    <t>M_0000_00000245011_000000000000001</t>
  </si>
  <si>
    <t>M_0000_00000245754_000000000000001</t>
  </si>
  <si>
    <t>M_0000_00000238188_000000000000002</t>
  </si>
  <si>
    <t>2021-02-15</t>
  </si>
  <si>
    <t>M_0000_00000238188_000000000000001</t>
  </si>
  <si>
    <t>M_0000_00000238187_000000000000001</t>
  </si>
  <si>
    <t>M_0000_00000238187_000000000000002</t>
  </si>
  <si>
    <t>M_0000_00000233495_000000000000001</t>
  </si>
  <si>
    <t>M_0000_00000233195_000000000000001</t>
  </si>
  <si>
    <t>2020-03-01</t>
  </si>
  <si>
    <t>M_0000_00000233198_000000000000001</t>
  </si>
  <si>
    <t>M_0000_00000233196_000000000000001</t>
  </si>
  <si>
    <t>M_0000_00000233197_000000000000001</t>
  </si>
  <si>
    <t>M_0000_00000233587_000000000000001</t>
  </si>
  <si>
    <t>M_0000_00000233588_000000000000001</t>
  </si>
  <si>
    <t>M_0000_00000245989_000000000000001</t>
  </si>
  <si>
    <t>M_0000_00000244918_000000000000001</t>
  </si>
  <si>
    <t>M_0000_00000244468_000000000000001</t>
  </si>
  <si>
    <t>M_0000_00000244468_000000000000004</t>
  </si>
  <si>
    <t>M_0000_00000244468_000000000000002</t>
  </si>
  <si>
    <t>M_0000_00000244468_000000000000003</t>
  </si>
  <si>
    <t>M_0000_00000244470_000000000000001</t>
  </si>
  <si>
    <t>2022-11-01</t>
  </si>
  <si>
    <t>M_0000_00000245204_000000000000001</t>
  </si>
  <si>
    <t>M_0000_00000246216_000000000000001</t>
  </si>
  <si>
    <t>M_0000_00000233054_000000000000002</t>
  </si>
  <si>
    <t>2020-01-15</t>
  </si>
  <si>
    <t>M_0000_00000233054_000000000000004</t>
  </si>
  <si>
    <t>M_0000_00000233054_000000000000001</t>
  </si>
  <si>
    <t>M_0000_00000233054_000000000000003</t>
  </si>
  <si>
    <t>M_0000_00000244223_000000000000001</t>
  </si>
  <si>
    <t>M_0000_00000244209_000000000000001</t>
  </si>
  <si>
    <t>M_0000_00000230637_000000000000001</t>
  </si>
  <si>
    <t>2019-09-15</t>
  </si>
  <si>
    <t>M_0000_00000220438_000000000000001</t>
  </si>
  <si>
    <t>2017-11-15</t>
  </si>
  <si>
    <t>M_0000_00000246179_000000000000001</t>
  </si>
  <si>
    <t>M_0000_00000246056_000000000000001</t>
  </si>
  <si>
    <t>M_0000_00000244030_000000000000001</t>
  </si>
  <si>
    <t>2022-08-15</t>
  </si>
  <si>
    <t>M_0000_00000245425_000000000000001</t>
  </si>
  <si>
    <t>M_0000_00000245157_000000000000002</t>
  </si>
  <si>
    <t>2023-02-01</t>
  </si>
  <si>
    <t>M_0000_00000245157_000000000000003</t>
  </si>
  <si>
    <t>M_0000_00000245157_000000000000001</t>
  </si>
  <si>
    <t>M_0000_00000245330_000000000000001</t>
  </si>
  <si>
    <t>M_0000_00000242449_000000000000001</t>
  </si>
  <si>
    <t>2022-01-15</t>
  </si>
  <si>
    <t>M_0000_00000243798_000000000000001</t>
  </si>
  <si>
    <t>2022-08-01</t>
  </si>
  <si>
    <t>M_0000_00000244772_000000000000001</t>
  </si>
  <si>
    <t>M_0000_00000248290_000000000000001</t>
  </si>
  <si>
    <t>M_0000_00000248290_000000000000002</t>
  </si>
  <si>
    <t>M_0000_00000245379_000000000000001</t>
  </si>
  <si>
    <t>M_0000_00000245380_000000000000001</t>
  </si>
  <si>
    <t>M_0000_00000244234_000000000000001</t>
  </si>
  <si>
    <t>2022-09-15</t>
  </si>
  <si>
    <t>M_0000_00000243707_000000000000001</t>
  </si>
  <si>
    <t>2022-06-15</t>
  </si>
  <si>
    <t>M_0000_00000247492_000000000000001</t>
  </si>
  <si>
    <t>M_0000_00000247492_000000000000004</t>
  </si>
  <si>
    <t>M_0000_00000247492_000000000000002</t>
  </si>
  <si>
    <t>M_0000_00000247492_000000000000003</t>
  </si>
  <si>
    <t>M_0000_00000236695_000000000000006</t>
  </si>
  <si>
    <t>2020-11-15</t>
  </si>
  <si>
    <t>M_0000_00000236695_000000000000002</t>
  </si>
  <si>
    <t>M_0000_00000236695_000000000000001</t>
  </si>
  <si>
    <t>M_0000_00000236695_000000000000005</t>
  </si>
  <si>
    <t>M_0000_00000236695_000000000000004</t>
  </si>
  <si>
    <t>M_0000_00000236695_000000000000003</t>
  </si>
  <si>
    <t>M_0000_00000244296_000000000000001</t>
  </si>
  <si>
    <t>M_0000_00000223731_000000000000001</t>
  </si>
  <si>
    <t>2019-11-01</t>
  </si>
  <si>
    <t>M_0000_00000244775_000000000000001</t>
  </si>
  <si>
    <t>M_0000_00000229439_000000000000001</t>
  </si>
  <si>
    <t>2019-05-15</t>
  </si>
  <si>
    <t>M_0000_00000247471_000000000000002</t>
  </si>
  <si>
    <t>M_0000_00000247471_000000000000001</t>
  </si>
  <si>
    <t>M_0000_00000247471_000000000000003</t>
  </si>
  <si>
    <t>M_0000_00000247471_000000000000004</t>
  </si>
  <si>
    <t>M_0000_00000240503_000000000000001</t>
  </si>
  <si>
    <t>2021-06-15</t>
  </si>
  <si>
    <t>M_0000_00000243977_000000000000001</t>
  </si>
  <si>
    <t>M_0000_00000243979_000000000000001</t>
  </si>
  <si>
    <t>M_0000_00000244940_000000000000001</t>
  </si>
  <si>
    <t>2023-01-15</t>
  </si>
  <si>
    <t>M_0000_00000241717_000000000000001</t>
  </si>
  <si>
    <t>2021-11-15</t>
  </si>
  <si>
    <t>M_0000_00000243480_000000000000001</t>
  </si>
  <si>
    <t>2022-06-01</t>
  </si>
  <si>
    <t>M_0000_00000244762_000000000000001</t>
  </si>
  <si>
    <t>M_0000_00000244760_000000000000001</t>
  </si>
  <si>
    <t>M_0000_00000244761_000000000000001</t>
  </si>
  <si>
    <t>M_0000_00000244757_000000000000001</t>
  </si>
  <si>
    <t>M_0000_00000244758_000000000000001</t>
  </si>
  <si>
    <t>M_0000_00000240422_000000000000001</t>
  </si>
  <si>
    <t>2021-07-15</t>
  </si>
  <si>
    <t>M_0000_00000249343_000000000000001</t>
  </si>
  <si>
    <t>M_0000_00000243951_000000000000001</t>
  </si>
  <si>
    <t>M_0000_00000244180_000000000000001</t>
  </si>
  <si>
    <t>M_0000_00000243171_000000000000001</t>
  </si>
  <si>
    <t>2022-05-01</t>
  </si>
  <si>
    <t>M_0000_00000241604_000000000000001</t>
  </si>
  <si>
    <t>2021-08-15</t>
  </si>
  <si>
    <t>M_0000_00000244580_000000000000001</t>
  </si>
  <si>
    <t>M_0000_00000233871_000000000000001</t>
  </si>
  <si>
    <t>M_0000_00000234167_000000000000001</t>
  </si>
  <si>
    <t>M_0000_00000232310_000000000000001</t>
  </si>
  <si>
    <t>2019-12-15</t>
  </si>
  <si>
    <t>M_0000_00000231911_000000000000001</t>
  </si>
  <si>
    <t>2020-02-01</t>
  </si>
  <si>
    <t>M_0000_00000245194_000000000000001</t>
  </si>
  <si>
    <t>M_0000_00000242299_000000000000001</t>
  </si>
  <si>
    <t>2021-12-15</t>
  </si>
  <si>
    <t>M_0000_00000243305_000000000000001</t>
  </si>
  <si>
    <t>2022-03-15</t>
  </si>
  <si>
    <t>M_0000_00000243304_000000000000001</t>
  </si>
  <si>
    <t>M_0000_00000243303_000000000000001</t>
  </si>
  <si>
    <t>M_0000_00000241588_000000000000001</t>
  </si>
  <si>
    <t>2021-09-15</t>
  </si>
  <si>
    <t>M_0000_00000241588_000000000000002</t>
  </si>
  <si>
    <t>M_0000_00000243403_000000000000001</t>
  </si>
  <si>
    <t>M_0000_00000241486_000000000000001</t>
  </si>
  <si>
    <t>2021-10-15</t>
  </si>
  <si>
    <t>M_0000_00000234019_000000000000001</t>
  </si>
  <si>
    <t>M_0000_00000242900_000000000000001</t>
  </si>
  <si>
    <t>M_0000_00000242900_000000000000002</t>
  </si>
  <si>
    <t>M_0000_00000245297_000000000000001</t>
  </si>
  <si>
    <t>M_0000_00000245301_000000000000002</t>
  </si>
  <si>
    <t>M_0000_00000245298_000000000000001</t>
  </si>
  <si>
    <t>M_0000_00000245298_000000000000002</t>
  </si>
  <si>
    <t>M_0000_00000245299_000000000000001</t>
  </si>
  <si>
    <t>M_0000_00000245301_000000000000001</t>
  </si>
  <si>
    <t>M_0000_00000245299_000000000000002</t>
  </si>
  <si>
    <t>M_0000_00000245300_000000000000002</t>
  </si>
  <si>
    <t>M_0000_00000245297_000000000000002</t>
  </si>
  <si>
    <t>M_0000_00000245300_000000000000001</t>
  </si>
  <si>
    <t>M_0000_00000236777_000000000000001</t>
  </si>
  <si>
    <t>2020-10-01</t>
  </si>
  <si>
    <t>M_0000_00000244119_000000000000003</t>
  </si>
  <si>
    <t>M_0000_00000244119_000000000000005</t>
  </si>
  <si>
    <t>M_0000_00000244119_000000000000004</t>
  </si>
  <si>
    <t>M_0000_00000244119_000000000000001</t>
  </si>
  <si>
    <t>M_0000_00000244119_000000000000002</t>
  </si>
  <si>
    <t>M_0000_00000242916_000000000000001</t>
  </si>
  <si>
    <t>2022-02-01</t>
  </si>
  <si>
    <t>M_0000_00000242917_000000000000001</t>
  </si>
  <si>
    <t>M_0000_00000225309_000000000000001</t>
  </si>
  <si>
    <t>2018-09-15</t>
  </si>
  <si>
    <t>M_0000_00000225310_000000000000001</t>
  </si>
  <si>
    <t>M_0000_00000229977_000000000000001</t>
  </si>
  <si>
    <t>2019-08-15</t>
  </si>
  <si>
    <t>M_0000_00000243066_000000000000001</t>
  </si>
  <si>
    <t>2022-02-15</t>
  </si>
  <si>
    <t>M_0000_00000243066_000000000000002</t>
  </si>
  <si>
    <t>M_0000_00000242655_000000000000001</t>
  </si>
  <si>
    <t>M_0000_00000231644_000000000000001</t>
  </si>
  <si>
    <t>M_0000_00000237590_000000000000001</t>
  </si>
  <si>
    <t>2021-01-01</t>
  </si>
  <si>
    <t>M_0000_00000237544_000000000000001</t>
  </si>
  <si>
    <t>M_0000_00000237591_000000000000001</t>
  </si>
  <si>
    <t>M_0000_00000230783_000000000000001</t>
  </si>
  <si>
    <t>2019-11-15</t>
  </si>
  <si>
    <t>M_0000_00000233535_000000000000001</t>
  </si>
  <si>
    <t>M_0000_00000242891_000000000000002</t>
  </si>
  <si>
    <t>2022-03-01</t>
  </si>
  <si>
    <t>M_0000_00000242891_000000000000001</t>
  </si>
  <si>
    <t>M_0000_00000243291_000000000000001</t>
  </si>
  <si>
    <t>M_0000_00000242878_000000000000002</t>
  </si>
  <si>
    <t>M_0000_00000242878_000000000000001</t>
  </si>
  <si>
    <t>M_0000_00000242922_000000000000002</t>
  </si>
  <si>
    <t>M_0000_00000242922_000000000000001</t>
  </si>
  <si>
    <t>M_0000_00000242982_000000000000001</t>
  </si>
  <si>
    <t>M_0000_00000242722_000000000000002</t>
  </si>
  <si>
    <t>M_0000_00000242722_000000000000001</t>
  </si>
  <si>
    <t>M_0000_00000231315_000000000000001</t>
  </si>
  <si>
    <t>2019-10-15</t>
  </si>
  <si>
    <t>M_0000_00000243445_000000000000004</t>
  </si>
  <si>
    <t>M_0000_00000243445_000000000000002</t>
  </si>
  <si>
    <t>M_0000_00000243445_000000000000005</t>
  </si>
  <si>
    <t>M_0000_00000243445_000000000000003</t>
  </si>
  <si>
    <t>M_0000_00000243445_000000000000001</t>
  </si>
  <si>
    <t>M_0000_00000244562_000000000000001</t>
  </si>
  <si>
    <t>M_0000_00000233130_000000000000001</t>
  </si>
  <si>
    <t>2020-01-01</t>
  </si>
  <si>
    <t>M_0000_00000233129_000000000000001</t>
  </si>
  <si>
    <t>M_0000_00000233128_000000000000001</t>
  </si>
  <si>
    <t>M_0000_00000233133_000000000000001</t>
  </si>
  <si>
    <t>M_0000_00000233131_000000000000001</t>
  </si>
  <si>
    <t>M_0000_00000233134_000000000000001</t>
  </si>
  <si>
    <t>M_0000_00000233132_000000000000001</t>
  </si>
  <si>
    <t>M_0000_00000233216_000000000000001</t>
  </si>
  <si>
    <t>M_0000_00000231947_000000000000004</t>
  </si>
  <si>
    <t>M_0000_00000231947_000000000000003</t>
  </si>
  <si>
    <t>M_0000_00000231947_000000000000001</t>
  </si>
  <si>
    <t>M_0000_00000231947_000000000000002</t>
  </si>
  <si>
    <t>M_0000_00000242184_000000000000001</t>
  </si>
  <si>
    <t>M_0000_00000242492_000000000000001</t>
  </si>
  <si>
    <t>M_0000_00000242492_000000000000002</t>
  </si>
  <si>
    <t>M_0000_00000242929_000000000000001</t>
  </si>
  <si>
    <t>M_0000_00000242712_000000000000001</t>
  </si>
  <si>
    <t>M_0000_00000242564_000000000000001</t>
  </si>
  <si>
    <t>M_0000_00000242370_000000000000002</t>
  </si>
  <si>
    <t>2021-12-01</t>
  </si>
  <si>
    <t>M_0000_00000242370_000000000000003</t>
  </si>
  <si>
    <t>M_0000_00000242370_000000000000004</t>
  </si>
  <si>
    <t>M_0000_00000242370_000000000000005</t>
  </si>
  <si>
    <t>M_0000_00000242370_000000000000001</t>
  </si>
  <si>
    <t>M_0000_00000242370_000000000000006</t>
  </si>
  <si>
    <t>M_0000_00000244467_000000000000001</t>
  </si>
  <si>
    <t>M_0000_00000230857_000000000000001</t>
  </si>
  <si>
    <t>M_0000_00000239629_000000000000001</t>
  </si>
  <si>
    <t>2021-04-01</t>
  </si>
  <si>
    <t>CONT1;HFS2;B01;MC02;PR0302;ACPF6;SC0303;STAG3;POCI2;SUBO2;DEFA1;FORB2;SSC3;PURP6;COLL4;TYVA01;FVAD3</t>
  </si>
  <si>
    <t>M_0000_00000239629_000000000000002</t>
  </si>
  <si>
    <t>M_0000_00000242612_000000000000002</t>
  </si>
  <si>
    <t>M_0000_00000242612_000000000000001</t>
  </si>
  <si>
    <t>M_0000_00000242612_000000000000003</t>
  </si>
  <si>
    <t>M_0000_00000242612_000000000000004</t>
  </si>
  <si>
    <t>M_0000_00000240185_000000000000001</t>
  </si>
  <si>
    <t>2021-09-01</t>
  </si>
  <si>
    <t>M_0000_00000240830_000000000000001</t>
  </si>
  <si>
    <t>2022-01-01</t>
  </si>
  <si>
    <t>M_0000_00000243515_000000000000001</t>
  </si>
  <si>
    <t>M_0000_00000241751_000000000000001</t>
  </si>
  <si>
    <t>M_0000_00000242521_000000000000001</t>
  </si>
  <si>
    <t>M_0000_00000243068_000000000000001</t>
  </si>
  <si>
    <t>2022-04-01</t>
  </si>
  <si>
    <t>M_0000_00000241711_000000000000001</t>
  </si>
  <si>
    <t>M_0000_00000233118_000000000000001</t>
  </si>
  <si>
    <t>M_0000_00000242206_000000000000001</t>
  </si>
  <si>
    <t>M_0000_00000241968_000000000000001</t>
  </si>
  <si>
    <t>2021-11-01</t>
  </si>
  <si>
    <t>M_0000_00000230572_000000000000001</t>
  </si>
  <si>
    <t>M_0000_00000242270_000000000000001</t>
  </si>
  <si>
    <t>M_0000_00000230784_000000000000001</t>
  </si>
  <si>
    <t>2019-08-01</t>
  </si>
  <si>
    <t>M_0000_00000230784_000000000000002</t>
  </si>
  <si>
    <t>M_0000_00000239417_000000000000001</t>
  </si>
  <si>
    <t>M_0000_00000244357_000000000000001</t>
  </si>
  <si>
    <t>M_0000_00000241526_000000000000001</t>
  </si>
  <si>
    <t>M_0000_00000241949_000000000000001</t>
  </si>
  <si>
    <t>M_0000_00000234525_000000000000004</t>
  </si>
  <si>
    <t>2020-04-15</t>
  </si>
  <si>
    <t>M_0000_00000234525_000000000000001</t>
  </si>
  <si>
    <t>M_0000_00000234525_000000000000002</t>
  </si>
  <si>
    <t>M_0000_00000234525_000000000000003</t>
  </si>
  <si>
    <t>M_0000_00000242007_000000000000001</t>
  </si>
  <si>
    <t>M_0000_00000225860_000000000000001</t>
  </si>
  <si>
    <t>2018-10-01</t>
  </si>
  <si>
    <t>M_0000_00000233767_000000000000001</t>
  </si>
  <si>
    <t>M_0000_00000242118_000000000000001</t>
  </si>
  <si>
    <t>M_0000_00000241726_000000000000001</t>
  </si>
  <si>
    <t>2021-10-01</t>
  </si>
  <si>
    <t>M_0000_00000241725_000000000000001</t>
  </si>
  <si>
    <t>M_0000_00000241844_000000000000001</t>
  </si>
  <si>
    <t>M_0000_00000225718_000000000000001</t>
  </si>
  <si>
    <t>2019-06-01</t>
  </si>
  <si>
    <t>M_0000_00000241739_000000000000002</t>
  </si>
  <si>
    <t>M_0000_00000241739_000000000000001</t>
  </si>
  <si>
    <t>M_0000_00000242958_000000000000001</t>
  </si>
  <si>
    <t>M_0000_00000241595_000000000000001</t>
  </si>
  <si>
    <t>M_0000_00000239921_000000000000001</t>
  </si>
  <si>
    <t>M_0000_00000234613_000000000000001</t>
  </si>
  <si>
    <t>M_0000_00000234613_000000000000004</t>
  </si>
  <si>
    <t>M_0000_00000234613_000000000000002</t>
  </si>
  <si>
    <t>M_0000_00000234613_000000000000003</t>
  </si>
  <si>
    <t>M_0000_00000241565_000000000000001</t>
  </si>
  <si>
    <t>M_0000_00000241565_000000000000002</t>
  </si>
  <si>
    <t>M_0000_00000241527_000000000000001</t>
  </si>
  <si>
    <t>M_0000_00000242086_000000000000001</t>
  </si>
  <si>
    <t>M_0000_00000240174_000000000000001</t>
  </si>
  <si>
    <t>M_0000_00000229036_000000000000001</t>
  </si>
  <si>
    <t>M_0000_00000225717_000000000000001</t>
  </si>
  <si>
    <t>2019-05-01</t>
  </si>
  <si>
    <t>M_0000_00000245538_000000000000001</t>
  </si>
  <si>
    <t>M_0000_00000245538_000000000000005</t>
  </si>
  <si>
    <t>M_0000_00000245538_000000000000004</t>
  </si>
  <si>
    <t>M_0000_00000245538_000000000000003</t>
  </si>
  <si>
    <t>M_0000_00000245538_000000000000002</t>
  </si>
  <si>
    <t>M_0000_00000241536_000000000000002</t>
  </si>
  <si>
    <t>M_0000_00000241536_000000000000001</t>
  </si>
  <si>
    <t>M_0000_00000229598_000000000000001</t>
  </si>
  <si>
    <t>M_0000_00000243307_000000000000001</t>
  </si>
  <si>
    <t>M_0000_00000240008_000000000000001</t>
  </si>
  <si>
    <t>2021-05-01</t>
  </si>
  <si>
    <t>M_0000_00000241081_000000000000001</t>
  </si>
  <si>
    <t>2021-07-01</t>
  </si>
  <si>
    <t>M_0000_00000238118_000000000000001</t>
  </si>
  <si>
    <t>2020-12-15</t>
  </si>
  <si>
    <t>M_0000_00000238112_000000000000001</t>
  </si>
  <si>
    <t>M_0000_00000232744_000000000000002</t>
  </si>
  <si>
    <t>M_0000_00000232744_000000000000001</t>
  </si>
  <si>
    <t>M_0000_00000231619_000000000000001</t>
  </si>
  <si>
    <t>M_0000_00000223496_000000000000001</t>
  </si>
  <si>
    <t>2018-06-15</t>
  </si>
  <si>
    <t>M_0000_00000241263_000000000000001</t>
  </si>
  <si>
    <t>M_0000_00000241391_000000000000001</t>
  </si>
  <si>
    <t>M_0000_00000241164_000000000000003</t>
  </si>
  <si>
    <t>M_0000_00000241164_000000000000004</t>
  </si>
  <si>
    <t>M_0000_00000241164_000000000000002</t>
  </si>
  <si>
    <t>M_0000_00000241164_000000000000001</t>
  </si>
  <si>
    <t>M_0000_00000241164_000000000000005</t>
  </si>
  <si>
    <t>M_0000_00000240451_000000000000002</t>
  </si>
  <si>
    <t>M_0000_00000240451_000000000000001</t>
  </si>
  <si>
    <t>M_0000_00000228751_000000000000001</t>
  </si>
  <si>
    <t>2019-04-15</t>
  </si>
  <si>
    <t>M_0000_00000244677_000000000000001</t>
  </si>
  <si>
    <t>M_0000_00000226395_000000000000001</t>
  </si>
  <si>
    <t>2018-11-15</t>
  </si>
  <si>
    <t>M_0000_00000227887_000000000000001</t>
  </si>
  <si>
    <t>2019-03-01</t>
  </si>
  <si>
    <t>M_0000_00000231812_000000000000001</t>
  </si>
  <si>
    <t>M_0000_00000232369_000000000000001</t>
  </si>
  <si>
    <t>M_0000_00000231829_000000000000001</t>
  </si>
  <si>
    <t>M_0000_00000232368_000000000000001</t>
  </si>
  <si>
    <t>M_0000_00000228045_000000000000001</t>
  </si>
  <si>
    <t>2019-04-01</t>
  </si>
  <si>
    <t>M_0000_00000228761_000000000000001</t>
  </si>
  <si>
    <t>2019-03-15</t>
  </si>
  <si>
    <t>M_0000_00000239719_000000000000002</t>
  </si>
  <si>
    <t>M_0000_00000239719_000000000000001</t>
  </si>
  <si>
    <t>M_0000_00000227983_000000000000001</t>
  </si>
  <si>
    <t>M_0000_00000234038_000000000000005</t>
  </si>
  <si>
    <t>M_0000_00000234038_000000000000001</t>
  </si>
  <si>
    <t>M_0000_00000234038_000000000000004</t>
  </si>
  <si>
    <t>M_0000_00000234038_000000000000003</t>
  </si>
  <si>
    <t>M_0000_00000234038_000000000000002</t>
  </si>
  <si>
    <t>M_0000_00000228414_000000000000001</t>
  </si>
  <si>
    <t>M_0000_00000224886_000000000000001</t>
  </si>
  <si>
    <t>2018-07-01</t>
  </si>
  <si>
    <t>M_0000_00000241152_000000000000001</t>
  </si>
  <si>
    <t>M_0000_00000239945_000000000000001</t>
  </si>
  <si>
    <t>2021-06-01</t>
  </si>
  <si>
    <t>M_0000_00000240823_000000000000001</t>
  </si>
  <si>
    <t>M_0000_00000239016_000000000000001</t>
  </si>
  <si>
    <t>M_0000_00000239473_000000000000001</t>
  </si>
  <si>
    <t>M_0000_00000222316_000000000000001</t>
  </si>
  <si>
    <t>2018-01-15</t>
  </si>
  <si>
    <t>M_0000_00000221647_000000000000001</t>
  </si>
  <si>
    <t>M_0000_00000242413_000000000000001</t>
  </si>
  <si>
    <t>M_0000_00000232904_000000000000002</t>
  </si>
  <si>
    <t>M_0000_00000232904_000000000000001</t>
  </si>
  <si>
    <t>M_0000_00000232614_000000000000002</t>
  </si>
  <si>
    <t>M_0000_00000232614_000000000000001</t>
  </si>
  <si>
    <t>M_0000_00000240296_000000000000001</t>
  </si>
  <si>
    <t>M_0000_00000232967_000000000000001</t>
  </si>
  <si>
    <t>M_0000_00000239612_000000000000001</t>
  </si>
  <si>
    <t>2021-05-15</t>
  </si>
  <si>
    <t>M_0000_00000229200_000000000000001</t>
  </si>
  <si>
    <t>M_0000_00000240037_000000000000001</t>
  </si>
  <si>
    <t>M_0000_00000233239_000000000000003</t>
  </si>
  <si>
    <t>M_0000_00000233239_000000000000002</t>
  </si>
  <si>
    <t>M_0000_00000233239_000000000000001</t>
  </si>
  <si>
    <t>M_0000_00000240530_000000000000001</t>
  </si>
  <si>
    <t>M_0000_00000222946_000000000000004</t>
  </si>
  <si>
    <t>2018-03-01</t>
  </si>
  <si>
    <t>M_0000_00000222946_000000000000010</t>
  </si>
  <si>
    <t>M_0000_00000222946_000000000000007</t>
  </si>
  <si>
    <t>M_0000_00000222946_000000000000001</t>
  </si>
  <si>
    <t>M_0000_00000237834_000000000000001</t>
  </si>
  <si>
    <t>M_0000_00000239060_000000000000001</t>
  </si>
  <si>
    <t>M_0000_00000228419_000000000000001</t>
  </si>
  <si>
    <t>M_0000_00000240138_000000000000001</t>
  </si>
  <si>
    <t>M_0000_00000227670_000000000000001</t>
  </si>
  <si>
    <t>2019-01-15</t>
  </si>
  <si>
    <t>M_0000_00000227669_000000000000001</t>
  </si>
  <si>
    <t>M_0000_00000235789_000000000000001</t>
  </si>
  <si>
    <t>2020-09-01</t>
  </si>
  <si>
    <t>M_0000_00000242030_000000000000001</t>
  </si>
  <si>
    <t>M_0000_00000232761_000000000000001</t>
  </si>
  <si>
    <t>M_0000_00000227337_000000000000001</t>
  </si>
  <si>
    <t>2019-01-01</t>
  </si>
  <si>
    <t>M_0000_00000227370_000000000000001</t>
  </si>
  <si>
    <t>M_0000_00000226804_000000000000001</t>
  </si>
  <si>
    <t>2018-12-01</t>
  </si>
  <si>
    <t>M_0000_00000226800_000000000000001</t>
  </si>
  <si>
    <t>M_0000_00000226801_000000000000001</t>
  </si>
  <si>
    <t>M_0000_00000226803_000000000000001</t>
  </si>
  <si>
    <t>M_0000_00000226805_000000000000001</t>
  </si>
  <si>
    <t>M_0000_00000226802_000000000000001</t>
  </si>
  <si>
    <t>M_0000_00000239396_000000000000002</t>
  </si>
  <si>
    <t>M_0000_00000239396_000000000000001</t>
  </si>
  <si>
    <t>M_0000_00000222824_000000000000007</t>
  </si>
  <si>
    <t>2018-02-15</t>
  </si>
  <si>
    <t>M_0000_00000222823_000000000000007</t>
  </si>
  <si>
    <t>M_0000_00000222824_000000000000010</t>
  </si>
  <si>
    <t>M_0000_00000222824_000000000000013</t>
  </si>
  <si>
    <t>M_0000_00000222823_000000000000001</t>
  </si>
  <si>
    <t>M_0000_00000222823_000000000000013</t>
  </si>
  <si>
    <t>M_0000_00000222824_000000000000016</t>
  </si>
  <si>
    <t>M_0000_00000222824_000000000000001</t>
  </si>
  <si>
    <t>M_0000_00000222823_000000000000010</t>
  </si>
  <si>
    <t>M_0000_00000222824_000000000000004</t>
  </si>
  <si>
    <t>M_0000_00000222823_000000000000004</t>
  </si>
  <si>
    <t>M_0000_00000240136_000000000000001</t>
  </si>
  <si>
    <t>M_0000_00000240115_000000000000001</t>
  </si>
  <si>
    <t>M_0000_00000240135_000000000000001</t>
  </si>
  <si>
    <t>M_0000_00000227646_000000000000001</t>
  </si>
  <si>
    <t>M_0000_00000227666_000000000000001</t>
  </si>
  <si>
    <t>M_0000_00000227667_000000000000001</t>
  </si>
  <si>
    <t>M_0000_00000227668_000000000000001</t>
  </si>
  <si>
    <t>M_0000_00000240379_000000000000001</t>
  </si>
  <si>
    <t>M_0000_00000243269_000000000000001</t>
  </si>
  <si>
    <t>M_0000_00000232066_000000000000001</t>
  </si>
  <si>
    <t>M_0000_00000232021_000000000000001</t>
  </si>
  <si>
    <t>M_0000_00000239110_000000000000001</t>
  </si>
  <si>
    <t>M_0000_00000238656_000000000000002</t>
  </si>
  <si>
    <t>2021-03-15</t>
  </si>
  <si>
    <t>M_0000_00000238656_000000000000001</t>
  </si>
  <si>
    <t>M_0000_00000239251_000000000000001</t>
  </si>
  <si>
    <t>2021-03-01</t>
  </si>
  <si>
    <t>M_0000_00000239250_000000000000001</t>
  </si>
  <si>
    <t>M_0000_00000238545_000000000000001</t>
  </si>
  <si>
    <t>M_0000_00000237296_000000000000001</t>
  </si>
  <si>
    <t>M_0000_00000237294_000000000000001</t>
  </si>
  <si>
    <t>M_0000_00000237295_000000000000001</t>
  </si>
  <si>
    <t>M_0000_00000231496_000000000000005</t>
  </si>
  <si>
    <t>M_0000_00000231496_000000000000003</t>
  </si>
  <si>
    <t>M_0000_00000231496_000000000000004</t>
  </si>
  <si>
    <t>M_0000_00000231496_000000000000002</t>
  </si>
  <si>
    <t>M_0000_00000231496_000000000000001</t>
  </si>
  <si>
    <t>M_0000_00000239289_000000000000001</t>
  </si>
  <si>
    <t>M_0000_00000231513_000000000000001</t>
  </si>
  <si>
    <t>M_0000_00000242309_000000000000001</t>
  </si>
  <si>
    <t>M_0000_00000239290_000000000000001</t>
  </si>
  <si>
    <t>M_0000_00000237291_000000000000001</t>
  </si>
  <si>
    <t>2020-10-15</t>
  </si>
  <si>
    <t>M_0000_00000237292_000000000000001</t>
  </si>
  <si>
    <t>M_0000_00000236399_000000000000001</t>
  </si>
  <si>
    <t>M_0000_00000237289_000000000000001</t>
  </si>
  <si>
    <t>M_0000_00000237290_000000000000001</t>
  </si>
  <si>
    <t>M_0000_00000237293_000000000000001</t>
  </si>
  <si>
    <t>M_0000_00000237288_000000000000001</t>
  </si>
  <si>
    <t>M_0000_00000241641_000000000000001</t>
  </si>
  <si>
    <t>M_0000_00000244444_000000000000005</t>
  </si>
  <si>
    <t>M_0000_00000244444_000000000000003</t>
  </si>
  <si>
    <t>M_0000_00000244444_000000000000004</t>
  </si>
  <si>
    <t>M_0000_00000244444_000000000000010</t>
  </si>
  <si>
    <t>M_0000_00000244444_000000000000002</t>
  </si>
  <si>
    <t>M_0000_00000244444_000000000000008</t>
  </si>
  <si>
    <t>M_0000_00000244444_000000000000006</t>
  </si>
  <si>
    <t>M_0000_00000244444_000000000000007</t>
  </si>
  <si>
    <t>M_0000_00000244444_000000000000001</t>
  </si>
  <si>
    <t>M_0000_00000244444_000000000000009</t>
  </si>
  <si>
    <t>M_0000_00000229669_000000000000009</t>
  </si>
  <si>
    <t>2019-07-15</t>
  </si>
  <si>
    <t>M_0000_00000229669_000000000000003</t>
  </si>
  <si>
    <t>M_0000_00000229669_000000000000001</t>
  </si>
  <si>
    <t>M_0000_00000229669_000000000000002</t>
  </si>
  <si>
    <t>M_0000_00000229669_000000000000004</t>
  </si>
  <si>
    <t>M_0000_00000229669_000000000000013</t>
  </si>
  <si>
    <t>M_0000_00000229669_000000000000011</t>
  </si>
  <si>
    <t>M_0000_00000229669_000000000000015</t>
  </si>
  <si>
    <t>M_0000_00000229669_000000000000007</t>
  </si>
  <si>
    <t>M_0000_00000229669_000000000000005</t>
  </si>
  <si>
    <t>M_0000_00000241986_000000000000001</t>
  </si>
  <si>
    <t>M_0000_00000226067_000000000000001</t>
  </si>
  <si>
    <t>2018-11-01</t>
  </si>
  <si>
    <t>M_0000_00000242583_000000000000001</t>
  </si>
  <si>
    <t>M_0000_00000238828_000000000000001</t>
  </si>
  <si>
    <t>M_0000_00000238398_000000000000001</t>
  </si>
  <si>
    <t>2021-02-01</t>
  </si>
  <si>
    <t>M_0000_00000238398_000000000000002</t>
  </si>
  <si>
    <t>M_0000_00000242381_000000000000001</t>
  </si>
  <si>
    <t>M_0000_00000226300_000000000000001</t>
  </si>
  <si>
    <t>M_0000_00000226300_000000000000002</t>
  </si>
  <si>
    <t>M_0000_00000237594_000000000000001</t>
  </si>
  <si>
    <t>M_0000_00000234296_000000000000001</t>
  </si>
  <si>
    <t>M_0000_00000238357_000000000000001</t>
  </si>
  <si>
    <t>M_0000_00000225653_000000000000001</t>
  </si>
  <si>
    <t>M_0000_00000223389_000000000000001</t>
  </si>
  <si>
    <t>2018-06-01</t>
  </si>
  <si>
    <t>M_0000_00000242421_000000000000001</t>
  </si>
  <si>
    <t>M_0000_00000237194_000000000000001</t>
  </si>
  <si>
    <t>M_0000_00000233953_000000000000001</t>
  </si>
  <si>
    <t>M_0000_00000236098_000000000000001</t>
  </si>
  <si>
    <t>2020-08-15</t>
  </si>
  <si>
    <t>M_0000_00000242358_000000000000001</t>
  </si>
  <si>
    <t>M_0000_00000242356_000000000000001</t>
  </si>
  <si>
    <t>M_0000_00000242359_000000000000001</t>
  </si>
  <si>
    <t>M_0000_00000239411_000000000000001</t>
  </si>
  <si>
    <t>2021-04-15</t>
  </si>
  <si>
    <t>M_0000_00000237786_000000000000001</t>
  </si>
  <si>
    <t>M_0000_00000237778_000000000000001</t>
  </si>
  <si>
    <t>M_0000_00000237967_000000000000001</t>
  </si>
  <si>
    <t>M_0000_00000241696_000000000000001</t>
  </si>
  <si>
    <t>M_0000_00000237968_000000000000001</t>
  </si>
  <si>
    <t>M_0000_00000237365_000000000000002</t>
  </si>
  <si>
    <t>M_0000_00000237365_000000000000001</t>
  </si>
  <si>
    <t>M_0000_00000237365_000000000000003</t>
  </si>
  <si>
    <t>M_0000_00000237245_000000000000001</t>
  </si>
  <si>
    <t>2020-12-01</t>
  </si>
  <si>
    <t>M_0000_00000237244_000000000000001</t>
  </si>
  <si>
    <t>M_0000_00000237269_000000000000001</t>
  </si>
  <si>
    <t>M_0000_00000242022_000000000000001</t>
  </si>
  <si>
    <t>M_0000_00000242020_000000000000001</t>
  </si>
  <si>
    <t>M_0000_00000213179_000000000000001</t>
  </si>
  <si>
    <t>2016-04-01</t>
  </si>
  <si>
    <t>M_0000_00000230373_000000000000001</t>
  </si>
  <si>
    <t>M_0000_00000236831_000000000000001</t>
  </si>
  <si>
    <t>M_0000_00000225243_000000000000001</t>
  </si>
  <si>
    <t>M_0000_00000238044_000000000000001</t>
  </si>
  <si>
    <t>M_0000_00000236081_000000000000001</t>
  </si>
  <si>
    <t>M_0000_00000237393_000000000000001</t>
  </si>
  <si>
    <t>M_0000_00000237393_000000000000002</t>
  </si>
  <si>
    <t>M_0000_00000220615_000000000000025</t>
  </si>
  <si>
    <t>2017-10-15</t>
  </si>
  <si>
    <t>M_0000_00000220615_000000000000007</t>
  </si>
  <si>
    <t>M_0000_00000220615_000000000000019</t>
  </si>
  <si>
    <t>M_0000_00000220615_000000000000004</t>
  </si>
  <si>
    <t>M_0000_00000220615_000000000000013</t>
  </si>
  <si>
    <t>M_0000_00000220615_000000000000001</t>
  </si>
  <si>
    <t>M_0000_00000220615_000000000000022</t>
  </si>
  <si>
    <t>M_0000_00000220615_000000000000016</t>
  </si>
  <si>
    <t>M_0000_00000220615_000000000000010</t>
  </si>
  <si>
    <t>M_0000_00000220615_000000000000028</t>
  </si>
  <si>
    <t>M_0000_00000238257_000000000000001</t>
  </si>
  <si>
    <t>M_0000_00000232776_000000000000001</t>
  </si>
  <si>
    <t>M_0000_00000230704_000000000000001</t>
  </si>
  <si>
    <t>M_0000_00000224857_000000000000001</t>
  </si>
  <si>
    <t>2018-07-15</t>
  </si>
  <si>
    <t>M_0000_00000224281_000000000000001</t>
  </si>
  <si>
    <t>M_0000_00000237173_000000000000001</t>
  </si>
  <si>
    <t>2020-11-01</t>
  </si>
  <si>
    <t>M_0000_00000222382_000000000000001</t>
  </si>
  <si>
    <t>2018-03-15</t>
  </si>
  <si>
    <t>M_0000_00000222286_000000000000001</t>
  </si>
  <si>
    <t>M_0000_00000223470_000000000000001</t>
  </si>
  <si>
    <t>M_0000_00000228346_000000000000002</t>
  </si>
  <si>
    <t>M_0000_00000228346_000000000000001</t>
  </si>
  <si>
    <t>M_0000_00000236251_000000000000001</t>
  </si>
  <si>
    <t>M_0000_00000237214_000000000000003</t>
  </si>
  <si>
    <t>M_0000_00000237214_000000000000002</t>
  </si>
  <si>
    <t>M_0000_00000237214_000000000000001</t>
  </si>
  <si>
    <t>M_0000_00000237417_000000000000001</t>
  </si>
  <si>
    <t>M_0000_00000235921_000000000000001</t>
  </si>
  <si>
    <t>2020-09-15</t>
  </si>
  <si>
    <t>M_0000_00000241484_000000000000001</t>
  </si>
  <si>
    <t>M_0000_00000237060_000000000000001</t>
  </si>
  <si>
    <t>M_0000_00000223911_000000000000001</t>
  </si>
  <si>
    <t>M_0000_00000236893_000000000000001</t>
  </si>
  <si>
    <t>M_0000_00000236893_000000000000002</t>
  </si>
  <si>
    <t>M_0000_00000221821_000000000000001</t>
  </si>
  <si>
    <t>M_0000_00000221760_000000000000001</t>
  </si>
  <si>
    <t>M_0000_00000237198_000000000000002</t>
  </si>
  <si>
    <t>M_0000_00000237198_000000000000001</t>
  </si>
  <si>
    <t>M_0000_00000220136_000000000000013</t>
  </si>
  <si>
    <t>2017-09-01</t>
  </si>
  <si>
    <t>M_0000_00000220136_000000000000005</t>
  </si>
  <si>
    <t>M_0000_00000220136_000000000000001</t>
  </si>
  <si>
    <t>M_0000_00000220136_000000000000009</t>
  </si>
  <si>
    <t>M_0000_00000220557_000000000000001</t>
  </si>
  <si>
    <t>2017-09-15</t>
  </si>
  <si>
    <t>M_0000_00000228351_000000000000002</t>
  </si>
  <si>
    <t>M_0000_00000228351_000000000000001</t>
  </si>
  <si>
    <t>M_0000_00000220119_000000000000003</t>
  </si>
  <si>
    <t>M_0000_00000220119_000000000000007</t>
  </si>
  <si>
    <t>M_0000_00000220119_000000000000001</t>
  </si>
  <si>
    <t>M_0000_00000220119_000000000000009</t>
  </si>
  <si>
    <t>M_0000_00000220119_000000000000005</t>
  </si>
  <si>
    <t>M_0000_00000236595_000000000000001</t>
  </si>
  <si>
    <t>M_0000_00000220134_000000000000001</t>
  </si>
  <si>
    <t>M_0000_00000222560_000000000000007</t>
  </si>
  <si>
    <t>2018-05-15</t>
  </si>
  <si>
    <t>M_0000_00000222560_000000000000001</t>
  </si>
  <si>
    <t>M_0000_00000222560_000000000000003</t>
  </si>
  <si>
    <t>M_0000_00000222560_000000000000009</t>
  </si>
  <si>
    <t>M_0000_00000222560_000000000000002</t>
  </si>
  <si>
    <t>M_0000_00000222560_000000000000010</t>
  </si>
  <si>
    <t>M_0000_00000222560_000000000000008</t>
  </si>
  <si>
    <t>M_0000_00000222560_000000000000004</t>
  </si>
  <si>
    <t>M_0000_00000222560_000000000000005</t>
  </si>
  <si>
    <t>M_0000_00000222560_000000000000006</t>
  </si>
  <si>
    <t>M_0000_00000242021_000000000000001</t>
  </si>
  <si>
    <t>M_0000_00000235913_000000000000001</t>
  </si>
  <si>
    <t>2020-08-01</t>
  </si>
  <si>
    <t>M_0000_00000236276_000000000000001</t>
  </si>
  <si>
    <t>M_0000_00000241184_000000000000001</t>
  </si>
  <si>
    <t>M_0000_00000241184_000000000000002</t>
  </si>
  <si>
    <t>M_0000_00000240578_000000000000001</t>
  </si>
  <si>
    <t>M_0000_00000237080_000000000000001</t>
  </si>
  <si>
    <t>M_0000_00000241780_000000000000001</t>
  </si>
  <si>
    <t>M_0000_00000241666_000000000000001</t>
  </si>
  <si>
    <t>M_0000_00008047036_000000000000001</t>
  </si>
  <si>
    <t>VEH19</t>
  </si>
  <si>
    <t>M_0000_00008047037_000000000000001</t>
  </si>
  <si>
    <t>M_0000_00000223799_000000000000001</t>
  </si>
  <si>
    <t>M_0000_00000231578_000000000000001</t>
  </si>
  <si>
    <t>M_0000_00008046232_000000000000001</t>
  </si>
  <si>
    <t>M_0000_00000235667_000000000000002</t>
  </si>
  <si>
    <t>M_0000_00000235667_000000000000001</t>
  </si>
  <si>
    <t>M_0000_00000236495_000000000000005</t>
  </si>
  <si>
    <t>M_0000_00000236495_000000000000003</t>
  </si>
  <si>
    <t>M_0000_00000236495_000000000000001</t>
  </si>
  <si>
    <t>M_0000_00000236495_000000000000004</t>
  </si>
  <si>
    <t>M_0000_00000236495_000000000000002</t>
  </si>
  <si>
    <t>M_0000_00000236461_000000000000009</t>
  </si>
  <si>
    <t>M_0000_00000236461_000000000000007</t>
  </si>
  <si>
    <t>M_0000_00000236461_000000000000010</t>
  </si>
  <si>
    <t>M_0000_00000236461_000000000000008</t>
  </si>
  <si>
    <t>M_0000_00000236461_000000000000002</t>
  </si>
  <si>
    <t>M_0000_00000236461_000000000000004</t>
  </si>
  <si>
    <t>M_0000_00000236461_000000000000005</t>
  </si>
  <si>
    <t>M_0000_00000236461_000000000000003</t>
  </si>
  <si>
    <t>M_0000_00000236461_000000000000006</t>
  </si>
  <si>
    <t>M_0000_00000236461_000000000000001</t>
  </si>
  <si>
    <t>M_0000_00008046299_000000000000001</t>
  </si>
  <si>
    <t>M_0000_00000228146_000000000000001</t>
  </si>
  <si>
    <t>M_0000_00000228145_000000000000001</t>
  </si>
  <si>
    <t>M_0000_00000220959_000000000000001</t>
  </si>
  <si>
    <t>M_0000_00000220959_000000000000004</t>
  </si>
  <si>
    <t>M_0000_00000220959_000000000000002</t>
  </si>
  <si>
    <t>M_0000_00000220959_000000000000003</t>
  </si>
  <si>
    <t>M_0000_00000220959_000000000000005</t>
  </si>
  <si>
    <t>M_0000_00000231471_000000000000001</t>
  </si>
  <si>
    <t>M_0000_00000235405_000000000000001</t>
  </si>
  <si>
    <t>M_0000_00000235653_000000000000001</t>
  </si>
  <si>
    <t>M_0000_00000228400_000000000000001</t>
  </si>
  <si>
    <t>M_0000_00008045246_000000000000001</t>
  </si>
  <si>
    <t>M_0000_00000244126_000000000000001</t>
  </si>
  <si>
    <t>M_0000_00008047123_000000000000001</t>
  </si>
  <si>
    <t>2025-06-27</t>
  </si>
  <si>
    <t>M_0000_00008047033_000000000000001</t>
  </si>
  <si>
    <t>2025-06-06</t>
  </si>
  <si>
    <t>M_0000_00008046823_000000000000001</t>
  </si>
  <si>
    <t>M_0000_00008046656_000000000000001</t>
  </si>
  <si>
    <t>M_0000_00008046853_000000000000001</t>
  </si>
  <si>
    <t>M_0000_00000223094_000000000000004</t>
  </si>
  <si>
    <t>M_0000_00000223094_000000000000002</t>
  </si>
  <si>
    <t>M_0000_00000223094_000000000000001</t>
  </si>
  <si>
    <t>M_0000_00000223094_000000000000003</t>
  </si>
  <si>
    <t>M_0000_00000237310_000000000000002</t>
  </si>
  <si>
    <t>M_0000_00000237310_000000000000001</t>
  </si>
  <si>
    <t>M_0000_00008046033_000000000000001</t>
  </si>
  <si>
    <t>M_0000_00008046254_000000000000001</t>
  </si>
  <si>
    <t>M_0000_00008045119_000000000000001</t>
  </si>
  <si>
    <t>M_0000_00000249784_000000000000001</t>
  </si>
  <si>
    <t>M_0000_00008046130_000000000000001</t>
  </si>
  <si>
    <t>M_0000_00000249361_000000000000001</t>
  </si>
  <si>
    <t>M_0000_00000241586_000000000000001</t>
  </si>
  <si>
    <t>2021-08-01</t>
  </si>
  <si>
    <t>M_0000_00000241584_000000000000001</t>
  </si>
  <si>
    <t>M_0000_00000241585_000000000000001</t>
  </si>
  <si>
    <t>M_0000_00000241583_000000000000001</t>
  </si>
  <si>
    <t>M_0000_00000241587_000000000000001</t>
  </si>
  <si>
    <t>M_0000_00000241583_000000000000002</t>
  </si>
  <si>
    <t>M_0000_00000241587_000000000000002</t>
  </si>
  <si>
    <t>M_0000_00000241581_000000000000001</t>
  </si>
  <si>
    <t>M_0000_00000241698_000000000000001</t>
  </si>
  <si>
    <t>M_0000_00000241698_000000000000002</t>
  </si>
  <si>
    <t>M_0000_00000241697_000000000000001</t>
  </si>
  <si>
    <t>M_0000_00000241697_000000000000002</t>
  </si>
  <si>
    <t>M_0000_00000248935_000000000000001</t>
  </si>
  <si>
    <t>VEH09</t>
  </si>
  <si>
    <t>M_0000_00000251583_000000000000001</t>
  </si>
  <si>
    <t>2025-05-20</t>
  </si>
  <si>
    <t>M_0000_00008045944_000000000000001</t>
  </si>
  <si>
    <t>M_0000_00000236436_000000000000001</t>
  </si>
  <si>
    <t>M_0000_00000235903_000000000000001</t>
  </si>
  <si>
    <t>M_0000_00000228214_000000000000001</t>
  </si>
  <si>
    <t>M_0000_00000248786_000000000000001</t>
  </si>
  <si>
    <t>M_0000_00000236199_000000000000001</t>
  </si>
  <si>
    <t>M_0000_00000225725_000000000000001</t>
  </si>
  <si>
    <t>M_0000_00000225725_000000000000002</t>
  </si>
  <si>
    <t>M_0000_00000248251_000000000000001</t>
  </si>
  <si>
    <t>M_0000_00000227269_000000000000001</t>
  </si>
  <si>
    <t>2019-02-01</t>
  </si>
  <si>
    <t>M_0000_00000251203_000000000000001</t>
  </si>
  <si>
    <t>M_0000_00000251108_000000000000002</t>
  </si>
  <si>
    <t>M_0000_00000251108_000000000000001</t>
  </si>
  <si>
    <t>M_0000_00000251108_000000000000003</t>
  </si>
  <si>
    <t>M_0000_00000246902_000000000000001</t>
  </si>
  <si>
    <t>M_0000_00000250891_000000000000001</t>
  </si>
  <si>
    <t>M_0000_00000250809_000000000000001</t>
  </si>
  <si>
    <t>M_0000_00000250480_000000000000001</t>
  </si>
  <si>
    <t>M_0000_00000216667_000000000000001</t>
  </si>
  <si>
    <t>2016-12-15</t>
  </si>
  <si>
    <t>M_0000_00000250840_000000000000001</t>
  </si>
  <si>
    <t>M_0000_00000249948_000000000000001</t>
  </si>
  <si>
    <t>M_0000_00000250373_000000000000001</t>
  </si>
  <si>
    <t>M_0000_00000250980_000000000000001</t>
  </si>
  <si>
    <t>M_0000_00000247433_000000000000001</t>
  </si>
  <si>
    <t>M_0000_00000247433_000000000000003</t>
  </si>
  <si>
    <t>M_0000_00000247433_000000000000004</t>
  </si>
  <si>
    <t>M_0000_00000247433_000000000000002</t>
  </si>
  <si>
    <t>M_0000_00000247433_000000000000005</t>
  </si>
  <si>
    <t>M_0000_00000249278_000000000000001</t>
  </si>
  <si>
    <t>M_0000_00000250050_000000000000001</t>
  </si>
  <si>
    <t>M_0000_00000222752_000000000000001</t>
  </si>
  <si>
    <t>M_0000_00000222210_000000000000001</t>
  </si>
  <si>
    <t>M_0000_00000251193_000000000000001</t>
  </si>
  <si>
    <t>M_0000_00000222628_000000000000001</t>
  </si>
  <si>
    <t>M_0000_00000247318_000000000000002</t>
  </si>
  <si>
    <t>M_0000_00000247318_000000000000001</t>
  </si>
  <si>
    <t>M_0000_00000250440_000000000000001</t>
  </si>
  <si>
    <t>M_0000_00000250422_000000000000001</t>
  </si>
  <si>
    <t>M_0000_00000250368_000000000000001</t>
  </si>
  <si>
    <t>M_0000_00000251350_000000000000001</t>
  </si>
  <si>
    <t>2025-04-22</t>
  </si>
  <si>
    <t>M_0000_00000250402_000000000000001</t>
  </si>
  <si>
    <t>M_0000_00000251386_000000000000001</t>
  </si>
  <si>
    <t>M_0000_00000249070_000000000000001</t>
  </si>
  <si>
    <t>M_0000_00000247289_000000000000001</t>
  </si>
  <si>
    <t>M_0000_00000249719_000000000000001</t>
  </si>
  <si>
    <t>M_0000_00008044578_000000000000001</t>
  </si>
  <si>
    <t>M_0000_00005112968_000000000000001</t>
  </si>
  <si>
    <t>M_0000_00000249720_000000000000001</t>
  </si>
  <si>
    <t>M_0000_00000248717_000000000000001</t>
  </si>
  <si>
    <t>M_0000_00000249410_000000000000001</t>
  </si>
  <si>
    <t>M_0000_00000249581_000000000000001</t>
  </si>
  <si>
    <t>M_0000_00000248683_000000000000001</t>
  </si>
  <si>
    <t>M_0000_00005117994_000000000000001</t>
  </si>
  <si>
    <t>M_0000_00000247037_000000000000001</t>
  </si>
  <si>
    <t>M_0000_00000251448_000000000000001</t>
  </si>
  <si>
    <t>2025-05-14</t>
  </si>
  <si>
    <t>M_0000_00000248838_000000000000001</t>
  </si>
  <si>
    <t>M_0000_00000248839_000000000000001</t>
  </si>
  <si>
    <t>M_0000_00000245978_000000000000001</t>
  </si>
  <si>
    <t>M_0000_00008043991_000000000000001</t>
  </si>
  <si>
    <t>M_0000_00000249691_000000000000001</t>
  </si>
  <si>
    <t>M_0000_00000245018_000000000000001</t>
  </si>
  <si>
    <t>M_0000_00000249536_000000000000001</t>
  </si>
  <si>
    <t>M_0000_00000247813_000000000000001</t>
  </si>
  <si>
    <t>M_0000_00000248929_000000000000001</t>
  </si>
  <si>
    <t>M_0000_00000250092_000000000000001</t>
  </si>
  <si>
    <t>M_0000_00000247610_000000000000001</t>
  </si>
  <si>
    <t>M_0000_00000248339_000000000000001</t>
  </si>
  <si>
    <t>M_0000_00000248340_000000000000001</t>
  </si>
  <si>
    <t>M_0000_00000246740_000000000000001</t>
  </si>
  <si>
    <t>M_0000_00000248146_000000000000001</t>
  </si>
  <si>
    <t>M_0000_00000247428_000000000000001</t>
  </si>
  <si>
    <t>M_0000_00000246742_000000000000001</t>
  </si>
  <si>
    <t>M_0000_00005112983_000000000000001</t>
  </si>
  <si>
    <t>M_0000_00000246263_000000000000001</t>
  </si>
  <si>
    <t>M_0000_00008040651_000000000000001</t>
  </si>
  <si>
    <t>M_0000_00008044279_000000000000001</t>
  </si>
  <si>
    <t>M_0000_00000244968_000000000000001</t>
  </si>
  <si>
    <t>M_0000_00000245559_000000000000001</t>
  </si>
  <si>
    <t>M_0000_00008045146_000000000000001</t>
  </si>
  <si>
    <t>M_0000_00005112972_000000000000001</t>
  </si>
  <si>
    <t>M_0000_00000239627_000000000000001</t>
  </si>
  <si>
    <t>M_0000_00000246936_000000000000001</t>
  </si>
  <si>
    <t>M_0000_00005112444_000000000000001</t>
  </si>
  <si>
    <t>M_0000_00000251015_000000000000001</t>
  </si>
  <si>
    <t>M_0000_00000246804_000000000000001</t>
  </si>
  <si>
    <t>M_0000_00008044769_000000000000001</t>
  </si>
  <si>
    <t>M_0000_00000238587_000000000000001</t>
  </si>
  <si>
    <t>2021-01-15</t>
  </si>
  <si>
    <t>M_0000_00000241311_000000000000005</t>
  </si>
  <si>
    <t>M_0000_00000241142_000000000000002</t>
  </si>
  <si>
    <t>M_0000_00000240879_000000000000001</t>
  </si>
  <si>
    <t>M_0000_00000229843_000000000000001</t>
  </si>
  <si>
    <t>2019-07-01</t>
  </si>
  <si>
    <t>M_0000_00000221101_000000000000002</t>
  </si>
  <si>
    <t>2018-02-01</t>
  </si>
  <si>
    <t>M_0000_00000221101_000000000000001</t>
  </si>
  <si>
    <t>M_0000_00000241311_000000000000001</t>
  </si>
  <si>
    <t>M_0000_00000241311_000000000000004</t>
  </si>
  <si>
    <t>M_0000_00000235719_000000000000001</t>
  </si>
  <si>
    <t>2020-07-01</t>
  </si>
  <si>
    <t>M_0000_00000222064_000000000000001</t>
  </si>
  <si>
    <t>2018-01-01</t>
  </si>
  <si>
    <t>M_0000_00000241142_000000000000001</t>
  </si>
  <si>
    <t>M_0000_00000241311_000000000000003</t>
  </si>
  <si>
    <t>M_0000_00000241311_000000000000002</t>
  </si>
  <si>
    <t>M_0000_00000226656_000000000000001</t>
  </si>
  <si>
    <t>M_0000_00000222384_000000000000001</t>
  </si>
  <si>
    <t>M_0000_00000222383_000000000000001</t>
  </si>
  <si>
    <t>M_0000_00000222287_000000000000001</t>
  </si>
  <si>
    <t>M_0000_00000222385_000000000000001</t>
  </si>
  <si>
    <t>M_0000_00000226281_000000000000002</t>
  </si>
  <si>
    <t>M_0000_00000226281_000000000000001</t>
  </si>
  <si>
    <t>M_0000_00000235114_000000000000004</t>
  </si>
  <si>
    <t>M_0000_00000235114_000000000000006</t>
  </si>
  <si>
    <t>M_0000_00000230548_000000000000001</t>
  </si>
  <si>
    <t>M_0000_00000241338_000000000000001</t>
  </si>
  <si>
    <t>M_0000_00000241338_000000000000002</t>
  </si>
  <si>
    <t>M_0000_00000235822_000000000000001</t>
  </si>
  <si>
    <t>M_0000_00000240971_000000000000001</t>
  </si>
  <si>
    <t>M_0000_00000244921_000000000000001</t>
  </si>
  <si>
    <t>M_0000_00000236408_000000000000001</t>
  </si>
  <si>
    <t>M_0000_00000236407_000000000000001</t>
  </si>
  <si>
    <t>M_0000_00000246932_000000000000001</t>
  </si>
  <si>
    <t>M_0000_00000244846_000000000000001</t>
  </si>
  <si>
    <t>M_0000_00008046615_000000000000001</t>
  </si>
  <si>
    <t>M_0000_00000247423_000000000000001</t>
  </si>
  <si>
    <t>M_0000_00000244737_000000000000001</t>
  </si>
  <si>
    <t>M_0000_00000229871_000000000000001</t>
  </si>
  <si>
    <t>M_0000_00008044516_000000000000001</t>
  </si>
  <si>
    <t>M_0000_00005111711_000000000000001</t>
  </si>
  <si>
    <t>M_0000_00000244924_000000000000001</t>
  </si>
  <si>
    <t>M_0000_00000245344_000000000000001</t>
  </si>
  <si>
    <t>M_0000_00000245344_000000000000002</t>
  </si>
  <si>
    <t>M_0000_00000245155_000000000000002</t>
  </si>
  <si>
    <t>M_0000_00000245155_000000000000001</t>
  </si>
  <si>
    <t>M_0000_00000244427_000000000000001</t>
  </si>
  <si>
    <t>M_0000_00008046280_000000000000001</t>
  </si>
  <si>
    <t>M_0000_00008043956_000000000000001</t>
  </si>
  <si>
    <t>M_0000_00000244259_000000000000001</t>
  </si>
  <si>
    <t>M_0000_00008043033_000000000000001</t>
  </si>
  <si>
    <t>M_0000_00000242988_000000000000001</t>
  </si>
  <si>
    <t>M_0000_00008045746_000000000000001</t>
  </si>
  <si>
    <t>M_0000_00000244926_000000000000001</t>
  </si>
  <si>
    <t>SCOPE_2</t>
  </si>
  <si>
    <t>M_0000_00000251585_000000000000001</t>
  </si>
  <si>
    <t>2025-06-03</t>
  </si>
  <si>
    <t>M_0000_00008046190_000000000000001</t>
  </si>
  <si>
    <t>M_0000_00000244712_000000000000002</t>
  </si>
  <si>
    <t>M_0000_00000244712_000000000000003</t>
  </si>
  <si>
    <t>M_0000_00000244712_000000000000001</t>
  </si>
  <si>
    <t>M_0000_00000244712_000000000000004</t>
  </si>
  <si>
    <t>M_0000_00008045930_000000000000001</t>
  </si>
  <si>
    <t>M_0000_00000234069_000000000000001</t>
  </si>
  <si>
    <t>M_0000_00000244074_000000000000001</t>
  </si>
  <si>
    <t>M_0000_00000246297_000000000000001</t>
  </si>
  <si>
    <t>M_0000_00008046214_000000000000001</t>
  </si>
  <si>
    <t>M_0000_00000233398_000000000000001</t>
  </si>
  <si>
    <t>M_0000_00000233496_000000000000001</t>
  </si>
  <si>
    <t>M_0000_00008045510_000000000000001</t>
  </si>
  <si>
    <t>M_0000_00008043783_000000000000001</t>
  </si>
  <si>
    <t>M_0000_00000242683_000000000000001</t>
  </si>
  <si>
    <t>M_0000_00005111681_000000000000001</t>
  </si>
  <si>
    <t>M_0000_00000233627_000000000000001</t>
  </si>
  <si>
    <t>M_0000_00000232183_000000000000001</t>
  </si>
  <si>
    <t>2019-12-01</t>
  </si>
  <si>
    <t>M_0000_00000232302_000000000000001</t>
  </si>
  <si>
    <t>M_0000_00000251248_000000000000001</t>
  </si>
  <si>
    <t>M_0000_00000251773_000000000000001</t>
  </si>
  <si>
    <t>2025-06-09</t>
  </si>
  <si>
    <t>M_0000_00000224698_000000000000001</t>
  </si>
  <si>
    <t>2018-08-01</t>
  </si>
  <si>
    <t>M_0000_00008045150_000000000000001</t>
  </si>
  <si>
    <t>M_0000_00000241826_000000000000001</t>
  </si>
  <si>
    <t>M_0000_00008045381_000000000000001</t>
  </si>
  <si>
    <t>M_0000_00000244339_000000000000001</t>
  </si>
  <si>
    <t>M_0000_00008043496_000000000000001</t>
  </si>
  <si>
    <t>M_0000_00000250399_000000000000001</t>
  </si>
  <si>
    <t>M_0000_00000231450_000000000000001</t>
  </si>
  <si>
    <t>2019-10-01</t>
  </si>
  <si>
    <t>M_0000_00000231451_000000000000001</t>
  </si>
  <si>
    <t>M_0000_00000231449_000000000000001</t>
  </si>
  <si>
    <t>M_0000_00000233498_000000000000001</t>
  </si>
  <si>
    <t>M_0000_00000251390_000000000000001</t>
  </si>
  <si>
    <t>M_0000_00008043505_000000000000001</t>
  </si>
  <si>
    <t>M_0000_00000242726_000000000000001</t>
  </si>
  <si>
    <t>M_0000_00008045534_000000000000001</t>
  </si>
  <si>
    <t>M_0000_00000249097_000000000000001</t>
  </si>
  <si>
    <t>M_0000_00000231540_000000000000001</t>
  </si>
  <si>
    <t>M_0000_00000251679_000000000000001</t>
  </si>
  <si>
    <t>M_0000_00000230762_000000000000001</t>
  </si>
  <si>
    <t>M_0000_00000249591_000000000000001</t>
  </si>
  <si>
    <t>M_0000_00000242695_000000000000001</t>
  </si>
  <si>
    <t>M_0000_00000244789_000000000000001</t>
  </si>
  <si>
    <t>M_0000_00000242775_000000000000001</t>
  </si>
  <si>
    <t>M_0000_00000233485_000000000000001</t>
  </si>
  <si>
    <t>M_0000_00000244445_000000000000001</t>
  </si>
  <si>
    <t>M_0000_00000242519_000000000000001</t>
  </si>
  <si>
    <t>M_0000_00000226567_000000000000001</t>
  </si>
  <si>
    <t>M_0000_00000241457_000000000000001</t>
  </si>
  <si>
    <t>M_0000_00005103485_000000000000001</t>
  </si>
  <si>
    <t>M_0000_00000239838_000000000000001</t>
  </si>
  <si>
    <t>M_0000_00000251599_000000000000001</t>
  </si>
  <si>
    <t>M_0000_00000251600_000000000000001</t>
  </si>
  <si>
    <t>M_0000_00000251598_000000000000001</t>
  </si>
  <si>
    <t>2025-06-11</t>
  </si>
  <si>
    <t>M_0000_00000251597_000000000000001</t>
  </si>
  <si>
    <t>M_0000_00000251596_000000000000001</t>
  </si>
  <si>
    <t>M_0000_00005110494_000000000000001</t>
  </si>
  <si>
    <t>M_0000_00008044909_000000000000001</t>
  </si>
  <si>
    <t>M_0000_00000246095_000000000000001</t>
  </si>
  <si>
    <t>M_0000_00005105881_000000000000001</t>
  </si>
  <si>
    <t>M_0000_00000226949_000000000000001</t>
  </si>
  <si>
    <t>M_0000_00008043978_000000000000001</t>
  </si>
  <si>
    <t>M_0000_00000250728_000000000000002</t>
  </si>
  <si>
    <t>M_0000_00000250728_000000000000001</t>
  </si>
  <si>
    <t>M_0000_00000246004_000000000000001</t>
  </si>
  <si>
    <t>M_0000_00000239270_000000000000001</t>
  </si>
  <si>
    <t>M_0000_00000241086_000000000000001</t>
  </si>
  <si>
    <t>M_0000_00008042332_000000000000001</t>
  </si>
  <si>
    <t>M_0000_00000236418_000000000000001</t>
  </si>
  <si>
    <t>M_0000_00000244792_000000000000001</t>
  </si>
  <si>
    <t>M_0000_00000226951_000000000000001</t>
  </si>
  <si>
    <t>M_0000_00000244899_000000000000001</t>
  </si>
  <si>
    <t>M_0000_00000239984_000000000000001</t>
  </si>
  <si>
    <t>M_0000_00000240160_000000000000001</t>
  </si>
  <si>
    <t>M_0000_00008041979_000000000000001</t>
  </si>
  <si>
    <t>M_0000_00000240105_000000000000001</t>
  </si>
  <si>
    <t>M_0000_00000235249_000000000000001</t>
  </si>
  <si>
    <t>M_0000_00000247646_000000000000003</t>
  </si>
  <si>
    <t>M_0000_00000247646_000000000000001</t>
  </si>
  <si>
    <t>M_0000_00000247646_000000000000002</t>
  </si>
  <si>
    <t>M_0000_00000230038_000000000000002</t>
  </si>
  <si>
    <t>M_0000_00000230038_000000000000003</t>
  </si>
  <si>
    <t>M_0000_00000230038_000000000000001</t>
  </si>
  <si>
    <t>M_0000_00000238233_000000000000001</t>
  </si>
  <si>
    <t>M_0000_00000226468_000000000000002</t>
  </si>
  <si>
    <t>M_0000_00000226468_000000000000001</t>
  </si>
  <si>
    <t>M_0000_00000231492_000000000000001</t>
  </si>
  <si>
    <t>M_0000_00000231492_000000000000002</t>
  </si>
  <si>
    <t>M_0000_00000246481_000000000000001</t>
  </si>
  <si>
    <t>M_0000_00005108833_000000000000001</t>
  </si>
  <si>
    <t>M_0000_00000242408_000000000000001</t>
  </si>
  <si>
    <t>M_0000_00000226343_000000000000001</t>
  </si>
  <si>
    <t>M_0000_00000244933_000000000000001</t>
  </si>
  <si>
    <t>M_0000_00000244934_000000000000001</t>
  </si>
  <si>
    <t>M_0000_00000238169_000000000000001</t>
  </si>
  <si>
    <t>M_0000_00000246662_000000000000001</t>
  </si>
  <si>
    <t>M_0000_00000246660_000000000000001</t>
  </si>
  <si>
    <t>M_0000_00000246661_000000000000001</t>
  </si>
  <si>
    <t>M_0000_00005109053_000000000000001</t>
  </si>
  <si>
    <t>M_0000_00000242619_000000000000005</t>
  </si>
  <si>
    <t>M_0000_00000242619_000000000000004</t>
  </si>
  <si>
    <t>M_0000_00000242619_000000000000001</t>
  </si>
  <si>
    <t>M_0000_00000242619_000000000000003</t>
  </si>
  <si>
    <t>M_0000_00000242619_000000000000002</t>
  </si>
  <si>
    <t>M_0000_00000225790_000000000000001</t>
  </si>
  <si>
    <t>M_0000_00000237230_000000000000001</t>
  </si>
  <si>
    <t>M_0000_00000237973_000000000000001</t>
  </si>
  <si>
    <t>M_0000_00000245052_000000000000001</t>
  </si>
  <si>
    <t>M_0000_00000245053_000000000000001</t>
  </si>
  <si>
    <t>M_0000_00000245054_000000000000003</t>
  </si>
  <si>
    <t>M_0000_00000245054_000000000000002</t>
  </si>
  <si>
    <t>M_0000_00000245054_000000000000001</t>
  </si>
  <si>
    <t>M_0000_00000244123_000000000000001</t>
  </si>
  <si>
    <t>M_0000_00000237170_000000000000001</t>
  </si>
  <si>
    <t>M_0000_00000231479_000000000000001</t>
  </si>
  <si>
    <t>M_0000_00000237766_000000000000001</t>
  </si>
  <si>
    <t>M_0000_00000229361_000000000000001</t>
  </si>
  <si>
    <t>M_0000_00000228646_000000000000001</t>
  </si>
  <si>
    <t>M_0000_00000237168_000000000000001</t>
  </si>
  <si>
    <t>M_0000_00000237039_000000000000001</t>
  </si>
  <si>
    <t>M_0000_00000230306_000000000000001</t>
  </si>
  <si>
    <t>M_0000_00000243180_000000000000001</t>
  </si>
  <si>
    <t>M_0000_00000234402_000000000000001</t>
  </si>
  <si>
    <t>M_0000_00000244736_000000000000001</t>
  </si>
  <si>
    <t>M_0000_00000236612_000000000000001</t>
  </si>
  <si>
    <t>M_0000_00000236494_000000000000001</t>
  </si>
  <si>
    <t>M_0000_00000222491_000000000000001</t>
  </si>
  <si>
    <t>M_0000_00000245181_000000000000001</t>
  </si>
  <si>
    <t>M_0000_00000245062_000000000000001</t>
  </si>
  <si>
    <t>M_0000_00000240735_000000000000001</t>
  </si>
  <si>
    <t>M_0000_00000235342_000000000000001</t>
  </si>
  <si>
    <t>M_0000_00000226375_000000000000001</t>
  </si>
  <si>
    <t>M_0000_00000235343_000000000000001</t>
  </si>
  <si>
    <t>M_0000_00000235609_000000000000001</t>
  </si>
  <si>
    <t>M_0000_00000235611_000000000000001</t>
  </si>
  <si>
    <t>M_0000_00000235610_000000000000001</t>
  </si>
  <si>
    <t>M_0000_00000244050_000000000000001</t>
  </si>
  <si>
    <t>M_0000_00000241521_000000000000001</t>
  </si>
  <si>
    <t>M_0000_00000241226_000000000000001</t>
  </si>
  <si>
    <t>M_0000_00000235723_000000000000001</t>
  </si>
  <si>
    <t>Row Labels</t>
  </si>
  <si>
    <t>Grand Total</t>
  </si>
  <si>
    <t>Sum of GHG_FINANCED_EMISSIONS</t>
  </si>
  <si>
    <t>Coluna A,B e C da tabela de emissões financiadas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</si>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</sst>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0" fillId="2" borderId="0" xfId="0" applyFill="1"/>
    <xf numFmtId="4" fontId="0" fillId="2" borderId="0" xfId="0" applyNumberFormat="1" applyFill="1"/>
    <xf numFmtId="0" fontId="0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élder Filipe Felicidade Fernandes" refreshedDate="45887.252757754628" createdVersion="6" refreshedVersion="6" minRefreshableVersion="3" recordCount="1414">
  <cacheSource type="worksheet">
    <worksheetSource ref="A1:L1415" sheet="Sheet1"/>
  </cacheSource>
  <cacheFields count="12">
    <cacheField name="INSTRMNT_ID" numFmtId="0">
      <sharedItems count="948">
        <s v="89000000000213179000420000532622"/>
        <s v="89000000000216667000420000532622"/>
        <s v="89000000000220119000420000514177"/>
        <s v="89000000000220134000420000688408"/>
        <s v="89000000000220136000420000688408"/>
        <s v="89000000000220438000420000690115"/>
        <s v="89000000000220557000420000688408"/>
        <s v="89000000000220615000420000688408"/>
        <s v="89000000000220959000420000688408"/>
        <s v="89000000000221101000420000515640"/>
        <s v="89000000000221647000420000637589"/>
        <s v="89000000000221760000420000656779"/>
        <s v="89000000000221821000420000656779"/>
        <s v="89000000000222064000420000655540"/>
        <s v="89000000000222210000420000406521"/>
        <s v="89000000000222286000420000656779"/>
        <s v="89000000000222287000420000656779"/>
        <s v="89000000000222316000420000637589"/>
        <s v="89000000000222382000420000656779"/>
        <s v="89000000000222383000420000656779"/>
        <s v="89000000000222384000420000656779"/>
        <s v="89000000000222385000420000656779"/>
        <s v="89000000000222491000450000692226"/>
        <s v="89000000000222560000420000572087"/>
        <s v="89000000000222628000420000694212"/>
        <s v="89000000000222752000420000668649"/>
        <s v="89000000000222823000420000688408"/>
        <s v="89000000000222824000420000688408"/>
        <s v="89000000000222946000420000688408"/>
        <s v="89000000000223094000420000572087"/>
        <s v="89000000000223389000420000695941"/>
        <s v="89000000000223470000420000572690"/>
        <s v="89000000000223496000420000323345"/>
        <s v="89000000000223731000420000701006"/>
        <s v="89000000000223799000420000691486"/>
        <s v="89000000000223911000420000686286"/>
        <s v="89000000000224281000420000655462"/>
        <s v="89000000000224698000450000698852"/>
        <s v="89000000000224857000420000584506"/>
        <s v="89000000000224886000420000673677"/>
        <s v="89000000000225243000420000107842"/>
        <s v="89000000000225309000420000699772"/>
        <s v="89000000000225310000420000408655"/>
        <s v="89000000000225653000420000599212"/>
        <s v="89000000000225717000420000697701"/>
        <s v="89000000000225718000420000697701"/>
        <s v="89000000000225725000420000700416"/>
        <s v="89000000000225790000450000577934"/>
        <s v="89000000000225860000420000323345"/>
        <s v="89000000000226067000420000702029"/>
        <s v="89000000000226281000420000201143"/>
        <s v="89000000000226300000420000659907"/>
        <s v="89000000000226343000450000701206"/>
        <s v="89000000000226375000450000695757"/>
        <s v="89000000000226395000420000683673"/>
        <s v="89000000000226468000450000656519"/>
        <s v="89000000000226567000450000599212"/>
        <s v="89000000000226656000420000425938"/>
        <s v="89000000000226800000420000620890"/>
        <s v="89000000000226801000420000620890"/>
        <s v="89000000000226802000420000620890"/>
        <s v="89000000000226803000420000620890"/>
        <s v="89000000000226804000420000620890"/>
        <s v="89000000000226805000420000620890"/>
        <s v="89000000000226870000420000321896"/>
        <s v="89000000000226949000450000599212"/>
        <s v="89000000000226951000450000599212"/>
        <s v="89000000000227269000420000615225"/>
        <s v="89000000000227337000420000694212"/>
        <s v="89000000000227370000420000650440"/>
        <s v="89000000000227646000420000620890"/>
        <s v="89000000000227666000420000620890"/>
        <s v="89000000000227667000420000620890"/>
        <s v="89000000000227668000420000620890"/>
        <s v="89000000000227669000420000620890"/>
        <s v="89000000000227670000420000620890"/>
        <s v="89000000000227887000420000599212"/>
        <s v="89000000000227983000420000599212"/>
        <s v="89000000000228045000420000479718"/>
        <s v="89000000000228145000420000482273"/>
        <s v="89000000000228146000420000482273"/>
        <s v="89000000000228214000420000104205"/>
        <s v="89000000000228346000420000615225"/>
        <s v="89000000000228351000420000615225"/>
        <s v="89000000000228400000420000480431"/>
        <s v="89000000000228414000420000581769"/>
        <s v="89000000000228419000420000690608"/>
        <s v="89000000000228646000450000471908"/>
        <s v="89000000000228751000420000599212"/>
        <s v="89000000000228761000420000563407"/>
        <s v="89000000000229036000420000599212"/>
        <s v="89000000000229200000420000659907"/>
        <s v="89000000000229361000450000470321"/>
        <s v="89000000000229439000420000572690"/>
        <s v="89000000000229598000420000515640"/>
        <s v="89000000000229669000420000658958"/>
        <s v="89000000000229843000420000564660"/>
        <s v="89000000000229871000450000712994"/>
        <s v="89000000000229977000420000572690"/>
        <s v="89000000000230038000450000656519"/>
        <s v="89000000000230306000450000478258"/>
        <s v="89000000000230373000420000641587"/>
        <s v="89000000000230548000420000647903"/>
        <s v="89000000000230572000420000649591"/>
        <s v="89000000000230637000420000480114"/>
        <s v="89000000000230704000420000694045"/>
        <s v="89000000000230762000450000599212"/>
        <s v="89000000000230783000420000673838"/>
        <s v="89000000000230784000420000673838"/>
        <s v="89000000000230857000420000649591"/>
        <s v="89000000000231315000420000599212"/>
        <s v="89000000000231449000450000599212"/>
        <s v="89000000000231450000450000599212"/>
        <s v="89000000000231451000450000599212"/>
        <s v="89000000000231471000420000728721"/>
        <s v="89000000000231479000450000728759"/>
        <s v="89000000000231492000450000656519"/>
        <s v="89000000000231496000420000408182"/>
        <s v="89000000000231513000420000427267"/>
        <s v="89000000000231540000450000577934"/>
        <s v="89000000000231578000420000109318"/>
        <s v="89000000000231619000420000645784"/>
        <s v="89000000000231644000420000513235"/>
        <s v="89000000000231812000420000322610"/>
        <s v="89000000000231829000420000322610"/>
        <s v="89000000000231911000420000729049"/>
        <s v="89000000000231947000420000677696"/>
        <s v="89000000000232021000420000482273"/>
        <s v="89000000000232066000420000482273"/>
        <s v="89000000000232183000450000599212"/>
        <s v="89000000000232302000450000599212"/>
        <s v="89000000000232310000420000422249"/>
        <s v="89000000000232368000420000322610"/>
        <s v="89000000000232369000420000322610"/>
        <s v="89000000000232614000420000482480"/>
        <s v="89000000000232625000420000419251"/>
        <s v="89000000000232744000420000709011"/>
        <s v="89000000000232761000420000407771"/>
        <s v="89000000000232776000420000647903"/>
        <s v="89000000000232904000420000482480"/>
        <s v="89000000000232967000420000104205"/>
        <s v="89000000000233054000420000478601"/>
        <s v="89000000000233118000420000480431"/>
        <s v="89000000000233128000420000426801"/>
        <s v="89000000000233129000420000426801"/>
        <s v="89000000000233130000420000426801"/>
        <s v="89000000000233131000420000426801"/>
        <s v="89000000000233132000420000426801"/>
        <s v="89000000000233133000420000426801"/>
        <s v="89000000000233134000420000426801"/>
        <s v="89000000000233195000420000731701"/>
        <s v="89000000000233196000420000731701"/>
        <s v="89000000000233197000420000731701"/>
        <s v="89000000000233198000420000731701"/>
        <s v="89000000000233216000420000426801"/>
        <s v="89000000000233239000420000425938"/>
        <s v="89000000000233398000450000599212"/>
        <s v="89000000000233485000450000464952"/>
        <s v="89000000000233495000420000478069"/>
        <s v="89000000000233496000450000599212"/>
        <s v="89000000000233498000450000599212"/>
        <s v="89000000000233535000420000572690"/>
        <s v="89000000000233587000420000731701"/>
        <s v="89000000000233588000420000731701"/>
        <s v="89000000000233627000450000681360"/>
        <s v="89000000000233767000420000632143"/>
        <s v="89000000000233871000420000733368"/>
        <s v="89000000000233953000420000400955"/>
        <s v="89000000000234019000420000666000"/>
        <s v="89000000000234038000420000480951"/>
        <s v="89000000000234069000450000517280"/>
        <s v="89000000000234167000420000729416"/>
        <s v="89000000000234296000420000727328"/>
        <s v="89000000000234402000450000480276"/>
        <s v="89000000000234525000420000427752"/>
        <s v="89000000000234613000420000463755"/>
        <s v="89000000000235114000420000632013"/>
        <s v="89000000000235249000450000735942"/>
        <s v="89000000000235342000450000599212"/>
        <s v="89000000000235343000450000599212"/>
        <s v="89000000000235405000420000635931"/>
        <s v="89000000000235609000450000599212"/>
        <s v="89000000000235610000450000599212"/>
        <s v="89000000000235611000450000599212"/>
        <s v="89000000000235653000420000652505"/>
        <s v="89000000000235667000420000481601"/>
        <s v="89000000000235719000420000426446"/>
        <s v="89000000000235723000450000737662"/>
        <s v="89000000000235789000420000467096"/>
        <s v="89000000000235822000420000518881"/>
        <s v="89000000000235903000420000642729"/>
        <s v="89000000000235913000420000683673"/>
        <s v="89000000000235921000420000422249"/>
        <s v="89000000000236081000420000422249"/>
        <s v="89000000000236098000420000738326"/>
        <s v="89000000000236199000420000666000"/>
        <s v="89000000000236251000420000665274"/>
        <s v="89000000000236276000420000531961"/>
        <s v="89000000000236399000420000620890"/>
        <s v="89000000000236407000420000426801"/>
        <s v="89000000000236408000420000426801"/>
        <s v="89000000000236418000450000678071"/>
        <s v="89000000000236436000420000642729"/>
        <s v="89000000000236461000420000612527"/>
        <s v="89000000000236494000450000737662"/>
        <s v="89000000000236495000420000612527"/>
        <s v="89000000000236595000420000572694"/>
        <s v="89000000000236612000450000564660"/>
        <s v="89000000000236695000420000474553"/>
        <s v="89000000000236777000420000480114"/>
        <s v="89000000000236831000420000652505"/>
        <s v="89000000000236893000420000739549"/>
        <s v="89000000000237039000450000729705"/>
        <s v="89000000000237060000420000739953"/>
        <s v="89000000000237080000420000666000"/>
        <s v="89000000000237168000450000599212"/>
        <s v="89000000000237170000450000599212"/>
        <s v="89000000000237173000420000599212"/>
        <s v="89000000000237194000420000736237"/>
        <s v="89000000000237198000420000426446"/>
        <s v="89000000000237214000420000640795"/>
        <s v="89000000000237230000450000599212"/>
        <s v="89000000000237244000420000599212"/>
        <s v="89000000000237245000420000599212"/>
        <s v="89000000000237269000420000740298"/>
        <s v="89000000000237288000420000620890"/>
        <s v="89000000000237289000420000620890"/>
        <s v="89000000000237290000420000620890"/>
        <s v="89000000000237291000420000620890"/>
        <s v="89000000000237292000420000620890"/>
        <s v="89000000000237293000420000620890"/>
        <s v="89000000000237294000420000620890"/>
        <s v="89000000000237295000420000620890"/>
        <s v="89000000000237296000420000620890"/>
        <s v="89000000000237310000420000599212"/>
        <s v="89000000000237365000420000740158"/>
        <s v="89000000000237393000420000709714"/>
        <s v="89000000000237417000420000678208"/>
        <s v="89000000000237544000420000473000"/>
        <s v="89000000000237590000420000473000"/>
        <s v="89000000000237591000420000473000"/>
        <s v="89000000000237594000420000577193"/>
        <s v="89000000000237766000450000741124"/>
        <s v="89000000000237778000420000741276"/>
        <s v="89000000000237786000420000477391"/>
        <s v="89000000000237834000420000707694"/>
        <s v="89000000000237967000420000470883"/>
        <s v="89000000000237968000420000104205"/>
        <s v="89000000000237973000450000599212"/>
        <s v="89000000000238044000420000665274"/>
        <s v="89000000000238112000420000731701"/>
        <s v="89000000000238118000420000731701"/>
        <s v="89000000000238169000450000741738"/>
        <s v="89000000000238187000420000320845"/>
        <s v="89000000000238188000420000320845"/>
        <s v="89000000000238233000450000463964"/>
        <s v="89000000000238257000420000410819"/>
        <s v="89000000000238357000420000742118"/>
        <s v="89000000000238398000420000400955"/>
        <s v="89000000000238545000420000410734"/>
        <s v="89000000000238587000450000694683"/>
        <s v="89000000000238656000420000679083"/>
        <s v="89000000000238828000420000704425"/>
        <s v="89000000000239016000420000741648"/>
        <s v="89000000000239060000420000410734"/>
        <s v="89000000000239110000420000564660"/>
        <s v="89000000000239250000420000614718"/>
        <s v="89000000000239251000420000614718"/>
        <s v="89000000000239270000450000685201"/>
        <s v="89000000000239289000420000702302"/>
        <s v="89000000000239290000420000702302"/>
        <s v="89000000000239396000420000481601"/>
        <s v="89000000000239411000420000698219"/>
        <s v="89000000000239417000420000777685"/>
        <s v="89000000000239473000420000667246"/>
        <s v="89000000000239612000420000474307"/>
        <s v="89000000000239627000450000694683"/>
        <s v="89000000000239629000420000427752"/>
        <s v="89000000000239719000420000572690"/>
        <s v="89000000000239838000450000692603"/>
        <s v="89000000000239921000420000464430"/>
        <s v="89000000000239945000420000666000"/>
        <s v="89000000000239984000450000651716"/>
        <s v="89000000000240008000420000744782"/>
        <s v="89000000000240037000420000745424"/>
        <s v="89000000000240105000450000741124"/>
        <s v="89000000000240115000420000426801"/>
        <s v="89000000000240135000420000426801"/>
        <s v="89000000000240136000420000426801"/>
        <s v="89000000000240138000420000482751"/>
        <s v="89000000000240160000450000745649"/>
        <s v="89000000000240174000420000641587"/>
        <s v="89000000000240185000420000641587"/>
        <s v="89000000000240296000420000476082"/>
        <s v="89000000000240379000420000426801"/>
        <s v="89000000000240422000420000744784"/>
        <s v="89000000000240451000420000400955"/>
        <s v="89000000000240503000420000705999"/>
        <s v="89000000000240530000420000741276"/>
        <s v="89000000000240578000420000615225"/>
        <s v="89000000000240735000450000585966"/>
        <s v="89000000000240823000420000666000"/>
        <s v="89000000000240830000420000665274"/>
        <s v="89000000000240879000420000477899"/>
        <s v="89000000000240971000420000703092"/>
        <s v="89000000000241081000420000410734"/>
        <s v="89000000000241086000450000747661"/>
        <s v="89000000000241142000420000647903"/>
        <s v="89000000000241152000420000742118"/>
        <s v="89000000000241164000420000660673"/>
        <s v="89000000000241184000420000615225"/>
        <s v="89000000000241226000450000481355"/>
        <s v="89000000000241263000420000593171"/>
        <s v="89000000000241311000420000667195"/>
        <s v="89000000000241338000420000477899"/>
        <s v="89000000000241391000420000748355"/>
        <s v="89000000000241457000450000596634"/>
        <s v="89000000000241484000420000748563"/>
        <s v="89000000000241486000420000730704"/>
        <s v="89000000000241521000450000585395"/>
        <s v="89000000000241526000420000667246"/>
        <s v="89000000000241527000420000748671"/>
        <s v="89000000000241536000420000660673"/>
        <s v="89000000000241565000420000481601"/>
        <s v="89000000000241581000420000747209"/>
        <s v="89000000000241583000420000747209"/>
        <s v="89000000000241584000420000747209"/>
        <s v="89000000000241585000420000747209"/>
        <s v="89000000000241586000420000747209"/>
        <s v="89000000000241587000420000747209"/>
        <s v="89000000000241588000420000673146"/>
        <s v="89000000000241595000420000426446"/>
        <s v="89000000000241604000420000726995"/>
        <s v="89000000000241641000420000517763"/>
        <s v="89000000000241666000420000694045"/>
        <s v="89000000000241696000420000747209"/>
        <s v="89000000000241697000420000747209"/>
        <s v="89000000000241698000420000747209"/>
        <s v="89000000000241711000420000577193"/>
        <s v="89000000000241717000420000749702"/>
        <s v="89000000000241725000420000729416"/>
        <s v="89000000000241726000420000729416"/>
        <s v="89000000000241739000420000427267"/>
        <s v="89000000000241751000420000665274"/>
        <s v="89000000000241780000420000684165"/>
        <s v="89000000000241826000450000750007"/>
        <s v="89000000000241844000420000731271"/>
        <s v="89000000000241949000420000593171"/>
        <s v="89000000000241968000420000482661"/>
        <s v="89000000000241986000420000739540"/>
        <s v="89000000000242007000420000104205"/>
        <s v="89000000000242020000420000747209"/>
        <s v="89000000000242021000420000751232"/>
        <s v="89000000000242022000420000747209"/>
        <s v="89000000000242030000420000750934"/>
        <s v="89000000000242086000420000581769"/>
        <s v="89000000000242118000420000467180"/>
        <s v="89000000000242184000420000745297"/>
        <s v="89000000000242206000420000696750"/>
        <s v="89000000000242270000420000748246"/>
        <s v="89000000000242299000420000572690"/>
        <s v="89000000000242309000420000475869"/>
        <s v="89000000000242356000420000481355"/>
        <s v="89000000000242358000420000481355"/>
        <s v="89000000000242359000420000481355"/>
        <s v="89000000000242370000420000632013"/>
        <s v="89000000000242381000420000732409"/>
        <s v="89000000000242408000450000688572"/>
        <s v="89000000000242413000420000326968"/>
        <s v="89000000000242421000420000737588"/>
        <s v="89000000000242449000420000752721"/>
        <s v="89000000000242492000420000660673"/>
        <s v="89000000000242519000450000470883"/>
        <s v="89000000000242521000420000704425"/>
        <s v="89000000000242564000420000482829"/>
        <s v="89000000000242583000420000422249"/>
        <s v="89000000000242612000420000660673"/>
        <s v="89000000000242619000450000585966"/>
        <s v="89000000000242655000420000753489"/>
        <s v="89000000000242683000450000685201"/>
        <s v="89000000000242695000450000754223"/>
        <s v="89000000000242712000420000696876"/>
        <s v="89000000000242722000420000426446"/>
        <s v="89000000000242726000450000480764"/>
        <s v="89000000000242775000450000754223"/>
        <s v="89000000000242878000420000660673"/>
        <s v="89000000000242891000420000474623"/>
        <s v="89000000000242900000420000660098"/>
        <s v="89000000000242916000420000614718"/>
        <s v="89000000000242917000420000614718"/>
        <s v="89000000000242922000420000660673"/>
        <s v="89000000000242929000420000742118"/>
        <s v="89000000000242958000420000702029"/>
        <s v="89000000000242982000420000400955"/>
        <s v="89000000000242988000450000765625"/>
        <s v="89000000000243066000420000660673"/>
        <s v="89000000000243068000420000679505"/>
        <s v="89000000000243171000420000474336"/>
        <s v="89000000000243180000450000591204"/>
        <s v="89000000000243269000420000696876"/>
        <s v="89000000000243291000420000756788"/>
        <s v="89000000000243303000420000475715"/>
        <s v="89000000000243304000420000475715"/>
        <s v="89000000000243305000420000475715"/>
        <s v="89000000000243307000420000756755"/>
        <s v="89000000000243403000420000673843"/>
        <s v="89000000000243445000420000323361"/>
        <s v="89000000000243480000420000629100"/>
        <s v="89000000000243515000420000688572"/>
        <s v="89000000000243554000420000474105"/>
        <s v="89000000000243610000420000474105"/>
        <s v="89000000000243707000420000591204"/>
        <s v="89000000000243798000420000749375"/>
        <s v="89000000000243951000420000761102"/>
        <s v="89000000000243977000420000748355"/>
        <s v="89000000000243979000420000655540"/>
        <s v="89000000000244030000420000682643"/>
        <s v="89000000000244050000450000426446"/>
        <s v="89000000000244074000450000758820"/>
        <s v="89000000000244119000420000323361"/>
        <s v="89000000000244123000450000689774"/>
        <s v="89000000000244126000420000326936"/>
        <s v="89000000000244180000420000572694"/>
        <s v="89000000000244209000420000673843"/>
        <s v="89000000000244223000420000673843"/>
        <s v="89000000000244234000420000762404"/>
        <s v="89000000000244259000450000758820"/>
        <s v="89000000000244278000420000737588"/>
        <s v="89000000000244296000420000762814"/>
        <s v="89000000000244339000450000579367"/>
        <s v="89000000000244357000420000758888"/>
        <s v="89000000000244417000420000693689"/>
        <s v="89000000000244427000450000575344"/>
        <s v="89000000000244444000420000322385"/>
        <s v="89000000000244445000450000480539"/>
        <s v="89000000000244467000420000508088"/>
        <s v="89000000000244468000420000479269"/>
        <s v="89000000000244470000420000752476"/>
        <s v="89000000000244519000420000763454"/>
        <s v="89000000000244531000420000613968"/>
        <s v="89000000000244562000420000678089"/>
        <s v="89000000000244563000420000426446"/>
        <s v="89000000000244580000420000763735"/>
        <s v="89000000000244586000420000478743"/>
        <s v="89000000000244587000420000478743"/>
        <s v="89000000000244613000420000673935"/>
        <s v="89000000000244614000420000673935"/>
        <s v="89000000000244615000420000673935"/>
        <s v="89000000000244665000420000738750"/>
        <s v="89000000000244677000420000695746"/>
        <s v="89000000000244712000450000579367"/>
        <s v="89000000000244718000420000474024"/>
        <s v="89000000000244719000420000474024"/>
        <s v="89000000000244720000420000474024"/>
        <s v="89000000000244721000420000474024"/>
        <s v="89000000000244734000420000474024"/>
        <s v="89000000000244736000450000728250"/>
        <s v="89000000000244737000450000763782"/>
        <s v="89000000000244757000420000658159"/>
        <s v="89000000000244758000420000658159"/>
        <s v="89000000000244760000420000658159"/>
        <s v="89000000000244761000420000658159"/>
        <s v="89000000000244762000420000658159"/>
        <s v="89000000000244772000420000659077"/>
        <s v="89000000000244775000420000481355"/>
        <s v="89000000000244780000420000426446"/>
        <s v="89000000000244786000420000426446"/>
        <s v="89000000000244789000450000323361"/>
        <s v="89000000000244792000450000738410"/>
        <s v="89000000000244846000450000763782"/>
        <s v="89000000000244849000420000740057"/>
        <s v="89000000000244899000450000754223"/>
        <s v="89000000000244917000420000740057"/>
        <s v="89000000000244918000420000479269"/>
        <s v="89000000000244921000450000639630"/>
        <s v="89000000000244924000450000480248"/>
        <s v="89000000000244926000450000764632"/>
        <s v="89000000000244933000450000479718"/>
        <s v="89000000000244934000450000479718"/>
        <s v="89000000000244940000420000763217"/>
        <s v="89000000000244968000450000513235"/>
        <s v="89000000000245000000420000673843"/>
        <s v="89000000000245011000420000657604"/>
        <s v="89000000000245018000450000661222"/>
        <s v="89000000000245052000450000474788"/>
        <s v="89000000000245053000450000474788"/>
        <s v="89000000000245054000450000474788"/>
        <s v="89000000000245062000450000474788"/>
        <s v="89000000000245141000420000476912"/>
        <s v="89000000000245142000420000476912"/>
        <s v="89000000000245155000450000579367"/>
        <s v="89000000000245157000420000728250"/>
        <s v="89000000000245181000450000474788"/>
        <s v="89000000000245194000420000708570"/>
        <s v="89000000000245195000420000100840"/>
        <s v="89000000000245204000420000765262"/>
        <s v="89000000000245281000420000741648"/>
        <s v="89000000000245297000420000673935"/>
        <s v="89000000000245298000420000673935"/>
        <s v="89000000000245299000420000673935"/>
        <s v="89000000000245300000420000673935"/>
        <s v="89000000000245301000420000673935"/>
        <s v="89000000000245330000420000765682"/>
        <s v="89000000000245335000420000684672"/>
        <s v="89000000000245337000420000409991"/>
        <s v="89000000000245344000450000579367"/>
        <s v="89000000000245374000420000321765"/>
        <s v="89000000000245379000420000422249"/>
        <s v="89000000000245380000420000422249"/>
        <s v="89000000000245425000420000104205"/>
        <s v="89000000000245499000420000481601"/>
        <s v="89000000000245524000420000658159"/>
        <s v="89000000000245527000420000658159"/>
        <s v="89000000000245538000420000478494"/>
        <s v="89000000000245559000450000764958"/>
        <s v="89000000000245603000420000694045"/>
        <s v="89000000000245604000420000694045"/>
        <s v="89000000000245605000420000752284"/>
        <s v="89000000000245607000420000761975"/>
        <s v="89000000000245627000420000726023"/>
        <s v="89000000000245658000420000104205"/>
        <s v="89000000000245669000420000668743"/>
        <s v="89000000000245672000420000743794"/>
        <s v="89000000000245695000420000400955"/>
        <s v="89000000000245700000420000738955"/>
        <s v="89000000000245723000420000476912"/>
        <s v="89000000000245725000420000476912"/>
        <s v="89000000000245730000420000729568"/>
        <s v="89000000000245734000420000475639"/>
        <s v="89000000000245739000420000682643"/>
        <s v="89000000000245754000420000649591"/>
        <s v="89000000000245782000420000761975"/>
        <s v="89000000000245857000420000767045"/>
        <s v="89000000000245978000450000685201"/>
        <s v="89000000000245981000420000475666"/>
        <s v="89000000000245989000420000726908"/>
        <s v="89000000000246004000450000673146"/>
        <s v="89000000000246049000420000709244"/>
        <s v="89000000000246050000420000709244"/>
        <s v="89000000000246056000420000729521"/>
        <s v="89000000000246079000420000475666"/>
        <s v="89000000000246095000450000587303"/>
        <s v="89000000000246119000420000481355"/>
        <s v="89000000000246120000420000481355"/>
        <s v="89000000000246125000420000481355"/>
        <s v="89000000000246130000420000481355"/>
        <s v="89000000000246157000420000731455"/>
        <s v="89000000000246179000420000767934"/>
        <s v="89000000000246216000420000592822"/>
        <s v="89000000000246218000420000767958"/>
        <s v="89000000000246263000450000656961"/>
        <s v="89000000000246297000450000703092"/>
        <s v="89000000000246300000420000323361"/>
        <s v="89000000000246302000420000105548"/>
        <s v="89000000000246415000420000758888"/>
        <s v="89000000000246424000420000747209"/>
        <s v="89000000000246432000420000747209"/>
        <s v="89000000000246462000420000323361"/>
        <s v="89000000000246463000420000323361"/>
        <s v="89000000000246478000420000323361"/>
        <s v="89000000000246481000450000730704"/>
        <s v="89000000000246491000420000759522"/>
        <s v="89000000000246492000420000759522"/>
        <s v="89000000000246513000420000731701"/>
        <s v="89000000000246514000420000731701"/>
        <s v="89000000000246517000420000731701"/>
        <s v="89000000000246518000420000731701"/>
        <s v="89000000000246519000420000731701"/>
        <s v="89000000000246520000420000731701"/>
        <s v="89000000000246524000420000688653"/>
        <s v="89000000000246548000420000410734"/>
        <s v="89000000000246550000420000410734"/>
        <s v="89000000000246557000420000481753"/>
        <s v="89000000000246570000420000588088"/>
        <s v="89000000000246660000450000474788"/>
        <s v="89000000000246661000450000474788"/>
        <s v="89000000000246662000450000474788"/>
        <s v="89000000000246699000420000419251"/>
        <s v="89000000000246720000420000742599"/>
        <s v="89000000000246731000420000626733"/>
        <s v="89000000000246732000420000626733"/>
        <s v="89000000000246740000450000769101"/>
        <s v="89000000000246742000450000769101"/>
        <s v="89000000000246769000420000323361"/>
        <s v="89000000000246802000420000748671"/>
        <s v="89000000000246804000450000324453"/>
        <s v="89000000000246808000420000599212"/>
        <s v="89000000000246810000420000477929"/>
        <s v="89000000000246818000420000635931"/>
        <s v="89000000000246829000420000480428"/>
        <s v="89000000000246902000450000769505"/>
        <s v="89000000000246927000420000426446"/>
        <s v="89000000000246932000450000738410"/>
        <s v="89000000000246936000450000767629"/>
        <s v="89000000000246943000420000477929"/>
        <s v="89000000000246962000420000321896"/>
        <s v="89000000000246971000420000403495"/>
        <s v="89000000000247001000420000741648"/>
        <s v="89000000000247002000420000684406"/>
        <s v="89000000000247003000420000684406"/>
        <s v="89000000000247037000450000705943"/>
        <s v="89000000000247047000420000744412"/>
        <s v="89000000000247066000420000478494"/>
        <s v="89000000000247067000420000651052"/>
        <s v="89000000000247077000420000477929"/>
        <s v="89000000000247080000420000479284"/>
        <s v="89000000000247111000420000678089"/>
        <s v="89000000000247117000420000748355"/>
        <s v="89000000000247130000420000658159"/>
        <s v="89000000000247134000420000658159"/>
        <s v="89000000000247219000420000479718"/>
        <s v="89000000000247239000420000478253"/>
        <s v="89000000000247240000420000478253"/>
        <s v="89000000000247289000450000323361"/>
        <s v="89000000000247316000420000323361"/>
        <s v="89000000000247318000450000408182"/>
        <s v="89000000000247320000420000734344"/>
        <s v="89000000000247329000420000759297"/>
        <s v="89000000000247337000420000770448"/>
        <s v="89000000000247380000420000473308"/>
        <s v="89000000000247423000450000476117"/>
        <s v="89000000000247428000450000750374"/>
        <s v="89000000000247433000450000323361"/>
        <s v="89000000000247434000420000510278"/>
        <s v="89000000000247436000420000455041"/>
        <s v="89000000000247471000420000770877"/>
        <s v="89000000000247492000420000770877"/>
        <s v="89000000000247496000420000597845"/>
        <s v="89000000000247610000450000769101"/>
        <s v="89000000000247615000420000767555"/>
        <s v="89000000000247646000450000474788"/>
        <s v="89000000000247662000420000481601"/>
        <s v="89000000000247685000420000681871"/>
        <s v="89000000000247717000420000651052"/>
        <s v="89000000000247751000420000748316"/>
        <s v="89000000000247777000420000740900"/>
        <s v="89000000000247783000420000477899"/>
        <s v="89000000000247796000420000664413"/>
        <s v="89000000000247801000420000323361"/>
        <s v="89000000000247812000450000657699"/>
        <s v="89000000000247813000450000769101"/>
        <s v="89000000000247818000420000323361"/>
        <s v="89000000000247825000420000703032"/>
        <s v="89000000000247865000420000321896"/>
        <s v="89000000000247878000420000751907"/>
        <s v="89000000000247928000420000738750"/>
        <s v="89000000000247933000420000635931"/>
        <s v="89000000000247940000420000415323"/>
        <s v="89000000000247954000420000321896"/>
        <s v="89000000000247955000420000690494"/>
        <s v="89000000000247966000420000772323"/>
        <s v="89000000000247970000420000709344"/>
        <s v="89000000000247971000420000673677"/>
        <s v="89000000000248027000420000483005"/>
        <s v="89000000000248042000420000658159"/>
        <s v="89000000000248043000420000658159"/>
        <s v="89000000000248044000420000658159"/>
        <s v="89000000000248045000420000658159"/>
        <s v="89000000000248046000420000658159"/>
        <s v="89000000000248048000420000771911"/>
        <s v="89000000000248049000420000771911"/>
        <s v="89000000000248050000420000771911"/>
        <s v="89000000000248051000420000771911"/>
        <s v="89000000000248056000420000415323"/>
        <s v="89000000000248057000420000738339"/>
        <s v="89000000000248104000420000321896"/>
        <s v="89000000000248105000420000403495"/>
        <s v="89000000000248113000420000321896"/>
        <s v="89000000000248115000420000321896"/>
        <s v="89000000000248116000420000321896"/>
        <s v="89000000000248139000420000474735"/>
        <s v="89000000000248146000450000737662"/>
        <s v="89000000000248189000420000483005"/>
        <s v="89000000000248201000420000321896"/>
        <s v="89000000000248251000450000769101"/>
        <s v="89000000000248257000420000477899"/>
        <s v="89000000000248261000420000753090"/>
        <s v="89000000000248262000420000109318"/>
        <s v="89000000000248278000420000681871"/>
        <s v="89000000000248290000420000771911"/>
        <s v="89000000000248306000420000474735"/>
        <s v="89000000000248308000420000474735"/>
        <s v="89000000000248309000420000322385"/>
        <s v="89000000000248310000420000321896"/>
        <s v="89000000000248311000420000321896"/>
        <s v="89000000000248313000420000674810"/>
        <s v="89000000000248339000450000765724"/>
        <s v="89000000000248340000450000765724"/>
        <s v="89000000000248386000420000763857"/>
        <s v="89000000000248388000420000772600"/>
        <s v="89000000000248408000420000772241"/>
        <s v="89000000000248417000420000321896"/>
        <s v="89000000000248447000420000678089"/>
        <s v="89000000000248495000420000707604"/>
        <s v="89000000000248571000420000690736"/>
        <s v="89000000000248617000420000321896"/>
        <s v="89000000000248627000420000478253"/>
        <s v="89000000000248629000420000478253"/>
        <s v="89000000000248656000420000422249"/>
        <s v="89000000000248681000420000684406"/>
        <s v="89000000000248683000450000675475"/>
        <s v="89000000000248706000420000688634"/>
        <s v="89000000000248717000450000767958"/>
        <s v="89000000000248731000420000684165"/>
        <s v="89000000000248753000420000104205"/>
        <s v="89000000000248756000420000654819"/>
        <s v="89000000000248771000420000677934"/>
        <s v="89000000000248786000450000774106"/>
        <s v="89000000000248806000420000769527"/>
        <s v="89000000000248811000420000684672"/>
        <s v="89000000000248835000420000738750"/>
        <s v="89000000000248838000450000769101"/>
        <s v="89000000000248839000450000769101"/>
        <s v="89000000000248846000420000774159"/>
        <s v="89000000000248851000420000635931"/>
        <s v="89000000000248865000420000740900"/>
        <s v="89000000000248867000420000709244"/>
        <s v="89000000000248868000420000740900"/>
        <s v="89000000000248875000420000666000"/>
        <s v="89000000000248877000420000736512"/>
        <s v="89000000000248882000420000324453"/>
        <s v="89000000000248883000420000773712"/>
        <s v="89000000000248887000420000321896"/>
        <s v="89000000000248890000420000675475"/>
        <s v="89000000000248893000420000477899"/>
        <s v="89000000000248898000420000673146"/>
        <s v="89000000000248906000420000421902"/>
        <s v="89000000000248922000420000483005"/>
        <s v="89000000000248928000420000483005"/>
        <s v="89000000000248929000450000774609"/>
        <s v="89000000000248935000450000728759"/>
        <s v="89000000000248955000420000321896"/>
        <s v="89000000000248961000420000626733"/>
        <s v="89000000000249070000450000478372"/>
        <s v="89000000000249072000420000729568"/>
        <s v="89000000000249097000450000640795"/>
        <s v="89000000000249098000420000726023"/>
        <s v="89000000000249109000420000726023"/>
        <s v="89000000000249117000420000482273"/>
        <s v="89000000000249118000420000482273"/>
        <s v="89000000000249119000420000482273"/>
        <s v="89000000000249135000420000678089"/>
        <s v="89000000000249167000420000738750"/>
        <s v="89000000000249240000420000703372"/>
        <s v="89000000000249241000420000703372"/>
        <s v="89000000000249264000420000774659"/>
        <s v="89000000000249278000450000473163"/>
        <s v="89000000000249301000420000763217"/>
        <s v="89000000000249315000420000684406"/>
        <s v="89000000000249331000420000774659"/>
        <s v="89000000000249343000420000762809"/>
        <s v="89000000000249361000450000675475"/>
        <s v="89000000000249388000420000700994"/>
        <s v="89000000000249410000450000703703"/>
        <s v="89000000000249495000420000321896"/>
        <s v="89000000000249517000420000709244"/>
        <s v="89000000000249529000420000473308"/>
        <s v="89000000000249536000450000422249"/>
        <s v="89000000000249538000420000483005"/>
        <s v="89000000000249564000420000584506"/>
        <s v="89000000000249573000420000761975"/>
        <s v="89000000000249574000420000761975"/>
        <s v="89000000000249581000450000706510"/>
        <s v="89000000000249591000450000687669"/>
        <s v="89000000000249605000420000702265"/>
        <s v="89000000000249606000420000775937"/>
        <s v="89000000000249618000420000321896"/>
        <s v="89000000000249645000420000773025"/>
        <s v="89000000000249647000420000664413"/>
        <s v="89000000000249688000420000735942"/>
        <s v="89000000000249691000450000476117"/>
        <s v="89000000000249706000420000776201"/>
        <s v="89000000000249707000420000776201"/>
        <s v="89000000000249717000420000321896"/>
        <s v="89000000000249719000450000769101"/>
        <s v="89000000000249720000450000769101"/>
        <s v="89000000000249726000420000475666"/>
        <s v="89000000000249730000420000325557"/>
        <s v="89000000000249784000450000767958"/>
        <s v="89000000000249788000420000322610"/>
        <s v="89000000000249807000420000749194"/>
        <s v="89000000000249835000420000744140"/>
        <s v="89000000000249862000420000740900"/>
        <s v="89000000000249880000420000635931"/>
        <s v="89000000000249884000420000686286"/>
        <s v="89000000000249886000420000774866"/>
        <s v="89000000000249895000420000321896"/>
        <s v="89000000000249902000420000480148"/>
        <s v="89000000000249943000420000771887"/>
        <s v="89000000000249948000450000776899"/>
        <s v="89000000000249986000420000703092"/>
        <s v="89000000000250008000420000726908"/>
        <s v="89000000000250021000420000478743"/>
        <s v="89000000000250050000450000465516"/>
        <s v="89000000000250054000420000769797"/>
        <s v="89000000000250072000420000478949"/>
        <s v="89000000000250089000420000321896"/>
        <s v="89000000000250092000450000673843"/>
        <s v="89000000000250121000420000455058"/>
        <s v="89000000000250152000420000471695"/>
        <s v="89000000000250178000420000748355"/>
        <s v="89000000000250224000420000661554"/>
        <s v="89000000000250238000420000642166"/>
        <s v="89000000000250256000420000777053"/>
        <s v="89000000000250257000420000572690"/>
        <s v="89000000000250268000420000679002"/>
        <s v="89000000000250318000420000696182"/>
        <s v="89000000000250324000420000678208"/>
        <s v="89000000000250327000420000610405"/>
        <s v="89000000000250337000420000475054"/>
        <s v="89000000000250345000420000477391"/>
        <s v="89000000000250346000420000684672"/>
        <s v="89000000000250351000420000474735"/>
        <s v="89000000000250368000450000767958"/>
        <s v="89000000000250373000450000664937"/>
        <s v="89000000000250399000450000703859"/>
        <s v="89000000000250402000450000777982"/>
        <s v="89000000000250403000420000597845"/>
        <s v="89000000000250410000420000321896"/>
        <s v="89000000000250422000450000767958"/>
        <s v="89000000000250440000450000767958"/>
        <s v="89000000000250450000420000775371"/>
        <s v="89000000000250475000420000477391"/>
        <s v="89000000000250477000420000419251"/>
        <s v="89000000000250480000450000470772"/>
        <s v="89000000000250510000420000774861"/>
        <s v="89000000000250536000420000730704"/>
        <s v="89000000000250538000420000658159"/>
        <s v="89000000000250539000420000673677"/>
        <s v="89000000000250582000420000104205"/>
        <s v="89000000000250622000420000778107"/>
        <s v="89000000000250623000420000778107"/>
        <s v="89000000000250662000420000778628"/>
        <s v="89000000000250666000420000666000"/>
        <s v="89000000000250677000420000778414"/>
        <s v="89000000000250726000420000321896"/>
        <s v="89000000000250728000450000474788"/>
        <s v="89000000000250735000420000419251"/>
        <s v="89000000000250750000420000635931"/>
        <s v="89000000000250790000420000321896"/>
        <s v="89000000000250794000420000776278"/>
        <s v="89000000000250809000450000779233"/>
        <s v="89000000000250826000420000698219"/>
        <s v="89000000000250840000450000656519"/>
        <s v="89000000000250891000450000773025"/>
        <s v="89000000000250934000420000564950"/>
        <s v="89000000000250980000450000769101"/>
        <s v="89000000000250998000420000776278"/>
        <s v="89000000000251011000450000779553"/>
        <s v="89000000000251013000420000658159"/>
        <s v="89000000000251015000450000768037"/>
        <s v="89000000000251019000420000658159"/>
        <s v="89000000000251021000420000658159"/>
        <s v="89000000000251022000420000658159"/>
        <s v="89000000000251051000420000666000"/>
        <s v="89000000000251052000420000666000"/>
        <s v="89000000000251066000420000474307"/>
        <s v="89000000000251085000420000625264"/>
        <s v="89000000000251101000420000673146"/>
        <s v="89000000000251108000450000653278"/>
        <s v="89000000000251193000450000481355"/>
        <s v="89000000000251203000450000742718"/>
        <s v="89000000000251214000420000678581"/>
        <s v="89000000000251248000450000474024"/>
        <s v="89000000000251262000420000626733"/>
        <s v="89000000000251280000420000780075"/>
        <s v="89000000000251319000420000780475"/>
        <s v="89000000000251350000450000482829"/>
        <s v="89000000000251354000420000775843"/>
        <s v="89000000000251356000420000476355"/>
        <s v="89000000000251378000420000321896"/>
        <s v="89000000000251386000450000673843"/>
        <s v="89000000000251388000420000683673"/>
        <s v="89000000000251390000450000480431"/>
        <s v="89000000000251400000420000780387"/>
        <s v="89000000000251410000420000662976"/>
        <s v="89000000000251448000450000480347"/>
        <s v="89000000000251508000420000777062"/>
        <s v="89000000000251522000420000729521"/>
        <s v="89000000000251561000420000772600"/>
        <s v="89000000000251573000420000781835"/>
        <s v="89000000000251583000450000781835"/>
        <s v="89000000000251585000450000642729"/>
        <s v="89000000000251596000450000474788"/>
        <s v="89000000000251597000450000474788"/>
        <s v="89000000000251598000450000474788"/>
        <s v="89000000000251599000450000474788"/>
        <s v="89000000000251600000450000474788"/>
        <s v="89000000000251647000420000421902"/>
        <s v="89000000000251679000450000481601"/>
        <s v="89000000000251718000420000421902"/>
        <s v="89000000000251773000450000779553"/>
        <s v="89000000000251883000420000106178"/>
        <s v="89000000000251948000420000513110"/>
        <s v="89000000005103485000510000419251"/>
        <s v="89000000005105881000510000738955"/>
        <s v="89000000005108833000510000519498"/>
        <s v="89000000005109053000510000466079"/>
        <s v="89000000005110494000510000730704"/>
        <s v="89000000005111681000510000753233"/>
        <s v="89000000005111711000510000659304"/>
        <s v="89000000005112287000510000766098"/>
        <s v="89000000005112444000510000664937"/>
        <s v="89000000005112968000510000659304"/>
        <s v="89000000005112972000510000515111"/>
        <s v="89000000005112983000510000109318"/>
        <s v="89000000005117994000510000464952"/>
        <s v="89000000008040651000530000668863"/>
        <s v="89000000008041979000530000599212"/>
        <s v="89000000008042332000530000742089"/>
        <s v="89000000008043033000530000744194"/>
        <s v="89000000008043496000530000746962"/>
        <s v="89000000008043505000530000746962"/>
        <s v="89000000008043783000530000748671"/>
        <s v="89000000008043956000530000746962"/>
        <s v="89000000008043978000530000659304"/>
        <s v="89000000008043991000530000627457"/>
        <s v="89000000008044279000530000737662"/>
        <s v="89000000008044516000530000475666"/>
        <s v="89000000008044578000530000673836"/>
        <s v="89000000008044769000530000753233"/>
        <s v="89000000008044909000530000481291"/>
        <s v="89000000008045119000530000763782"/>
        <s v="89000000008045146000530000706755"/>
        <s v="89000000008045150000530000466041"/>
        <s v="89000000008045246000530000768922"/>
        <s v="89000000008045381000530000678089"/>
        <s v="89000000008045510000530000763239"/>
        <s v="89000000008045534000530000770448"/>
        <s v="89000000008045746000530000668649"/>
        <s v="89000000008045930000530000728933"/>
        <s v="89000000008045944000530000760847"/>
        <s v="89000000008046033000530000763782"/>
        <s v="89000000008046130000530000737662"/>
        <s v="89000000008046190000530000464430"/>
        <s v="89000000008046214000530000687302"/>
        <s v="89000000008046232000530000768922"/>
        <s v="89000000008046254000530000679505"/>
        <s v="89000000008046280000530000730704"/>
        <s v="89000000008046299000530000776733"/>
        <s v="89000000008046615000530000665653"/>
        <s v="89000000008046656000530000616538"/>
        <s v="89000000008046823000530000765724"/>
        <s v="89000000008046853000530000768922"/>
        <s v="89000000008047033000530000323749"/>
        <s v="89000000008047036000530000729521"/>
        <s v="89000000008047037000530000729521"/>
        <s v="89000000008047123000530000737662"/>
      </sharedItems>
    </cacheField>
    <cacheField name="PRTCTN_ID" numFmtId="0">
      <sharedItems/>
    </cacheField>
    <cacheField name="TYP_VHCL" numFmtId="0">
      <sharedItems/>
    </cacheField>
    <cacheField name="DT_INCPTN" numFmtId="0">
      <sharedItems/>
    </cacheField>
    <cacheField name="IDCMB" numFmtId="0">
      <sharedItems/>
    </cacheField>
    <cacheField name="TYP_PRTCTN" numFmtId="0">
      <sharedItems/>
    </cacheField>
    <cacheField name="TYP_RLTN" numFmtId="0">
      <sharedItems/>
    </cacheField>
    <cacheField name="SCOPE_USED" numFmtId="0">
      <sharedItems/>
    </cacheField>
    <cacheField name="CALCULATION_APPROACH_LOC" numFmtId="0">
      <sharedItems/>
    </cacheField>
    <cacheField name="SOURCE_EMISSION_LOC" numFmtId="0">
      <sharedItems/>
    </cacheField>
    <cacheField name="DATA_QUALITY_SCORE_LOC" numFmtId="0">
      <sharedItems/>
    </cacheField>
    <cacheField name="GHG_FINANCED_EMISSIONS" numFmtId="0">
      <sharedItems containsSemiMixedTypes="0" containsString="0" containsNumber="1" minValue="0.12" maxValue="63291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4">
  <r>
    <x v="0"/>
    <s v="M_0000_00000213179_000000000000001"/>
    <s v="VEH05"/>
    <s v="2016-04-01"/>
    <s v="CONT1;HFS2;B01;MC02;PR0302;ACPF6;SC0303;STAG2;POCI2;SUBO2;DEFA2;FORB2;SSC4;PURP6;COLL4;TYVA01;FVAD3"/>
    <s v="51"/>
    <s v="REL01"/>
    <s v="SCOPE_1"/>
    <s v="CAAP4"/>
    <s v="SOUR2"/>
    <s v="DQS4"/>
    <n v="5511.8"/>
  </r>
  <r>
    <x v="1"/>
    <s v="M_0000_00000216667_000000000000001"/>
    <s v="VEH16"/>
    <s v="2016-12-15"/>
    <s v="CONT1;HFS2;B01;MC02;PR0302;ACPF6;SC0303;STAG2;POCI2;SUBO2;DEFA2;FORB2;SSC4;PURP6;COLL4;TYVA01;FVAD3"/>
    <s v="51"/>
    <s v="REL01"/>
    <s v="SCOPE_1"/>
    <s v="CAAP4"/>
    <s v="SOUR2"/>
    <s v="DQS4"/>
    <n v="1862.75"/>
  </r>
  <r>
    <x v="2"/>
    <s v="M_0000_00000220119_000000000000003"/>
    <s v="VEH16"/>
    <s v="2017-09-01"/>
    <s v="CONT1;HFS2;B01;MC02;PR0302;ACPF6;SC0303;STAG1;SUBO2;DEFA2;FORB2;SSC3;PURP6;COLL4;TYVA01;FVAD3"/>
    <s v="51"/>
    <s v="REL01"/>
    <s v="SCOPE_1"/>
    <s v="CAAP4"/>
    <s v="SOUR2"/>
    <s v="DQS4"/>
    <n v="3781.75"/>
  </r>
  <r>
    <x v="2"/>
    <s v="M_0000_00000220119_000000000000007"/>
    <s v="VEH16"/>
    <s v="2017-09-01"/>
    <s v="CONT1;HFS2;B01;MC02;PR0302;ACPF6;SC0303;STAG1;SUBO2;DEFA2;FORB2;SSC3;PURP6;COLL4;TYVA01;FVAD3"/>
    <s v="51"/>
    <s v="REL01"/>
    <s v="SCOPE_1"/>
    <s v="CAAP4"/>
    <s v="SOUR2"/>
    <s v="DQS4"/>
    <n v="3781.75"/>
  </r>
  <r>
    <x v="2"/>
    <s v="M_0000_00000220119_000000000000001"/>
    <s v="VEH16"/>
    <s v="2017-09-01"/>
    <s v="CONT1;HFS2;B01;MC02;PR0302;ACPF6;SC0303;STAG1;SUBO2;DEFA2;FORB2;SSC3;PURP6;COLL4;TYVA01;FVAD3"/>
    <s v="51"/>
    <s v="REL01"/>
    <s v="SCOPE_1"/>
    <s v="CAAP4"/>
    <s v="SOUR2"/>
    <s v="DQS4"/>
    <n v="3781.75"/>
  </r>
  <r>
    <x v="2"/>
    <s v="M_0000_00000220119_000000000000009"/>
    <s v="VEH16"/>
    <s v="2017-09-01"/>
    <s v="CONT1;HFS2;B01;MC02;PR0302;ACPF6;SC0303;STAG1;SUBO2;DEFA2;FORB2;SSC3;PURP6;COLL4;TYVA01;FVAD3"/>
    <s v="51"/>
    <s v="REL01"/>
    <s v="SCOPE_1"/>
    <s v="CAAP4"/>
    <s v="SOUR2"/>
    <s v="DQS4"/>
    <n v="3781.75"/>
  </r>
  <r>
    <x v="2"/>
    <s v="M_0000_00000220119_000000000000005"/>
    <s v="VEH16"/>
    <s v="2017-09-01"/>
    <s v="CONT1;HFS2;B01;MC02;PR0302;ACPF6;SC0303;STAG1;SUBO2;DEFA2;FORB2;SSC3;PURP6;COLL4;TYVA01;FVAD3"/>
    <s v="51"/>
    <s v="REL01"/>
    <s v="SCOPE_1"/>
    <s v="CAAP4"/>
    <s v="SOUR2"/>
    <s v="DQS4"/>
    <n v="3781.75"/>
  </r>
  <r>
    <x v="3"/>
    <s v="M_0000_00000220134_000000000000001"/>
    <s v="VEH05"/>
    <s v="2017-09-01"/>
    <s v="CONT1;HFS2;B01;MC02;PR0302;ACPF6;SC0303;STAG1;SUBO2;DEFA2;FORB2;SSC3;PURP6;COLL4;TYVA01;FVAD3"/>
    <s v="51"/>
    <s v="REL01"/>
    <s v="SCOPE_1"/>
    <s v="CAAP4"/>
    <s v="SOUR2"/>
    <s v="DQS4"/>
    <n v="3757.91"/>
  </r>
  <r>
    <x v="4"/>
    <s v="M_0000_00000220136_000000000000013"/>
    <s v="VEH05"/>
    <s v="2017-09-01"/>
    <s v="CONT1;HFS2;B01;MC02;PR0302;ACPF6;SC0303;STAG1;SUBO2;DEFA2;FORB2;SSC3;PURP6;COLL4;TYVA01;FVAD3"/>
    <s v="51"/>
    <s v="REL01"/>
    <s v="SCOPE_1"/>
    <s v="CAAP4"/>
    <s v="SOUR2"/>
    <s v="DQS4"/>
    <n v="3909.95"/>
  </r>
  <r>
    <x v="4"/>
    <s v="M_0000_00000220136_000000000000005"/>
    <s v="VEH05"/>
    <s v="2017-09-01"/>
    <s v="CONT1;HFS2;B01;MC02;PR0302;ACPF6;SC0303;STAG1;SUBO2;DEFA2;FORB2;SSC3;PURP6;COLL4;TYVA01;FVAD3"/>
    <s v="51"/>
    <s v="REL01"/>
    <s v="SCOPE_1"/>
    <s v="CAAP4"/>
    <s v="SOUR2"/>
    <s v="DQS4"/>
    <n v="3909.95"/>
  </r>
  <r>
    <x v="4"/>
    <s v="M_0000_00000220136_000000000000001"/>
    <s v="VEH05"/>
    <s v="2017-09-01"/>
    <s v="CONT1;HFS2;B01;MC02;PR0302;ACPF6;SC0303;STAG1;SUBO2;DEFA2;FORB2;SSC3;PURP6;COLL4;TYVA01;FVAD3"/>
    <s v="51"/>
    <s v="REL01"/>
    <s v="SCOPE_1"/>
    <s v="CAAP4"/>
    <s v="SOUR2"/>
    <s v="DQS4"/>
    <n v="3909.95"/>
  </r>
  <r>
    <x v="4"/>
    <s v="M_0000_00000220136_000000000000009"/>
    <s v="VEH05"/>
    <s v="2017-09-01"/>
    <s v="CONT1;HFS2;B01;MC02;PR0302;ACPF6;SC0303;STAG1;SUBO2;DEFA2;FORB2;SSC3;PURP6;COLL4;TYVA01;FVAD3"/>
    <s v="51"/>
    <s v="REL01"/>
    <s v="SCOPE_1"/>
    <s v="CAAP4"/>
    <s v="SOUR2"/>
    <s v="DQS4"/>
    <n v="3909.95"/>
  </r>
  <r>
    <x v="5"/>
    <s v="M_0000_00000220438_000000000000001"/>
    <s v="VEH16"/>
    <s v="2017-11-15"/>
    <s v="CONT1;HFS2;B01;MC02;PR0302;ACPF6;SC0303;STAG3;POCI2;SUBO2;DEFA1;FORB2;SSC4;PURP6;COLL4;TYVA01;FVAD3"/>
    <s v="51"/>
    <s v="REL01"/>
    <s v="SCOPE_1"/>
    <s v="CAAP4"/>
    <s v="SOUR2"/>
    <s v="DQS4"/>
    <n v="25621.69"/>
  </r>
  <r>
    <x v="6"/>
    <s v="M_0000_00000220557_000000000000001"/>
    <s v="VEH05"/>
    <s v="2017-09-15"/>
    <s v="CONT1;HFS2;B01;MC02;PR0302;ACPF6;SC0303;STAG1;SUBO2;DEFA2;FORB2;SSC3;PURP6;COLL4;TYVA01;FVAD3"/>
    <s v="51"/>
    <s v="REL01"/>
    <s v="SCOPE_1"/>
    <s v="CAAP4"/>
    <s v="SOUR2"/>
    <s v="DQS4"/>
    <n v="3880.34"/>
  </r>
  <r>
    <x v="7"/>
    <s v="M_0000_00000220615_000000000000025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07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19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04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13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01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22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16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10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7"/>
    <s v="M_0000_00000220615_000000000000028"/>
    <s v="VEH16"/>
    <s v="2017-10-15"/>
    <s v="CONT1;HFS2;B01;MC02;PR0302;ACPF6;SC0303;STAG1;SUBO2;DEFA2;FORB2;SSC3;PURP6;COLL4;TYVA01;FVAD3"/>
    <s v="51"/>
    <s v="REL01"/>
    <s v="SCOPE_1"/>
    <s v="CAAP4"/>
    <s v="SOUR2"/>
    <s v="DQS4"/>
    <n v="5327.44"/>
  </r>
  <r>
    <x v="8"/>
    <s v="M_0000_00000220959_000000000000001"/>
    <s v="VEH05"/>
    <s v="2017-10-15"/>
    <s v="CONT1;HFS2;B01;MC02;PR0302;ACPF6;SC0303;STAG1;SUBO2;DEFA2;FORB2;SSC3;PURP6;COLL4;TYVA01;FVAD3"/>
    <s v="51"/>
    <s v="REL01"/>
    <s v="SCOPE_1"/>
    <s v="CAAP4"/>
    <s v="SOUR2"/>
    <s v="DQS4"/>
    <n v="2934.52"/>
  </r>
  <r>
    <x v="8"/>
    <s v="M_0000_00000220959_000000000000004"/>
    <s v="VEH05"/>
    <s v="2017-10-15"/>
    <s v="CONT1;HFS2;B01;MC02;PR0302;ACPF6;SC0303;STAG1;SUBO2;DEFA2;FORB2;SSC3;PURP6;COLL4;TYVA01;FVAD3"/>
    <s v="51"/>
    <s v="REL01"/>
    <s v="SCOPE_1"/>
    <s v="CAAP4"/>
    <s v="SOUR2"/>
    <s v="DQS4"/>
    <n v="2934.52"/>
  </r>
  <r>
    <x v="8"/>
    <s v="M_0000_00000220959_000000000000002"/>
    <s v="VEH05"/>
    <s v="2017-10-15"/>
    <s v="CONT1;HFS2;B01;MC02;PR0302;ACPF6;SC0303;STAG1;SUBO2;DEFA2;FORB2;SSC3;PURP6;COLL4;TYVA01;FVAD3"/>
    <s v="51"/>
    <s v="REL01"/>
    <s v="SCOPE_1"/>
    <s v="CAAP4"/>
    <s v="SOUR2"/>
    <s v="DQS4"/>
    <n v="2934.52"/>
  </r>
  <r>
    <x v="8"/>
    <s v="M_0000_00000220959_000000000000003"/>
    <s v="VEH05"/>
    <s v="2017-10-15"/>
    <s v="CONT1;HFS2;B01;MC02;PR0302;ACPF6;SC0303;STAG1;SUBO2;DEFA2;FORB2;SSC3;PURP6;COLL4;TYVA01;FVAD3"/>
    <s v="51"/>
    <s v="REL01"/>
    <s v="SCOPE_1"/>
    <s v="CAAP4"/>
    <s v="SOUR2"/>
    <s v="DQS4"/>
    <n v="2934.52"/>
  </r>
  <r>
    <x v="8"/>
    <s v="M_0000_00000220959_000000000000005"/>
    <s v="VEH05"/>
    <s v="2017-10-15"/>
    <s v="CONT1;HFS2;B01;MC02;PR0302;ACPF6;SC0303;STAG1;SUBO2;DEFA2;FORB2;SSC3;PURP6;COLL4;TYVA01;FVAD3"/>
    <s v="51"/>
    <s v="REL01"/>
    <s v="SCOPE_1"/>
    <s v="CAAP4"/>
    <s v="SOUR2"/>
    <s v="DQS4"/>
    <n v="2934.52"/>
  </r>
  <r>
    <x v="9"/>
    <s v="M_0000_00000221101_000000000000002"/>
    <s v="VEH05"/>
    <s v="2018-02-01"/>
    <s v="CONT1;HFS2;B01;MC02;PR0302;ACPF6;SC0303;STAG2;POCI2;SUBO2;DEFA2;FORB2;SSC3;PURP6;COLL4;TYVA01;FVAD3"/>
    <s v="51"/>
    <s v="REL01"/>
    <s v="SCOPE_1"/>
    <s v="CAAP4"/>
    <s v="SOUR2"/>
    <s v="DQS4"/>
    <n v="1103.99"/>
  </r>
  <r>
    <x v="9"/>
    <s v="M_0000_00000221101_000000000000001"/>
    <s v="VEH05"/>
    <s v="2018-02-01"/>
    <s v="CONT1;HFS2;B01;MC02;PR0302;ACPF6;SC0303;STAG2;POCI2;SUBO2;DEFA2;FORB2;SSC3;PURP6;COLL4;TYVA01;FVAD3"/>
    <s v="51"/>
    <s v="REL01"/>
    <s v="SCOPE_1"/>
    <s v="CAAP4"/>
    <s v="SOUR2"/>
    <s v="DQS4"/>
    <n v="1103.99"/>
  </r>
  <r>
    <x v="10"/>
    <s v="M_0000_00000221647_000000000000001"/>
    <s v="VEH03"/>
    <s v="2018-01-15"/>
    <s v="CONT1;HFS2;B01;MC02;PR0302;ACPF6;SC0303;STAG2;POCI2;SUBO2;DEFA2;FORB2;SSC3;PURP6;COLL4;TYVA01;FVAD3"/>
    <s v="51"/>
    <s v="REL01"/>
    <s v="SCOPE_1"/>
    <s v="CAAP4"/>
    <s v="SOUR2"/>
    <s v="DQS4"/>
    <n v="11023.05"/>
  </r>
  <r>
    <x v="11"/>
    <s v="M_0000_00000221760_000000000000001"/>
    <s v="VEH05"/>
    <s v="2018-01-15"/>
    <s v="CONT1;HFS2;B01;MC02;PR0302;ACPF6;SC0303;STAG1;SUBO2;DEFA2;FORB2;SSC4;PURP6;COLL4;TYVA01;FVAD3"/>
    <s v="51"/>
    <s v="REL01"/>
    <s v="SCOPE_1"/>
    <s v="CAAP4"/>
    <s v="SOUR2"/>
    <s v="DQS4"/>
    <n v="4024.33"/>
  </r>
  <r>
    <x v="12"/>
    <s v="M_0000_00000221821_000000000000001"/>
    <s v="VEH05"/>
    <s v="2018-01-15"/>
    <s v="CONT1;HFS2;B01;MC02;PR0302;ACPF6;SC0303;STAG1;SUBO2;DEFA2;FORB2;SSC4;PURP6;COLL4;TYVA01;FVAD3"/>
    <s v="51"/>
    <s v="REL01"/>
    <s v="SCOPE_1"/>
    <s v="CAAP4"/>
    <s v="SOUR2"/>
    <s v="DQS4"/>
    <n v="4024.33"/>
  </r>
  <r>
    <x v="13"/>
    <s v="M_0000_00000222064_000000000000001"/>
    <s v="VEH05"/>
    <s v="2018-01-01"/>
    <s v="CONT1;HFS2;B01;MC02;PR0302;ACPF6;SC0303;STAG1;SUBO2;DEFA2;FORB2;SSC4;PURP6;COLL4;TYVA01;FVAD3"/>
    <s v="51"/>
    <s v="REL01"/>
    <s v="SCOPE_1"/>
    <s v="CAAP4"/>
    <s v="SOUR2"/>
    <s v="DQS4"/>
    <n v="1103.99"/>
  </r>
  <r>
    <x v="14"/>
    <s v="M_0000_00000222210_000000000000001"/>
    <s v="VEH05"/>
    <s v="2018-02-15"/>
    <s v="CONT1;HFS2;B01;MC02;PR0302;ACPF6;SC0303;STAG1;SUBO2;DEFA2;FORB2;SSC4;PURP6;COLL4;TYVA01;FVAD3"/>
    <s v="51"/>
    <s v="REL01"/>
    <s v="SCOPE_1"/>
    <s v="CAAP4"/>
    <s v="SOUR2"/>
    <s v="DQS4"/>
    <n v="1773.2"/>
  </r>
  <r>
    <x v="15"/>
    <s v="M_0000_00000222286_000000000000001"/>
    <s v="VEH05"/>
    <s v="2018-03-15"/>
    <s v="CONT1;HFS2;B01;MC02;PR0302;ACPF6;SC0303;STAG1;SUBO2;DEFA2;FORB2;SSC4;PURP6;COLL4;TYVA01;FVAD3"/>
    <s v="51"/>
    <s v="REL01"/>
    <s v="SCOPE_1"/>
    <s v="CAAP4"/>
    <s v="SOUR2"/>
    <s v="DQS4"/>
    <n v="4787.08"/>
  </r>
  <r>
    <x v="16"/>
    <s v="M_0000_00000222287_000000000000001"/>
    <s v="VEH16"/>
    <s v="2018-02-15"/>
    <s v="CONT1;HFS2;B01;MC02;PR0302;ACPF6;SC0303;STAG1;SUBO2;DEFA2;FORB2;SSC4;PURP6;COLL4;TYVA01;FVAD3"/>
    <s v="51"/>
    <s v="REL01"/>
    <s v="SCOPE_1"/>
    <s v="CAAP4"/>
    <s v="SOUR2"/>
    <s v="DQS4"/>
    <n v="1102.42"/>
  </r>
  <r>
    <x v="17"/>
    <s v="M_0000_00000222316_000000000000001"/>
    <s v="VEH03"/>
    <s v="2018-01-15"/>
    <s v="CONT1;HFS2;B01;MC02;PR0302;ACPF6;SC0303;STAG2;POCI2;SUBO2;DEFA2;FORB2;SSC3;PURP6;COLL4;TYVA01;FVAD3"/>
    <s v="51"/>
    <s v="REL01"/>
    <s v="SCOPE_1"/>
    <s v="CAAP4"/>
    <s v="SOUR2"/>
    <s v="DQS4"/>
    <n v="11023.05"/>
  </r>
  <r>
    <x v="18"/>
    <s v="M_0000_00000222382_000000000000001"/>
    <s v="VEH05"/>
    <s v="2018-03-15"/>
    <s v="CONT1;HFS2;B01;MC02;PR0302;ACPF6;SC0303;STAG1;SUBO2;DEFA2;FORB2;SSC4;PURP6;COLL4;TYVA01;FVAD3"/>
    <s v="51"/>
    <s v="REL01"/>
    <s v="SCOPE_1"/>
    <s v="CAAP4"/>
    <s v="SOUR2"/>
    <s v="DQS4"/>
    <n v="4787.08"/>
  </r>
  <r>
    <x v="19"/>
    <s v="M_0000_00000222383_000000000000001"/>
    <s v="VEH16"/>
    <s v="2018-02-15"/>
    <s v="CONT1;HFS2;B01;MC02;PR0302;ACPF6;SC0303;STAG1;SUBO2;DEFA2;FORB2;SSC4;PURP6;COLL4;TYVA01;FVAD3"/>
    <s v="51"/>
    <s v="REL01"/>
    <s v="SCOPE_1"/>
    <s v="CAAP4"/>
    <s v="SOUR2"/>
    <s v="DQS4"/>
    <n v="1102.42"/>
  </r>
  <r>
    <x v="20"/>
    <s v="M_0000_00000222384_000000000000001"/>
    <s v="VEH16"/>
    <s v="2018-02-15"/>
    <s v="CONT1;HFS2;B01;MC02;PR0302;ACPF6;SC0303;STAG1;SUBO2;DEFA2;FORB2;SSC4;PURP6;COLL4;TYVA01;FVAD3"/>
    <s v="51"/>
    <s v="REL01"/>
    <s v="SCOPE_1"/>
    <s v="CAAP4"/>
    <s v="SOUR2"/>
    <s v="DQS4"/>
    <n v="1102.42"/>
  </r>
  <r>
    <x v="21"/>
    <s v="M_0000_00000222385_000000000000001"/>
    <s v="VEH16"/>
    <s v="2018-02-15"/>
    <s v="CONT1;HFS2;B01;MC02;PR0302;ACPF6;SC0303;STAG1;SUBO2;DEFA2;FORB2;SSC4;PURP6;COLL4;TYVA01;FVAD3"/>
    <s v="51"/>
    <s v="REL01"/>
    <s v="SCOPE_1"/>
    <s v="CAAP4"/>
    <s v="SOUR2"/>
    <s v="DQS4"/>
    <n v="1102.42"/>
  </r>
  <r>
    <x v="22"/>
    <s v="M_0000_00000222491_000000000000001"/>
    <s v="VEH04"/>
    <s v="2018-02-15"/>
    <s v="CONT1;HFS2;B01;MC02;PR0302;ACPF6;SC0303;STAG1;SUBO2;DEFA2;FORB2;SSC4;PURP6;COLL4;TYVA01;FVAD3"/>
    <s v="51"/>
    <s v="REL01"/>
    <s v="SCOPE_1"/>
    <s v="CAAP4"/>
    <s v="SOUR2"/>
    <s v="DQS4"/>
    <n v="70.959999999999994"/>
  </r>
  <r>
    <x v="23"/>
    <s v="M_0000_00000222560_000000000000007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1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3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9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2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10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8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4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5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3"/>
    <s v="M_0000_00000222560_000000000000006"/>
    <s v="VEH16"/>
    <s v="2018-05-15"/>
    <s v="CONT1;HFS2;B01;MC02;PR0302;ACPF6;SC0303;STAG1;SUBO2;DEFA2;FORB2;SSC3;PURP6;COLL4;TYVA01;FVAD3"/>
    <s v="51"/>
    <s v="REL01"/>
    <s v="SCOPE_1"/>
    <s v="CAAP4"/>
    <s v="SOUR2"/>
    <s v="DQS4"/>
    <n v="3676.57"/>
  </r>
  <r>
    <x v="24"/>
    <s v="M_0000_00000222628_000000000000001"/>
    <s v="VEH05"/>
    <s v="2018-02-15"/>
    <s v="CONT1;HFS2;B01;MC02;PR0302;ACPF6;SC0303;STAG1;SUBO2;DEFA2;FORB2;SSC4;PURP6;COLL4;TYVA01;FVAD3"/>
    <s v="51"/>
    <s v="REL01"/>
    <s v="SCOPE_1"/>
    <s v="CAAP4"/>
    <s v="SOUR2"/>
    <s v="DQS4"/>
    <n v="1768.47"/>
  </r>
  <r>
    <x v="25"/>
    <s v="M_0000_00000222752_000000000000001"/>
    <s v="VEH16"/>
    <s v="2018-03-01"/>
    <s v="CONT1;HFS2;B01;MC02;PR0302;ACPF6;SC0303;STAG1;SUBO2;DEFA2;FORB2;SSC4;PURP6;COLL4;TYVA01;FVAD3"/>
    <s v="51"/>
    <s v="REL01"/>
    <s v="SCOPE_1"/>
    <s v="CAAP4"/>
    <s v="SOUR2"/>
    <s v="DQS4"/>
    <n v="1777.77"/>
  </r>
  <r>
    <x v="26"/>
    <s v="M_0000_00000222823_000000000000007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6"/>
    <s v="M_0000_00000222823_000000000000001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6"/>
    <s v="M_0000_00000222823_000000000000013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6"/>
    <s v="M_0000_00000222823_000000000000010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6"/>
    <s v="M_0000_00000222823_000000000000004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7"/>
    <s v="M_0000_00000222824_000000000000007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7"/>
    <s v="M_0000_00000222824_000000000000010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7"/>
    <s v="M_0000_00000222824_000000000000013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7"/>
    <s v="M_0000_00000222824_000000000000016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7"/>
    <s v="M_0000_00000222824_000000000000001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7"/>
    <s v="M_0000_00000222824_000000000000004"/>
    <s v="VEH16"/>
    <s v="2018-02-15"/>
    <s v="CONT1;HFS2;B01;MC02;PR0302;ACPF6;SC0303;STAG1;SUBO2;DEFA2;FORB2;SSC3;PURP6;COLL4;TYVA01;FVAD3"/>
    <s v="51"/>
    <s v="REL01"/>
    <s v="SCOPE_1"/>
    <s v="CAAP4"/>
    <s v="SOUR2"/>
    <s v="DQS4"/>
    <n v="9445.86"/>
  </r>
  <r>
    <x v="28"/>
    <s v="M_0000_00000222946_000000000000004"/>
    <s v="VEH16"/>
    <s v="2018-03-01"/>
    <s v="CONT1;HFS2;B01;MC02;PR0302;ACPF6;SC0303;STAG1;SUBO2;DEFA2;FORB2;SSC3;PURP6;COLL4;TYVA01;FVAD3"/>
    <s v="51"/>
    <s v="REL01"/>
    <s v="SCOPE_1"/>
    <s v="CAAP4"/>
    <s v="SOUR2"/>
    <s v="DQS4"/>
    <n v="10526.97"/>
  </r>
  <r>
    <x v="28"/>
    <s v="M_0000_00000222946_000000000000010"/>
    <s v="VEH16"/>
    <s v="2018-03-01"/>
    <s v="CONT1;HFS2;B01;MC02;PR0302;ACPF6;SC0303;STAG1;SUBO2;DEFA2;FORB2;SSC3;PURP6;COLL4;TYVA01;FVAD3"/>
    <s v="51"/>
    <s v="REL01"/>
    <s v="SCOPE_1"/>
    <s v="CAAP4"/>
    <s v="SOUR2"/>
    <s v="DQS4"/>
    <n v="10526.97"/>
  </r>
  <r>
    <x v="28"/>
    <s v="M_0000_00000222946_000000000000007"/>
    <s v="VEH16"/>
    <s v="2018-03-01"/>
    <s v="CONT1;HFS2;B01;MC02;PR0302;ACPF6;SC0303;STAG1;SUBO2;DEFA2;FORB2;SSC3;PURP6;COLL4;TYVA01;FVAD3"/>
    <s v="51"/>
    <s v="REL01"/>
    <s v="SCOPE_1"/>
    <s v="CAAP4"/>
    <s v="SOUR2"/>
    <s v="DQS4"/>
    <n v="10526.97"/>
  </r>
  <r>
    <x v="28"/>
    <s v="M_0000_00000222946_000000000000001"/>
    <s v="VEH16"/>
    <s v="2018-03-01"/>
    <s v="CONT1;HFS2;B01;MC02;PR0302;ACPF6;SC0303;STAG1;SUBO2;DEFA2;FORB2;SSC3;PURP6;COLL4;TYVA01;FVAD3"/>
    <s v="51"/>
    <s v="REL01"/>
    <s v="SCOPE_1"/>
    <s v="CAAP4"/>
    <s v="SOUR2"/>
    <s v="DQS4"/>
    <n v="10526.97"/>
  </r>
  <r>
    <x v="29"/>
    <s v="M_0000_00000223094_000000000000004"/>
    <s v="VEH16"/>
    <s v="2018-03-15"/>
    <s v="CONT1;HFS2;B01;MC02;PR0302;ACPF6;SC0303;STAG1;SUBO2;DEFA2;FORB2;SSC3;PURP6;COLL4;TYVA01;FVAD3"/>
    <s v="51"/>
    <s v="REL01"/>
    <s v="SCOPE_1"/>
    <s v="CAAP4"/>
    <s v="SOUR2"/>
    <s v="DQS4"/>
    <n v="2368.56"/>
  </r>
  <r>
    <x v="29"/>
    <s v="M_0000_00000223094_000000000000002"/>
    <s v="VEH16"/>
    <s v="2018-03-15"/>
    <s v="CONT1;HFS2;B01;MC02;PR0302;ACPF6;SC0303;STAG1;SUBO2;DEFA2;FORB2;SSC3;PURP6;COLL4;TYVA01;FVAD3"/>
    <s v="51"/>
    <s v="REL01"/>
    <s v="SCOPE_1"/>
    <s v="CAAP4"/>
    <s v="SOUR2"/>
    <s v="DQS4"/>
    <n v="2368.56"/>
  </r>
  <r>
    <x v="29"/>
    <s v="M_0000_00000223094_000000000000001"/>
    <s v="VEH16"/>
    <s v="2018-03-15"/>
    <s v="CONT1;HFS2;B01;MC02;PR0302;ACPF6;SC0303;STAG1;SUBO2;DEFA2;FORB2;SSC3;PURP6;COLL4;TYVA01;FVAD3"/>
    <s v="51"/>
    <s v="REL01"/>
    <s v="SCOPE_1"/>
    <s v="CAAP4"/>
    <s v="SOUR2"/>
    <s v="DQS4"/>
    <n v="2368.56"/>
  </r>
  <r>
    <x v="29"/>
    <s v="M_0000_00000223094_000000000000003"/>
    <s v="VEH16"/>
    <s v="2018-03-15"/>
    <s v="CONT1;HFS2;B01;MC02;PR0302;ACPF6;SC0303;STAG1;SUBO2;DEFA2;FORB2;SSC3;PURP6;COLL4;TYVA01;FVAD3"/>
    <s v="51"/>
    <s v="REL01"/>
    <s v="SCOPE_1"/>
    <s v="CAAP4"/>
    <s v="SOUR2"/>
    <s v="DQS4"/>
    <n v="2368.56"/>
  </r>
  <r>
    <x v="30"/>
    <s v="M_0000_00000223389_000000000000001"/>
    <s v="VEH05"/>
    <s v="2018-06-01"/>
    <s v="CONT1;HFS2;B01;MC02;PR0302;ACPF6;SC0303;STAG1;SUBO2;DEFA2;FORB2;SSC4;PURP6;COLL4;TYVA01;FVAD3"/>
    <s v="51"/>
    <s v="REL01"/>
    <s v="SCOPE_1"/>
    <s v="CAAP4"/>
    <s v="SOUR2"/>
    <s v="DQS4"/>
    <n v="6924.05"/>
  </r>
  <r>
    <x v="31"/>
    <s v="M_0000_00000223470_000000000000001"/>
    <s v="VEH05"/>
    <s v="2018-06-01"/>
    <s v="CONT1;HFS2;B01;MC02;PR0302;ACPF6;SC0303;STAG1;SUBO2;DEFA2;FORB2;SSC4;PURP6;COLL4;TYVA01;FVAD3"/>
    <s v="51"/>
    <s v="REL01"/>
    <s v="SCOPE_1"/>
    <s v="CAAP4"/>
    <s v="SOUR2"/>
    <s v="DQS4"/>
    <n v="4750.42"/>
  </r>
  <r>
    <x v="32"/>
    <s v="M_0000_00000223496_000000000000001"/>
    <s v="VEH05"/>
    <s v="2018-06-15"/>
    <s v="CONT1;HFS2;B01;MC02;PR0302;ACPF6;SC0303;STAG1;SUBO2;DEFA2;FORB2;SSC3;PURP6;COLL4;TYVA01;FVAD3"/>
    <s v="51"/>
    <s v="REL01"/>
    <s v="SCOPE_1"/>
    <s v="CAAP4"/>
    <s v="SOUR2"/>
    <s v="DQS4"/>
    <n v="12766.99"/>
  </r>
  <r>
    <x v="33"/>
    <s v="M_0000_00000223731_000000000000001"/>
    <s v="VEH05"/>
    <s v="2019-11-01"/>
    <s v="CONT1;HFS2;B01;MC02;PR0302;ACPF6;SC0303;STAG3;POCI2;SUBO2;DEFA1;FORB2;SSC4;PURP6;COLL4;TYVA01;FVAD3"/>
    <s v="51"/>
    <s v="REL01"/>
    <s v="SCOPE_1"/>
    <s v="CAAP4"/>
    <s v="SOUR2"/>
    <s v="DQS4"/>
    <n v="23799.08"/>
  </r>
  <r>
    <x v="34"/>
    <s v="M_0000_00000223799_000000000000001"/>
    <s v="VEH16"/>
    <s v="2018-05-15"/>
    <s v="CONT1;HFS2;B01;MC02;PR0302;ACPF6;SC0303;STAG2;POCI2;SUBO2;DEFA2;FORB2;SSC4;PURP6;COLL4;TYVA01;FVAD3"/>
    <s v="51"/>
    <s v="REL01"/>
    <s v="SCOPE_1"/>
    <s v="CAAP4"/>
    <s v="SOUR2"/>
    <s v="DQS4"/>
    <n v="3305.68"/>
  </r>
  <r>
    <x v="35"/>
    <s v="M_0000_00000223911_000000000000001"/>
    <s v="VEH16"/>
    <s v="2018-06-01"/>
    <s v="CONT1;HFS2;B01;MC02;PR0302;ACPF6;SC0303;STAG1;SUBO2;DEFA2;FORB2;SSC4;PURP6;COLL4;TYVA01;FVAD3"/>
    <s v="51"/>
    <s v="REL01"/>
    <s v="SCOPE_1"/>
    <s v="CAAP4"/>
    <s v="SOUR2"/>
    <s v="DQS4"/>
    <n v="4144.7700000000004"/>
  </r>
  <r>
    <x v="36"/>
    <s v="M_0000_00000224281_000000000000001"/>
    <s v="VEH05"/>
    <s v="2018-06-15"/>
    <s v="CONT1;HFS2;B01;MC02;PR0302;ACPF6;SC0303;STAG1;SUBO2;DEFA2;FORB2;SSC4;PURP6;COLL4;TYVA01;FVAD3"/>
    <s v="51"/>
    <s v="REL01"/>
    <s v="SCOPE_1"/>
    <s v="CAAP4"/>
    <s v="SOUR2"/>
    <s v="DQS4"/>
    <n v="4941.78"/>
  </r>
  <r>
    <x v="37"/>
    <s v="M_0000_00000224698_000000000000001"/>
    <s v="VEH04"/>
    <s v="2018-08-01"/>
    <s v="CONT1;HFS2;B01;MC02;PR0302;ACPF6;SC0303;STAG2;POCI2;SUBO2;DEFA2;FORB2;SSC4;PURP6;COLL4;TYVA01;FVAD3"/>
    <s v="51"/>
    <s v="REL01"/>
    <s v="SCOPE_1"/>
    <s v="CAAP4"/>
    <s v="SOUR2"/>
    <s v="DQS4"/>
    <n v="740.07"/>
  </r>
  <r>
    <x v="38"/>
    <s v="M_0000_00000224857_000000000000001"/>
    <s v="VEH05"/>
    <s v="2018-07-15"/>
    <s v="CONT1;HFS2;B01;MC02;PR0302;ACPF6;SC0303;STAG1;SUBO2;DEFA2;FORB2;SSC4;PURP6;COLL4;TYVA01;FVAD3"/>
    <s v="51"/>
    <s v="REL01"/>
    <s v="SCOPE_1"/>
    <s v="CAAP4"/>
    <s v="SOUR2"/>
    <s v="DQS4"/>
    <n v="5171.07"/>
  </r>
  <r>
    <x v="39"/>
    <s v="M_0000_00000224886_000000000000001"/>
    <s v="VEH05"/>
    <s v="2018-07-01"/>
    <s v="CONT1;HFS2;B01;MC02;PR0302;ACPF6;SC0303;STAG1;SUBO2;DEFA2;FORB2;SSC4;PURP6;COLL4;TYVA01;FVAD3"/>
    <s v="51"/>
    <s v="REL01"/>
    <s v="SCOPE_1"/>
    <s v="CAAP4"/>
    <s v="SOUR2"/>
    <s v="DQS4"/>
    <n v="11270.67"/>
  </r>
  <r>
    <x v="40"/>
    <s v="M_0000_00000225243_000000000000001"/>
    <s v="VEH05"/>
    <s v="2018-09-15"/>
    <s v="CONT1;HFS2;B01;MC02;PR0302;ACPF6;SC0303;STAG1;SUBO2;DEFA2;FORB2;SSC4;PURP6;COLL4;TYVA01;FVAD3"/>
    <s v="51"/>
    <s v="REL01"/>
    <s v="SCOPE_1"/>
    <s v="CAAP4"/>
    <s v="SOUR2"/>
    <s v="DQS4"/>
    <n v="5440.53"/>
  </r>
  <r>
    <x v="41"/>
    <s v="M_0000_00000225309_000000000000001"/>
    <s v="VEH05"/>
    <s v="2018-09-15"/>
    <s v="CONT1;HFS2;B01;MC02;PR0302;ACPF6;SC0303;STAG1;SUBO2;DEFA2;FORB2;SSC4;PURP6;COLL4;TYVA01;FVAD3"/>
    <s v="51"/>
    <s v="REL01"/>
    <s v="SCOPE_1"/>
    <s v="CAAP4"/>
    <s v="SOUR2"/>
    <s v="DQS4"/>
    <n v="19202.73"/>
  </r>
  <r>
    <x v="42"/>
    <s v="M_0000_00000225310_000000000000001"/>
    <s v="VEH05"/>
    <s v="2018-09-15"/>
    <s v="CONT1;HFS2;B01;MC02;PR0302;ACPF6;SC0303;STAG1;SUBO2;DEFA2;FORB2;SSC4;PURP6;COLL4;TYVA01;FVAD3"/>
    <s v="51"/>
    <s v="REL01"/>
    <s v="SCOPE_1"/>
    <s v="CAAP4"/>
    <s v="SOUR2"/>
    <s v="DQS4"/>
    <n v="19202.73"/>
  </r>
  <r>
    <x v="43"/>
    <s v="M_0000_00000225653_000000000000001"/>
    <s v="VEH05"/>
    <s v="2018-09-15"/>
    <s v="CONT1;HFS2;B01;MC02;PR0302;ACPF6;SC0303;STAG2;POCI2;SUBO2;DEFA2;FORB2;SSC4;PURP6;COLL4;TYVA01;FVAD3"/>
    <s v="51"/>
    <s v="REL01"/>
    <s v="SCOPE_1"/>
    <s v="CAAP4"/>
    <s v="SOUR2"/>
    <s v="DQS4"/>
    <n v="6938.11"/>
  </r>
  <r>
    <x v="44"/>
    <s v="M_0000_00000225717_000000000000001"/>
    <s v="VEH16"/>
    <s v="2019-05-01"/>
    <s v="CONT1;HFS2;B01;MC02;PR0302;ACPF6;SC0303;STAG2;POCI2;SUBO2;DEFA2;FORB2;SSC4;PURP6;COLL4;TYVA01;FVAD3"/>
    <s v="51"/>
    <s v="REL01"/>
    <s v="SCOPE_1"/>
    <s v="CAAP4"/>
    <s v="SOUR2"/>
    <s v="DQS4"/>
    <n v="13937.84"/>
  </r>
  <r>
    <x v="45"/>
    <s v="M_0000_00000225718_000000000000001"/>
    <s v="VEH16"/>
    <s v="2019-06-01"/>
    <s v="CONT1;HFS2;B01;MC02;PR0302;ACPF6;SC0303;STAG2;POCI2;SUBO2;DEFA2;FORB2;SSC4;PURP6;COLL4;TYVA01;FVAD3"/>
    <s v="51"/>
    <s v="REL01"/>
    <s v="SCOPE_1"/>
    <s v="CAAP4"/>
    <s v="SOUR2"/>
    <s v="DQS4"/>
    <n v="14642.98"/>
  </r>
  <r>
    <x v="46"/>
    <s v="M_0000_00000225725_000000000000001"/>
    <s v="VEH05"/>
    <s v="2018-09-15"/>
    <s v="CONT1;HFS2;B01;MC02;PR0302;ACPF6;SC0303;STAG1;SUBO2;DEFA2;FORB2;SSC4;PURP6;COLL4;TYVA01;FVAD3"/>
    <s v="51"/>
    <s v="REL01"/>
    <s v="SCOPE_1"/>
    <s v="CAAP4"/>
    <s v="SOUR2"/>
    <s v="DQS4"/>
    <n v="1999.48"/>
  </r>
  <r>
    <x v="46"/>
    <s v="M_0000_00000225725_000000000000002"/>
    <s v="VEH16"/>
    <s v="2018-09-15"/>
    <s v="CONT1;HFS2;B01;MC02;PR0302;ACPF6;SC0303;STAG1;SUBO2;DEFA2;FORB2;SSC4;PURP6;COLL4;TYVA01;FVAD3"/>
    <s v="51"/>
    <s v="REL01"/>
    <s v="SCOPE_1"/>
    <s v="CAAP4"/>
    <s v="SOUR2"/>
    <s v="DQS4"/>
    <n v="1999.48"/>
  </r>
  <r>
    <x v="47"/>
    <s v="M_0000_00000225790_000000000000001"/>
    <s v="VEH04"/>
    <s v="2018-09-15"/>
    <s v="CONT1;HFS2;B01;MC02;PR0302;ACPF6;SC0303;STAG1;SUBO2;DEFA2;FORB2;SSC4;PURP6;COLL4;TYVA01;FVAD3"/>
    <s v="51"/>
    <s v="REL01"/>
    <s v="SCOPE_1"/>
    <s v="CAAP4"/>
    <s v="SOUR2"/>
    <s v="DQS4"/>
    <n v="254.57"/>
  </r>
  <r>
    <x v="48"/>
    <s v="M_0000_00000225860_000000000000001"/>
    <s v="VEH05"/>
    <s v="2018-10-01"/>
    <s v="CONT1;HFS2;B01;MC02;PR0302;ACPF6;SC0303;STAG1;SUBO2;DEFA2;FORB2;SSC3;PURP6;COLL4;TYVA01;FVAD3"/>
    <s v="51"/>
    <s v="REL01"/>
    <s v="SCOPE_1"/>
    <s v="CAAP4"/>
    <s v="SOUR2"/>
    <s v="DQS4"/>
    <n v="15038.04"/>
  </r>
  <r>
    <x v="49"/>
    <s v="M_0000_00000226067_000000000000001"/>
    <s v="VEH05"/>
    <s v="2018-11-01"/>
    <s v="CONT1;HFS2;B01;MC02;PR0302;ACPF6;SC0303;STAG2;POCI2;SUBO2;DEFA2;FORB2;SSC4;PURP6;COLL4;TYVA01;FVAD3"/>
    <s v="51"/>
    <s v="REL01"/>
    <s v="SCOPE_1"/>
    <s v="CAAP4"/>
    <s v="SOUR2"/>
    <s v="DQS4"/>
    <n v="7443.2"/>
  </r>
  <r>
    <x v="50"/>
    <s v="M_0000_00000226281_000000000000002"/>
    <s v="VEH05"/>
    <s v="2018-11-15"/>
    <s v="CONT1;HFS2;B01;MC02;PR0302;ACPF6;SC0303;STAG2;POCI2;SUBO2;DEFA2;FORB2;SSC3;PURP6;COLL4;TYVA01;FVAD3"/>
    <s v="51"/>
    <s v="REL01"/>
    <s v="SCOPE_1"/>
    <s v="CAAP4"/>
    <s v="SOUR2"/>
    <s v="DQS4"/>
    <n v="1102.4100000000001"/>
  </r>
  <r>
    <x v="50"/>
    <s v="M_0000_00000226281_000000000000001"/>
    <s v="VEH05"/>
    <s v="2018-11-15"/>
    <s v="CONT1;HFS2;B01;MC02;PR0302;ACPF6;SC0303;STAG2;POCI2;SUBO2;DEFA2;FORB2;SSC3;PURP6;COLL4;TYVA01;FVAD3"/>
    <s v="51"/>
    <s v="REL01"/>
    <s v="SCOPE_1"/>
    <s v="CAAP4"/>
    <s v="SOUR2"/>
    <s v="DQS4"/>
    <n v="1102.4100000000001"/>
  </r>
  <r>
    <x v="51"/>
    <s v="M_0000_00000226300_000000000000001"/>
    <s v="VEH05"/>
    <s v="2018-11-15"/>
    <s v="CONT1;HFS2;B01;MC02;PR0302;ACPF6;SC0303;STAG2;POCI2;SUBO2;DEFA2;FORB2;SSC4;PURP6;COLL4;TYVA01;FVAD3"/>
    <s v="51"/>
    <s v="REL01"/>
    <s v="SCOPE_1"/>
    <s v="CAAP4"/>
    <s v="SOUR2"/>
    <s v="DQS4"/>
    <n v="7122.19"/>
  </r>
  <r>
    <x v="51"/>
    <s v="M_0000_00000226300_000000000000002"/>
    <s v="VEH16"/>
    <s v="2018-11-15"/>
    <s v="CONT1;HFS2;B01;MC02;PR0302;ACPF6;SC0303;STAG2;POCI2;SUBO2;DEFA2;FORB2;SSC4;PURP6;COLL4;TYVA01;FVAD3"/>
    <s v="51"/>
    <s v="REL01"/>
    <s v="SCOPE_1"/>
    <s v="CAAP4"/>
    <s v="SOUR2"/>
    <s v="DQS4"/>
    <n v="7122.19"/>
  </r>
  <r>
    <x v="51"/>
    <s v="M_0000_00000226300_000000000000001"/>
    <s v="VEH05"/>
    <s v="2018-11-15"/>
    <s v="CONT1;HFS2;B01;MC02;PR0302;ACPF6;SC0303;STAG2;POCI2;SUBO2;DEFA2;FORB2;SSC4;PURP6;COLL4;TYVA01;FVAD3"/>
    <s v="51"/>
    <s v="REL01"/>
    <s v="SCOPE_1"/>
    <s v="CAAP4"/>
    <s v="SOUR2"/>
    <s v="DQS4"/>
    <n v="7122.18"/>
  </r>
  <r>
    <x v="51"/>
    <s v="M_0000_00000226300_000000000000002"/>
    <s v="VEH16"/>
    <s v="2018-11-15"/>
    <s v="CONT1;HFS2;B01;MC02;PR0302;ACPF6;SC0303;STAG2;POCI2;SUBO2;DEFA2;FORB2;SSC4;PURP6;COLL4;TYVA01;FVAD3"/>
    <s v="51"/>
    <s v="REL01"/>
    <s v="SCOPE_1"/>
    <s v="CAAP4"/>
    <s v="SOUR2"/>
    <s v="DQS4"/>
    <n v="7122.18"/>
  </r>
  <r>
    <x v="52"/>
    <s v="M_0000_00000226343_000000000000001"/>
    <s v="VEH04"/>
    <s v="2018-11-15"/>
    <s v="CONT1;HFS2;B01;MC02;PR0302;ACPF6;SC0303;STAG3;POCI2;SUBO2;DEFA1;FORB2;SSC4;PURP6;COLL4;TYVA01;FVAD3"/>
    <s v="51"/>
    <s v="REL01"/>
    <s v="SCOPE_1"/>
    <s v="CAAP4"/>
    <s v="SOUR2"/>
    <s v="DQS4"/>
    <n v="304.68"/>
  </r>
  <r>
    <x v="53"/>
    <s v="M_0000_00000226375_000000000000001"/>
    <s v="VEH04"/>
    <s v="2019-01-15"/>
    <s v="CONT1;HFS2;B01;MC02;PR0302;ACPF6;SC0303;STAG1;SUBO2;DEFA2;FORB2;SSC4;PURP6;COLL4;TYVA01;FVAD3"/>
    <s v="51"/>
    <s v="REL01"/>
    <s v="SCOPE_1"/>
    <s v="CAAP4"/>
    <s v="SOUR2"/>
    <s v="DQS4"/>
    <n v="42.05"/>
  </r>
  <r>
    <x v="54"/>
    <s v="M_0000_00000226395_000000000000001"/>
    <s v="VEH05"/>
    <s v="2018-11-15"/>
    <s v="CONT1;HFS2;B01;MC02;PR0302;ACPF6;SC0303;STAG1;SUBO2;DEFA2;FORB2;SSC4;PURP6;COLL4;TYVA01;FVAD3"/>
    <s v="51"/>
    <s v="REL01"/>
    <s v="SCOPE_1"/>
    <s v="CAAP4"/>
    <s v="SOUR2"/>
    <s v="DQS4"/>
    <n v="12303.75"/>
  </r>
  <r>
    <x v="55"/>
    <s v="M_0000_00000226468_000000000000002"/>
    <s v="VEH04"/>
    <s v="2018-12-01"/>
    <s v="CONT1;HFS2;B01;MC02;PR0302;ACPF6;SC0303;STAG1;SUBO2;DEFA2;FORB2;SSC4;PURP6;COLL4;TYVA01;FVAD3"/>
    <s v="51"/>
    <s v="REL01"/>
    <s v="SCOPE_1"/>
    <s v="CAAP4"/>
    <s v="SOUR2"/>
    <s v="DQS4"/>
    <n v="348.09"/>
  </r>
  <r>
    <x v="55"/>
    <s v="M_0000_00000226468_000000000000001"/>
    <s v="VEH04"/>
    <s v="2018-12-01"/>
    <s v="CONT1;HFS2;B01;MC02;PR0302;ACPF6;SC0303;STAG1;SUBO2;DEFA2;FORB2;SSC4;PURP6;COLL4;TYVA01;FVAD3"/>
    <s v="51"/>
    <s v="REL01"/>
    <s v="SCOPE_1"/>
    <s v="CAAP4"/>
    <s v="SOUR2"/>
    <s v="DQS4"/>
    <n v="348.09"/>
  </r>
  <r>
    <x v="56"/>
    <s v="M_0000_00000226567_000000000000001"/>
    <s v="VEH04"/>
    <s v="2019-05-15"/>
    <s v="CONT1;HFS2;B01;MC02;PR0302;ACPF6;SC0303;STAG2;POCI2;SUBO2;DEFA2;FORB2;SSC4;PURP6;COLL4;TYVA01;FVAD3"/>
    <s v="51"/>
    <s v="REL01"/>
    <s v="SCOPE_1"/>
    <s v="CAAP4"/>
    <s v="SOUR2"/>
    <s v="DQS4"/>
    <n v="526.33000000000004"/>
  </r>
  <r>
    <x v="57"/>
    <s v="M_0000_00000226656_000000000000001"/>
    <s v="VEH16"/>
    <s v="2019-01-15"/>
    <s v="CONT1;HFS2;B01;MC02;PR0302;ACPF6;SC0303;STAG1;SUBO2;DEFA2;FORB2;SSC4;PURP6;COLL4;TYVA01;FVAD3"/>
    <s v="51"/>
    <s v="REL01"/>
    <s v="SCOPE_1"/>
    <s v="CAAP4"/>
    <s v="SOUR2"/>
    <s v="DQS4"/>
    <n v="1102.57"/>
  </r>
  <r>
    <x v="58"/>
    <s v="M_0000_00000226800_000000000000001"/>
    <s v="VEH16"/>
    <s v="2018-12-01"/>
    <s v="CONT1;HFS2;B01;MC02;PR0302;ACPF6;SC0303;STAG1;SUBO2;DEFA2;FORB2;SSC4;PURP6;COLL4;TYVA01;FVAD3"/>
    <s v="51"/>
    <s v="REL01"/>
    <s v="SCOPE_1"/>
    <s v="CAAP4"/>
    <s v="SOUR2"/>
    <s v="DQS4"/>
    <n v="9531.1299999999992"/>
  </r>
  <r>
    <x v="59"/>
    <s v="M_0000_00000226801_000000000000001"/>
    <s v="VEH16"/>
    <s v="2018-12-01"/>
    <s v="CONT1;HFS2;B01;MC02;PR0302;ACPF6;SC0303;STAG1;SUBO2;DEFA2;FORB2;SSC4;PURP6;COLL4;TYVA01;FVAD3"/>
    <s v="51"/>
    <s v="REL01"/>
    <s v="SCOPE_1"/>
    <s v="CAAP4"/>
    <s v="SOUR2"/>
    <s v="DQS4"/>
    <n v="9531.1299999999992"/>
  </r>
  <r>
    <x v="60"/>
    <s v="M_0000_00000226802_000000000000001"/>
    <s v="VEH16"/>
    <s v="2018-12-01"/>
    <s v="CONT1;HFS2;B01;MC02;PR0302;ACPF6;SC0303;STAG1;SUBO2;DEFA2;FORB2;SSC4;PURP6;COLL4;TYVA01;FVAD3"/>
    <s v="51"/>
    <s v="REL01"/>
    <s v="SCOPE_1"/>
    <s v="CAAP4"/>
    <s v="SOUR2"/>
    <s v="DQS4"/>
    <n v="9531.1299999999992"/>
  </r>
  <r>
    <x v="61"/>
    <s v="M_0000_00000226803_000000000000001"/>
    <s v="VEH16"/>
    <s v="2018-12-01"/>
    <s v="CONT1;HFS2;B01;MC02;PR0302;ACPF6;SC0303;STAG1;SUBO2;DEFA2;FORB2;SSC4;PURP6;COLL4;TYVA01;FVAD3"/>
    <s v="51"/>
    <s v="REL01"/>
    <s v="SCOPE_1"/>
    <s v="CAAP4"/>
    <s v="SOUR2"/>
    <s v="DQS4"/>
    <n v="9531.1299999999992"/>
  </r>
  <r>
    <x v="62"/>
    <s v="M_0000_00000226804_000000000000001"/>
    <s v="VEH16"/>
    <s v="2018-12-01"/>
    <s v="CONT1;HFS2;B01;MC02;PR0302;ACPF6;SC0303;STAG1;SUBO2;DEFA2;FORB2;SSC4;PURP6;COLL4;TYVA01;FVAD3"/>
    <s v="51"/>
    <s v="REL01"/>
    <s v="SCOPE_1"/>
    <s v="CAAP4"/>
    <s v="SOUR2"/>
    <s v="DQS4"/>
    <n v="9531.1299999999992"/>
  </r>
  <r>
    <x v="63"/>
    <s v="M_0000_00000226805_000000000000001"/>
    <s v="VEH16"/>
    <s v="2018-12-01"/>
    <s v="CONT1;HFS2;B01;MC02;PR0302;ACPF6;SC0303;STAG1;SUBO2;DEFA2;FORB2;SSC4;PURP6;COLL4;TYVA01;FVAD3"/>
    <s v="51"/>
    <s v="REL01"/>
    <s v="SCOPE_1"/>
    <s v="CAAP4"/>
    <s v="SOUR2"/>
    <s v="DQS4"/>
    <n v="9531.1299999999992"/>
  </r>
  <r>
    <x v="64"/>
    <s v="M_0000_00000226870_000000000000003"/>
    <s v="VEH05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4"/>
    <s v="M_0000_00000226870_000000000000005"/>
    <s v="VEH16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4"/>
    <s v="M_0000_00000226870_000000000000002"/>
    <s v="VEH05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4"/>
    <s v="M_0000_00000226870_000000000000004"/>
    <s v="VEH05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4"/>
    <s v="M_0000_00000226870_000000000000006"/>
    <s v="VEH16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4"/>
    <s v="M_0000_00000226870_000000000000001"/>
    <s v="VEH05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4"/>
    <s v="M_0000_00000226870_000000000000008"/>
    <s v="VEH16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4"/>
    <s v="M_0000_00000226870_000000000000007"/>
    <s v="VEH16"/>
    <s v="2018-12-15"/>
    <s v="CONT1;HFS2;B01;MC02;PR0302;ACPF6;SC0303;STAG2;POCI2;SUBO2;DEFA2;FORB2;SSC3;PURP6;COLL4;TYVA01;FVAD3"/>
    <s v="51"/>
    <s v="REL01"/>
    <s v="SCOPE_1"/>
    <s v="CAAP4"/>
    <s v="SOUR2"/>
    <s v="DQS4"/>
    <n v="27905.82"/>
  </r>
  <r>
    <x v="65"/>
    <s v="M_0000_00000226949_000000000000001"/>
    <s v="VEH04"/>
    <s v="2019-03-15"/>
    <s v="CONT1;HFS2;B01;MC02;PR0302;ACPF6;SC0303;STAG2;POCI2;SUBO2;DEFA2;FORB2;SSC4;PURP6;COLL4;TYVA01;FVAD3"/>
    <s v="51"/>
    <s v="REL01"/>
    <s v="SCOPE_1"/>
    <s v="CAAP4"/>
    <s v="SOUR2"/>
    <s v="DQS4"/>
    <n v="464.95"/>
  </r>
  <r>
    <x v="66"/>
    <s v="M_0000_00000226951_000000000000001"/>
    <s v="VEH04"/>
    <s v="2019-01-15"/>
    <s v="CONT1;HFS2;B01;MC02;PR0302;ACPF6;SC0303;STAG2;POCI2;SUBO2;DEFA2;FORB2;SSC4;PURP6;COLL4;TYVA01;FVAD3"/>
    <s v="51"/>
    <s v="REL01"/>
    <s v="SCOPE_1"/>
    <s v="CAAP4"/>
    <s v="SOUR2"/>
    <s v="DQS4"/>
    <n v="401.92"/>
  </r>
  <r>
    <x v="67"/>
    <s v="M_0000_00000227269_000000000000001"/>
    <s v="VEH05"/>
    <s v="2019-02-01"/>
    <s v="CONT1;HFS2;B01;MC02;PR0302;ACPF6;SC0303;STAG2;POCI2;SUBO2;DEFA2;FORB2;SSC4;PURP6;COLL4;TYVA01;FVAD3"/>
    <s v="51"/>
    <s v="REL01"/>
    <s v="SCOPE_1"/>
    <s v="CAAP4"/>
    <s v="SOUR2"/>
    <s v="DQS4"/>
    <n v="1992.84"/>
  </r>
  <r>
    <x v="68"/>
    <s v="M_0000_00000227337_000000000000001"/>
    <s v="VEH05"/>
    <s v="2019-01-01"/>
    <s v="CONT1;HFS2;B01;MC02;PR0302;ACPF6;SC0303;STAG1;SUBO2;DEFA2;FORB2;SSC4;PURP6;COLL4;TYVA01;FVAD3"/>
    <s v="51"/>
    <s v="REL01"/>
    <s v="SCOPE_1"/>
    <s v="CAAP4"/>
    <s v="SOUR2"/>
    <s v="DQS4"/>
    <n v="9584.19"/>
  </r>
  <r>
    <x v="69"/>
    <s v="M_0000_00000227370_000000000000001"/>
    <s v="VEH05"/>
    <s v="2019-01-01"/>
    <s v="CONT1;HFS2;B01;MC02;PR0302;ACPF6;SC0303;STAG1;SUBO2;DEFA2;FORB2;SSC4;PURP6;COLL4;TYVA01;FVAD3"/>
    <s v="51"/>
    <s v="REL01"/>
    <s v="SCOPE_1"/>
    <s v="CAAP4"/>
    <s v="SOUR2"/>
    <s v="DQS4"/>
    <n v="9558.9500000000007"/>
  </r>
  <r>
    <x v="70"/>
    <s v="M_0000_00000227646_000000000000001"/>
    <s v="VEH05"/>
    <s v="2019-01-15"/>
    <s v="CONT1;HFS2;B01;MC02;PR0302;ACPF6;SC0303;STAG1;SUBO2;DEFA2;FORB2;SSC4;PURP6;COLL4;TYVA01;FVAD3"/>
    <s v="51"/>
    <s v="REL01"/>
    <s v="SCOPE_1"/>
    <s v="CAAP4"/>
    <s v="SOUR2"/>
    <s v="DQS4"/>
    <n v="9376.8700000000008"/>
  </r>
  <r>
    <x v="71"/>
    <s v="M_0000_00000227666_000000000000001"/>
    <s v="VEH05"/>
    <s v="2019-01-15"/>
    <s v="CONT1;HFS2;B01;MC02;PR0302;ACPF6;SC0303;STAG1;SUBO2;DEFA2;FORB2;SSC4;PURP6;COLL4;TYVA01;FVAD3"/>
    <s v="51"/>
    <s v="REL01"/>
    <s v="SCOPE_1"/>
    <s v="CAAP4"/>
    <s v="SOUR2"/>
    <s v="DQS4"/>
    <n v="9376.8700000000008"/>
  </r>
  <r>
    <x v="72"/>
    <s v="M_0000_00000227667_000000000000001"/>
    <s v="VEH05"/>
    <s v="2019-01-15"/>
    <s v="CONT1;HFS2;B01;MC02;PR0302;ACPF6;SC0303;STAG1;SUBO2;DEFA2;FORB2;SSC4;PURP6;COLL4;TYVA01;FVAD3"/>
    <s v="51"/>
    <s v="REL01"/>
    <s v="SCOPE_1"/>
    <s v="CAAP4"/>
    <s v="SOUR2"/>
    <s v="DQS4"/>
    <n v="9376.8700000000008"/>
  </r>
  <r>
    <x v="73"/>
    <s v="M_0000_00000227668_000000000000001"/>
    <s v="VEH05"/>
    <s v="2019-01-15"/>
    <s v="CONT1;HFS2;B01;MC02;PR0302;ACPF6;SC0303;STAG1;SUBO2;DEFA2;FORB2;SSC4;PURP6;COLL4;TYVA01;FVAD3"/>
    <s v="51"/>
    <s v="REL01"/>
    <s v="SCOPE_1"/>
    <s v="CAAP4"/>
    <s v="SOUR2"/>
    <s v="DQS4"/>
    <n v="9376.8700000000008"/>
  </r>
  <r>
    <x v="74"/>
    <s v="M_0000_00000227669_000000000000001"/>
    <s v="VEH05"/>
    <s v="2019-01-15"/>
    <s v="CONT1;HFS2;B01;MC02;PR0302;ACPF6;SC0303;STAG1;SUBO2;DEFA2;FORB2;SSC4;PURP6;COLL4;TYVA01;FVAD3"/>
    <s v="51"/>
    <s v="REL01"/>
    <s v="SCOPE_1"/>
    <s v="CAAP4"/>
    <s v="SOUR2"/>
    <s v="DQS4"/>
    <n v="10308.290000000001"/>
  </r>
  <r>
    <x v="75"/>
    <s v="M_0000_00000227670_000000000000001"/>
    <s v="VEH05"/>
    <s v="2019-01-15"/>
    <s v="CONT1;HFS2;B01;MC02;PR0302;ACPF6;SC0303;STAG1;SUBO2;DEFA2;FORB2;SSC4;PURP6;COLL4;TYVA01;FVAD3"/>
    <s v="51"/>
    <s v="REL01"/>
    <s v="SCOPE_1"/>
    <s v="CAAP4"/>
    <s v="SOUR2"/>
    <s v="DQS4"/>
    <n v="10308.290000000001"/>
  </r>
  <r>
    <x v="76"/>
    <s v="M_0000_00000227887_000000000000001"/>
    <s v="VEH05"/>
    <s v="2019-03-01"/>
    <s v="CONT1;HFS2;B01;MC02;PR0302;ACPF6;SC0303;STAG2;POCI2;SUBO2;DEFA2;FORB2;SSC4;PURP6;COLL4;TYVA01;FVAD3"/>
    <s v="51"/>
    <s v="REL01"/>
    <s v="SCOPE_1"/>
    <s v="CAAP4"/>
    <s v="SOUR2"/>
    <s v="DQS4"/>
    <n v="12143.1"/>
  </r>
  <r>
    <x v="77"/>
    <s v="M_0000_00000227983_000000000000001"/>
    <s v="VEH05"/>
    <s v="2019-03-01"/>
    <s v="CONT1;HFS2;B01;MC02;PR0302;ACPF6;SC0303;STAG2;POCI2;SUBO2;DEFA2;FORB2;SSC4;PURP6;COLL4;TYVA01;FVAD3"/>
    <s v="51"/>
    <s v="REL01"/>
    <s v="SCOPE_1"/>
    <s v="CAAP4"/>
    <s v="SOUR2"/>
    <s v="DQS4"/>
    <n v="11491.96"/>
  </r>
  <r>
    <x v="78"/>
    <s v="M_0000_00000228045_000000000000001"/>
    <s v="VEH16"/>
    <s v="2019-04-01"/>
    <s v="CONT1;HFS2;B01;MC02;PR0302;ACPF6;SC0303;STAG1;SUBO2;DEFA2;FORB2;SSC4;PURP6;COLL4;TYVA01;FVAD3"/>
    <s v="51"/>
    <s v="REL01"/>
    <s v="SCOPE_1"/>
    <s v="CAAP4"/>
    <s v="SOUR2"/>
    <s v="DQS4"/>
    <n v="12010.84"/>
  </r>
  <r>
    <x v="79"/>
    <s v="M_0000_00000228145_000000000000001"/>
    <s v="VEH05"/>
    <s v="2019-05-15"/>
    <s v="CONT1;HFS2;B01;MC02;PR0302;ACPF6;SC0303;STAG1;SUBO2;DEFA2;FORB2;SSC4;PURP6;COLL4;TYVA01;FVAD3"/>
    <s v="51"/>
    <s v="REL01"/>
    <s v="SCOPE_1"/>
    <s v="CAAP4"/>
    <s v="SOUR2"/>
    <s v="DQS4"/>
    <n v="2936.56"/>
  </r>
  <r>
    <x v="80"/>
    <s v="M_0000_00000228146_000000000000001"/>
    <s v="VEH05"/>
    <s v="2019-05-15"/>
    <s v="CONT1;HFS2;B01;MC02;PR0302;ACPF6;SC0303;STAG1;SUBO2;DEFA2;FORB2;SSC4;PURP6;COLL4;TYVA01;FVAD3"/>
    <s v="51"/>
    <s v="REL01"/>
    <s v="SCOPE_1"/>
    <s v="CAAP4"/>
    <s v="SOUR2"/>
    <s v="DQS4"/>
    <n v="2936.56"/>
  </r>
  <r>
    <x v="81"/>
    <s v="M_0000_00000228214_000000000000001"/>
    <s v="VEH05"/>
    <s v="2019-03-15"/>
    <s v="CONT1;HFS2;B01;MC02;PR0302;ACPF6;SC0303;STAG1;SUBO2;DEFA2;FORB2;SSC4;PURP6;COLL4;TYVA01;FVAD3"/>
    <s v="51"/>
    <s v="REL01"/>
    <s v="SCOPE_1"/>
    <s v="CAAP4"/>
    <s v="SOUR2"/>
    <s v="DQS4"/>
    <n v="2066.56"/>
  </r>
  <r>
    <x v="82"/>
    <s v="M_0000_00000228346_000000000000002"/>
    <s v="VEH16"/>
    <s v="2019-05-01"/>
    <s v="CONT1;HFS2;B01;MC02;PR0302;ACPF6;SC0303;STAG2;POCI2;SUBO2;DEFA2;FORB2;SSC4;PURP6;COLL4;TYVA01;FVAD3"/>
    <s v="51"/>
    <s v="REL01"/>
    <s v="SCOPE_1"/>
    <s v="CAAP4"/>
    <s v="SOUR2"/>
    <s v="DQS4"/>
    <n v="4727.46"/>
  </r>
  <r>
    <x v="82"/>
    <s v="M_0000_00000228346_000000000000001"/>
    <s v="VEH16"/>
    <s v="2019-05-01"/>
    <s v="CONT1;HFS2;B01;MC02;PR0302;ACPF6;SC0303;STAG2;POCI2;SUBO2;DEFA2;FORB2;SSC4;PURP6;COLL4;TYVA01;FVAD3"/>
    <s v="51"/>
    <s v="REL01"/>
    <s v="SCOPE_1"/>
    <s v="CAAP4"/>
    <s v="SOUR2"/>
    <s v="DQS4"/>
    <n v="4727.46"/>
  </r>
  <r>
    <x v="83"/>
    <s v="M_0000_00000228351_000000000000002"/>
    <s v="VEH16"/>
    <s v="2019-04-15"/>
    <s v="CONT1;HFS2;B01;MC02;PR0302;ACPF6;SC0303;STAG2;POCI2;SUBO2;DEFA2;FORB2;SSC4;PURP6;COLL4;TYVA01;FVAD3"/>
    <s v="51"/>
    <s v="REL01"/>
    <s v="SCOPE_1"/>
    <s v="CAAP4"/>
    <s v="SOUR2"/>
    <s v="DQS4"/>
    <n v="3801.6"/>
  </r>
  <r>
    <x v="83"/>
    <s v="M_0000_00000228351_000000000000001"/>
    <s v="VEH16"/>
    <s v="2019-04-15"/>
    <s v="CONT1;HFS2;B01;MC02;PR0302;ACPF6;SC0303;STAG2;POCI2;SUBO2;DEFA2;FORB2;SSC4;PURP6;COLL4;TYVA01;FVAD3"/>
    <s v="51"/>
    <s v="REL01"/>
    <s v="SCOPE_1"/>
    <s v="CAAP4"/>
    <s v="SOUR2"/>
    <s v="DQS4"/>
    <n v="3801.6"/>
  </r>
  <r>
    <x v="84"/>
    <s v="M_0000_00000228400_000000000000001"/>
    <s v="VEH16"/>
    <s v="2019-03-15"/>
    <s v="CONT1;HFS2;B01;MC02;PR0302;ACPF6;SC0303;STAG1;SUBO2;DEFA2;FORB2;SSC4;PURP6;COLL4;TYVA01;FVAD3"/>
    <s v="51"/>
    <s v="REL01"/>
    <s v="SCOPE_1"/>
    <s v="CAAP4"/>
    <s v="SOUR2"/>
    <s v="DQS4"/>
    <n v="2742.17"/>
  </r>
  <r>
    <x v="85"/>
    <s v="M_0000_00000228414_000000000000001"/>
    <s v="VEH05"/>
    <s v="2019-04-01"/>
    <s v="CONT1;HFS2;B01;MC02;PR0302;ACPF6;SC0303;STAG1;SUBO2;DEFA2;FORB2;SSC4;PURP6;COLL4;TYVA01;FVAD3"/>
    <s v="51"/>
    <s v="REL01"/>
    <s v="SCOPE_1"/>
    <s v="CAAP4"/>
    <s v="SOUR2"/>
    <s v="DQS4"/>
    <n v="11273.12"/>
  </r>
  <r>
    <x v="86"/>
    <s v="M_0000_00000228419_000000000000001"/>
    <s v="VEH05"/>
    <s v="2019-03-15"/>
    <s v="CONT1;HFS2;B01;MC02;PR0302;ACPF6;SC0303;STAG2;POCI2;SUBO2;DEFA2;FORB2;SSC4;PURP6;COLL4;TYVA01;FVAD3"/>
    <s v="51"/>
    <s v="REL01"/>
    <s v="SCOPE_1"/>
    <s v="CAAP4"/>
    <s v="SOUR2"/>
    <s v="DQS4"/>
    <n v="10335.02"/>
  </r>
  <r>
    <x v="87"/>
    <s v="M_0000_00000228646_000000000000001"/>
    <s v="VEH01"/>
    <s v="2019-04-15"/>
    <s v="CONT1;HFS2;B01;MC02;PR0302;ACPF6;SC0303;STAG1;SUBO2;DEFA2;FORB2;SSC4;PURP6;COLL4;TYVA01;FVAD3"/>
    <s v="51"/>
    <s v="REL01"/>
    <s v="SCOPE_1"/>
    <s v="CAAP4"/>
    <s v="SOUR2"/>
    <s v="DQS4"/>
    <n v="188.72"/>
  </r>
  <r>
    <x v="88"/>
    <s v="M_0000_00000228751_000000000000001"/>
    <s v="VEH05"/>
    <s v="2019-04-15"/>
    <s v="CONT1;HFS2;B01;MC02;PR0302;ACPF6;SC0303;STAG2;POCI2;SUBO2;DEFA2;FORB2;SSC4;PURP6;COLL4;TYVA01;FVAD3"/>
    <s v="51"/>
    <s v="REL01"/>
    <s v="SCOPE_1"/>
    <s v="CAAP4"/>
    <s v="SOUR2"/>
    <s v="DQS4"/>
    <n v="12444.86"/>
  </r>
  <r>
    <x v="89"/>
    <s v="M_0000_00000228761_000000000000001"/>
    <s v="VEH05"/>
    <s v="2019-03-15"/>
    <s v="CONT1;HFS2;B01;MC02;PR0302;ACPF6;SC0303;STAG1;SUBO2;DEFA2;FORB2;SSC4;PURP6;COLL4;TYVA01;FVAD3"/>
    <s v="51"/>
    <s v="REL01"/>
    <s v="SCOPE_1"/>
    <s v="CAAP4"/>
    <s v="SOUR2"/>
    <s v="DQS4"/>
    <n v="11935.26"/>
  </r>
  <r>
    <x v="90"/>
    <s v="M_0000_00000229036_000000000000001"/>
    <s v="VEH05"/>
    <s v="2019-06-01"/>
    <s v="CONT1;HFS2;B01;MC02;PR0302;ACPF6;SC0303;STAG2;POCI2;SUBO2;DEFA2;FORB2;SSC4;PURP6;COLL4;TYVA01;FVAD3"/>
    <s v="51"/>
    <s v="REL01"/>
    <s v="SCOPE_1"/>
    <s v="CAAP4"/>
    <s v="SOUR2"/>
    <s v="DQS4"/>
    <n v="13938.32"/>
  </r>
  <r>
    <x v="91"/>
    <s v="M_0000_00000229200_000000000000001"/>
    <s v="VEH05"/>
    <s v="2019-05-15"/>
    <s v="CONT1;HFS2;B01;MC02;PR0302;ACPF6;SC0303;STAG2;POCI2;SUBO2;DEFA2;FORB2;SSC4;PURP6;COLL4;TYVA01;FVAD3"/>
    <s v="51"/>
    <s v="REL01"/>
    <s v="SCOPE_1"/>
    <s v="CAAP4"/>
    <s v="SOUR2"/>
    <s v="DQS4"/>
    <n v="10728.65"/>
  </r>
  <r>
    <x v="92"/>
    <s v="M_0000_00000229361_000000000000001"/>
    <s v="VEH01"/>
    <s v="2019-05-01"/>
    <s v="CONT1;HFS2;B01;MC02;PR0302;ACPF6;SC0303;STAG2;POCI2;SUBO2;DEFA2;FORB2;SSC4;PURP6;COLL4;TYVA01;FVAD3"/>
    <s v="51"/>
    <s v="REL01"/>
    <s v="SCOPE_1"/>
    <s v="CAAP4"/>
    <s v="SOUR2"/>
    <s v="DQS4"/>
    <n v="191.54"/>
  </r>
  <r>
    <x v="93"/>
    <s v="M_0000_00000229439_000000000000001"/>
    <s v="VEH05"/>
    <s v="2019-05-15"/>
    <s v="CONT1;HFS2;B01;MC02;PR0302;ACPF6;SC0303;STAG1;SUBO2;DEFA2;FORB2;SSC4;PURP6;COLL4;TYVA01;FVAD3"/>
    <s v="51"/>
    <s v="REL01"/>
    <s v="SCOPE_1"/>
    <s v="CAAP4"/>
    <s v="SOUR2"/>
    <s v="DQS4"/>
    <n v="23452.76"/>
  </r>
  <r>
    <x v="94"/>
    <s v="M_0000_00000229598_000000000000001"/>
    <s v="VEH16"/>
    <s v="2019-05-15"/>
    <s v="CONT1;HFS2;B01;MC02;PR0302;ACPF6;SC0303;STAG1;SUBO2;DEFA2;FORB2;SSC3;PURP6;COLL4;TYVA01;FVAD3"/>
    <s v="51"/>
    <s v="REL01"/>
    <s v="SCOPE_1"/>
    <s v="CAAP4"/>
    <s v="SOUR2"/>
    <s v="DQS4"/>
    <n v="13406.32"/>
  </r>
  <r>
    <x v="95"/>
    <s v="M_0000_00000229669_000000000000009"/>
    <s v="VEH20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03"/>
    <s v="VEH16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01"/>
    <s v="VEH16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02"/>
    <s v="VEH16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04"/>
    <s v="VEH16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13"/>
    <s v="VEH20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11"/>
    <s v="VEH20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15"/>
    <s v="VEH20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07"/>
    <s v="VEH20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5"/>
    <s v="M_0000_00000229669_000000000000005"/>
    <s v="VEH16"/>
    <s v="2019-07-15"/>
    <s v="CONT1;HFS2;B01;MC02;PR0302;ACPF6;SC0303;STAG1;SUBO2;DEFA2;FORB2;SSC3;PURP6;COLL4;TYVA01;FVAD3"/>
    <s v="51"/>
    <s v="REL01"/>
    <s v="SCOPE_1"/>
    <s v="CAAP4"/>
    <s v="SOUR2"/>
    <s v="DQS4"/>
    <n v="7656.46"/>
  </r>
  <r>
    <x v="96"/>
    <s v="M_0000_00000229843_000000000000001"/>
    <s v="VEH16"/>
    <s v="2019-07-01"/>
    <s v="CONT1;HFS2;B01;MC02;PR0302;ACPF6;SC0303;STAG1;SUBO2;DEFA2;FORB2;SSC4;PURP6;COLL4;TYVA01;FVAD3"/>
    <s v="51"/>
    <s v="REL01"/>
    <s v="SCOPE_1"/>
    <s v="CAAP4"/>
    <s v="SOUR2"/>
    <s v="DQS4"/>
    <n v="1103.99"/>
  </r>
  <r>
    <x v="97"/>
    <s v="M_0000_00000229871_000000000000001"/>
    <s v="VEH01"/>
    <s v="2019-07-01"/>
    <s v="CONT1;HFS2;B01;MC02;PR0302;ACPF6;SC0303;STAG1;SUBO2;DEFA2;FORB2;SSC4;PURP6;COLL4;TYVA01;FVAD3"/>
    <s v="51"/>
    <s v="REL01"/>
    <s v="SCOPE_1"/>
    <s v="CAAP4"/>
    <s v="SOUR2"/>
    <s v="DQS4"/>
    <n v="1011.02"/>
  </r>
  <r>
    <x v="98"/>
    <s v="M_0000_00000229977_000000000000001"/>
    <s v="VEH05"/>
    <s v="2019-08-15"/>
    <s v="CONT1;HFS2;B01;MC02;PR0302;ACPF6;SC0303;STAG1;SUBO2;DEFA2;FORB2;SSC4;PURP6;COLL4;TYVA01;FVAD3"/>
    <s v="51"/>
    <s v="REL01"/>
    <s v="SCOPE_1"/>
    <s v="CAAP4"/>
    <s v="SOUR2"/>
    <s v="DQS4"/>
    <n v="19201.88"/>
  </r>
  <r>
    <x v="99"/>
    <s v="M_0000_00000230038_000000000000002"/>
    <s v="VEH04"/>
    <s v="2019-08-01"/>
    <s v="CONT1;HFS2;B01;MC02;PR0302;ACPF6;SC0303;STAG1;SUBO2;DEFA2;FORB2;SSC4;PURP6;COLL4;TYVA01;FVAD3"/>
    <s v="51"/>
    <s v="REL01"/>
    <s v="SCOPE_1"/>
    <s v="CAAP4"/>
    <s v="SOUR2"/>
    <s v="DQS4"/>
    <n v="353.33"/>
  </r>
  <r>
    <x v="99"/>
    <s v="M_0000_00000230038_000000000000003"/>
    <s v="VEH04"/>
    <s v="2019-08-01"/>
    <s v="CONT1;HFS2;B01;MC02;PR0302;ACPF6;SC0303;STAG1;SUBO2;DEFA2;FORB2;SSC4;PURP6;COLL4;TYVA01;FVAD3"/>
    <s v="51"/>
    <s v="REL01"/>
    <s v="SCOPE_1"/>
    <s v="CAAP4"/>
    <s v="SOUR2"/>
    <s v="DQS4"/>
    <n v="353.33"/>
  </r>
  <r>
    <x v="99"/>
    <s v="M_0000_00000230038_000000000000001"/>
    <s v="VEH04"/>
    <s v="2019-08-01"/>
    <s v="CONT1;HFS2;B01;MC02;PR0302;ACPF6;SC0303;STAG1;SUBO2;DEFA2;FORB2;SSC4;PURP6;COLL4;TYVA01;FVAD3"/>
    <s v="51"/>
    <s v="REL01"/>
    <s v="SCOPE_1"/>
    <s v="CAAP4"/>
    <s v="SOUR2"/>
    <s v="DQS4"/>
    <n v="353.33"/>
  </r>
  <r>
    <x v="100"/>
    <s v="M_0000_00000230306_000000000000001"/>
    <s v="VEH04"/>
    <s v="2019-07-15"/>
    <s v="CONT1;HFS2;B01;MC02;PR0302;ACPF6;SC0303;STAG3;POCI2;SUBO2;DEFA1;FORB2;SSC4;PURP6;COLL4;TYVA01;FVAD3"/>
    <s v="51"/>
    <s v="REL01"/>
    <s v="SCOPE_1"/>
    <s v="CAAP4"/>
    <s v="SOUR2"/>
    <s v="DQS4"/>
    <n v="148.18"/>
  </r>
  <r>
    <x v="101"/>
    <s v="M_0000_00000230373_000000000000001"/>
    <s v="VEH16"/>
    <s v="2019-07-15"/>
    <s v="CONT1;HFS2;B01;MC02;PR0302;ACPF6;SC0303;STAG2;POCI2;SUBO2;DEFA2;FORB2;SSC4;PURP6;COLL4;TYVA01;FVAD3"/>
    <s v="51"/>
    <s v="REL01"/>
    <s v="SCOPE_1"/>
    <s v="CAAP4"/>
    <s v="SOUR2"/>
    <s v="DQS4"/>
    <n v="5509.47"/>
  </r>
  <r>
    <x v="102"/>
    <s v="M_0000_00000230548_000000000000001"/>
    <s v="VEH05"/>
    <s v="2019-07-15"/>
    <s v="CONT1;HFS2;B01;MC02;PR0302;ACPF6;SC0303;STAG1;SUBO2;DEFA2;FORB2;SSC4;PURP6;COLL4;TYVA01;FVAD3"/>
    <s v="51"/>
    <s v="REL01"/>
    <s v="SCOPE_1"/>
    <s v="CAAP4"/>
    <s v="SOUR2"/>
    <s v="DQS4"/>
    <n v="1101.99"/>
  </r>
  <r>
    <x v="103"/>
    <s v="M_0000_00000230572_000000000000001"/>
    <s v="VEH05"/>
    <s v="2019-08-15"/>
    <s v="CONT1;HFS2;B01;MC02;PR0302;ACPF6;SC0303;STAG2;POCI2;SUBO2;DEFA2;FORB2;SSC4;PURP6;COLL4;TYVA01;FVAD3"/>
    <s v="51"/>
    <s v="REL01"/>
    <s v="SCOPE_1"/>
    <s v="CAAP4"/>
    <s v="SOUR2"/>
    <s v="DQS4"/>
    <n v="15918.48"/>
  </r>
  <r>
    <x v="104"/>
    <s v="M_0000_00000230637_000000000000001"/>
    <s v="VEH05"/>
    <s v="2019-09-15"/>
    <s v="CONT1;HFS2;B01;MC02;PR0302;ACPF6;SC0303;STAG2;POCI2;SUBO2;DEFA2;FORB2;SSC4;PURP6;COLL4;TYVA01;FVAD3"/>
    <s v="51"/>
    <s v="REL01"/>
    <s v="SCOPE_1"/>
    <s v="CAAP4"/>
    <s v="SOUR2"/>
    <s v="DQS4"/>
    <n v="25768.63"/>
  </r>
  <r>
    <x v="105"/>
    <s v="M_0000_00000230704_000000000000001"/>
    <s v="VEH05"/>
    <s v="2019-09-15"/>
    <s v="CONT1;HFS2;B01;MC02;PR0302;ACPF6;SC0303;STAG1;SUBO2;DEFA2;FORB2;SSC4;PURP6;COLL4;TYVA01;FVAD3"/>
    <s v="51"/>
    <s v="REL01"/>
    <s v="SCOPE_1"/>
    <s v="CAAP4"/>
    <s v="SOUR2"/>
    <s v="DQS4"/>
    <n v="5204.78"/>
  </r>
  <r>
    <x v="106"/>
    <s v="M_0000_00000230762_000000000000001"/>
    <s v="VEH04"/>
    <s v="2019-08-15"/>
    <s v="CONT1;HFS2;B01;MC02;PR0302;ACPF6;SC0303;STAG2;POCI2;SUBO2;DEFA2;FORB2;SSC4;PURP6;COLL4;TYVA01;FVAD3"/>
    <s v="51"/>
    <s v="REL01"/>
    <s v="SCOPE_1"/>
    <s v="CAAP4"/>
    <s v="SOUR2"/>
    <s v="DQS4"/>
    <n v="619.36"/>
  </r>
  <r>
    <x v="107"/>
    <s v="M_0000_00000230783_000000000000001"/>
    <s v="VEH05"/>
    <s v="2019-11-15"/>
    <s v="CONT1;HFS2;B01;MC02;PR0302;ACPF6;SC0303;STAG1;SUBO2;DEFA2;FORB2;SSC3;PURP6;COLL4;TYVA01;FVAD3"/>
    <s v="51"/>
    <s v="REL01"/>
    <s v="SCOPE_1"/>
    <s v="CAAP4"/>
    <s v="SOUR2"/>
    <s v="DQS4"/>
    <n v="18983.939999999999"/>
  </r>
  <r>
    <x v="108"/>
    <s v="M_0000_00000230784_000000000000001"/>
    <s v="VEH16"/>
    <s v="2019-08-01"/>
    <s v="CONT1;HFS2;B01;MC02;PR0302;ACPF6;SC0303;STAG1;SUBO2;DEFA2;FORB2;SSC3;PURP6;COLL4;TYVA01;FVAD3"/>
    <s v="51"/>
    <s v="REL01"/>
    <s v="SCOPE_1"/>
    <s v="CAAP4"/>
    <s v="SOUR2"/>
    <s v="DQS4"/>
    <n v="15882.82"/>
  </r>
  <r>
    <x v="108"/>
    <s v="M_0000_00000230784_000000000000002"/>
    <s v="VEH16"/>
    <s v="2019-08-01"/>
    <s v="CONT1;HFS2;B01;MC02;PR0302;ACPF6;SC0303;STAG1;SUBO2;DEFA2;FORB2;SSC3;PURP6;COLL4;TYVA01;FVAD3"/>
    <s v="51"/>
    <s v="REL01"/>
    <s v="SCOPE_1"/>
    <s v="CAAP4"/>
    <s v="SOUR2"/>
    <s v="DQS4"/>
    <n v="15882.82"/>
  </r>
  <r>
    <x v="109"/>
    <s v="M_0000_00000230857_000000000000001"/>
    <s v="VEH05"/>
    <s v="2019-09-15"/>
    <s v="CONT1;HFS2;B01;MC02;PR0302;ACPF6;SC0303;STAG2;POCI2;SUBO2;DEFA2;FORB2;SSC4;PURP6;COLL4;TYVA01;FVAD3"/>
    <s v="51"/>
    <s v="REL01"/>
    <s v="SCOPE_1"/>
    <s v="CAAP4"/>
    <s v="SOUR2"/>
    <s v="DQS4"/>
    <n v="16715.490000000002"/>
  </r>
  <r>
    <x v="110"/>
    <s v="M_0000_00000231315_000000000000001"/>
    <s v="VEH05"/>
    <s v="2019-10-15"/>
    <s v="CONT1;HFS2;B01;MC02;PR0302;ACPF6;SC0303;STAG2;POCI2;SUBO2;DEFA2;FORB2;SSC4;PURP6;COLL4;TYVA01;FVAD3"/>
    <s v="51"/>
    <s v="REL01"/>
    <s v="SCOPE_1"/>
    <s v="CAAP4"/>
    <s v="SOUR2"/>
    <s v="DQS4"/>
    <n v="18202.54"/>
  </r>
  <r>
    <x v="111"/>
    <s v="M_0000_00000231449_000000000000001"/>
    <s v="VEH04"/>
    <s v="2019-10-01"/>
    <s v="CONT1;HFS2;B01;MC02;PR0302;ACPF6;SC0303;STAG2;POCI2;SUBO2;DEFA2;FORB2;SSC4;PURP6;COLL4;TYVA01;FVAD3"/>
    <s v="51"/>
    <s v="REL01"/>
    <s v="SCOPE_1"/>
    <s v="CAAP4"/>
    <s v="SOUR2"/>
    <s v="DQS4"/>
    <n v="685.39"/>
  </r>
  <r>
    <x v="112"/>
    <s v="M_0000_00000231450_000000000000001"/>
    <s v="VEH04"/>
    <s v="2019-10-01"/>
    <s v="CONT1;HFS2;B01;MC02;PR0302;ACPF6;SC0303;STAG2;POCI2;SUBO2;DEFA2;FORB2;SSC4;PURP6;COLL4;TYVA01;FVAD3"/>
    <s v="51"/>
    <s v="REL01"/>
    <s v="SCOPE_1"/>
    <s v="CAAP4"/>
    <s v="SOUR2"/>
    <s v="DQS4"/>
    <n v="685.39"/>
  </r>
  <r>
    <x v="113"/>
    <s v="M_0000_00000231451_000000000000001"/>
    <s v="VEH04"/>
    <s v="2019-10-01"/>
    <s v="CONT1;HFS2;B01;MC02;PR0302;ACPF6;SC0303;STAG2;POCI2;SUBO2;DEFA2;FORB2;SSC4;PURP6;COLL4;TYVA01;FVAD3"/>
    <s v="51"/>
    <s v="REL01"/>
    <s v="SCOPE_1"/>
    <s v="CAAP4"/>
    <s v="SOUR2"/>
    <s v="DQS4"/>
    <n v="685.39"/>
  </r>
  <r>
    <x v="114"/>
    <s v="M_0000_00000231471_000000000000001"/>
    <s v="VEH05"/>
    <s v="2019-10-15"/>
    <s v="CONT1;HFS2;B01;MC02;PR0302;ACPF6;SC0303;STAG2;POCI2;SUBO2;DEFA2;FORB2;SSC4;PURP6;COLL4;TYVA01;FVAD3"/>
    <s v="51"/>
    <s v="REL01"/>
    <s v="SCOPE_1"/>
    <s v="CAAP4"/>
    <s v="SOUR2"/>
    <s v="DQS4"/>
    <n v="2905.82"/>
  </r>
  <r>
    <x v="115"/>
    <s v="M_0000_00000231479_000000000000001"/>
    <s v="VEH19"/>
    <s v="2019-10-15"/>
    <s v="CONT1;HFS2;B01;MC02;PR0302;ACPF6;SC0303;STAG1;SUBO2;DEFA2;FORB2;SSC4;PURP6;COLL4;TYVA01;FVAD3"/>
    <s v="51"/>
    <s v="REL01"/>
    <s v="SCOPE_2"/>
    <s v="CAAP4"/>
    <s v="SOUR2"/>
    <s v="DQS4"/>
    <n v="212.01"/>
  </r>
  <r>
    <x v="116"/>
    <s v="M_0000_00000231492_000000000000001"/>
    <s v="VEH04"/>
    <s v="2019-09-15"/>
    <s v="CONT1;HFS2;B01;MC02;PR0302;ACPF6;SC0303;STAG1;SUBO2;DEFA2;FORB2;SSC4;PURP6;COLL4;TYVA01;FVAD3"/>
    <s v="51"/>
    <s v="REL01"/>
    <s v="SCOPE_1"/>
    <s v="CAAP4"/>
    <s v="SOUR2"/>
    <s v="DQS4"/>
    <n v="342.96"/>
  </r>
  <r>
    <x v="116"/>
    <s v="M_0000_00000231492_000000000000002"/>
    <s v="VEH04"/>
    <s v="2019-09-15"/>
    <s v="CONT1;HFS2;B01;MC02;PR0302;ACPF6;SC0303;STAG1;SUBO2;DEFA2;FORB2;SSC4;PURP6;COLL4;TYVA01;FVAD3"/>
    <s v="51"/>
    <s v="REL01"/>
    <s v="SCOPE_1"/>
    <s v="CAAP4"/>
    <s v="SOUR2"/>
    <s v="DQS4"/>
    <n v="342.96"/>
  </r>
  <r>
    <x v="117"/>
    <s v="M_0000_00000231496_000000000000005"/>
    <s v="VEH05"/>
    <s v="2019-09-15"/>
    <s v="CONT1;HFS2;B01;MC02;PR0302;ACPF6;SC0303;STAG1;SUBO2;DEFA2;FORB2;SSC3;PURP6;COLL4;TYVA01;FVAD3"/>
    <s v="51"/>
    <s v="REL01"/>
    <s v="SCOPE_1"/>
    <s v="CAAP4"/>
    <s v="SOUR2"/>
    <s v="DQS4"/>
    <n v="8488.41"/>
  </r>
  <r>
    <x v="117"/>
    <s v="M_0000_00000231496_000000000000003"/>
    <s v="VEH05"/>
    <s v="2019-09-15"/>
    <s v="CONT1;HFS2;B01;MC02;PR0302;ACPF6;SC0303;STAG1;SUBO2;DEFA2;FORB2;SSC3;PURP6;COLL4;TYVA01;FVAD3"/>
    <s v="51"/>
    <s v="REL01"/>
    <s v="SCOPE_1"/>
    <s v="CAAP4"/>
    <s v="SOUR2"/>
    <s v="DQS4"/>
    <n v="8488.41"/>
  </r>
  <r>
    <x v="117"/>
    <s v="M_0000_00000231496_000000000000004"/>
    <s v="VEH05"/>
    <s v="2019-09-15"/>
    <s v="CONT1;HFS2;B01;MC02;PR0302;ACPF6;SC0303;STAG1;SUBO2;DEFA2;FORB2;SSC3;PURP6;COLL4;TYVA01;FVAD3"/>
    <s v="51"/>
    <s v="REL01"/>
    <s v="SCOPE_1"/>
    <s v="CAAP4"/>
    <s v="SOUR2"/>
    <s v="DQS4"/>
    <n v="8488.41"/>
  </r>
  <r>
    <x v="117"/>
    <s v="M_0000_00000231496_000000000000002"/>
    <s v="VEH05"/>
    <s v="2019-09-15"/>
    <s v="CONT1;HFS2;B01;MC02;PR0302;ACPF6;SC0303;STAG1;SUBO2;DEFA2;FORB2;SSC3;PURP6;COLL4;TYVA01;FVAD3"/>
    <s v="51"/>
    <s v="REL01"/>
    <s v="SCOPE_1"/>
    <s v="CAAP4"/>
    <s v="SOUR2"/>
    <s v="DQS4"/>
    <n v="8488.41"/>
  </r>
  <r>
    <x v="117"/>
    <s v="M_0000_00000231496_000000000000001"/>
    <s v="VEH05"/>
    <s v="2019-09-15"/>
    <s v="CONT1;HFS2;B01;MC02;PR0302;ACPF6;SC0303;STAG1;SUBO2;DEFA2;FORB2;SSC3;PURP6;COLL4;TYVA01;FVAD3"/>
    <s v="51"/>
    <s v="REL01"/>
    <s v="SCOPE_1"/>
    <s v="CAAP4"/>
    <s v="SOUR2"/>
    <s v="DQS4"/>
    <n v="8488.41"/>
  </r>
  <r>
    <x v="118"/>
    <s v="M_0000_00000231513_000000000000001"/>
    <s v="VEH05"/>
    <s v="2022-02-01"/>
    <s v="CONT1;HFS2;B01;MC02;PR0302;ACPF6;SC0303;STAG1;SUBO2;DEFA2;FORB2;SSC4;PURP6;COLL4;TYVA01;FVAD3"/>
    <s v="51"/>
    <s v="REL01"/>
    <s v="SCOPE_1"/>
    <s v="CAAP4"/>
    <s v="SOUR2"/>
    <s v="DQS4"/>
    <n v="8309.6299999999992"/>
  </r>
  <r>
    <x v="119"/>
    <s v="M_0000_00000231540_000000000000001"/>
    <s v="VEH04"/>
    <s v="2019-10-15"/>
    <s v="CONT1;HFS2;B01;MC02;PR0302;ACPF6;SC0303;STAG1;SUBO2;DEFA2;FORB2;SSC4;PURP6;COLL4;TYVA01;FVAD3"/>
    <s v="51"/>
    <s v="REL01"/>
    <s v="SCOPE_1"/>
    <s v="CAAP4"/>
    <s v="SOUR2"/>
    <s v="DQS4"/>
    <n v="634.79"/>
  </r>
  <r>
    <x v="120"/>
    <s v="M_0000_00000231578_000000000000001"/>
    <s v="VEH05"/>
    <s v="2019-11-01"/>
    <s v="CONT1;HFS2;B01;MC02;PR0302;ACPF6;SC0303;STAG1;SUBO2;DEFA2;FORB2;SSC4;PURP6;COLL4;TYVA01;FVAD3"/>
    <s v="51"/>
    <s v="REL01"/>
    <s v="SCOPE_1"/>
    <s v="CAAP4"/>
    <s v="SOUR2"/>
    <s v="DQS4"/>
    <n v="3219.61"/>
  </r>
  <r>
    <x v="121"/>
    <s v="M_0000_00000231619_000000000000001"/>
    <s v="VEH05"/>
    <s v="2019-10-15"/>
    <s v="CONT1;HFS2;B01;MC02;PR0302;ACPF6;SC0303;STAG1;SUBO2;DEFA2;FORB2;SSC4;PURP6;COLL4;TYVA01;FVAD3"/>
    <s v="51"/>
    <s v="REL01"/>
    <s v="SCOPE_1"/>
    <s v="CAAP4"/>
    <s v="SOUR2"/>
    <s v="DQS4"/>
    <n v="12884.01"/>
  </r>
  <r>
    <x v="122"/>
    <s v="M_0000_00000231644_000000000000001"/>
    <s v="VEH05"/>
    <s v="2019-11-01"/>
    <s v="CONT1;HFS2;B01;MC02;PR0302;ACPF6;SC0303;STAG2;POCI2;SUBO2;DEFA2;FORB2;SSC4;PURP6;COLL4;TYVA01;FVAD3"/>
    <s v="51"/>
    <s v="REL01"/>
    <s v="SCOPE_1"/>
    <s v="CAAP4"/>
    <s v="SOUR2"/>
    <s v="DQS4"/>
    <n v="19038.27"/>
  </r>
  <r>
    <x v="123"/>
    <s v="M_0000_00000231812_000000000000001"/>
    <s v="VEH05"/>
    <s v="2019-11-01"/>
    <s v="CONT1;HFS2;B01;MC02;PR0302;ACPF6;SC0303;STAG1;SUBO2;DEFA2;FORB2;SSC3;PURP6;COLL4;TYVA01;FVAD3"/>
    <s v="51"/>
    <s v="REL01"/>
    <s v="SCOPE_1"/>
    <s v="CAAP4"/>
    <s v="SOUR2"/>
    <s v="DQS4"/>
    <n v="12012.53"/>
  </r>
  <r>
    <x v="124"/>
    <s v="M_0000_00000231829_000000000000001"/>
    <s v="VEH05"/>
    <s v="2019-11-01"/>
    <s v="CONT1;HFS2;B01;MC02;PR0302;ACPF6;SC0303;STAG1;SUBO2;DEFA2;FORB2;SSC3;PURP6;COLL4;TYVA01;FVAD3"/>
    <s v="51"/>
    <s v="REL01"/>
    <s v="SCOPE_1"/>
    <s v="CAAP4"/>
    <s v="SOUR2"/>
    <s v="DQS4"/>
    <n v="12012.53"/>
  </r>
  <r>
    <x v="125"/>
    <s v="M_0000_00000231911_000000000000001"/>
    <s v="VEH05"/>
    <s v="2020-02-01"/>
    <s v="CONT1;HFS2;B01;MC02;PR0302;ACPF6;SC0303;STAG1;SUBO2;DEFA2;FORB2;SSC4;PURP6;COLL4;TYVA01;FVAD3"/>
    <s v="51"/>
    <s v="REL01"/>
    <s v="SCOPE_1"/>
    <s v="CAAP4"/>
    <s v="SOUR2"/>
    <s v="DQS4"/>
    <n v="20628.439999999999"/>
  </r>
  <r>
    <x v="126"/>
    <s v="M_0000_00000231947_000000000000004"/>
    <s v="VEH16"/>
    <s v="2019-11-15"/>
    <s v="CONT1;HFS2;B01;MC02;PR0302;ACPF6;SC0303;STAG1;SUBO2;DEFA2;FORB2;SSC4;PURP6;COLL4;TYVA01;FVAD3"/>
    <s v="51"/>
    <s v="REL01"/>
    <s v="SCOPE_1"/>
    <s v="CAAP4"/>
    <s v="SOUR2"/>
    <s v="DQS4"/>
    <n v="17484.57"/>
  </r>
  <r>
    <x v="126"/>
    <s v="M_0000_00000231947_000000000000003"/>
    <s v="VEH05"/>
    <s v="2019-11-15"/>
    <s v="CONT1;HFS2;B01;MC02;PR0302;ACPF6;SC0303;STAG1;SUBO2;DEFA2;FORB2;SSC4;PURP6;COLL4;TYVA01;FVAD3"/>
    <s v="51"/>
    <s v="REL01"/>
    <s v="SCOPE_1"/>
    <s v="CAAP4"/>
    <s v="SOUR2"/>
    <s v="DQS4"/>
    <n v="17484.57"/>
  </r>
  <r>
    <x v="126"/>
    <s v="M_0000_00000231947_000000000000001"/>
    <s v="VEH05"/>
    <s v="2019-11-15"/>
    <s v="CONT1;HFS2;B01;MC02;PR0302;ACPF6;SC0303;STAG1;SUBO2;DEFA2;FORB2;SSC4;PURP6;COLL4;TYVA01;FVAD3"/>
    <s v="51"/>
    <s v="REL01"/>
    <s v="SCOPE_1"/>
    <s v="CAAP4"/>
    <s v="SOUR2"/>
    <s v="DQS4"/>
    <n v="17484.57"/>
  </r>
  <r>
    <x v="126"/>
    <s v="M_0000_00000231947_000000000000002"/>
    <s v="VEH16"/>
    <s v="2019-11-15"/>
    <s v="CONT1;HFS2;B01;MC02;PR0302;ACPF6;SC0303;STAG1;SUBO2;DEFA2;FORB2;SSC4;PURP6;COLL4;TYVA01;FVAD3"/>
    <s v="51"/>
    <s v="REL01"/>
    <s v="SCOPE_1"/>
    <s v="CAAP4"/>
    <s v="SOUR2"/>
    <s v="DQS4"/>
    <n v="17484.57"/>
  </r>
  <r>
    <x v="127"/>
    <s v="M_0000_00000232021_000000000000001"/>
    <s v="VEH05"/>
    <s v="2019-11-01"/>
    <s v="CONT1;HFS2;B01;MC02;PR0302;ACPF6;SC0303;STAG1;SUBO2;DEFA2;FORB2;SSC4;PURP6;COLL4;TYVA01;FVAD3"/>
    <s v="51"/>
    <s v="REL01"/>
    <s v="SCOPE_1"/>
    <s v="CAAP4"/>
    <s v="SOUR2"/>
    <s v="DQS4"/>
    <n v="9083.5300000000007"/>
  </r>
  <r>
    <x v="128"/>
    <s v="M_0000_00000232066_000000000000001"/>
    <s v="VEH05"/>
    <s v="2019-11-01"/>
    <s v="CONT1;HFS2;B01;MC02;PR0302;ACPF6;SC0303;STAG1;SUBO2;DEFA2;FORB2;SSC4;PURP6;COLL4;TYVA01;FVAD3"/>
    <s v="51"/>
    <s v="REL01"/>
    <s v="SCOPE_1"/>
    <s v="CAAP4"/>
    <s v="SOUR2"/>
    <s v="DQS4"/>
    <n v="9083.5300000000007"/>
  </r>
  <r>
    <x v="129"/>
    <s v="M_0000_00000232183_000000000000001"/>
    <s v="VEH04"/>
    <s v="2019-12-01"/>
    <s v="CONT1;HFS2;B01;MC02;PR0302;ACPF6;SC0303;STAG2;POCI2;SUBO2;DEFA2;FORB2;SSC4;PURP6;COLL4;TYVA01;FVAD3"/>
    <s v="51"/>
    <s v="REL01"/>
    <s v="SCOPE_1"/>
    <s v="CAAP4"/>
    <s v="SOUR2"/>
    <s v="DQS4"/>
    <n v="748.95"/>
  </r>
  <r>
    <x v="130"/>
    <s v="M_0000_00000232302_000000000000001"/>
    <s v="VEH04"/>
    <s v="2019-12-01"/>
    <s v="CONT1;HFS2;B01;MC02;PR0302;ACPF6;SC0303;STAG2;POCI2;SUBO2;DEFA2;FORB2;SSC4;PURP6;COLL4;TYVA01;FVAD3"/>
    <s v="51"/>
    <s v="REL01"/>
    <s v="SCOPE_1"/>
    <s v="CAAP4"/>
    <s v="SOUR2"/>
    <s v="DQS4"/>
    <n v="748.95"/>
  </r>
  <r>
    <x v="131"/>
    <s v="M_0000_00000232310_000000000000001"/>
    <s v="VEH16"/>
    <s v="2019-12-15"/>
    <s v="CONT1;HFS2;B01;MC02;PR0302;ACPF6;SC0303;STAG1;SUBO2;DEFA2;FORB2;SSC4;PURP6;COLL4;TYVA01;FVAD3"/>
    <s v="51"/>
    <s v="REL01"/>
    <s v="SCOPE_1"/>
    <s v="CAAP4"/>
    <s v="SOUR2"/>
    <s v="DQS4"/>
    <n v="20680.18"/>
  </r>
  <r>
    <x v="132"/>
    <s v="M_0000_00000232368_000000000000001"/>
    <s v="VEH05"/>
    <s v="2019-11-01"/>
    <s v="CONT1;HFS2;B01;MC02;PR0302;ACPF6;SC0303;STAG1;SUBO2;DEFA2;FORB2;SSC3;PURP6;COLL4;TYVA01;FVAD3"/>
    <s v="51"/>
    <s v="REL01"/>
    <s v="SCOPE_1"/>
    <s v="CAAP4"/>
    <s v="SOUR2"/>
    <s v="DQS4"/>
    <n v="12012.53"/>
  </r>
  <r>
    <x v="133"/>
    <s v="M_0000_00000232369_000000000000001"/>
    <s v="VEH05"/>
    <s v="2019-11-01"/>
    <s v="CONT1;HFS2;B01;MC02;PR0302;ACPF6;SC0303;STAG1;SUBO2;DEFA2;FORB2;SSC3;PURP6;COLL4;TYVA01;FVAD3"/>
    <s v="51"/>
    <s v="REL01"/>
    <s v="SCOPE_1"/>
    <s v="CAAP4"/>
    <s v="SOUR2"/>
    <s v="DQS4"/>
    <n v="12012.53"/>
  </r>
  <r>
    <x v="134"/>
    <s v="M_0000_00000232614_000000000000002"/>
    <s v="VEH05"/>
    <s v="2020-01-15"/>
    <s v="CONT1;HFS2;B01;MC02;PR0302;ACPF6;SC0303;STAG1;SUBO2;DEFA2;FORB2;SSC4;PURP6;COLL4;TYVA01;FVAD3"/>
    <s v="51"/>
    <s v="REL01"/>
    <s v="SCOPE_1"/>
    <s v="CAAP4"/>
    <s v="SOUR2"/>
    <s v="DQS4"/>
    <n v="10896.63"/>
  </r>
  <r>
    <x v="134"/>
    <s v="M_0000_00000232614_000000000000001"/>
    <s v="VEH05"/>
    <s v="2020-01-15"/>
    <s v="CONT1;HFS2;B01;MC02;PR0302;ACPF6;SC0303;STAG1;SUBO2;DEFA2;FORB2;SSC4;PURP6;COLL4;TYVA01;FVAD3"/>
    <s v="51"/>
    <s v="REL01"/>
    <s v="SCOPE_1"/>
    <s v="CAAP4"/>
    <s v="SOUR2"/>
    <s v="DQS4"/>
    <n v="10896.63"/>
  </r>
  <r>
    <x v="135"/>
    <s v="M_0000_00000232625_000000000000001"/>
    <s v="VEH05"/>
    <s v="2020-02-15"/>
    <s v="CONT1;HFS2;B01;MC02;PR0302;ACPF6;SC0303;STAG1;SUBO2;DEFA2;FORB2;SSC4;PURP6;COLL4;TYVA01;FVAD3"/>
    <s v="51"/>
    <s v="REL01"/>
    <s v="SCOPE_1"/>
    <s v="CAAP4"/>
    <s v="SOUR2"/>
    <s v="DQS4"/>
    <n v="31766.32"/>
  </r>
  <r>
    <x v="136"/>
    <s v="M_0000_00000232744_000000000000002"/>
    <s v="VEH16"/>
    <s v="2020-01-15"/>
    <s v="CONT1;HFS2;B01;MC02;PR0302;ACPF6;SC0303;STAG1;SUBO2;DEFA2;FORB2;SSC4;PURP6;COLL4;TYVA01;FVAD3"/>
    <s v="51"/>
    <s v="REL01"/>
    <s v="SCOPE_1"/>
    <s v="CAAP4"/>
    <s v="SOUR2"/>
    <s v="DQS4"/>
    <n v="12932.32"/>
  </r>
  <r>
    <x v="136"/>
    <s v="M_0000_00000232744_000000000000001"/>
    <s v="VEH16"/>
    <s v="2020-01-15"/>
    <s v="CONT1;HFS2;B01;MC02;PR0302;ACPF6;SC0303;STAG1;SUBO2;DEFA2;FORB2;SSC4;PURP6;COLL4;TYVA01;FVAD3"/>
    <s v="51"/>
    <s v="REL01"/>
    <s v="SCOPE_1"/>
    <s v="CAAP4"/>
    <s v="SOUR2"/>
    <s v="DQS4"/>
    <n v="12932.32"/>
  </r>
  <r>
    <x v="137"/>
    <s v="M_0000_00000232761_000000000000001"/>
    <s v="VEH05"/>
    <s v="2019-12-15"/>
    <s v="CONT1;HFS2;B01;MC02;PR0302;ACPF6;SC0303;STAG1;SUBO2;DEFA2;FORB2;SSC4;PURP6;COLL4;TYVA01;FVAD3"/>
    <s v="51"/>
    <s v="REL01"/>
    <s v="SCOPE_1"/>
    <s v="CAAP4"/>
    <s v="SOUR2"/>
    <s v="DQS4"/>
    <n v="10148.19"/>
  </r>
  <r>
    <x v="138"/>
    <s v="M_0000_00000232776_000000000000001"/>
    <s v="VEH05"/>
    <s v="2019-12-15"/>
    <s v="CONT1;HFS2;B01;MC02;PR0302;ACPF6;SC0303;STAG1;SUBO2;DEFA2;FORB2;SSC4;PURP6;COLL4;TYVA01;FVAD3"/>
    <s v="51"/>
    <s v="REL01"/>
    <s v="SCOPE_1"/>
    <s v="CAAP4"/>
    <s v="SOUR2"/>
    <s v="DQS4"/>
    <n v="5272.34"/>
  </r>
  <r>
    <x v="139"/>
    <s v="M_0000_00000232904_000000000000002"/>
    <s v="VEH16"/>
    <s v="2020-01-15"/>
    <s v="CONT1;HFS2;B01;MC02;PR0302;ACPF6;SC0303;STAG1;SUBO2;DEFA2;FORB2;SSC4;PURP6;COLL4;TYVA01;FVAD3"/>
    <s v="51"/>
    <s v="REL01"/>
    <s v="SCOPE_1"/>
    <s v="CAAP4"/>
    <s v="SOUR2"/>
    <s v="DQS4"/>
    <n v="10896.65"/>
  </r>
  <r>
    <x v="139"/>
    <s v="M_0000_00000232904_000000000000001"/>
    <s v="VEH16"/>
    <s v="2020-01-15"/>
    <s v="CONT1;HFS2;B01;MC02;PR0302;ACPF6;SC0303;STAG1;SUBO2;DEFA2;FORB2;SSC4;PURP6;COLL4;TYVA01;FVAD3"/>
    <s v="51"/>
    <s v="REL01"/>
    <s v="SCOPE_1"/>
    <s v="CAAP4"/>
    <s v="SOUR2"/>
    <s v="DQS4"/>
    <n v="10896.65"/>
  </r>
  <r>
    <x v="140"/>
    <s v="M_0000_00000232967_000000000000001"/>
    <s v="VEH05"/>
    <s v="2019-12-15"/>
    <s v="CONT1;HFS2;B01;MC02;PR0302;ACPF6;SC0303;STAG1;SUBO2;DEFA2;FORB2;SSC4;PURP6;COLL4;TYVA01;FVAD3"/>
    <s v="51"/>
    <s v="REL01"/>
    <s v="SCOPE_1"/>
    <s v="CAAP4"/>
    <s v="SOUR2"/>
    <s v="DQS4"/>
    <n v="10794.55"/>
  </r>
  <r>
    <x v="141"/>
    <s v="M_0000_00000233054_000000000000002"/>
    <s v="VEH05"/>
    <s v="2020-01-15"/>
    <s v="CONT1;HFS2;B01;MC02;PR0302;ACPF6;SC0303;STAG2;POCI2;SUBO2;DEFA2;FORB2;SSC4;PURP6;COLL4;TYVA01;FVAD3"/>
    <s v="51"/>
    <s v="REL01"/>
    <s v="SCOPE_1"/>
    <s v="CAAP4"/>
    <s v="SOUR2"/>
    <s v="DQS4"/>
    <n v="26016.38"/>
  </r>
  <r>
    <x v="141"/>
    <s v="M_0000_00000233054_000000000000004"/>
    <s v="VEH05"/>
    <s v="2020-01-15"/>
    <s v="CONT1;HFS2;B01;MC02;PR0302;ACPF6;SC0303;STAG2;POCI2;SUBO2;DEFA2;FORB2;SSC4;PURP6;COLL4;TYVA01;FVAD3"/>
    <s v="51"/>
    <s v="REL01"/>
    <s v="SCOPE_1"/>
    <s v="CAAP4"/>
    <s v="SOUR2"/>
    <s v="DQS4"/>
    <n v="26016.38"/>
  </r>
  <r>
    <x v="141"/>
    <s v="M_0000_00000233054_000000000000001"/>
    <s v="VEH05"/>
    <s v="2020-01-15"/>
    <s v="CONT1;HFS2;B01;MC02;PR0302;ACPF6;SC0303;STAG2;POCI2;SUBO2;DEFA2;FORB2;SSC4;PURP6;COLL4;TYVA01;FVAD3"/>
    <s v="51"/>
    <s v="REL01"/>
    <s v="SCOPE_1"/>
    <s v="CAAP4"/>
    <s v="SOUR2"/>
    <s v="DQS4"/>
    <n v="26016.38"/>
  </r>
  <r>
    <x v="141"/>
    <s v="M_0000_00000233054_000000000000003"/>
    <s v="VEH05"/>
    <s v="2020-01-15"/>
    <s v="CONT1;HFS2;B01;MC02;PR0302;ACPF6;SC0303;STAG2;POCI2;SUBO2;DEFA2;FORB2;SSC4;PURP6;COLL4;TYVA01;FVAD3"/>
    <s v="51"/>
    <s v="REL01"/>
    <s v="SCOPE_1"/>
    <s v="CAAP4"/>
    <s v="SOUR2"/>
    <s v="DQS4"/>
    <n v="26016.38"/>
  </r>
  <r>
    <x v="142"/>
    <s v="M_0000_00000233118_000000000000001"/>
    <s v="VEH05"/>
    <s v="2020-01-15"/>
    <s v="CONT1;HFS2;B01;MC02;PR0302;ACPF6;SC0303;STAG1;SUBO2;DEFA2;FORB2;SSC4;PURP6;COLL4;TYVA01;FVAD3"/>
    <s v="51"/>
    <s v="REL01"/>
    <s v="SCOPE_1"/>
    <s v="CAAP4"/>
    <s v="SOUR2"/>
    <s v="DQS4"/>
    <n v="16150.91"/>
  </r>
  <r>
    <x v="143"/>
    <s v="M_0000_00000233128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3"/>
  </r>
  <r>
    <x v="144"/>
    <s v="M_0000_00000233129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3"/>
  </r>
  <r>
    <x v="145"/>
    <s v="M_0000_00000233130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3"/>
  </r>
  <r>
    <x v="146"/>
    <s v="M_0000_00000233131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09999999998"/>
  </r>
  <r>
    <x v="147"/>
    <s v="M_0000_00000233132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09999999998"/>
  </r>
  <r>
    <x v="148"/>
    <s v="M_0000_00000233133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09999999998"/>
  </r>
  <r>
    <x v="149"/>
    <s v="M_0000_00000233134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09999999998"/>
  </r>
  <r>
    <x v="150"/>
    <s v="M_0000_00000233195_000000000000001"/>
    <s v="VEH05"/>
    <s v="2020-03-01"/>
    <s v="CONT1;HFS2;B01;MC02;PR0302;ACPF6;SC0303;STAG1;SUBO2;DEFA2;FORB2;SSC4;PURP6;COLL4;TYVA01;FVAD3"/>
    <s v="51"/>
    <s v="REL01"/>
    <s v="SCOPE_1"/>
    <s v="CAAP4"/>
    <s v="SOUR2"/>
    <s v="DQS4"/>
    <n v="26390.68"/>
  </r>
  <r>
    <x v="151"/>
    <s v="M_0000_00000233196_000000000000001"/>
    <s v="VEH05"/>
    <s v="2020-03-01"/>
    <s v="CONT1;HFS2;B01;MC02;PR0302;ACPF6;SC0303;STAG1;SUBO2;DEFA2;FORB2;SSC4;PURP6;COLL4;TYVA01;FVAD3"/>
    <s v="51"/>
    <s v="REL01"/>
    <s v="SCOPE_1"/>
    <s v="CAAP4"/>
    <s v="SOUR2"/>
    <s v="DQS4"/>
    <n v="26390.68"/>
  </r>
  <r>
    <x v="152"/>
    <s v="M_0000_00000233197_000000000000001"/>
    <s v="VEH05"/>
    <s v="2020-03-01"/>
    <s v="CONT1;HFS2;B01;MC02;PR0302;ACPF6;SC0303;STAG1;SUBO2;DEFA2;FORB2;SSC4;PURP6;COLL4;TYVA01;FVAD3"/>
    <s v="51"/>
    <s v="REL01"/>
    <s v="SCOPE_1"/>
    <s v="CAAP4"/>
    <s v="SOUR2"/>
    <s v="DQS4"/>
    <n v="26390.68"/>
  </r>
  <r>
    <x v="153"/>
    <s v="M_0000_00000233198_000000000000001"/>
    <s v="VEH05"/>
    <s v="2020-03-01"/>
    <s v="CONT1;HFS2;B01;MC02;PR0302;ACPF6;SC0303;STAG1;SUBO2;DEFA2;FORB2;SSC4;PURP6;COLL4;TYVA01;FVAD3"/>
    <s v="51"/>
    <s v="REL01"/>
    <s v="SCOPE_1"/>
    <s v="CAAP4"/>
    <s v="SOUR2"/>
    <s v="DQS4"/>
    <n v="26390.68"/>
  </r>
  <r>
    <x v="154"/>
    <s v="M_0000_00000233216_000000000000001"/>
    <s v="VEH05"/>
    <s v="2020-01-01"/>
    <s v="CONT1;HFS2;B01;MC02;PR0302;ACPF6;SC0303;STAG1;SUBO2;DEFA2;FORB2;SSC3;PURP6;COLL4;TYVA01;FVAD3"/>
    <s v="51"/>
    <s v="REL01"/>
    <s v="SCOPE_1"/>
    <s v="CAAP4"/>
    <s v="SOUR2"/>
    <s v="DQS4"/>
    <n v="17512.009999999998"/>
  </r>
  <r>
    <x v="155"/>
    <s v="M_0000_00000233239_000000000000003"/>
    <s v="VEH05"/>
    <s v="2020-01-15"/>
    <s v="CONT1;HFS2;B01;MC02;PR0302;ACPF6;SC0303;STAG1;SUBO2;DEFA2;FORB2;SSC4;PURP6;COLL4;TYVA01;FVAD3"/>
    <s v="51"/>
    <s v="REL01"/>
    <s v="SCOPE_1"/>
    <s v="CAAP4"/>
    <s v="SOUR2"/>
    <s v="DQS4"/>
    <n v="10633.01"/>
  </r>
  <r>
    <x v="155"/>
    <s v="M_0000_00000233239_000000000000002"/>
    <s v="VEH05"/>
    <s v="2020-01-15"/>
    <s v="CONT1;HFS2;B01;MC02;PR0302;ACPF6;SC0303;STAG1;SUBO2;DEFA2;FORB2;SSC4;PURP6;COLL4;TYVA01;FVAD3"/>
    <s v="51"/>
    <s v="REL01"/>
    <s v="SCOPE_1"/>
    <s v="CAAP4"/>
    <s v="SOUR2"/>
    <s v="DQS4"/>
    <n v="10633.01"/>
  </r>
  <r>
    <x v="155"/>
    <s v="M_0000_00000233239_000000000000001"/>
    <s v="VEH05"/>
    <s v="2020-01-15"/>
    <s v="CONT1;HFS2;B01;MC02;PR0302;ACPF6;SC0303;STAG1;SUBO2;DEFA2;FORB2;SSC4;PURP6;COLL4;TYVA01;FVAD3"/>
    <s v="51"/>
    <s v="REL01"/>
    <s v="SCOPE_1"/>
    <s v="CAAP4"/>
    <s v="SOUR2"/>
    <s v="DQS4"/>
    <n v="10633.01"/>
  </r>
  <r>
    <x v="156"/>
    <s v="M_0000_00000233398_000000000000001"/>
    <s v="VEH04"/>
    <s v="2020-02-01"/>
    <s v="CONT1;HFS2;B01;MC02;PR0302;ACPF6;SC0303;STAG2;POCI2;SUBO2;DEFA2;FORB2;SSC4;PURP6;COLL4;TYVA01;FVAD3"/>
    <s v="51"/>
    <s v="REL01"/>
    <s v="SCOPE_1"/>
    <s v="CAAP4"/>
    <s v="SOUR2"/>
    <s v="DQS4"/>
    <n v="812.64"/>
  </r>
  <r>
    <x v="157"/>
    <s v="M_0000_00000233485_000000000000001"/>
    <s v="VEH04"/>
    <s v="2020-03-01"/>
    <s v="CONT1;HFS2;B01;MC02;PR0302;ACPF6;SC0303;STAG1;SUBO2;DEFA2;FORB2;SSC4;PURP6;COLL4;TYVA01;FVAD3"/>
    <s v="51"/>
    <s v="REL01"/>
    <s v="SCOPE_1"/>
    <s v="CAAP4"/>
    <s v="SOUR2"/>
    <s v="DQS4"/>
    <n v="536.29999999999995"/>
  </r>
  <r>
    <x v="158"/>
    <s v="M_0000_00000233495_000000000000001"/>
    <s v="VEH05"/>
    <s v="2020-02-15"/>
    <s v="CONT1;HFS2;B01;MC02;PR0302;ACPF6;SC0303;STAG1;SUBO2;DEFA2;FORB2;SSC4;PURP6;COLL4;TYVA01;FVAD3"/>
    <s v="51"/>
    <s v="REL01"/>
    <s v="SCOPE_1"/>
    <s v="CAAP4"/>
    <s v="SOUR2"/>
    <s v="DQS4"/>
    <n v="26531.5"/>
  </r>
  <r>
    <x v="159"/>
    <s v="M_0000_00000233496_000000000000001"/>
    <s v="VEH04"/>
    <s v="2020-02-15"/>
    <s v="CONT1;HFS2;B01;MC02;PR0302;ACPF6;SC0303;STAG2;POCI2;SUBO2;DEFA2;FORB2;SSC4;PURP6;COLL4;TYVA01;FVAD3"/>
    <s v="51"/>
    <s v="REL01"/>
    <s v="SCOPE_1"/>
    <s v="CAAP4"/>
    <s v="SOUR2"/>
    <s v="DQS4"/>
    <n v="811.2"/>
  </r>
  <r>
    <x v="160"/>
    <s v="M_0000_00000233498_000000000000001"/>
    <s v="VEH04"/>
    <s v="2020-02-01"/>
    <s v="CONT1;HFS2;B01;MC02;PR0302;ACPF6;SC0303;STAG2;POCI2;SUBO2;DEFA2;FORB2;SSC4;PURP6;COLL4;TYVA01;FVAD3"/>
    <s v="51"/>
    <s v="REL01"/>
    <s v="SCOPE_1"/>
    <s v="CAAP4"/>
    <s v="SOUR2"/>
    <s v="DQS4"/>
    <n v="683.8"/>
  </r>
  <r>
    <x v="161"/>
    <s v="M_0000_00000233535_000000000000001"/>
    <s v="VEH05"/>
    <s v="2020-01-15"/>
    <s v="CONT1;HFS2;B01;MC02;PR0302;ACPF6;SC0303;STAG1;SUBO2;DEFA2;FORB2;SSC4;PURP6;COLL4;TYVA01;FVAD3"/>
    <s v="51"/>
    <s v="REL01"/>
    <s v="SCOPE_1"/>
    <s v="CAAP4"/>
    <s v="SOUR2"/>
    <s v="DQS4"/>
    <n v="18769.310000000001"/>
  </r>
  <r>
    <x v="162"/>
    <s v="M_0000_00000233587_000000000000001"/>
    <s v="VEH16"/>
    <s v="2020-03-01"/>
    <s v="CONT1;HFS2;B01;MC02;PR0302;ACPF6;SC0303;STAG1;SUBO2;DEFA2;FORB2;SSC4;PURP6;COLL4;TYVA01;FVAD3"/>
    <s v="51"/>
    <s v="REL01"/>
    <s v="SCOPE_1"/>
    <s v="CAAP4"/>
    <s v="SOUR2"/>
    <s v="DQS4"/>
    <n v="26376.18"/>
  </r>
  <r>
    <x v="163"/>
    <s v="M_0000_00000233588_000000000000001"/>
    <s v="VEH16"/>
    <s v="2020-03-01"/>
    <s v="CONT1;HFS2;B01;MC02;PR0302;ACPF6;SC0303;STAG1;SUBO2;DEFA2;FORB2;SSC4;PURP6;COLL4;TYVA01;FVAD3"/>
    <s v="51"/>
    <s v="REL01"/>
    <s v="SCOPE_1"/>
    <s v="CAAP4"/>
    <s v="SOUR2"/>
    <s v="DQS4"/>
    <n v="26376.18"/>
  </r>
  <r>
    <x v="164"/>
    <s v="M_0000_00000233627_000000000000001"/>
    <s v="VEH04"/>
    <s v="2020-02-15"/>
    <s v="CONT1;HFS2;B01;MC02;PR0302;ACPF6;SC0303;STAG1;SUBO2;DEFA2;FORB2;SSC4;PURP6;COLL4;TYVA01;FVAD3"/>
    <s v="51"/>
    <s v="REL01"/>
    <s v="SCOPE_1"/>
    <s v="CAAP4"/>
    <s v="SOUR2"/>
    <s v="DQS4"/>
    <n v="755.71"/>
  </r>
  <r>
    <x v="165"/>
    <s v="M_0000_00000233767_000000000000001"/>
    <s v="VEH16"/>
    <s v="2020-03-01"/>
    <s v="CONT1;HFS2;B01;MC02;PR0302;ACPF6;SC0303;STAG1;SUBO2;DEFA2;FORB2;SSC4;PURP6;COLL4;TYVA01;FVAD3"/>
    <s v="51"/>
    <s v="REL01"/>
    <s v="SCOPE_1"/>
    <s v="CAAP4"/>
    <s v="SOUR2"/>
    <s v="DQS4"/>
    <n v="14996.54"/>
  </r>
  <r>
    <x v="166"/>
    <s v="M_0000_00000233871_000000000000001"/>
    <s v="VEH05"/>
    <s v="2020-02-15"/>
    <s v="CONT1;HFS2;B01;MC02;PR0302;ACPF6;SC0303;STAG1;SUBO2;DEFA2;FORB2;SSC4;PURP6;COLL4;TYVA01;FVAD3"/>
    <s v="51"/>
    <s v="REL01"/>
    <s v="SCOPE_1"/>
    <s v="CAAP4"/>
    <s v="SOUR2"/>
    <s v="DQS4"/>
    <n v="21074.9"/>
  </r>
  <r>
    <x v="167"/>
    <s v="M_0000_00000233953_000000000000001"/>
    <s v="VEH05"/>
    <s v="2020-02-15"/>
    <s v="CONT1;HFS2;B01;MC02;PR0302;ACPF6;SC0303;STAG1;SUBO2;DEFA2;FORB2;SSC4;PURP6;COLL4;TYVA01;FVAD3"/>
    <s v="51"/>
    <s v="REL01"/>
    <s v="SCOPE_1"/>
    <s v="CAAP4"/>
    <s v="SOUR2"/>
    <s v="DQS4"/>
    <n v="6689.93"/>
  </r>
  <r>
    <x v="168"/>
    <s v="M_0000_00000234019_000000000000001"/>
    <s v="VEH05"/>
    <s v="2020-02-15"/>
    <s v="CONT1;HFS2;B01;MC02;PR0302;ACPF6;SC0303;STAG1;SUBO2;DEFA2;FORB2;SSC4;PURP6;COLL4;TYVA01;FVAD3"/>
    <s v="51"/>
    <s v="REL01"/>
    <s v="SCOPE_1"/>
    <s v="CAAP4"/>
    <s v="SOUR2"/>
    <s v="DQS4"/>
    <n v="19506.11"/>
  </r>
  <r>
    <x v="169"/>
    <s v="M_0000_00000234038_000000000000005"/>
    <s v="VEH16"/>
    <s v="2020-03-01"/>
    <s v="CONT1;HFS2;B01;MC02;PR0302;ACPF6;SC0303;STAG1;SUBO2;DEFA2;FORB2;SSC4;PURP6;COLL4;TYVA01;FVAD3"/>
    <s v="51"/>
    <s v="REL01"/>
    <s v="SCOPE_1"/>
    <s v="CAAP4"/>
    <s v="SOUR2"/>
    <s v="DQS4"/>
    <n v="11370.58"/>
  </r>
  <r>
    <x v="169"/>
    <s v="M_0000_00000234038_000000000000001"/>
    <s v="VEH16"/>
    <s v="2020-03-01"/>
    <s v="CONT1;HFS2;B01;MC02;PR0302;ACPF6;SC0303;STAG1;SUBO2;DEFA2;FORB2;SSC4;PURP6;COLL4;TYVA01;FVAD3"/>
    <s v="51"/>
    <s v="REL01"/>
    <s v="SCOPE_1"/>
    <s v="CAAP4"/>
    <s v="SOUR2"/>
    <s v="DQS4"/>
    <n v="11370.58"/>
  </r>
  <r>
    <x v="169"/>
    <s v="M_0000_00000234038_000000000000004"/>
    <s v="VEH16"/>
    <s v="2020-03-01"/>
    <s v="CONT1;HFS2;B01;MC02;PR0302;ACPF6;SC0303;STAG1;SUBO2;DEFA2;FORB2;SSC4;PURP6;COLL4;TYVA01;FVAD3"/>
    <s v="51"/>
    <s v="REL01"/>
    <s v="SCOPE_1"/>
    <s v="CAAP4"/>
    <s v="SOUR2"/>
    <s v="DQS4"/>
    <n v="11370.58"/>
  </r>
  <r>
    <x v="169"/>
    <s v="M_0000_00000234038_000000000000003"/>
    <s v="VEH16"/>
    <s v="2020-03-01"/>
    <s v="CONT1;HFS2;B01;MC02;PR0302;ACPF6;SC0303;STAG1;SUBO2;DEFA2;FORB2;SSC4;PURP6;COLL4;TYVA01;FVAD3"/>
    <s v="51"/>
    <s v="REL01"/>
    <s v="SCOPE_1"/>
    <s v="CAAP4"/>
    <s v="SOUR2"/>
    <s v="DQS4"/>
    <n v="11370.58"/>
  </r>
  <r>
    <x v="169"/>
    <s v="M_0000_00000234038_000000000000002"/>
    <s v="VEH16"/>
    <s v="2020-03-01"/>
    <s v="CONT1;HFS2;B01;MC02;PR0302;ACPF6;SC0303;STAG1;SUBO2;DEFA2;FORB2;SSC4;PURP6;COLL4;TYVA01;FVAD3"/>
    <s v="51"/>
    <s v="REL01"/>
    <s v="SCOPE_1"/>
    <s v="CAAP4"/>
    <s v="SOUR2"/>
    <s v="DQS4"/>
    <n v="11370.58"/>
  </r>
  <r>
    <x v="170"/>
    <s v="M_0000_00000234069_000000000000001"/>
    <s v="VEH04"/>
    <s v="2020-03-01"/>
    <s v="CONT1;HFS2;B01;MC02;PR0302;ACPF6;SC0303;STAG1;SUBO2;DEFA2;FORB2;SSC4;PURP6;COLL4;TYVA01;FVAD3"/>
    <s v="51"/>
    <s v="REL01"/>
    <s v="SCOPE_1"/>
    <s v="CAAP4"/>
    <s v="SOUR2"/>
    <s v="DQS4"/>
    <n v="840.78"/>
  </r>
  <r>
    <x v="171"/>
    <s v="M_0000_00000234167_000000000000001"/>
    <s v="VEH05"/>
    <s v="2020-02-15"/>
    <s v="CONT1;HFS2;B01;MC02;PR0302;ACPF6;SC0303;STAG2;POCI2;SUBO2;DEFA2;FORB2;SSC4;PURP6;COLL4;TYVA01;FVAD3"/>
    <s v="51"/>
    <s v="REL01"/>
    <s v="SCOPE_1"/>
    <s v="CAAP4"/>
    <s v="SOUR2"/>
    <s v="DQS4"/>
    <n v="20834.419999999998"/>
  </r>
  <r>
    <x v="172"/>
    <s v="M_0000_00000234296_000000000000001"/>
    <s v="VEH05"/>
    <s v="2020-04-15"/>
    <s v="CONT1;HFS2;B01;MC02;PR0302;ACPF6;SC0303;STAG2;POCI2;SUBO2;DEFA2;FORB2;SSC4;PURP6;COLL4;TYVA01;FVAD3"/>
    <s v="51"/>
    <s v="REL01"/>
    <s v="SCOPE_1"/>
    <s v="CAAP4"/>
    <s v="SOUR2"/>
    <s v="DQS4"/>
    <n v="7040.98"/>
  </r>
  <r>
    <x v="173"/>
    <s v="M_0000_00000234402_000000000000001"/>
    <s v="VEH01"/>
    <s v="2020-09-01"/>
    <s v="CONT1;HFS2;B01;MC02;PR0302;ACPF6;SC0303;STAG1;SUBO2;DEFA2;FORB2;SSC4;PURP6;COLL4;TYVA01;FVAD3"/>
    <s v="51"/>
    <s v="REL01"/>
    <s v="SCOPE_1"/>
    <s v="CAAP4"/>
    <s v="SOUR2"/>
    <s v="DQS4"/>
    <n v="120.1"/>
  </r>
  <r>
    <x v="174"/>
    <s v="M_0000_00000234525_000000000000004"/>
    <s v="VEH05"/>
    <s v="2020-04-15"/>
    <s v="CONT1;HFS2;B01;MC02;PR0302;ACPF6;SC0303;STAG3;POCI2;SUBO2;DEFA1;FORB2;SSC3;PURP6;COLL4;TYVA01;FVAD3"/>
    <s v="51"/>
    <s v="REL01"/>
    <s v="SCOPE_1"/>
    <s v="CAAP4"/>
    <s v="SOUR2"/>
    <s v="DQS4"/>
    <n v="15526.79"/>
  </r>
  <r>
    <x v="174"/>
    <s v="M_0000_00000234525_000000000000001"/>
    <s v="VEH05"/>
    <s v="2020-04-15"/>
    <s v="CONT1;HFS2;B01;MC02;PR0302;ACPF6;SC0303;STAG3;POCI2;SUBO2;DEFA1;FORB2;SSC3;PURP6;COLL4;TYVA01;FVAD3"/>
    <s v="51"/>
    <s v="REL01"/>
    <s v="SCOPE_1"/>
    <s v="CAAP4"/>
    <s v="SOUR2"/>
    <s v="DQS4"/>
    <n v="15526.79"/>
  </r>
  <r>
    <x v="174"/>
    <s v="M_0000_00000234525_000000000000002"/>
    <s v="VEH05"/>
    <s v="2020-04-15"/>
    <s v="CONT1;HFS2;B01;MC02;PR0302;ACPF6;SC0303;STAG3;POCI2;SUBO2;DEFA1;FORB2;SSC3;PURP6;COLL4;TYVA01;FVAD3"/>
    <s v="51"/>
    <s v="REL01"/>
    <s v="SCOPE_1"/>
    <s v="CAAP4"/>
    <s v="SOUR2"/>
    <s v="DQS4"/>
    <n v="15526.79"/>
  </r>
  <r>
    <x v="174"/>
    <s v="M_0000_00000234525_000000000000003"/>
    <s v="VEH05"/>
    <s v="2020-04-15"/>
    <s v="CONT1;HFS2;B01;MC02;PR0302;ACPF6;SC0303;STAG3;POCI2;SUBO2;DEFA1;FORB2;SSC3;PURP6;COLL4;TYVA01;FVAD3"/>
    <s v="51"/>
    <s v="REL01"/>
    <s v="SCOPE_1"/>
    <s v="CAAP4"/>
    <s v="SOUR2"/>
    <s v="DQS4"/>
    <n v="15526.79"/>
  </r>
  <r>
    <x v="175"/>
    <s v="M_0000_00000234613_000000000000001"/>
    <s v="VEH05"/>
    <s v="2020-10-01"/>
    <s v="CONT1;HFS2;B01;MC02;PR0302;ACPF6;SC0303;STAG1;SUBO2;DEFA2;FORB2;SSC4;PURP6;COLL4;TYVA01;FVAD3"/>
    <s v="51"/>
    <s v="REL01"/>
    <s v="SCOPE_1"/>
    <s v="CAAP4"/>
    <s v="SOUR2"/>
    <s v="DQS4"/>
    <n v="14392.28"/>
  </r>
  <r>
    <x v="175"/>
    <s v="M_0000_00000234613_000000000000004"/>
    <s v="VEH05"/>
    <s v="2020-10-01"/>
    <s v="CONT1;HFS2;B01;MC02;PR0302;ACPF6;SC0303;STAG1;SUBO2;DEFA2;FORB2;SSC4;PURP6;COLL4;TYVA01;FVAD3"/>
    <s v="51"/>
    <s v="REL01"/>
    <s v="SCOPE_1"/>
    <s v="CAAP4"/>
    <s v="SOUR2"/>
    <s v="DQS4"/>
    <n v="14392.28"/>
  </r>
  <r>
    <x v="175"/>
    <s v="M_0000_00000234613_000000000000002"/>
    <s v="VEH05"/>
    <s v="2020-10-01"/>
    <s v="CONT1;HFS2;B01;MC02;PR0302;ACPF6;SC0303;STAG1;SUBO2;DEFA2;FORB2;SSC4;PURP6;COLL4;TYVA01;FVAD3"/>
    <s v="51"/>
    <s v="REL01"/>
    <s v="SCOPE_1"/>
    <s v="CAAP4"/>
    <s v="SOUR2"/>
    <s v="DQS4"/>
    <n v="14392.28"/>
  </r>
  <r>
    <x v="175"/>
    <s v="M_0000_00000234613_000000000000003"/>
    <s v="VEH05"/>
    <s v="2020-10-01"/>
    <s v="CONT1;HFS2;B01;MC02;PR0302;ACPF6;SC0303;STAG1;SUBO2;DEFA2;FORB2;SSC4;PURP6;COLL4;TYVA01;FVAD3"/>
    <s v="51"/>
    <s v="REL01"/>
    <s v="SCOPE_1"/>
    <s v="CAAP4"/>
    <s v="SOUR2"/>
    <s v="DQS4"/>
    <n v="14392.28"/>
  </r>
  <r>
    <x v="176"/>
    <s v="M_0000_00000235114_000000000000001"/>
    <s v="VEH05"/>
    <s v="2020-07-15"/>
    <s v="CONT1;HFS2;B01;MC02;PR0302;ACPF6;SC0303;STAG1;SUBO2;DEFA2;FORB2;SSC3;PURP6;COLL4;TYVA01;FVAD3"/>
    <s v="51"/>
    <s v="REL01"/>
    <s v="SCOPE_1"/>
    <s v="CAAP4"/>
    <s v="SOUR2"/>
    <s v="DQS4"/>
    <n v="1102"/>
  </r>
  <r>
    <x v="176"/>
    <s v="M_0000_00000235114_000000000000003"/>
    <s v="VEH05"/>
    <s v="2020-07-15"/>
    <s v="CONT1;HFS2;B01;MC02;PR0302;ACPF6;SC0303;STAG1;SUBO2;DEFA2;FORB2;SSC3;PURP6;COLL4;TYVA01;FVAD3"/>
    <s v="51"/>
    <s v="REL01"/>
    <s v="SCOPE_1"/>
    <s v="CAAP4"/>
    <s v="SOUR2"/>
    <s v="DQS4"/>
    <n v="1102"/>
  </r>
  <r>
    <x v="176"/>
    <s v="M_0000_00000235114_000000000000005"/>
    <s v="VEH05"/>
    <s v="2020-07-15"/>
    <s v="CONT1;HFS2;B01;MC02;PR0302;ACPF6;SC0303;STAG1;SUBO2;DEFA2;FORB2;SSC3;PURP6;COLL4;TYVA01;FVAD3"/>
    <s v="51"/>
    <s v="REL01"/>
    <s v="SCOPE_1"/>
    <s v="CAAP4"/>
    <s v="SOUR2"/>
    <s v="DQS4"/>
    <n v="1102"/>
  </r>
  <r>
    <x v="176"/>
    <s v="M_0000_00000235114_000000000000002"/>
    <s v="VEH05"/>
    <s v="2020-07-15"/>
    <s v="CONT1;HFS2;B01;MC02;PR0302;ACPF6;SC0303;STAG1;SUBO2;DEFA2;FORB2;SSC3;PURP6;COLL4;TYVA01;FVAD3"/>
    <s v="51"/>
    <s v="REL01"/>
    <s v="SCOPE_1"/>
    <s v="CAAP4"/>
    <s v="SOUR2"/>
    <s v="DQS4"/>
    <n v="1102"/>
  </r>
  <r>
    <x v="176"/>
    <s v="M_0000_00000235114_000000000000004"/>
    <s v="VEH05"/>
    <s v="2020-07-15"/>
    <s v="CONT1;HFS2;B01;MC02;PR0302;ACPF6;SC0303;STAG1;SUBO2;DEFA2;FORB2;SSC3;PURP6;COLL4;TYVA01;FVAD3"/>
    <s v="51"/>
    <s v="REL01"/>
    <s v="SCOPE_1"/>
    <s v="CAAP4"/>
    <s v="SOUR2"/>
    <s v="DQS4"/>
    <n v="1102"/>
  </r>
  <r>
    <x v="176"/>
    <s v="M_0000_00000235114_000000000000006"/>
    <s v="VEH05"/>
    <s v="2020-07-15"/>
    <s v="CONT1;HFS2;B01;MC02;PR0302;ACPF6;SC0303;STAG1;SUBO2;DEFA2;FORB2;SSC3;PURP6;COLL4;TYVA01;FVAD3"/>
    <s v="51"/>
    <s v="REL01"/>
    <s v="SCOPE_1"/>
    <s v="CAAP4"/>
    <s v="SOUR2"/>
    <s v="DQS4"/>
    <n v="1102"/>
  </r>
  <r>
    <x v="177"/>
    <s v="M_0000_00000235249_000000000000001"/>
    <s v="VEH04"/>
    <s v="2021-01-15"/>
    <s v="CONT1;HFS2;B01;MC02;PR0302;ACPF6;SC0303;STAG1;SUBO2;DEFA2;FORB2;SSC4;PURP6;COLL4;TYVA01;FVAD3"/>
    <s v="51"/>
    <s v="REL01"/>
    <s v="SCOPE_1"/>
    <s v="CAAP4"/>
    <s v="SOUR2"/>
    <s v="DQS4"/>
    <n v="365.96"/>
  </r>
  <r>
    <x v="178"/>
    <s v="M_0000_00000235342_000000000000001"/>
    <s v="VEH04"/>
    <s v="2020-07-01"/>
    <s v="CONT1;HFS2;B01;MC02;PR0302;ACPF6;SC0303;STAG2;POCI2;SUBO2;DEFA2;FORB2;SSC4;PURP6;COLL4;TYVA01;FVAD3"/>
    <s v="51"/>
    <s v="REL01"/>
    <s v="SCOPE_1"/>
    <s v="CAAP4"/>
    <s v="SOUR2"/>
    <s v="DQS4"/>
    <n v="42.13"/>
  </r>
  <r>
    <x v="179"/>
    <s v="M_0000_00000235343_000000000000001"/>
    <s v="VEH04"/>
    <s v="2020-07-15"/>
    <s v="CONT1;HFS2;B01;MC02;PR0302;ACPF6;SC0303;STAG2;POCI2;SUBO2;DEFA2;FORB2;SSC4;PURP6;COLL4;TYVA01;FVAD3"/>
    <s v="51"/>
    <s v="REL01"/>
    <s v="SCOPE_1"/>
    <s v="CAAP4"/>
    <s v="SOUR2"/>
    <s v="DQS4"/>
    <n v="42.04"/>
  </r>
  <r>
    <x v="180"/>
    <s v="M_0000_00000235405_000000000000001"/>
    <s v="VEH16"/>
    <s v="2020-09-15"/>
    <s v="CONT1;HFS2;B01;MC02;PR0302;ACPF6;SC0303;STAG1;SUBO2;DEFA2;FORB2;SSC4;PURP6;COLL4;TYVA01;FVAD3"/>
    <s v="51"/>
    <s v="REL01"/>
    <s v="SCOPE_1"/>
    <s v="CAAP4"/>
    <s v="SOUR2"/>
    <s v="DQS4"/>
    <n v="2876.23"/>
  </r>
  <r>
    <x v="181"/>
    <s v="M_0000_00000235609_000000000000001"/>
    <s v="VEH04"/>
    <s v="2020-07-15"/>
    <s v="CONT1;HFS2;B01;MC02;PR0302;ACPF6;SC0303;STAG2;POCI2;SUBO2;DEFA2;FORB2;SSC4;PURP6;COLL4;TYVA01;FVAD3"/>
    <s v="51"/>
    <s v="REL01"/>
    <s v="SCOPE_1"/>
    <s v="CAAP4"/>
    <s v="SOUR2"/>
    <s v="DQS4"/>
    <n v="42.04"/>
  </r>
  <r>
    <x v="182"/>
    <s v="M_0000_00000235610_000000000000001"/>
    <s v="VEH04"/>
    <s v="2020-07-15"/>
    <s v="CONT1;HFS2;B01;MC02;PR0302;ACPF6;SC0303;STAG2;POCI2;SUBO2;DEFA2;FORB2;SSC4;PURP6;COLL4;TYVA01;FVAD3"/>
    <s v="51"/>
    <s v="REL01"/>
    <s v="SCOPE_1"/>
    <s v="CAAP4"/>
    <s v="SOUR2"/>
    <s v="DQS4"/>
    <n v="42.04"/>
  </r>
  <r>
    <x v="183"/>
    <s v="M_0000_00000235611_000000000000001"/>
    <s v="VEH04"/>
    <s v="2020-07-15"/>
    <s v="CONT1;HFS2;B01;MC02;PR0302;ACPF6;SC0303;STAG2;POCI2;SUBO2;DEFA2;FORB2;SSC4;PURP6;COLL4;TYVA01;FVAD3"/>
    <s v="51"/>
    <s v="REL01"/>
    <s v="SCOPE_1"/>
    <s v="CAAP4"/>
    <s v="SOUR2"/>
    <s v="DQS4"/>
    <n v="42.04"/>
  </r>
  <r>
    <x v="184"/>
    <s v="M_0000_00000235653_000000000000001"/>
    <s v="VEH05"/>
    <s v="2020-09-15"/>
    <s v="CONT1;HFS2;B01;MC02;PR0302;ACPF6;SC0303;STAG1;SUBO2;DEFA2;FORB2;SSC4;PURP6;COLL4;TYVA01;FVAD3"/>
    <s v="51"/>
    <s v="REL01"/>
    <s v="SCOPE_1"/>
    <s v="CAAP4"/>
    <s v="SOUR2"/>
    <s v="DQS4"/>
    <n v="2867.25"/>
  </r>
  <r>
    <x v="185"/>
    <s v="M_0000_00000235667_000000000000002"/>
    <s v="VEH16"/>
    <s v="2020-09-01"/>
    <s v="CONT1;HFS2;B01;MC02;PR0302;ACPF6;SC0303;STAG1;SUBO2;DEFA2;FORB2;SSC4;PURP6;COLL4;TYVA01;FVAD3"/>
    <s v="51"/>
    <s v="REL01"/>
    <s v="SCOPE_1"/>
    <s v="CAAP4"/>
    <s v="SOUR2"/>
    <s v="DQS4"/>
    <n v="3039.18"/>
  </r>
  <r>
    <x v="185"/>
    <s v="M_0000_00000235667_000000000000001"/>
    <s v="VEH05"/>
    <s v="2020-09-01"/>
    <s v="CONT1;HFS2;B01;MC02;PR0302;ACPF6;SC0303;STAG1;SUBO2;DEFA2;FORB2;SSC4;PURP6;COLL4;TYVA01;FVAD3"/>
    <s v="51"/>
    <s v="REL01"/>
    <s v="SCOPE_1"/>
    <s v="CAAP4"/>
    <s v="SOUR2"/>
    <s v="DQS4"/>
    <n v="3039.18"/>
  </r>
  <r>
    <x v="186"/>
    <s v="M_0000_00000235719_000000000000001"/>
    <s v="VEH05"/>
    <s v="2020-07-01"/>
    <s v="CONT1;HFS2;B01;MC02;PR0302;ACPF6;SC0303;STAG2;POCI2;SUBO2;DEFA2;FORB2;SSC4;PURP6;COLL4;TYVA01;FVAD3"/>
    <s v="51"/>
    <s v="REL01"/>
    <s v="SCOPE_1"/>
    <s v="CAAP4"/>
    <s v="SOUR2"/>
    <s v="DQS4"/>
    <n v="1103.99"/>
  </r>
  <r>
    <x v="187"/>
    <s v="M_0000_00000235723_000000000000001"/>
    <s v="VEH19"/>
    <s v="2020-07-15"/>
    <s v="CONT1;HFS2;B01;MC02;PR0302;ACPF6;SC0303;STAG1;SUBO2;DEFA2;FORB2;SSC4;PURP6;COLL4;TYVA01;FVAD3"/>
    <s v="51"/>
    <s v="REL01"/>
    <s v="SCOPE_1"/>
    <s v="CAAP4"/>
    <s v="SOUR2"/>
    <s v="DQS4"/>
    <n v="0.12"/>
  </r>
  <r>
    <x v="188"/>
    <s v="M_0000_00000235789_000000000000001"/>
    <s v="VEH05"/>
    <s v="2020-09-01"/>
    <s v="CONT1;HFS2;B01;MC02;PR0302;ACPF6;SC0303;STAG2;POCI2;SUBO2;DEFA2;FORB2;SSC4;PURP6;COLL4;TYVA01;FVAD3"/>
    <s v="51"/>
    <s v="REL01"/>
    <s v="SCOPE_1"/>
    <s v="CAAP4"/>
    <s v="SOUR2"/>
    <s v="DQS4"/>
    <n v="10210.030000000001"/>
  </r>
  <r>
    <x v="189"/>
    <s v="M_0000_00000235822_000000000000001"/>
    <s v="VEH05"/>
    <s v="2020-07-15"/>
    <s v="CONT1;HFS2;B01;MC02;PR0302;ACPF6;SC0303;STAG2;POCI2;SUBO2;DEFA2;FORB2;SSC4;PURP6;COLL4;TYVA01;FVAD3"/>
    <s v="51"/>
    <s v="REL01"/>
    <s v="SCOPE_1"/>
    <s v="CAAP4"/>
    <s v="SOUR2"/>
    <s v="DQS4"/>
    <n v="1101.8"/>
  </r>
  <r>
    <x v="190"/>
    <s v="M_0000_00000235903_000000000000001"/>
    <s v="VEH16"/>
    <s v="2020-08-15"/>
    <s v="CONT1;HFS2;B01;MC02;PR0302;ACPF6;SC0303;STAG1;SUBO2;DEFA2;FORB2;SSC4;PURP6;COLL4;TYVA01;FVAD3"/>
    <s v="51"/>
    <s v="REL01"/>
    <s v="SCOPE_1"/>
    <s v="CAAP4"/>
    <s v="SOUR2"/>
    <s v="DQS4"/>
    <n v="2076.0500000000002"/>
  </r>
  <r>
    <x v="191"/>
    <s v="M_0000_00000235913_000000000000001"/>
    <s v="VEH16"/>
    <s v="2020-08-01"/>
    <s v="CONT1;HFS2;B01;MC02;PR0302;ACPF6;SC0303;STAG1;SUBO2;DEFA2;FORB2;SSC4;PURP6;COLL4;TYVA01;FVAD3"/>
    <s v="51"/>
    <s v="REL01"/>
    <s v="SCOPE_1"/>
    <s v="CAAP4"/>
    <s v="SOUR2"/>
    <s v="DQS4"/>
    <n v="3597.94"/>
  </r>
  <r>
    <x v="192"/>
    <s v="M_0000_00000235921_000000000000001"/>
    <s v="VEH16"/>
    <s v="2020-09-15"/>
    <s v="CONT1;HFS2;B01;MC02;PR0302;ACPF6;SC0303;STAG1;SUBO2;DEFA2;FORB2;SSC4;PURP6;COLL4;TYVA01;FVAD3"/>
    <s v="51"/>
    <s v="REL01"/>
    <s v="SCOPE_1"/>
    <s v="CAAP4"/>
    <s v="SOUR2"/>
    <s v="DQS4"/>
    <n v="4594.47"/>
  </r>
  <r>
    <x v="193"/>
    <s v="M_0000_00000236081_000000000000001"/>
    <s v="VEH16"/>
    <s v="2020-10-15"/>
    <s v="CONT1;HFS2;B01;MC02;PR0302;ACPF6;SC0303;STAG1;SUBO2;DEFA2;FORB2;SSC4;PURP6;COLL4;TYVA01;FVAD3"/>
    <s v="51"/>
    <s v="REL01"/>
    <s v="SCOPE_1"/>
    <s v="CAAP4"/>
    <s v="SOUR2"/>
    <s v="DQS4"/>
    <n v="5405.45"/>
  </r>
  <r>
    <x v="194"/>
    <s v="M_0000_00000236098_000000000000001"/>
    <s v="VEH16"/>
    <s v="2020-08-15"/>
    <s v="CONT1;HFS2;B01;MC02;PR0302;ACPF6;SC0303;STAG2;POCI2;SUBO2;DEFA2;FORB2;SSC4;PURP6;COLL4;TYVA01;FVAD3"/>
    <s v="51"/>
    <s v="REL01"/>
    <s v="SCOPE_1"/>
    <s v="CAAP4"/>
    <s v="SOUR2"/>
    <s v="DQS4"/>
    <n v="6332.17"/>
  </r>
  <r>
    <x v="195"/>
    <s v="M_0000_00000236199_000000000000001"/>
    <s v="VEH05"/>
    <s v="2020-08-15"/>
    <s v="CONT1;HFS2;B01;MC02;PR0302;ACPF6;SC0303;STAG1;SUBO2;DEFA2;FORB2;SSC4;PURP6;COLL4;TYVA01;FVAD3"/>
    <s v="51"/>
    <s v="REL01"/>
    <s v="SCOPE_1"/>
    <s v="CAAP4"/>
    <s v="SOUR2"/>
    <s v="DQS4"/>
    <n v="2037.1"/>
  </r>
  <r>
    <x v="196"/>
    <s v="M_0000_00000236251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4707.72"/>
  </r>
  <r>
    <x v="197"/>
    <s v="M_0000_00000236276_000000000000001"/>
    <s v="VEH05"/>
    <s v="2020-09-01"/>
    <s v="CONT1;HFS2;B01;MC02;PR0302;ACPF6;SC0303;STAG1;SUBO2;DEFA2;FORB2;SSC3;PURP6;COLL4;TYVA01;FVAD3"/>
    <s v="51"/>
    <s v="REL01"/>
    <s v="SCOPE_1"/>
    <s v="CAAP4"/>
    <s v="SOUR2"/>
    <s v="DQS4"/>
    <n v="3560.23"/>
  </r>
  <r>
    <x v="198"/>
    <s v="M_0000_00000236399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7859.39"/>
  </r>
  <r>
    <x v="199"/>
    <s v="M_0000_00000236407_000000000000001"/>
    <s v="VEH05"/>
    <s v="2020-09-15"/>
    <s v="CONT1;HFS2;B01;MC02;PR0302;ACPF6;SC0303;STAG1;SUBO2;DEFA2;FORB2;SSC3;PURP6;COLL4;TYVA01;FVAD3"/>
    <s v="51"/>
    <s v="REL01"/>
    <s v="SCOPE_1"/>
    <s v="CAAP4"/>
    <s v="SOUR2"/>
    <s v="DQS4"/>
    <n v="1094.58"/>
  </r>
  <r>
    <x v="200"/>
    <s v="M_0000_00000236408_000000000000001"/>
    <s v="VEH05"/>
    <s v="2020-09-15"/>
    <s v="CONT1;HFS2;B01;MC02;PR0302;ACPF6;SC0303;STAG1;SUBO2;DEFA2;FORB2;SSC3;PURP6;COLL4;TYVA01;FVAD3"/>
    <s v="51"/>
    <s v="REL01"/>
    <s v="SCOPE_1"/>
    <s v="CAAP4"/>
    <s v="SOUR2"/>
    <s v="DQS4"/>
    <n v="1094.58"/>
  </r>
  <r>
    <x v="201"/>
    <s v="M_0000_00000236418_000000000000001"/>
    <s v="VEH19"/>
    <s v="2020-09-01"/>
    <s v="CONT1;HFS2;B01;MC02;PR0302;ACPF6;SC0303;STAG2;POCI2;SUBO2;DEFA2;FORB2;SSC4;PURP6;COLL4;TYVA01;FVAD3"/>
    <s v="51"/>
    <s v="REL01"/>
    <s v="SCOPE_1"/>
    <s v="CAAP4"/>
    <s v="SOUR2"/>
    <s v="DQS4"/>
    <n v="411.27"/>
  </r>
  <r>
    <x v="202"/>
    <s v="M_0000_00000236436_000000000000001"/>
    <s v="VEH16"/>
    <s v="2020-08-15"/>
    <s v="CONT1;HFS2;B01;MC02;PR0302;ACPF6;SC0303;STAG1;SUBO2;DEFA2;FORB2;SSC4;PURP6;COLL4;TYVA01;FVAD3"/>
    <s v="51"/>
    <s v="REL01"/>
    <s v="SCOPE_1"/>
    <s v="CAAP4"/>
    <s v="SOUR2"/>
    <s v="DQS4"/>
    <n v="2076.0500000000002"/>
  </r>
  <r>
    <x v="203"/>
    <s v="M_0000_00000236461_000000000000009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7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10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8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2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4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5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3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6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3"/>
    <s v="M_0000_00000236461_000000000000001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6"/>
  </r>
  <r>
    <x v="204"/>
    <s v="M_0000_00000236494_000000000000001"/>
    <s v="VEH04"/>
    <s v="2020-09-15"/>
    <s v="CONT1;HFS2;B01;MC02;PR0302;ACPF6;SC0303;STAG1;SUBO2;DEFA2;FORB2;SSC4;PURP6;COLL4;TYVA01;FVAD3"/>
    <s v="51"/>
    <s v="REL01"/>
    <s v="SCOPE_1"/>
    <s v="CAAP4"/>
    <s v="SOUR2"/>
    <s v="DQS4"/>
    <n v="72.91"/>
  </r>
  <r>
    <x v="205"/>
    <s v="M_0000_00000236495_000000000000005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7"/>
  </r>
  <r>
    <x v="205"/>
    <s v="M_0000_00000236495_000000000000003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7"/>
  </r>
  <r>
    <x v="205"/>
    <s v="M_0000_00000236495_000000000000001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7"/>
  </r>
  <r>
    <x v="205"/>
    <s v="M_0000_00000236495_000000000000004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7"/>
  </r>
  <r>
    <x v="205"/>
    <s v="M_0000_00000236495_000000000000002"/>
    <s v="VEH05"/>
    <s v="2020-09-01"/>
    <s v="CONT1;HFS2;B01;MC02;PR0302;ACPF6;SC0303;STAG1;SUBO2;DEFA2;FORB2;SSC3;PURP6;COLL4;TYVA01;FVAD3"/>
    <s v="51"/>
    <s v="REL01"/>
    <s v="SCOPE_1"/>
    <s v="CAAP4"/>
    <s v="SOUR2"/>
    <s v="DQS4"/>
    <n v="3027.77"/>
  </r>
  <r>
    <x v="206"/>
    <s v="M_0000_00000236595_000000000000001"/>
    <s v="VEH05"/>
    <s v="2020-10-15"/>
    <s v="CONT1;HFS2;B01;MC02;PR0302;ACPF6;SC0303;STAG2;POCI2;SUBO2;DEFA2;FORB2;SSC4;PURP6;COLL4;TYVA01;FVAD3"/>
    <s v="51"/>
    <s v="REL01"/>
    <s v="SCOPE_1"/>
    <s v="CAAP4"/>
    <s v="SOUR2"/>
    <s v="DQS4"/>
    <n v="3771.71"/>
  </r>
  <r>
    <x v="207"/>
    <s v="M_0000_00000236612_000000000000001"/>
    <s v="VEH01"/>
    <s v="2020-12-15"/>
    <s v="CONT1;HFS2;B01;MC02;PR0302;ACPF6;SC0303;STAG1;SUBO2;DEFA2;FORB2;SSC4;PURP6;COLL4;TYVA01;FVAD3"/>
    <s v="51"/>
    <s v="REL01"/>
    <s v="SCOPE_2"/>
    <s v="CAAP4"/>
    <s v="SOUR2"/>
    <s v="DQS4"/>
    <n v="78.72"/>
  </r>
  <r>
    <x v="208"/>
    <s v="M_0000_00000236695_000000000000006"/>
    <s v="VEH05"/>
    <s v="2020-11-15"/>
    <s v="CONT1;HFS2;B01;MC02;PR0302;ACPF6;SC0303;STAG1;SUBO2;DEFA2;FORB2;SSC4;PURP6;COLL4;TYVA01;FVAD3"/>
    <s v="51"/>
    <s v="REL01"/>
    <s v="SCOPE_1"/>
    <s v="CAAP4"/>
    <s v="SOUR2"/>
    <s v="DQS4"/>
    <n v="23823.26"/>
  </r>
  <r>
    <x v="208"/>
    <s v="M_0000_00000236695_000000000000002"/>
    <s v="VEH05"/>
    <s v="2020-11-15"/>
    <s v="CONT1;HFS2;B01;MC02;PR0302;ACPF6;SC0303;STAG1;SUBO2;DEFA2;FORB2;SSC4;PURP6;COLL4;TYVA01;FVAD3"/>
    <s v="51"/>
    <s v="REL01"/>
    <s v="SCOPE_1"/>
    <s v="CAAP4"/>
    <s v="SOUR2"/>
    <s v="DQS4"/>
    <n v="23823.26"/>
  </r>
  <r>
    <x v="208"/>
    <s v="M_0000_00000236695_000000000000001"/>
    <s v="VEH05"/>
    <s v="2020-11-15"/>
    <s v="CONT1;HFS2;B01;MC02;PR0302;ACPF6;SC0303;STAG1;SUBO2;DEFA2;FORB2;SSC4;PURP6;COLL4;TYVA01;FVAD3"/>
    <s v="51"/>
    <s v="REL01"/>
    <s v="SCOPE_1"/>
    <s v="CAAP4"/>
    <s v="SOUR2"/>
    <s v="DQS4"/>
    <n v="23823.26"/>
  </r>
  <r>
    <x v="208"/>
    <s v="M_0000_00000236695_000000000000005"/>
    <s v="VEH05"/>
    <s v="2020-11-15"/>
    <s v="CONT1;HFS2;B01;MC02;PR0302;ACPF6;SC0303;STAG1;SUBO2;DEFA2;FORB2;SSC4;PURP6;COLL4;TYVA01;FVAD3"/>
    <s v="51"/>
    <s v="REL01"/>
    <s v="SCOPE_1"/>
    <s v="CAAP4"/>
    <s v="SOUR2"/>
    <s v="DQS4"/>
    <n v="23823.26"/>
  </r>
  <r>
    <x v="208"/>
    <s v="M_0000_00000236695_000000000000004"/>
    <s v="VEH05"/>
    <s v="2020-11-15"/>
    <s v="CONT1;HFS2;B01;MC02;PR0302;ACPF6;SC0303;STAG1;SUBO2;DEFA2;FORB2;SSC4;PURP6;COLL4;TYVA01;FVAD3"/>
    <s v="51"/>
    <s v="REL01"/>
    <s v="SCOPE_1"/>
    <s v="CAAP4"/>
    <s v="SOUR2"/>
    <s v="DQS4"/>
    <n v="23823.26"/>
  </r>
  <r>
    <x v="208"/>
    <s v="M_0000_00000236695_000000000000003"/>
    <s v="VEH05"/>
    <s v="2020-11-15"/>
    <s v="CONT1;HFS2;B01;MC02;PR0302;ACPF6;SC0303;STAG1;SUBO2;DEFA2;FORB2;SSC4;PURP6;COLL4;TYVA01;FVAD3"/>
    <s v="51"/>
    <s v="REL01"/>
    <s v="SCOPE_1"/>
    <s v="CAAP4"/>
    <s v="SOUR2"/>
    <s v="DQS4"/>
    <n v="23823.26"/>
  </r>
  <r>
    <x v="209"/>
    <s v="M_0000_00000236777_000000000000001"/>
    <s v="VEH05"/>
    <s v="2020-10-01"/>
    <s v="CONT1;HFS2;B01;MC02;PR0302;ACPF6;SC0303;STAG2;POCI2;SUBO2;DEFA2;FORB2;SSC4;PURP6;COLL4;TYVA01;FVAD3"/>
    <s v="51"/>
    <s v="REL01"/>
    <s v="SCOPE_1"/>
    <s v="CAAP4"/>
    <s v="SOUR2"/>
    <s v="DQS4"/>
    <n v="19270.89"/>
  </r>
  <r>
    <x v="210"/>
    <s v="M_0000_00000236831_000000000000001"/>
    <s v="VEH05"/>
    <s v="2020-12-15"/>
    <s v="CONT1;HFS2;B01;MC02;PR0302;ACPF6;SC0303;STAG1;SUBO2;DEFA2;FORB2;SSC4;PURP6;COLL4;TYVA01;FVAD3"/>
    <s v="51"/>
    <s v="REL01"/>
    <s v="SCOPE_1"/>
    <s v="CAAP4"/>
    <s v="SOUR2"/>
    <s v="DQS4"/>
    <n v="5490.26"/>
  </r>
  <r>
    <x v="211"/>
    <s v="M_0000_00000236893_000000000000001"/>
    <s v="VEH05"/>
    <s v="2020-11-15"/>
    <s v="CONT1;HFS2;B01;MC02;PR0302;ACPF6;SC0303;STAG1;SUBO2;DEFA2;FORB2;SSC4;PURP6;COLL4;TYVA01;FVAD3"/>
    <s v="51"/>
    <s v="REL01"/>
    <s v="SCOPE_1"/>
    <s v="CAAP4"/>
    <s v="SOUR2"/>
    <s v="DQS4"/>
    <n v="4103.26"/>
  </r>
  <r>
    <x v="211"/>
    <s v="M_0000_00000236893_000000000000002"/>
    <s v="VEH16"/>
    <s v="2020-11-15"/>
    <s v="CONT1;HFS2;B01;MC02;PR0302;ACPF6;SC0303;STAG1;SUBO2;DEFA2;FORB2;SSC4;PURP6;COLL4;TYVA01;FVAD3"/>
    <s v="51"/>
    <s v="REL01"/>
    <s v="SCOPE_1"/>
    <s v="CAAP4"/>
    <s v="SOUR2"/>
    <s v="DQS4"/>
    <n v="4103.26"/>
  </r>
  <r>
    <x v="212"/>
    <s v="M_0000_00000237039_000000000000001"/>
    <s v="VEH19"/>
    <s v="2020-10-15"/>
    <s v="CONT1;HFS2;B01;MC02;PR0302;ACPF6;SC0303;STAG1;SUBO2;DEFA2;FORB2;SSC4;PURP6;COLL4;TYVA01;FVAD3"/>
    <s v="51"/>
    <s v="REL01"/>
    <s v="SCOPE_1"/>
    <s v="CAAP4"/>
    <s v="SOUR2"/>
    <s v="DQS4"/>
    <n v="171.77"/>
  </r>
  <r>
    <x v="213"/>
    <s v="M_0000_00000237060_000000000000001"/>
    <s v="VEH05"/>
    <s v="2020-11-01"/>
    <s v="CONT1;HFS2;B01;MC02;PR0302;ACPF6;SC0303;STAG2;POCI2;SUBO2;DEFA2;FORB2;SSC4;PURP6;COLL4;TYVA01;FVAD3"/>
    <s v="51"/>
    <s v="REL01"/>
    <s v="SCOPE_1"/>
    <s v="CAAP4"/>
    <s v="SOUR2"/>
    <s v="DQS4"/>
    <n v="4416.1400000000003"/>
  </r>
  <r>
    <x v="214"/>
    <s v="M_0000_00000237080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3447.81"/>
  </r>
  <r>
    <x v="215"/>
    <s v="M_0000_00000237168_000000000000001"/>
    <s v="VEH04"/>
    <s v="2020-11-01"/>
    <s v="CONT1;HFS2;B01;MC02;PR0302;ACPF6;SC0303;STAG2;POCI2;SUBO2;DEFA2;FORB2;SSC4;PURP6;COLL4;TYVA01;FVAD3"/>
    <s v="51"/>
    <s v="REL01"/>
    <s v="SCOPE_1"/>
    <s v="CAAP4"/>
    <s v="SOUR2"/>
    <s v="DQS4"/>
    <n v="182.96"/>
  </r>
  <r>
    <x v="216"/>
    <s v="M_0000_00000237170_000000000000001"/>
    <s v="VEH04"/>
    <s v="2020-12-15"/>
    <s v="CONT1;HFS2;B01;MC02;PR0302;ACPF6;SC0303;STAG2;POCI2;SUBO2;DEFA2;FORB2;SSC4;PURP6;COLL4;TYVA01;FVAD3"/>
    <s v="51"/>
    <s v="REL01"/>
    <s v="SCOPE_1"/>
    <s v="CAAP4"/>
    <s v="SOUR2"/>
    <s v="DQS4"/>
    <n v="213.91"/>
  </r>
  <r>
    <x v="217"/>
    <s v="M_0000_00000237173_000000000000001"/>
    <s v="VEH05"/>
    <s v="2020-11-01"/>
    <s v="CONT1;HFS2;B01;MC02;PR0302;ACPF6;SC0303;STAG2;POCI2;SUBO2;DEFA2;FORB2;SSC4;PURP6;COLL4;TYVA01;FVAD3"/>
    <s v="51"/>
    <s v="REL01"/>
    <s v="SCOPE_1"/>
    <s v="CAAP4"/>
    <s v="SOUR2"/>
    <s v="DQS4"/>
    <n v="4869.17"/>
  </r>
  <r>
    <x v="218"/>
    <s v="M_0000_00000237194_000000000000001"/>
    <s v="VEH05"/>
    <s v="2021-01-01"/>
    <s v="CONT1;HFS2;B01;MC02;PR0302;ACPF6;SC0303;STAG2;POCI2;SUBO2;DEFA2;FORB2;SSC4;PURP6;COLL4;TYVA01;FVAD3"/>
    <s v="51"/>
    <s v="REL01"/>
    <s v="SCOPE_1"/>
    <s v="CAAP4"/>
    <s v="SOUR2"/>
    <s v="DQS4"/>
    <n v="6756.75"/>
  </r>
  <r>
    <x v="219"/>
    <s v="M_0000_00000237198_000000000000002"/>
    <s v="VEH05"/>
    <s v="2020-10-15"/>
    <s v="CONT1;HFS2;B01;MC02;PR0302;ACPF6;SC0303;STAG2;POCI2;SUBO2;DEFA2;FORB2;SSC4;PURP6;COLL4;TYVA01;FVAD3"/>
    <s v="51"/>
    <s v="REL01"/>
    <s v="SCOPE_1"/>
    <s v="CAAP4"/>
    <s v="SOUR2"/>
    <s v="DQS4"/>
    <n v="3990.65"/>
  </r>
  <r>
    <x v="219"/>
    <s v="M_0000_00000237198_000000000000001"/>
    <s v="VEH05"/>
    <s v="2020-10-15"/>
    <s v="CONT1;HFS2;B01;MC02;PR0302;ACPF6;SC0303;STAG2;POCI2;SUBO2;DEFA2;FORB2;SSC4;PURP6;COLL4;TYVA01;FVAD3"/>
    <s v="51"/>
    <s v="REL01"/>
    <s v="SCOPE_1"/>
    <s v="CAAP4"/>
    <s v="SOUR2"/>
    <s v="DQS4"/>
    <n v="3990.65"/>
  </r>
  <r>
    <x v="220"/>
    <s v="M_0000_00000237214_000000000000003"/>
    <s v="VEH05"/>
    <s v="2020-11-15"/>
    <s v="CONT1;HFS2;B01;MC02;PR0302;ACPF6;SC0303;STAG1;SUBO2;DEFA2;FORB2;SSC4;PURP6;COLL4;TYVA01;FVAD3"/>
    <s v="51"/>
    <s v="REL01"/>
    <s v="SCOPE_1"/>
    <s v="CAAP4"/>
    <s v="SOUR2"/>
    <s v="DQS4"/>
    <n v="4659.1400000000003"/>
  </r>
  <r>
    <x v="220"/>
    <s v="M_0000_00000237214_000000000000002"/>
    <s v="VEH05"/>
    <s v="2020-11-15"/>
    <s v="CONT1;HFS2;B01;MC02;PR0302;ACPF6;SC0303;STAG1;SUBO2;DEFA2;FORB2;SSC4;PURP6;COLL4;TYVA01;FVAD3"/>
    <s v="51"/>
    <s v="REL01"/>
    <s v="SCOPE_1"/>
    <s v="CAAP4"/>
    <s v="SOUR2"/>
    <s v="DQS4"/>
    <n v="4659.1400000000003"/>
  </r>
  <r>
    <x v="220"/>
    <s v="M_0000_00000237214_000000000000001"/>
    <s v="VEH05"/>
    <s v="2020-11-15"/>
    <s v="CONT1;HFS2;B01;MC02;PR0302;ACPF6;SC0303;STAG1;SUBO2;DEFA2;FORB2;SSC4;PURP6;COLL4;TYVA01;FVAD3"/>
    <s v="51"/>
    <s v="REL01"/>
    <s v="SCOPE_1"/>
    <s v="CAAP4"/>
    <s v="SOUR2"/>
    <s v="DQS4"/>
    <n v="4659.1400000000003"/>
  </r>
  <r>
    <x v="221"/>
    <s v="M_0000_00000237230_000000000000001"/>
    <s v="VEH04"/>
    <s v="2021-01-15"/>
    <s v="CONT1;HFS2;B01;MC02;PR0302;ACPF6;SC0303;STAG2;POCI2;SUBO2;DEFA2;FORB2;SSC4;PURP6;COLL4;TYVA01;FVAD3"/>
    <s v="51"/>
    <s v="REL01"/>
    <s v="SCOPE_1"/>
    <s v="CAAP4"/>
    <s v="SOUR2"/>
    <s v="DQS4"/>
    <n v="248.13"/>
  </r>
  <r>
    <x v="222"/>
    <s v="M_0000_00000237244_000000000000001"/>
    <s v="VEH16"/>
    <s v="2020-12-01"/>
    <s v="CONT1;HFS2;B01;MC02;PR0302;ACPF6;SC0303;STAG2;POCI2;SUBO2;DEFA2;FORB2;SSC4;PURP6;COLL4;TYVA01;FVAD3"/>
    <s v="51"/>
    <s v="REL01"/>
    <s v="SCOPE_1"/>
    <s v="CAAP4"/>
    <s v="SOUR2"/>
    <s v="DQS4"/>
    <n v="5619.08"/>
  </r>
  <r>
    <x v="223"/>
    <s v="M_0000_00000237245_000000000000001"/>
    <s v="VEH16"/>
    <s v="2020-12-01"/>
    <s v="CONT1;HFS2;B01;MC02;PR0302;ACPF6;SC0303;STAG2;POCI2;SUBO2;DEFA2;FORB2;SSC4;PURP6;COLL4;TYVA01;FVAD3"/>
    <s v="51"/>
    <s v="REL01"/>
    <s v="SCOPE_1"/>
    <s v="CAAP4"/>
    <s v="SOUR2"/>
    <s v="DQS4"/>
    <n v="5619.08"/>
  </r>
  <r>
    <x v="224"/>
    <s v="M_0000_00000237269_000000000000001"/>
    <s v="VEH16"/>
    <s v="2020-12-01"/>
    <s v="CONT1;HFS2;B01;MC02;PR0302;ACPF6;SC0303;STAG1;SUBO2;DEFA2;FORB2;SSC4;PURP6;COLL4;TYVA01;FVAD3"/>
    <s v="51"/>
    <s v="REL01"/>
    <s v="SCOPE_1"/>
    <s v="CAAP4"/>
    <s v="SOUR2"/>
    <s v="DQS4"/>
    <n v="5548.24"/>
  </r>
  <r>
    <x v="225"/>
    <s v="M_0000_00000237288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7859.39"/>
  </r>
  <r>
    <x v="226"/>
    <s v="M_0000_00000237289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7859.39"/>
  </r>
  <r>
    <x v="227"/>
    <s v="M_0000_00000237290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7859.39"/>
  </r>
  <r>
    <x v="228"/>
    <s v="M_0000_00000237291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7859.39"/>
  </r>
  <r>
    <x v="229"/>
    <s v="M_0000_00000237292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7859.39"/>
  </r>
  <r>
    <x v="230"/>
    <s v="M_0000_00000237293_000000000000001"/>
    <s v="VEH05"/>
    <s v="2020-10-15"/>
    <s v="CONT1;HFS2;B01;MC02;PR0302;ACPF6;SC0303;STAG1;SUBO2;DEFA2;FORB2;SSC4;PURP6;COLL4;TYVA01;FVAD3"/>
    <s v="51"/>
    <s v="REL01"/>
    <s v="SCOPE_1"/>
    <s v="CAAP4"/>
    <s v="SOUR2"/>
    <s v="DQS4"/>
    <n v="7859.39"/>
  </r>
  <r>
    <x v="231"/>
    <s v="M_0000_00000237294_000000000000001"/>
    <s v="VEH05"/>
    <s v="2020-11-15"/>
    <s v="CONT1;HFS2;B01;MC02;PR0302;ACPF6;SC0303;STAG1;SUBO2;DEFA2;FORB2;SSC4;PURP6;COLL4;TYVA01;FVAD3"/>
    <s v="51"/>
    <s v="REL01"/>
    <s v="SCOPE_1"/>
    <s v="CAAP4"/>
    <s v="SOUR2"/>
    <s v="DQS4"/>
    <n v="8638.58"/>
  </r>
  <r>
    <x v="232"/>
    <s v="M_0000_00000237295_000000000000001"/>
    <s v="VEH05"/>
    <s v="2020-11-15"/>
    <s v="CONT1;HFS2;B01;MC02;PR0302;ACPF6;SC0303;STAG1;SUBO2;DEFA2;FORB2;SSC4;PURP6;COLL4;TYVA01;FVAD3"/>
    <s v="51"/>
    <s v="REL01"/>
    <s v="SCOPE_1"/>
    <s v="CAAP4"/>
    <s v="SOUR2"/>
    <s v="DQS4"/>
    <n v="8638.58"/>
  </r>
  <r>
    <x v="233"/>
    <s v="M_0000_00000237296_000000000000001"/>
    <s v="VEH05"/>
    <s v="2020-11-15"/>
    <s v="CONT1;HFS2;B01;MC02;PR0302;ACPF6;SC0303;STAG1;SUBO2;DEFA2;FORB2;SSC4;PURP6;COLL4;TYVA01;FVAD3"/>
    <s v="51"/>
    <s v="REL01"/>
    <s v="SCOPE_1"/>
    <s v="CAAP4"/>
    <s v="SOUR2"/>
    <s v="DQS4"/>
    <n v="8638.58"/>
  </r>
  <r>
    <x v="234"/>
    <s v="M_0000_00000237310_000000000000002"/>
    <s v="VEH05"/>
    <s v="2020-11-01"/>
    <s v="CONT1;HFS2;B01;MC02;PR0302;ACPF6;SC0303;STAG2;POCI2;SUBO2;DEFA2;FORB2;SSC4;PURP6;COLL4;TYVA01;FVAD3"/>
    <s v="51"/>
    <s v="REL01"/>
    <s v="SCOPE_1"/>
    <s v="CAAP4"/>
    <s v="SOUR2"/>
    <s v="DQS4"/>
    <n v="2354.87"/>
  </r>
  <r>
    <x v="234"/>
    <s v="M_0000_00000237310_000000000000001"/>
    <s v="VEH05"/>
    <s v="2020-11-01"/>
    <s v="CONT1;HFS2;B01;MC02;PR0302;ACPF6;SC0303;STAG2;POCI2;SUBO2;DEFA2;FORB2;SSC4;PURP6;COLL4;TYVA01;FVAD3"/>
    <s v="51"/>
    <s v="REL01"/>
    <s v="SCOPE_1"/>
    <s v="CAAP4"/>
    <s v="SOUR2"/>
    <s v="DQS4"/>
    <n v="2354.87"/>
  </r>
  <r>
    <x v="235"/>
    <s v="M_0000_00000237365_000000000000002"/>
    <s v="VEH16"/>
    <s v="2020-12-15"/>
    <s v="CONT1;HFS2;B01;MC02;PR0302;ACPF6;SC0303;STAG2;POCI2;SUBO2;DEFA2;FORB2;SSC4;PURP6;COLL4;TYVA01;FVAD3"/>
    <s v="51"/>
    <s v="REL01"/>
    <s v="SCOPE_1"/>
    <s v="CAAP4"/>
    <s v="SOUR2"/>
    <s v="DQS4"/>
    <n v="5637.43"/>
  </r>
  <r>
    <x v="235"/>
    <s v="M_0000_00000237365_000000000000001"/>
    <s v="VEH16"/>
    <s v="2020-12-15"/>
    <s v="CONT1;HFS2;B01;MC02;PR0302;ACPF6;SC0303;STAG2;POCI2;SUBO2;DEFA2;FORB2;SSC4;PURP6;COLL4;TYVA01;FVAD3"/>
    <s v="51"/>
    <s v="REL01"/>
    <s v="SCOPE_1"/>
    <s v="CAAP4"/>
    <s v="SOUR2"/>
    <s v="DQS4"/>
    <n v="5637.43"/>
  </r>
  <r>
    <x v="235"/>
    <s v="M_0000_00000237365_000000000000003"/>
    <s v="VEH16"/>
    <s v="2020-12-15"/>
    <s v="CONT1;HFS2;B01;MC02;PR0302;ACPF6;SC0303;STAG2;POCI2;SUBO2;DEFA2;FORB2;SSC4;PURP6;COLL4;TYVA01;FVAD3"/>
    <s v="51"/>
    <s v="REL01"/>
    <s v="SCOPE_1"/>
    <s v="CAAP4"/>
    <s v="SOUR2"/>
    <s v="DQS4"/>
    <n v="5637.43"/>
  </r>
  <r>
    <x v="236"/>
    <s v="M_0000_00000237393_000000000000001"/>
    <s v="VEH05"/>
    <s v="2020-12-01"/>
    <s v="CONT1;HFS2;B01;MC02;PR0302;ACPF6;SC0303;STAG1;SUBO2;DEFA2;FORB2;SSC4;PURP6;COLL4;TYVA01;FVAD3"/>
    <s v="51"/>
    <s v="REL01"/>
    <s v="SCOPE_1"/>
    <s v="CAAP4"/>
    <s v="SOUR2"/>
    <s v="DQS4"/>
    <n v="5367.51"/>
  </r>
  <r>
    <x v="236"/>
    <s v="M_0000_00000237393_000000000000002"/>
    <s v="VEH05"/>
    <s v="2020-12-01"/>
    <s v="CONT1;HFS2;B01;MC02;PR0302;ACPF6;SC0303;STAG1;SUBO2;DEFA2;FORB2;SSC4;PURP6;COLL4;TYVA01;FVAD3"/>
    <s v="51"/>
    <s v="REL01"/>
    <s v="SCOPE_1"/>
    <s v="CAAP4"/>
    <s v="SOUR2"/>
    <s v="DQS4"/>
    <n v="5367.51"/>
  </r>
  <r>
    <x v="236"/>
    <s v="M_0000_00000237393_000000000000001"/>
    <s v="VEH05"/>
    <s v="2020-12-01"/>
    <s v="CONT1;HFS2;B01;MC02;PR0302;ACPF6;SC0303;STAG1;SUBO2;DEFA2;FORB2;SSC4;PURP6;COLL4;TYVA01;FVAD3"/>
    <s v="51"/>
    <s v="REL01"/>
    <s v="SCOPE_1"/>
    <s v="CAAP4"/>
    <s v="SOUR2"/>
    <s v="DQS4"/>
    <n v="5367.49"/>
  </r>
  <r>
    <x v="236"/>
    <s v="M_0000_00000237393_000000000000002"/>
    <s v="VEH05"/>
    <s v="2020-12-01"/>
    <s v="CONT1;HFS2;B01;MC02;PR0302;ACPF6;SC0303;STAG1;SUBO2;DEFA2;FORB2;SSC4;PURP6;COLL4;TYVA01;FVAD3"/>
    <s v="51"/>
    <s v="REL01"/>
    <s v="SCOPE_1"/>
    <s v="CAAP4"/>
    <s v="SOUR2"/>
    <s v="DQS4"/>
    <n v="5367.49"/>
  </r>
  <r>
    <x v="237"/>
    <s v="M_0000_00000237417_000000000000001"/>
    <s v="VEH05"/>
    <s v="2020-11-15"/>
    <s v="CONT1;HFS2;B01;MC02;PR0302;ACPF6;SC0303;STAG1;SUBO2;DEFA2;FORB2;SSC4;PURP6;COLL4;TYVA01;FVAD3"/>
    <s v="51"/>
    <s v="REL01"/>
    <s v="SCOPE_1"/>
    <s v="CAAP4"/>
    <s v="SOUR2"/>
    <s v="DQS4"/>
    <n v="4647.16"/>
  </r>
  <r>
    <x v="238"/>
    <s v="M_0000_00000237544_000000000000001"/>
    <s v="VEH05"/>
    <s v="2021-01-01"/>
    <s v="CONT1;HFS2;B01;MC02;PR0302;ACPF6;SC0303;STAG1;SUBO2;DEFA2;FORB2;SSC4;PURP6;COLL4;TYVA01;FVAD3"/>
    <s v="51"/>
    <s v="REL01"/>
    <s v="SCOPE_1"/>
    <s v="CAAP4"/>
    <s v="SOUR2"/>
    <s v="DQS4"/>
    <n v="19028.57"/>
  </r>
  <r>
    <x v="239"/>
    <s v="M_0000_00000237590_000000000000001"/>
    <s v="VEH05"/>
    <s v="2021-01-01"/>
    <s v="CONT1;HFS2;B01;MC02;PR0302;ACPF6;SC0303;STAG1;SUBO2;DEFA2;FORB2;SSC4;PURP6;COLL4;TYVA01;FVAD3"/>
    <s v="51"/>
    <s v="REL01"/>
    <s v="SCOPE_1"/>
    <s v="CAAP4"/>
    <s v="SOUR2"/>
    <s v="DQS4"/>
    <n v="19028.57"/>
  </r>
  <r>
    <x v="240"/>
    <s v="M_0000_00000237591_000000000000001"/>
    <s v="VEH05"/>
    <s v="2021-01-01"/>
    <s v="CONT1;HFS2;B01;MC02;PR0302;ACPF6;SC0303;STAG1;SUBO2;DEFA2;FORB2;SSC4;PURP6;COLL4;TYVA01;FVAD3"/>
    <s v="51"/>
    <s v="REL01"/>
    <s v="SCOPE_1"/>
    <s v="CAAP4"/>
    <s v="SOUR2"/>
    <s v="DQS4"/>
    <n v="19028.57"/>
  </r>
  <r>
    <x v="241"/>
    <s v="M_0000_00000237594_000000000000001"/>
    <s v="VEH16"/>
    <s v="2020-12-15"/>
    <s v="CONT1;HFS2;B01;MC02;PR0302;ACPF6;SC0303;STAG1;SUBO2;DEFA2;FORB2;SSC4;PURP6;COLL4;TYVA01;FVAD3"/>
    <s v="51"/>
    <s v="REL01"/>
    <s v="SCOPE_1"/>
    <s v="CAAP4"/>
    <s v="SOUR2"/>
    <s v="DQS4"/>
    <n v="7065.73"/>
  </r>
  <r>
    <x v="242"/>
    <s v="M_0000_00000237766_000000000000001"/>
    <s v="VEH04"/>
    <s v="2020-12-01"/>
    <s v="CONT1;HFS2;B01;MC02;PR0302;ACPF6;SC0303;STAG1;SUBO2;DEFA2;FORB2;SSC4;PURP6;COLL4;TYVA01;FVAD3"/>
    <s v="51"/>
    <s v="REL01"/>
    <s v="SCOPE_1"/>
    <s v="CAAP4"/>
    <s v="SOUR2"/>
    <s v="DQS4"/>
    <n v="204.61"/>
  </r>
  <r>
    <x v="243"/>
    <s v="M_0000_00000237778_000000000000001"/>
    <s v="VEH16"/>
    <s v="2021-01-01"/>
    <s v="CONT1;HFS2;B01;MC02;PR0302;ACPF6;SC0303;STAG2;POCI2;SUBO2;DEFA2;FORB2;SSC4;PURP6;COLL4;TYVA01;FVAD3"/>
    <s v="51"/>
    <s v="REL01"/>
    <s v="SCOPE_1"/>
    <s v="CAAP4"/>
    <s v="SOUR2"/>
    <s v="DQS4"/>
    <n v="5974.49"/>
  </r>
  <r>
    <x v="244"/>
    <s v="M_0000_00000237786_000000000000001"/>
    <s v="VEH16"/>
    <s v="2020-12-15"/>
    <s v="CONT1;HFS2;B01;MC02;PR0302;ACPF6;SC0303;STAG1;SUBO2;DEFA2;FORB2;SSC4;PURP6;COLL4;TYVA01;FVAD3"/>
    <s v="51"/>
    <s v="REL01"/>
    <s v="SCOPE_1"/>
    <s v="CAAP4"/>
    <s v="SOUR2"/>
    <s v="DQS4"/>
    <n v="5984.74"/>
  </r>
  <r>
    <x v="245"/>
    <s v="M_0000_00000237834_000000000000001"/>
    <s v="VEH05"/>
    <s v="2021-02-15"/>
    <s v="CONT1;HFS2;B01;MC02;PR0302;ACPF6;SC0303;STAG2;POCI2;SUBO2;DEFA2;FORB2;SSC4;PURP6;COLL4;TYVA01;FVAD3"/>
    <s v="51"/>
    <s v="REL01"/>
    <s v="SCOPE_1"/>
    <s v="CAAP4"/>
    <s v="SOUR2"/>
    <s v="DQS4"/>
    <n v="10525.83"/>
  </r>
  <r>
    <x v="246"/>
    <s v="M_0000_00000237967_000000000000001"/>
    <s v="VEH16"/>
    <s v="2020-12-15"/>
    <s v="CONT1;HFS2;B01;MC02;PR0302;ACPF6;SC0303;STAG1;SUBO2;DEFA2;FORB2;SSC3;PURP6;COLL4;TYVA01;FVAD3"/>
    <s v="51"/>
    <s v="REL01"/>
    <s v="SCOPE_1"/>
    <s v="CAAP4"/>
    <s v="SOUR2"/>
    <s v="DQS4"/>
    <n v="5931.71"/>
  </r>
  <r>
    <x v="247"/>
    <s v="M_0000_00000237968_000000000000001"/>
    <s v="VEH05"/>
    <s v="2020-12-15"/>
    <s v="CONT1;HFS2;B01;MC02;PR0302;ACPF6;SC0303;STAG1;SUBO2;DEFA2;FORB2;SSC4;PURP6;COLL4;TYVA01;FVAD3"/>
    <s v="51"/>
    <s v="REL01"/>
    <s v="SCOPE_1"/>
    <s v="CAAP4"/>
    <s v="SOUR2"/>
    <s v="DQS4"/>
    <n v="5905.33"/>
  </r>
  <r>
    <x v="248"/>
    <s v="M_0000_00000237973_000000000000001"/>
    <s v="VEH04"/>
    <s v="2021-01-01"/>
    <s v="CONT1;HFS2;B01;MC02;PR0302;ACPF6;SC0303;STAG2;POCI2;SUBO2;DEFA2;FORB2;SSC4;PURP6;COLL4;TYVA01;FVAD3"/>
    <s v="51"/>
    <s v="REL01"/>
    <s v="SCOPE_1"/>
    <s v="CAAP4"/>
    <s v="SOUR2"/>
    <s v="DQS4"/>
    <n v="245.11"/>
  </r>
  <r>
    <x v="249"/>
    <s v="M_0000_00000238044_000000000000001"/>
    <s v="VEH20"/>
    <s v="2020-12-15"/>
    <s v="CONT1;HFS2;B01;MC02;PR0302;ACPF6;SC0303;STAG1;SUBO2;DEFA2;FORB2;SSC4;PURP6;COLL4;TYVA01;FVAD3"/>
    <s v="51"/>
    <s v="REL01"/>
    <s v="SCOPE_1"/>
    <s v="CAAP4"/>
    <s v="SOUR2"/>
    <s v="DQS4"/>
    <n v="5406.42"/>
  </r>
  <r>
    <x v="250"/>
    <s v="M_0000_00000238112_000000000000001"/>
    <s v="VEH05"/>
    <s v="2020-12-15"/>
    <s v="CONT1;HFS2;B01;MC02;PR0302;ACPF6;SC0303;STAG1;SUBO2;DEFA2;FORB2;SSC4;PURP6;COLL4;TYVA01;FVAD3"/>
    <s v="51"/>
    <s v="REL01"/>
    <s v="SCOPE_1"/>
    <s v="CAAP4"/>
    <s v="SOUR2"/>
    <s v="DQS4"/>
    <n v="13018.25"/>
  </r>
  <r>
    <x v="251"/>
    <s v="M_0000_00000238118_000000000000001"/>
    <s v="VEH05"/>
    <s v="2020-12-15"/>
    <s v="CONT1;HFS2;B01;MC02;PR0302;ACPF6;SC0303;STAG1;SUBO2;DEFA2;FORB2;SSC4;PURP6;COLL4;TYVA01;FVAD3"/>
    <s v="51"/>
    <s v="REL01"/>
    <s v="SCOPE_1"/>
    <s v="CAAP4"/>
    <s v="SOUR2"/>
    <s v="DQS4"/>
    <n v="13018.25"/>
  </r>
  <r>
    <x v="252"/>
    <s v="M_0000_00000238169_000000000000001"/>
    <s v="VEH04"/>
    <s v="2021-02-01"/>
    <s v="CONT1;HFS2;B01;MC02;PR0302;ACPF6;SC0303;STAG1;SUBO2;DEFA2;FORB2;SSC4;PURP6;COLL4;TYVA01;FVAD3"/>
    <s v="51"/>
    <s v="REL01"/>
    <s v="SCOPE_1"/>
    <s v="CAAP4"/>
    <s v="SOUR2"/>
    <s v="DQS4"/>
    <n v="288.91000000000003"/>
  </r>
  <r>
    <x v="253"/>
    <s v="M_0000_00000238187_000000000000001"/>
    <s v="VEH05"/>
    <s v="2021-02-15"/>
    <s v="CONT1;HFS2;B01;MC02;PR0302;ACPF6;SC0303;STAG1;SUBO2;DEFA2;FORB2;SSC4;PURP6;COLL4;TYVA01;FVAD3"/>
    <s v="51"/>
    <s v="REL01"/>
    <s v="SCOPE_1"/>
    <s v="CAAP4"/>
    <s v="SOUR2"/>
    <s v="DQS4"/>
    <n v="26617.85"/>
  </r>
  <r>
    <x v="253"/>
    <s v="M_0000_00000238187_000000000000002"/>
    <s v="VEH05"/>
    <s v="2021-02-15"/>
    <s v="CONT1;HFS2;B01;MC02;PR0302;ACPF6;SC0303;STAG1;SUBO2;DEFA2;FORB2;SSC4;PURP6;COLL4;TYVA01;FVAD3"/>
    <s v="51"/>
    <s v="REL01"/>
    <s v="SCOPE_1"/>
    <s v="CAAP4"/>
    <s v="SOUR2"/>
    <s v="DQS4"/>
    <n v="26617.85"/>
  </r>
  <r>
    <x v="254"/>
    <s v="M_0000_00000238188_000000000000002"/>
    <s v="VEH05"/>
    <s v="2021-02-15"/>
    <s v="CONT1;HFS2;B01;MC02;PR0302;ACPF6;SC0303;STAG1;SUBO2;DEFA2;FORB2;SSC4;PURP6;COLL4;TYVA01;FVAD3"/>
    <s v="51"/>
    <s v="REL01"/>
    <s v="SCOPE_1"/>
    <s v="CAAP4"/>
    <s v="SOUR2"/>
    <s v="DQS4"/>
    <n v="26617.86"/>
  </r>
  <r>
    <x v="254"/>
    <s v="M_0000_00000238188_000000000000001"/>
    <s v="VEH05"/>
    <s v="2021-02-15"/>
    <s v="CONT1;HFS2;B01;MC02;PR0302;ACPF6;SC0303;STAG1;SUBO2;DEFA2;FORB2;SSC4;PURP6;COLL4;TYVA01;FVAD3"/>
    <s v="51"/>
    <s v="REL01"/>
    <s v="SCOPE_1"/>
    <s v="CAAP4"/>
    <s v="SOUR2"/>
    <s v="DQS4"/>
    <n v="26617.86"/>
  </r>
  <r>
    <x v="255"/>
    <s v="M_0000_00000238233_000000000000001"/>
    <s v="VEH04"/>
    <s v="2022-01-01"/>
    <s v="CONT1;HFS2;B01;MC02;PR0302;ACPF6;SC0303;STAG3;POCI2;SUBO2;DEFA1;FORB2;SSC3;PURP6;COLL4;TYVA01;FVAD3"/>
    <s v="51"/>
    <s v="REL01"/>
    <s v="SCOPE_1"/>
    <s v="CAAP4"/>
    <s v="SOUR2"/>
    <s v="DQS4"/>
    <n v="349.28"/>
  </r>
  <r>
    <x v="256"/>
    <s v="M_0000_00000238257_000000000000001"/>
    <s v="VEH05"/>
    <s v="2020-12-15"/>
    <s v="CONT1;HFS2;B01;MC02;PR0302;ACPF6;SC0303;STAG1;SUBO2;DEFA2;FORB2;SSC4;PURP6;COLL4;TYVA01;FVAD3"/>
    <s v="51"/>
    <s v="REL01"/>
    <s v="SCOPE_1"/>
    <s v="CAAP4"/>
    <s v="SOUR2"/>
    <s v="DQS4"/>
    <n v="5287.45"/>
  </r>
  <r>
    <x v="257"/>
    <s v="M_0000_00000238357_000000000000001"/>
    <s v="VEH05"/>
    <s v="2021-02-15"/>
    <s v="CONT1;HFS2;B01;MC02;PR0302;ACPF6;SC0303;STAG2;POCI2;SUBO2;DEFA2;FORB2;SSC4;PURP6;COLL4;TYVA01;FVAD3"/>
    <s v="51"/>
    <s v="REL01"/>
    <s v="SCOPE_1"/>
    <s v="CAAP4"/>
    <s v="SOUR2"/>
    <s v="DQS4"/>
    <n v="7039.39"/>
  </r>
  <r>
    <x v="258"/>
    <s v="M_0000_00000238398_000000000000001"/>
    <s v="VEH05"/>
    <s v="2021-02-01"/>
    <s v="CONT1;HFS2;B01;MC02;PR0302;ACPF6;SC0303;STAG1;SUBO2;DEFA2;FORB2;SSC4;PURP6;COLL4;TYVA01;FVAD3"/>
    <s v="51"/>
    <s v="REL01"/>
    <s v="SCOPE_1"/>
    <s v="CAAP4"/>
    <s v="SOUR2"/>
    <s v="DQS4"/>
    <n v="7253.99"/>
  </r>
  <r>
    <x v="258"/>
    <s v="M_0000_00000238398_000000000000002"/>
    <s v="VEH05"/>
    <s v="2021-02-01"/>
    <s v="CONT1;HFS2;B01;MC02;PR0302;ACPF6;SC0303;STAG1;SUBO2;DEFA2;FORB2;SSC4;PURP6;COLL4;TYVA01;FVAD3"/>
    <s v="51"/>
    <s v="REL01"/>
    <s v="SCOPE_1"/>
    <s v="CAAP4"/>
    <s v="SOUR2"/>
    <s v="DQS4"/>
    <n v="7253.99"/>
  </r>
  <r>
    <x v="259"/>
    <s v="M_0000_00000238545_000000000000001"/>
    <s v="VEH05"/>
    <s v="2021-02-15"/>
    <s v="CONT1;HFS2;B01;MC02;PR0302;ACPF6;SC0303;STAG2;POCI2;SUBO2;DEFA2;FORB2;SSC4;PURP6;COLL4;TYVA01;FVAD3"/>
    <s v="51"/>
    <s v="REL01"/>
    <s v="SCOPE_1"/>
    <s v="CAAP4"/>
    <s v="SOUR2"/>
    <s v="DQS4"/>
    <n v="8701.17"/>
  </r>
  <r>
    <x v="260"/>
    <s v="M_0000_00000238587_000000000000001"/>
    <s v="VEH19"/>
    <s v="2021-01-15"/>
    <s v="CONT1;HFS2;B01;MC02;PR0302;ACPF6;SC0303;STAG2;POCI2;SUBO2;DEFA2;FORB2;SSC4;PURP6;COLL4;TYVA01;FVAD3"/>
    <s v="51"/>
    <s v="REL01"/>
    <s v="SCOPE_1"/>
    <s v="CAAP4"/>
    <s v="SOUR2"/>
    <s v="DQS4"/>
    <n v="1111.3699999999999"/>
  </r>
  <r>
    <x v="261"/>
    <s v="M_0000_00000238656_000000000000002"/>
    <s v="VEH05"/>
    <s v="2021-03-15"/>
    <s v="CONT1;HFS2;B01;MC02;PR0302;ACPF6;SC0303;STAG1;SUBO2;DEFA2;FORB2;SSC4;PURP6;COLL4;TYVA01;FVAD3"/>
    <s v="51"/>
    <s v="REL01"/>
    <s v="SCOPE_1"/>
    <s v="CAAP4"/>
    <s v="SOUR2"/>
    <s v="DQS4"/>
    <n v="8884.82"/>
  </r>
  <r>
    <x v="261"/>
    <s v="M_0000_00000238656_000000000000001"/>
    <s v="VEH05"/>
    <s v="2021-03-15"/>
    <s v="CONT1;HFS2;B01;MC02;PR0302;ACPF6;SC0303;STAG1;SUBO2;DEFA2;FORB2;SSC4;PURP6;COLL4;TYVA01;FVAD3"/>
    <s v="51"/>
    <s v="REL01"/>
    <s v="SCOPE_1"/>
    <s v="CAAP4"/>
    <s v="SOUR2"/>
    <s v="DQS4"/>
    <n v="8884.82"/>
  </r>
  <r>
    <x v="262"/>
    <s v="M_0000_00000238828_000000000000001"/>
    <s v="VEH05"/>
    <s v="2021-03-01"/>
    <s v="CONT1;HFS2;B01;MC02;PR0302;ACPF6;SC0303;STAG1;SUBO2;DEFA2;FORB2;SSC4;PURP6;COLL4;TYVA01;FVAD3"/>
    <s v="51"/>
    <s v="REL01"/>
    <s v="SCOPE_1"/>
    <s v="CAAP4"/>
    <s v="SOUR2"/>
    <s v="DQS4"/>
    <n v="7325.64"/>
  </r>
  <r>
    <x v="263"/>
    <s v="M_0000_00000239016_000000000000001"/>
    <s v="VEH16"/>
    <s v="2021-02-15"/>
    <s v="CONT1;HFS2;B01;MC02;PR0302;ACPF6;SC0303;STAG2;POCI2;SUBO2;DEFA2;FORB2;SSC4;PURP6;COLL4;TYVA01;FVAD3"/>
    <s v="51"/>
    <s v="REL01"/>
    <s v="SCOPE_1"/>
    <s v="CAAP4"/>
    <s v="SOUR2"/>
    <s v="DQS4"/>
    <n v="11155.91"/>
  </r>
  <r>
    <x v="264"/>
    <s v="M_0000_00000239060_000000000000001"/>
    <s v="VEH16"/>
    <s v="2021-04-01"/>
    <s v="CONT1;HFS2;B01;MC02;PR0302;ACPF6;SC0303;STAG2;POCI2;SUBO2;DEFA2;FORB2;SSC4;PURP6;COLL4;TYVA01;FVAD3"/>
    <s v="51"/>
    <s v="REL01"/>
    <s v="SCOPE_1"/>
    <s v="CAAP4"/>
    <s v="SOUR2"/>
    <s v="DQS4"/>
    <n v="10453.24"/>
  </r>
  <r>
    <x v="265"/>
    <s v="M_0000_00000239110_000000000000001"/>
    <s v="VEH05"/>
    <s v="2021-04-01"/>
    <s v="CONT1;HFS2;B01;MC02;PR0302;ACPF6;SC0303;STAG1;SUBO2;DEFA2;FORB2;SSC4;PURP6;COLL4;TYVA01;FVAD3"/>
    <s v="51"/>
    <s v="REL01"/>
    <s v="SCOPE_1"/>
    <s v="CAAP4"/>
    <s v="SOUR2"/>
    <s v="DQS4"/>
    <n v="8933.49"/>
  </r>
  <r>
    <x v="266"/>
    <s v="M_0000_00000239250_000000000000001"/>
    <s v="VEH05"/>
    <s v="2021-03-01"/>
    <s v="CONT1;HFS2;B01;MC02;PR0302;ACPF6;SC0303;STAG1;SUBO2;DEFA2;FORB2;SSC3;PURP6;COLL4;TYVA01;FVAD3"/>
    <s v="51"/>
    <s v="REL01"/>
    <s v="SCOPE_1"/>
    <s v="CAAP4"/>
    <s v="SOUR2"/>
    <s v="DQS4"/>
    <n v="8760.68"/>
  </r>
  <r>
    <x v="267"/>
    <s v="M_0000_00000239251_000000000000001"/>
    <s v="VEH05"/>
    <s v="2021-03-01"/>
    <s v="CONT1;HFS2;B01;MC02;PR0302;ACPF6;SC0303;STAG1;SUBO2;DEFA2;FORB2;SSC3;PURP6;COLL4;TYVA01;FVAD3"/>
    <s v="51"/>
    <s v="REL01"/>
    <s v="SCOPE_1"/>
    <s v="CAAP4"/>
    <s v="SOUR2"/>
    <s v="DQS4"/>
    <n v="8760.68"/>
  </r>
  <r>
    <x v="268"/>
    <s v="M_0000_00000239270_000000000000001"/>
    <s v="VEH04"/>
    <s v="2021-04-01"/>
    <s v="CONT1;HFS2;B01;MC02;PR0302;ACPF6;SC0303;STAG1;SUBO2;DEFA2;FORB2;SSC4;PURP6;COLL4;TYVA01;FVAD3"/>
    <s v="51"/>
    <s v="REL01"/>
    <s v="SCOPE_1"/>
    <s v="CAAP4"/>
    <s v="SOUR2"/>
    <s v="DQS4"/>
    <n v="438.57"/>
  </r>
  <r>
    <x v="269"/>
    <s v="M_0000_00000239289_000000000000001"/>
    <s v="VEH05"/>
    <s v="2021-03-15"/>
    <s v="CONT1;HFS2;B01;MC02;PR0302;ACPF6;SC0303;STAG2;POCI2;SUBO2;DEFA2;FORB2;SSC4;PURP6;COLL4;TYVA01;FVAD3"/>
    <s v="51"/>
    <s v="REL01"/>
    <s v="SCOPE_1"/>
    <s v="CAAP4"/>
    <s v="SOUR2"/>
    <s v="DQS4"/>
    <n v="8327.26"/>
  </r>
  <r>
    <x v="270"/>
    <s v="M_0000_00000239290_000000000000001"/>
    <s v="VEH05"/>
    <s v="2021-03-15"/>
    <s v="CONT1;HFS2;B01;MC02;PR0302;ACPF6;SC0303;STAG2;POCI2;SUBO2;DEFA2;FORB2;SSC4;PURP6;COLL4;TYVA01;FVAD3"/>
    <s v="51"/>
    <s v="REL01"/>
    <s v="SCOPE_1"/>
    <s v="CAAP4"/>
    <s v="SOUR2"/>
    <s v="DQS4"/>
    <n v="7916.68"/>
  </r>
  <r>
    <x v="271"/>
    <s v="M_0000_00000239396_000000000000002"/>
    <s v="VEH05"/>
    <s v="2021-04-01"/>
    <s v="CONT1;HFS2;B01;MC02;PR0302;ACPF6;SC0303;STAG1;SUBO2;DEFA2;FORB2;SSC4;PURP6;COLL4;TYVA01;FVAD3"/>
    <s v="51"/>
    <s v="REL01"/>
    <s v="SCOPE_1"/>
    <s v="CAAP4"/>
    <s v="SOUR2"/>
    <s v="DQS4"/>
    <n v="9521.1"/>
  </r>
  <r>
    <x v="271"/>
    <s v="M_0000_00000239396_000000000000001"/>
    <s v="VEH05"/>
    <s v="2021-04-01"/>
    <s v="CONT1;HFS2;B01;MC02;PR0302;ACPF6;SC0303;STAG1;SUBO2;DEFA2;FORB2;SSC4;PURP6;COLL4;TYVA01;FVAD3"/>
    <s v="51"/>
    <s v="REL01"/>
    <s v="SCOPE_1"/>
    <s v="CAAP4"/>
    <s v="SOUR2"/>
    <s v="DQS4"/>
    <n v="9521.1"/>
  </r>
  <r>
    <x v="272"/>
    <s v="M_0000_00000239411_000000000000001"/>
    <s v="VEH21"/>
    <s v="2021-04-15"/>
    <s v="CONT1;HFS2;B01;MC02;PR0302;ACPF6;SC0303;STAG1;SUBO2;DEFA2;FORB2;SSC4;PURP6;COLL4;TYVA01;FVAD3"/>
    <s v="51"/>
    <s v="REL01"/>
    <s v="SCOPE_1"/>
    <s v="CAAP4"/>
    <s v="SOUR2"/>
    <s v="DQS4"/>
    <n v="5994.57"/>
  </r>
  <r>
    <x v="273"/>
    <s v="M_0000_00000239417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15870.38"/>
  </r>
  <r>
    <x v="274"/>
    <s v="M_0000_00000239473_000000000000001"/>
    <s v="VEH05"/>
    <s v="2021-07-15"/>
    <s v="CONT1;HFS2;B01;MC02;PR0302;ACPF6;SC0303;STAG1;SUBO2;DEFA2;FORB2;SSC3;PURP6;COLL4;TYVA01;FVAD3"/>
    <s v="51"/>
    <s v="REL01"/>
    <s v="SCOPE_1"/>
    <s v="CAAP4"/>
    <s v="SOUR2"/>
    <s v="DQS4"/>
    <n v="11142.46"/>
  </r>
  <r>
    <x v="275"/>
    <s v="M_0000_00000239612_000000000000001"/>
    <s v="VEH05"/>
    <s v="2021-05-15"/>
    <s v="CONT1;HFS2;B01;MC02;PR0302;ACPF6;SC0303;STAG1;SUBO2;DEFA2;FORB2;SSC4;PURP6;COLL4;TYVA01;FVAD3"/>
    <s v="51"/>
    <s v="REL01"/>
    <s v="SCOPE_1"/>
    <s v="CAAP4"/>
    <s v="SOUR2"/>
    <s v="DQS4"/>
    <n v="10759.37"/>
  </r>
  <r>
    <x v="276"/>
    <s v="M_0000_00000239627_000000000000001"/>
    <s v="VEH19"/>
    <s v="2021-04-01"/>
    <s v="CONT1;HFS2;B01;MC02;PR0302;ACPF6;SC0303;STAG2;POCI2;SUBO2;DEFA2;FORB2;SSC4;PURP6;COLL4;TYVA01;FVAD3"/>
    <s v="51"/>
    <s v="REL01"/>
    <s v="SCOPE_1"/>
    <s v="CAAP4"/>
    <s v="SOUR2"/>
    <s v="DQS4"/>
    <n v="1195.67"/>
  </r>
  <r>
    <x v="277"/>
    <s v="M_0000_00000239629_000000000000001"/>
    <s v="VEH16"/>
    <s v="2021-04-01"/>
    <s v="CONT1;HFS2;B01;MC02;PR0302;ACPF6;SC0303;STAG3;POCI2;SUBO2;DEFA1;FORB2;SSC3;PURP6;COLL4;TYVA01;FVAD3"/>
    <s v="51"/>
    <s v="REL01"/>
    <s v="SCOPE_1"/>
    <s v="CAAP4"/>
    <s v="SOUR2"/>
    <s v="DQS4"/>
    <n v="16701.2"/>
  </r>
  <r>
    <x v="277"/>
    <s v="M_0000_00000239629_000000000000002"/>
    <s v="VEH16"/>
    <s v="2021-04-01"/>
    <s v="CONT1;HFS2;B01;MC02;PR0302;ACPF6;SC0303;STAG3;POCI2;SUBO2;DEFA1;FORB2;SSC3;PURP6;COLL4;TYVA01;FVAD3"/>
    <s v="51"/>
    <s v="REL01"/>
    <s v="SCOPE_1"/>
    <s v="CAAP4"/>
    <s v="SOUR2"/>
    <s v="DQS4"/>
    <n v="16701.2"/>
  </r>
  <r>
    <x v="278"/>
    <s v="M_0000_00000239719_000000000000002"/>
    <s v="VEH05"/>
    <s v="2021-06-15"/>
    <s v="CONT1;HFS2;B01;MC02;PR0302;ACPF6;SC0303;STAG1;SUBO2;DEFA2;FORB2;SSC4;PURP6;COLL4;TYVA01;FVAD3"/>
    <s v="51"/>
    <s v="REL01"/>
    <s v="SCOPE_1"/>
    <s v="CAAP4"/>
    <s v="SOUR2"/>
    <s v="DQS4"/>
    <n v="11832.98"/>
  </r>
  <r>
    <x v="278"/>
    <s v="M_0000_00000239719_000000000000001"/>
    <s v="VEH05"/>
    <s v="2021-06-15"/>
    <s v="CONT1;HFS2;B01;MC02;PR0302;ACPF6;SC0303;STAG1;SUBO2;DEFA2;FORB2;SSC4;PURP6;COLL4;TYVA01;FVAD3"/>
    <s v="51"/>
    <s v="REL01"/>
    <s v="SCOPE_1"/>
    <s v="CAAP4"/>
    <s v="SOUR2"/>
    <s v="DQS4"/>
    <n v="11832.98"/>
  </r>
  <r>
    <x v="279"/>
    <s v="M_0000_00000239838_000000000000001"/>
    <s v="VEH04"/>
    <s v="2021-04-15"/>
    <s v="CONT1;HFS2;B01;MC02;PR0302;ACPF6;SC0303;STAG1;SUBO2;DEFA2;FORB2;SSC4;PURP6;COLL4;TYVA01;FVAD3"/>
    <s v="51"/>
    <s v="REL01"/>
    <s v="SCOPE_1"/>
    <s v="CAAP4"/>
    <s v="SOUR2"/>
    <s v="DQS4"/>
    <n v="513.79"/>
  </r>
  <r>
    <x v="280"/>
    <s v="M_0000_00000239921_000000000000001"/>
    <s v="VEH05"/>
    <s v="2021-09-15"/>
    <s v="CONT1;HFS2;B01;MC02;PR0302;ACPF6;SC0303;STAG1;SUBO2;DEFA2;FORB2;SSC4;PURP6;COLL4;TYVA01;FVAD3"/>
    <s v="51"/>
    <s v="REL01"/>
    <s v="SCOPE_1"/>
    <s v="CAAP4"/>
    <s v="SOUR2"/>
    <s v="DQS4"/>
    <n v="14431.88"/>
  </r>
  <r>
    <x v="281"/>
    <s v="M_0000_00000239945_000000000000001"/>
    <s v="VEH05"/>
    <s v="2021-06-01"/>
    <s v="CONT1;HFS2;B01;MC02;PR0302;ACPF6;SC0303;STAG1;SUBO2;DEFA2;FORB2;SSC4;PURP6;COLL4;TYVA01;FVAD3"/>
    <s v="51"/>
    <s v="REL01"/>
    <s v="SCOPE_1"/>
    <s v="CAAP4"/>
    <s v="SOUR2"/>
    <s v="DQS4"/>
    <n v="11243.67"/>
  </r>
  <r>
    <x v="282"/>
    <s v="M_0000_00000239984_000000000000001"/>
    <s v="VEH04"/>
    <s v="2021-05-15"/>
    <s v="CONT1;HFS2;B01;MC02;PR0302;ACPF6;SC0303;STAG1;SUBO2;DEFA2;FORB2;SSC4;PURP6;COLL4;TYVA01;FVAD3"/>
    <s v="51"/>
    <s v="REL01"/>
    <s v="SCOPE_1"/>
    <s v="CAAP4"/>
    <s v="SOUR2"/>
    <s v="DQS4"/>
    <n v="396.78"/>
  </r>
  <r>
    <x v="283"/>
    <s v="M_0000_00000240008_000000000000001"/>
    <s v="VEH05"/>
    <s v="2021-05-01"/>
    <s v="CONT1;HFS2;B01;MC02;PR0302;ACPF6;SC0303;STAG1;SUBO2;DEFA2;FORB2;SSC4;PURP6;COLL4;TYVA01;FVAD3"/>
    <s v="51"/>
    <s v="REL01"/>
    <s v="SCOPE_1"/>
    <s v="CAAP4"/>
    <s v="SOUR2"/>
    <s v="DQS4"/>
    <n v="13090.37"/>
  </r>
  <r>
    <x v="284"/>
    <s v="M_0000_00000240037_000000000000001"/>
    <s v="VEH16"/>
    <s v="2021-05-15"/>
    <s v="CONT1;HFS2;B01;MC02;PR0302;ACPF6;SC0303;STAG1;SUBO2;DEFA2;FORB2;SSC4;PURP6;COLL4;TYVA01;FVAD3"/>
    <s v="51"/>
    <s v="REL01"/>
    <s v="SCOPE_1"/>
    <s v="CAAP4"/>
    <s v="SOUR2"/>
    <s v="DQS4"/>
    <n v="10727.57"/>
  </r>
  <r>
    <x v="285"/>
    <s v="M_0000_00000240105_000000000000001"/>
    <s v="VEH04"/>
    <s v="2021-05-01"/>
    <s v="CONT1;HFS2;B01;MC02;PR0302;ACPF6;SC0303;STAG1;SUBO2;DEFA2;FORB2;SSC4;PURP6;COLL4;TYVA01;FVAD3"/>
    <s v="51"/>
    <s v="REL01"/>
    <s v="SCOPE_1"/>
    <s v="CAAP4"/>
    <s v="SOUR2"/>
    <s v="DQS4"/>
    <n v="366.76"/>
  </r>
  <r>
    <x v="286"/>
    <s v="M_0000_00000240115_000000000000001"/>
    <s v="VEH05"/>
    <s v="2021-05-01"/>
    <s v="CONT1;HFS2;B01;MC02;PR0302;ACPF6;SC0303;STAG1;SUBO2;DEFA2;FORB2;SSC3;PURP6;COLL4;TYVA01;FVAD3"/>
    <s v="51"/>
    <s v="REL01"/>
    <s v="SCOPE_1"/>
    <s v="CAAP4"/>
    <s v="SOUR2"/>
    <s v="DQS4"/>
    <n v="9383.6299999999992"/>
  </r>
  <r>
    <x v="287"/>
    <s v="M_0000_00000240135_000000000000001"/>
    <s v="VEH05"/>
    <s v="2021-05-01"/>
    <s v="CONT1;HFS2;B01;MC02;PR0302;ACPF6;SC0303;STAG1;SUBO2;DEFA2;FORB2;SSC3;PURP6;COLL4;TYVA01;FVAD3"/>
    <s v="51"/>
    <s v="REL01"/>
    <s v="SCOPE_1"/>
    <s v="CAAP4"/>
    <s v="SOUR2"/>
    <s v="DQS4"/>
    <n v="9383.6299999999992"/>
  </r>
  <r>
    <x v="288"/>
    <s v="M_0000_00000240136_000000000000001"/>
    <s v="VEH05"/>
    <s v="2021-05-01"/>
    <s v="CONT1;HFS2;B01;MC02;PR0302;ACPF6;SC0303;STAG1;SUBO2;DEFA2;FORB2;SSC3;PURP6;COLL4;TYVA01;FVAD3"/>
    <s v="51"/>
    <s v="REL01"/>
    <s v="SCOPE_1"/>
    <s v="CAAP4"/>
    <s v="SOUR2"/>
    <s v="DQS4"/>
    <n v="9383.6299999999992"/>
  </r>
  <r>
    <x v="289"/>
    <s v="M_0000_00000240138_000000000000001"/>
    <s v="VEH05"/>
    <s v="2021-06-01"/>
    <s v="CONT1;HFS2;B01;MC02;PR0302;ACPF6;SC0303;STAG2;POCI2;SUBO2;DEFA2;FORB2;SSC4;PURP6;COLL4;TYVA01;FVAD3"/>
    <s v="51"/>
    <s v="REL01"/>
    <s v="SCOPE_1"/>
    <s v="CAAP4"/>
    <s v="SOUR2"/>
    <s v="DQS4"/>
    <n v="10320.120000000001"/>
  </r>
  <r>
    <x v="290"/>
    <s v="M_0000_00000240160_000000000000001"/>
    <s v="VEH04"/>
    <s v="2021-06-01"/>
    <s v="CONT1;HFS2;B01;MC02;PR0302;ACPF6;SC0303;STAG2;POCI2;SUBO2;DEFA2;FORB2;SSC4;PURP6;COLL4;TYVA01;FVAD3"/>
    <s v="51"/>
    <s v="REL01"/>
    <s v="SCOPE_1"/>
    <s v="CAAP4"/>
    <s v="SOUR2"/>
    <s v="DQS4"/>
    <n v="385.32"/>
  </r>
  <r>
    <x v="291"/>
    <s v="M_0000_00000240174_000000000000001"/>
    <s v="VEH05"/>
    <s v="2021-06-15"/>
    <s v="CONT1;HFS2;B01;MC02;PR0302;ACPF6;SC0303;STAG2;POCI2;SUBO2;DEFA2;FORB2;SSC4;PURP6;COLL4;TYVA01;FVAD3"/>
    <s v="51"/>
    <s v="REL01"/>
    <s v="SCOPE_1"/>
    <s v="CAAP4"/>
    <s v="SOUR2"/>
    <s v="DQS4"/>
    <n v="14277.02"/>
  </r>
  <r>
    <x v="292"/>
    <s v="M_0000_00000240185_000000000000001"/>
    <s v="VEH16"/>
    <s v="2021-09-01"/>
    <s v="CONT1;HFS2;B01;MC02;PR0302;ACPF6;SC0303;STAG2;POCI2;SUBO2;DEFA2;FORB2;SSC4;PURP6;COLL4;TYVA01;FVAD3"/>
    <s v="51"/>
    <s v="REL01"/>
    <s v="SCOPE_1"/>
    <s v="CAAP4"/>
    <s v="SOUR2"/>
    <s v="DQS4"/>
    <n v="16681.560000000001"/>
  </r>
  <r>
    <x v="293"/>
    <s v="M_0000_00000240296_000000000000001"/>
    <s v="VEH05"/>
    <s v="2021-06-15"/>
    <s v="CONT1;HFS2;B01;MC02;PR0302;ACPF6;SC0303;STAG1;SUBO2;DEFA2;FORB2;SSC4;PURP6;COLL4;TYVA01;FVAD3"/>
    <s v="51"/>
    <s v="REL01"/>
    <s v="SCOPE_1"/>
    <s v="CAAP4"/>
    <s v="SOUR2"/>
    <s v="DQS4"/>
    <n v="10859.2"/>
  </r>
  <r>
    <x v="294"/>
    <s v="M_0000_00000240379_000000000000001"/>
    <s v="VEH05"/>
    <s v="2021-06-01"/>
    <s v="CONT1;HFS2;B01;MC02;PR0302;ACPF6;SC0303;STAG1;SUBO2;DEFA2;FORB2;SSC3;PURP6;COLL4;TYVA01;FVAD3"/>
    <s v="51"/>
    <s v="REL01"/>
    <s v="SCOPE_1"/>
    <s v="CAAP4"/>
    <s v="SOUR2"/>
    <s v="DQS4"/>
    <n v="9359.9"/>
  </r>
  <r>
    <x v="295"/>
    <s v="M_0000_00000240422_000000000000001"/>
    <s v="VEH05"/>
    <s v="2021-07-15"/>
    <s v="CONT1;HFS2;B01;MC02;PR0302;ACPF6;SC0303;STAG1;SUBO2;DEFA2;FORB2;SSC4;PURP6;COLL4;TYVA01;FVAD3"/>
    <s v="51"/>
    <s v="REL01"/>
    <s v="SCOPE_1"/>
    <s v="CAAP4"/>
    <s v="SOUR2"/>
    <s v="DQS4"/>
    <n v="22279.82"/>
  </r>
  <r>
    <x v="296"/>
    <s v="M_0000_00000240451_000000000000002"/>
    <s v="VEH16"/>
    <s v="2021-08-15"/>
    <s v="CONT1;HFS2;B01;MC02;PR0302;ACPF6;SC0303;STAG1;SUBO2;DEFA2;FORB2;SSC4;PURP6;COLL4;TYVA01;FVAD3"/>
    <s v="51"/>
    <s v="REL01"/>
    <s v="SCOPE_1"/>
    <s v="CAAP4"/>
    <s v="SOUR2"/>
    <s v="DQS4"/>
    <n v="12474.82"/>
  </r>
  <r>
    <x v="296"/>
    <s v="M_0000_00000240451_000000000000001"/>
    <s v="VEH16"/>
    <s v="2021-08-15"/>
    <s v="CONT1;HFS2;B01;MC02;PR0302;ACPF6;SC0303;STAG1;SUBO2;DEFA2;FORB2;SSC4;PURP6;COLL4;TYVA01;FVAD3"/>
    <s v="51"/>
    <s v="REL01"/>
    <s v="SCOPE_1"/>
    <s v="CAAP4"/>
    <s v="SOUR2"/>
    <s v="DQS4"/>
    <n v="12474.82"/>
  </r>
  <r>
    <x v="297"/>
    <s v="M_0000_00000240503_000000000000001"/>
    <s v="VEH05"/>
    <s v="2021-06-15"/>
    <s v="CONT1;HFS2;B01;MC02;PR0302;ACPF6;SC0303;STAG1;SUBO2;DEFA2;FORB2;SSC4;PURP6;COLL4;TYVA01;FVAD3"/>
    <s v="51"/>
    <s v="REL01"/>
    <s v="SCOPE_1"/>
    <s v="CAAP4"/>
    <s v="SOUR2"/>
    <s v="DQS4"/>
    <n v="23252.97"/>
  </r>
  <r>
    <x v="298"/>
    <s v="M_0000_00000240530_000000000000001"/>
    <s v="VEH16"/>
    <s v="2021-06-01"/>
    <s v="CONT1;HFS2;B01;MC02;PR0302;ACPF6;SC0303;STAG2;POCI2;SUBO2;DEFA2;FORB2;SSC4;PURP6;COLL4;TYVA01;FVAD3"/>
    <s v="51"/>
    <s v="REL01"/>
    <s v="SCOPE_1"/>
    <s v="CAAP4"/>
    <s v="SOUR2"/>
    <s v="DQS4"/>
    <n v="10551.74"/>
  </r>
  <r>
    <x v="299"/>
    <s v="M_0000_00000240578_000000000000001"/>
    <s v="VEH05"/>
    <s v="2021-09-15"/>
    <s v="CONT1;HFS2;B01;MC02;PR0302;ACPF6;SC0303;STAG2;POCI2;SUBO2;DEFA2;FORB2;SSC4;PURP6;COLL4;TYVA01;FVAD3"/>
    <s v="51"/>
    <s v="REL01"/>
    <s v="SCOPE_1"/>
    <s v="CAAP4"/>
    <s v="SOUR2"/>
    <s v="DQS4"/>
    <n v="3491.11"/>
  </r>
  <r>
    <x v="300"/>
    <s v="M_0000_00000240735_000000000000001"/>
    <s v="VEH04"/>
    <s v="2021-07-01"/>
    <s v="CONT1;HFS2;B01;MC02;PR0302;ACPF6;SC0303;STAG1;SUBO2;DEFA2;FORB2;SSC3;PURP6;COLL4;TYVA01;FVAD3"/>
    <s v="51"/>
    <s v="REL01"/>
    <s v="SCOPE_1"/>
    <s v="CAAP4"/>
    <s v="SOUR2"/>
    <s v="DQS4"/>
    <n v="42.13"/>
  </r>
  <r>
    <x v="301"/>
    <s v="M_0000_00000240823_000000000000001"/>
    <s v="VEH05"/>
    <s v="2021-06-15"/>
    <s v="CONT1;HFS2;B01;MC02;PR0302;ACPF6;SC0303;STAG1;SUBO2;DEFA2;FORB2;SSC4;PURP6;COLL4;TYVA01;FVAD3"/>
    <s v="51"/>
    <s v="REL01"/>
    <s v="SCOPE_1"/>
    <s v="CAAP4"/>
    <s v="SOUR2"/>
    <s v="DQS4"/>
    <n v="11230.88"/>
  </r>
  <r>
    <x v="302"/>
    <s v="M_0000_00000240830_000000000000001"/>
    <s v="VEH05"/>
    <s v="2022-01-01"/>
    <s v="CONT1;HFS2;B01;MC02;PR0302;ACPF6;SC0303;STAG1;SUBO2;DEFA2;FORB2;SSC4;PURP6;COLL4;TYVA01;FVAD3"/>
    <s v="51"/>
    <s v="REL01"/>
    <s v="SCOPE_1"/>
    <s v="CAAP4"/>
    <s v="SOUR2"/>
    <s v="DQS4"/>
    <n v="16499.34"/>
  </r>
  <r>
    <x v="303"/>
    <s v="M_0000_00000240879_000000000000001"/>
    <s v="VEH05"/>
    <s v="2021-07-15"/>
    <s v="CONT1;HFS2;B01;MC02;PR0302;ACPF6;SC0303;STAG2;POCI2;SUBO2;DEFA2;FORB2;SSC3;PURP6;COLL4;TYVA01;FVAD3"/>
    <s v="51"/>
    <s v="REL01"/>
    <s v="SCOPE_1"/>
    <s v="CAAP4"/>
    <s v="SOUR2"/>
    <s v="DQS4"/>
    <n v="1103.99"/>
  </r>
  <r>
    <x v="304"/>
    <s v="M_0000_00000240971_000000000000001"/>
    <s v="VEH05"/>
    <s v="2021-07-15"/>
    <s v="CONT1;HFS2;B01;MC02;PR0302;ACPF6;SC0303;STAG1;SUBO2;DEFA2;FORB2;SSC4;PURP6;COLL4;TYVA01;FVAD3"/>
    <s v="51"/>
    <s v="REL01"/>
    <s v="SCOPE_1"/>
    <s v="CAAP4"/>
    <s v="SOUR2"/>
    <s v="DQS4"/>
    <n v="1101.55"/>
  </r>
  <r>
    <x v="305"/>
    <s v="M_0000_00000241081_000000000000001"/>
    <s v="VEH05"/>
    <s v="2021-07-01"/>
    <s v="CONT1;HFS2;B01;MC02;PR0302;ACPF6;SC0303;STAG2;POCI2;SUBO2;DEFA2;FORB2;SSC4;PURP6;COLL4;TYVA01;FVAD3"/>
    <s v="51"/>
    <s v="REL01"/>
    <s v="SCOPE_1"/>
    <s v="CAAP4"/>
    <s v="SOUR2"/>
    <s v="DQS4"/>
    <n v="13033.3"/>
  </r>
  <r>
    <x v="306"/>
    <s v="M_0000_00000241086_000000000000001"/>
    <s v="VEH04"/>
    <s v="2021-07-01"/>
    <s v="CONT1;HFS2;B01;MC02;PR0302;ACPF6;SC0303;STAG1;SUBO2;DEFA2;FORB2;SSC4;PURP6;COLL4;TYVA01;FVAD3"/>
    <s v="51"/>
    <s v="REL01"/>
    <s v="SCOPE_1"/>
    <s v="CAAP4"/>
    <s v="SOUR2"/>
    <s v="DQS4"/>
    <n v="431.19"/>
  </r>
  <r>
    <x v="307"/>
    <s v="M_0000_00000241142_000000000000002"/>
    <s v="VEH16"/>
    <s v="2021-07-01"/>
    <s v="CONT1;HFS2;B01;MC02;PR0302;ACPF6;SC0303;STAG1;SUBO2;DEFA2;FORB2;SSC4;PURP6;COLL4;TYVA01;FVAD3"/>
    <s v="51"/>
    <s v="REL01"/>
    <s v="SCOPE_1"/>
    <s v="CAAP4"/>
    <s v="SOUR2"/>
    <s v="DQS4"/>
    <n v="1103.99"/>
  </r>
  <r>
    <x v="307"/>
    <s v="M_0000_00000241142_000000000000001"/>
    <s v="VEH16"/>
    <s v="2021-07-01"/>
    <s v="CONT1;HFS2;B01;MC02;PR0302;ACPF6;SC0303;STAG1;SUBO2;DEFA2;FORB2;SSC4;PURP6;COLL4;TYVA01;FVAD3"/>
    <s v="51"/>
    <s v="REL01"/>
    <s v="SCOPE_1"/>
    <s v="CAAP4"/>
    <s v="SOUR2"/>
    <s v="DQS4"/>
    <n v="1103.99"/>
  </r>
  <r>
    <x v="308"/>
    <s v="M_0000_00000241152_000000000000001"/>
    <s v="VEH05"/>
    <s v="2021-07-15"/>
    <s v="CONT1;HFS2;B01;MC02;PR0302;ACPF6;SC0303;STAG2;POCI2;SUBO2;DEFA2;FORB2;SSC4;PURP6;COLL4;TYVA01;FVAD3"/>
    <s v="51"/>
    <s v="REL01"/>
    <s v="SCOPE_1"/>
    <s v="CAAP4"/>
    <s v="SOUR2"/>
    <s v="DQS4"/>
    <n v="11257.23"/>
  </r>
  <r>
    <x v="309"/>
    <s v="M_0000_00000241164_000000000000003"/>
    <s v="VEH05"/>
    <s v="2021-07-15"/>
    <s v="CONT1;HFS2;B01;MC02;PR0302;ACPF6;SC0303;STAG1;SUBO2;DEFA2;FORB2;SSC3;PURP6;COLL4;TYVA01;FVAD3"/>
    <s v="51"/>
    <s v="REL01"/>
    <s v="SCOPE_1"/>
    <s v="CAAP4"/>
    <s v="SOUR2"/>
    <s v="DQS4"/>
    <n v="12562.07"/>
  </r>
  <r>
    <x v="309"/>
    <s v="M_0000_00000241164_000000000000004"/>
    <s v="VEH05"/>
    <s v="2021-07-15"/>
    <s v="CONT1;HFS2;B01;MC02;PR0302;ACPF6;SC0303;STAG1;SUBO2;DEFA2;FORB2;SSC3;PURP6;COLL4;TYVA01;FVAD3"/>
    <s v="51"/>
    <s v="REL01"/>
    <s v="SCOPE_1"/>
    <s v="CAAP4"/>
    <s v="SOUR2"/>
    <s v="DQS4"/>
    <n v="12562.07"/>
  </r>
  <r>
    <x v="309"/>
    <s v="M_0000_00000241164_000000000000002"/>
    <s v="VEH05"/>
    <s v="2021-07-15"/>
    <s v="CONT1;HFS2;B01;MC02;PR0302;ACPF6;SC0303;STAG1;SUBO2;DEFA2;FORB2;SSC3;PURP6;COLL4;TYVA01;FVAD3"/>
    <s v="51"/>
    <s v="REL01"/>
    <s v="SCOPE_1"/>
    <s v="CAAP4"/>
    <s v="SOUR2"/>
    <s v="DQS4"/>
    <n v="12562.07"/>
  </r>
  <r>
    <x v="309"/>
    <s v="M_0000_00000241164_000000000000001"/>
    <s v="VEH05"/>
    <s v="2021-07-15"/>
    <s v="CONT1;HFS2;B01;MC02;PR0302;ACPF6;SC0303;STAG1;SUBO2;DEFA2;FORB2;SSC3;PURP6;COLL4;TYVA01;FVAD3"/>
    <s v="51"/>
    <s v="REL01"/>
    <s v="SCOPE_1"/>
    <s v="CAAP4"/>
    <s v="SOUR2"/>
    <s v="DQS4"/>
    <n v="12562.07"/>
  </r>
  <r>
    <x v="309"/>
    <s v="M_0000_00000241164_000000000000005"/>
    <s v="VEH05"/>
    <s v="2021-07-15"/>
    <s v="CONT1;HFS2;B01;MC02;PR0302;ACPF6;SC0303;STAG1;SUBO2;DEFA2;FORB2;SSC3;PURP6;COLL4;TYVA01;FVAD3"/>
    <s v="51"/>
    <s v="REL01"/>
    <s v="SCOPE_1"/>
    <s v="CAAP4"/>
    <s v="SOUR2"/>
    <s v="DQS4"/>
    <n v="12562.07"/>
  </r>
  <r>
    <x v="310"/>
    <s v="M_0000_00000241184_000000000000001"/>
    <s v="VEH05"/>
    <s v="2021-09-01"/>
    <s v="CONT1;HFS2;B01;MC02;PR0302;ACPF6;SC0303;STAG2;POCI2;SUBO2;DEFA2;FORB2;SSC4;PURP6;COLL4;TYVA01;FVAD3"/>
    <s v="51"/>
    <s v="REL01"/>
    <s v="SCOPE_1"/>
    <s v="CAAP4"/>
    <s v="SOUR2"/>
    <s v="DQS4"/>
    <n v="3498.87"/>
  </r>
  <r>
    <x v="310"/>
    <s v="M_0000_00000241184_000000000000002"/>
    <s v="VEH05"/>
    <s v="2021-09-01"/>
    <s v="CONT1;HFS2;B01;MC02;PR0302;ACPF6;SC0303;STAG2;POCI2;SUBO2;DEFA2;FORB2;SSC4;PURP6;COLL4;TYVA01;FVAD3"/>
    <s v="51"/>
    <s v="REL01"/>
    <s v="SCOPE_1"/>
    <s v="CAAP4"/>
    <s v="SOUR2"/>
    <s v="DQS4"/>
    <n v="3498.87"/>
  </r>
  <r>
    <x v="311"/>
    <s v="M_0000_00000241226_000000000000001"/>
    <s v="VEH01"/>
    <s v="2021-07-15"/>
    <s v="CONT1;HFS2;B01;MC02;PR0302;ACPF6;SC0303;STAG1;SUBO2;DEFA2;FORB2;SSC4;PURP6;COLL4;TYVA01;FVAD3"/>
    <s v="51"/>
    <s v="REL01"/>
    <s v="SCOPE_2"/>
    <s v="CAAP4"/>
    <s v="SOUR2"/>
    <s v="DQS4"/>
    <n v="15.59"/>
  </r>
  <r>
    <x v="312"/>
    <s v="M_0000_00000241263_000000000000001"/>
    <s v="VEH05"/>
    <s v="2021-07-15"/>
    <s v="CONT1;HFS2;B01;MC02;PR0302;ACPF6;SC0303;STAG1;SUBO2;DEFA2;FORB2;SSC4;PURP6;COLL4;TYVA01;FVAD3"/>
    <s v="51"/>
    <s v="REL01"/>
    <s v="SCOPE_1"/>
    <s v="CAAP4"/>
    <s v="SOUR2"/>
    <s v="DQS4"/>
    <n v="12693.49"/>
  </r>
  <r>
    <x v="313"/>
    <s v="M_0000_00000241311_000000000000005"/>
    <s v="VEH05"/>
    <s v="2021-07-01"/>
    <s v="CONT1;HFS2;B01;MC02;PR0302;ACPF6;SC0303;STAG1;SUBO2;DEFA2;FORB2;SSC4;PURP6;COLL4;TYVA01;FVAD3"/>
    <s v="51"/>
    <s v="REL01"/>
    <s v="SCOPE_1"/>
    <s v="CAAP4"/>
    <s v="SOUR2"/>
    <s v="DQS4"/>
    <n v="1103.99"/>
  </r>
  <r>
    <x v="313"/>
    <s v="M_0000_00000241311_000000000000001"/>
    <s v="VEH05"/>
    <s v="2021-07-01"/>
    <s v="CONT1;HFS2;B01;MC02;PR0302;ACPF6;SC0303;STAG1;SUBO2;DEFA2;FORB2;SSC4;PURP6;COLL4;TYVA01;FVAD3"/>
    <s v="51"/>
    <s v="REL01"/>
    <s v="SCOPE_1"/>
    <s v="CAAP4"/>
    <s v="SOUR2"/>
    <s v="DQS4"/>
    <n v="1103.99"/>
  </r>
  <r>
    <x v="313"/>
    <s v="M_0000_00000241311_000000000000004"/>
    <s v="VEH05"/>
    <s v="2021-07-01"/>
    <s v="CONT1;HFS2;B01;MC02;PR0302;ACPF6;SC0303;STAG1;SUBO2;DEFA2;FORB2;SSC4;PURP6;COLL4;TYVA01;FVAD3"/>
    <s v="51"/>
    <s v="REL01"/>
    <s v="SCOPE_1"/>
    <s v="CAAP4"/>
    <s v="SOUR2"/>
    <s v="DQS4"/>
    <n v="1103.99"/>
  </r>
  <r>
    <x v="313"/>
    <s v="M_0000_00000241311_000000000000003"/>
    <s v="VEH05"/>
    <s v="2021-07-01"/>
    <s v="CONT1;HFS2;B01;MC02;PR0302;ACPF6;SC0303;STAG1;SUBO2;DEFA2;FORB2;SSC4;PURP6;COLL4;TYVA01;FVAD3"/>
    <s v="51"/>
    <s v="REL01"/>
    <s v="SCOPE_1"/>
    <s v="CAAP4"/>
    <s v="SOUR2"/>
    <s v="DQS4"/>
    <n v="1103.99"/>
  </r>
  <r>
    <x v="313"/>
    <s v="M_0000_00000241311_000000000000002"/>
    <s v="VEH05"/>
    <s v="2021-07-01"/>
    <s v="CONT1;HFS2;B01;MC02;PR0302;ACPF6;SC0303;STAG1;SUBO2;DEFA2;FORB2;SSC4;PURP6;COLL4;TYVA01;FVAD3"/>
    <s v="51"/>
    <s v="REL01"/>
    <s v="SCOPE_1"/>
    <s v="CAAP4"/>
    <s v="SOUR2"/>
    <s v="DQS4"/>
    <n v="1103.99"/>
  </r>
  <r>
    <x v="314"/>
    <s v="M_0000_00000241338_000000000000001"/>
    <s v="VEH16"/>
    <s v="2021-07-15"/>
    <s v="CONT1;HFS2;B01;MC02;PR0302;ACPF6;SC0303;STAG2;POCI2;SUBO2;DEFA2;FORB2;SSC3;PURP6;COLL4;TYVA01;FVAD3"/>
    <s v="51"/>
    <s v="REL01"/>
    <s v="SCOPE_1"/>
    <s v="CAAP4"/>
    <s v="SOUR2"/>
    <s v="DQS4"/>
    <n v="1101.9000000000001"/>
  </r>
  <r>
    <x v="314"/>
    <s v="M_0000_00000241338_000000000000002"/>
    <s v="VEH16"/>
    <s v="2021-07-15"/>
    <s v="CONT1;HFS2;B01;MC02;PR0302;ACPF6;SC0303;STAG2;POCI2;SUBO2;DEFA2;FORB2;SSC3;PURP6;COLL4;TYVA01;FVAD3"/>
    <s v="51"/>
    <s v="REL01"/>
    <s v="SCOPE_1"/>
    <s v="CAAP4"/>
    <s v="SOUR2"/>
    <s v="DQS4"/>
    <n v="1101.9000000000001"/>
  </r>
  <r>
    <x v="315"/>
    <s v="M_0000_00000241391_000000000000001"/>
    <s v="VEH20"/>
    <s v="2021-08-15"/>
    <s v="CONT1;HFS2;B01;MC02;PR0302;ACPF6;SC0303;STAG1;SUBO2;DEFA2;FORB2;SSC4;PURP6;COLL4;TYVA01;FVAD3"/>
    <s v="51"/>
    <s v="REL01"/>
    <s v="SCOPE_1"/>
    <s v="CAAP4"/>
    <s v="SOUR2"/>
    <s v="DQS4"/>
    <n v="12583.41"/>
  </r>
  <r>
    <x v="316"/>
    <s v="M_0000_00000241457_000000000000001"/>
    <s v="VEH04"/>
    <s v="2021-08-15"/>
    <s v="CONT1;HFS2;B01;MC02;PR0302;ACPF6;SC0303;STAG3;POCI2;SUBO2;DEFA1;FORB2;SSC4;PURP6;COLL4;TYVA01;FVAD3"/>
    <s v="51"/>
    <s v="REL01"/>
    <s v="SCOPE_1"/>
    <s v="CAAP4"/>
    <s v="SOUR2"/>
    <s v="DQS4"/>
    <n v="523.34"/>
  </r>
  <r>
    <x v="317"/>
    <s v="M_0000_00000241484_000000000000001"/>
    <s v="VEH05"/>
    <s v="2021-10-01"/>
    <s v="CONT1;HFS2;B01;MC02;PR0302;ACPF6;SC0303;STAG1;SUBO2;DEFA2;FORB2;SSC4;PURP6;COLL4;TYVA01;FVAD3"/>
    <s v="51"/>
    <s v="REL01"/>
    <s v="SCOPE_1"/>
    <s v="CAAP4"/>
    <s v="SOUR2"/>
    <s v="DQS4"/>
    <n v="4451.88"/>
  </r>
  <r>
    <x v="318"/>
    <s v="M_0000_00000241486_000000000000001"/>
    <s v="VEH05"/>
    <s v="2021-10-15"/>
    <s v="CONT1;HFS2;B01;MC02;PR0302;ACPF6;SC0303;STAG1;SUBO2;DEFA2;FORB2;SSC4;PURP6;COLL4;TYVA01;FVAD3"/>
    <s v="51"/>
    <s v="REL01"/>
    <s v="SCOPE_1"/>
    <s v="CAAP4"/>
    <s v="SOUR2"/>
    <s v="DQS4"/>
    <n v="19730.419999999998"/>
  </r>
  <r>
    <x v="319"/>
    <s v="M_0000_00000241521_000000000000001"/>
    <s v="VEH19"/>
    <s v="2021-08-15"/>
    <s v="CONT1;HFS2;B01;MC02;PR0302;ACPF6;SC0303;STAG1;SUBO2;DEFA2;FORB2;SSC4;PURP6;COLL4;TYVA01;FVAD3"/>
    <s v="51"/>
    <s v="REL01"/>
    <s v="SCOPE_2"/>
    <s v="CAAP4"/>
    <s v="SOUR2"/>
    <s v="DQS4"/>
    <n v="31.16"/>
  </r>
  <r>
    <x v="320"/>
    <s v="M_0000_00000241526_000000000000001"/>
    <s v="VEH16"/>
    <s v="2021-11-01"/>
    <s v="CONT1;HFS2;B01;MC02;PR0302;ACPF6;SC0303;STAG1;SUBO2;DEFA2;FORB2;SSC3;PURP6;COLL4;TYVA01;FVAD3"/>
    <s v="51"/>
    <s v="REL01"/>
    <s v="SCOPE_1"/>
    <s v="CAAP4"/>
    <s v="SOUR2"/>
    <s v="DQS4"/>
    <n v="15808.08"/>
  </r>
  <r>
    <x v="321"/>
    <s v="M_0000_00000241527_000000000000001"/>
    <s v="VEH05"/>
    <s v="2021-09-15"/>
    <s v="CONT1;HFS2;B01;MC02;PR0302;ACPF6;SC0303;STAG1;SUBO2;DEFA2;FORB2;SSC4;PURP6;COLL4;TYVA01;FVAD3"/>
    <s v="51"/>
    <s v="REL01"/>
    <s v="SCOPE_1"/>
    <s v="CAAP4"/>
    <s v="SOUR2"/>
    <s v="DQS4"/>
    <n v="14322.98"/>
  </r>
  <r>
    <x v="322"/>
    <s v="M_0000_00000241536_000000000000002"/>
    <s v="VEH05"/>
    <s v="2021-08-15"/>
    <s v="CONT1;HFS2;B01;MC02;PR0302;ACPF6;SC0303;STAG1;SUBO2;DEFA2;FORB2;SSC3;PURP6;COLL4;TYVA01;FVAD3"/>
    <s v="51"/>
    <s v="REL01"/>
    <s v="SCOPE_1"/>
    <s v="CAAP4"/>
    <s v="SOUR2"/>
    <s v="DQS4"/>
    <n v="13504.22"/>
  </r>
  <r>
    <x v="322"/>
    <s v="M_0000_00000241536_000000000000001"/>
    <s v="VEH05"/>
    <s v="2021-08-15"/>
    <s v="CONT1;HFS2;B01;MC02;PR0302;ACPF6;SC0303;STAG1;SUBO2;DEFA2;FORB2;SSC3;PURP6;COLL4;TYVA01;FVAD3"/>
    <s v="51"/>
    <s v="REL01"/>
    <s v="SCOPE_1"/>
    <s v="CAAP4"/>
    <s v="SOUR2"/>
    <s v="DQS4"/>
    <n v="13504.22"/>
  </r>
  <r>
    <x v="323"/>
    <s v="M_0000_00000241565_000000000000001"/>
    <s v="VEH16"/>
    <s v="2021-10-01"/>
    <s v="CONT1;HFS2;B01;MC02;PR0302;ACPF6;SC0303;STAG1;SUBO2;DEFA2;FORB2;SSC4;PURP6;COLL4;TYVA01;FVAD3"/>
    <s v="51"/>
    <s v="REL01"/>
    <s v="SCOPE_1"/>
    <s v="CAAP4"/>
    <s v="SOUR2"/>
    <s v="DQS4"/>
    <n v="14369.72"/>
  </r>
  <r>
    <x v="323"/>
    <s v="M_0000_00000241565_000000000000002"/>
    <s v="VEH16"/>
    <s v="2021-10-01"/>
    <s v="CONT1;HFS2;B01;MC02;PR0302;ACPF6;SC0303;STAG1;SUBO2;DEFA2;FORB2;SSC4;PURP6;COLL4;TYVA01;FVAD3"/>
    <s v="51"/>
    <s v="REL01"/>
    <s v="SCOPE_1"/>
    <s v="CAAP4"/>
    <s v="SOUR2"/>
    <s v="DQS4"/>
    <n v="14369.72"/>
  </r>
  <r>
    <x v="324"/>
    <s v="M_0000_00000241581_000000000000001"/>
    <s v="VEH05"/>
    <s v="2021-08-01"/>
    <s v="CONT1;HFS2;B01;MC02;PR0302;ACPF6;SC0303;STAG1;SUBO2;DEFA2;FORB2;SSC3;PURP6;COLL4;TYVA01;FVAD3"/>
    <s v="51"/>
    <s v="REL01"/>
    <s v="SCOPE_1"/>
    <s v="CAAP4"/>
    <s v="SOUR2"/>
    <s v="DQS4"/>
    <n v="2215.4"/>
  </r>
  <r>
    <x v="325"/>
    <s v="M_0000_00000241583_000000000000001"/>
    <s v="VEH05"/>
    <s v="2021-08-01"/>
    <s v="CONT1;HFS2;B01;MC02;PR0302;ACPF6;SC0303;STAG1;SUBO2;DEFA2;FORB2;SSC3;PURP6;COLL4;TYVA01;FVAD3"/>
    <s v="51"/>
    <s v="REL01"/>
    <s v="SCOPE_1"/>
    <s v="CAAP4"/>
    <s v="SOUR2"/>
    <s v="DQS4"/>
    <n v="2215.42"/>
  </r>
  <r>
    <x v="325"/>
    <s v="M_0000_00000241583_000000000000002"/>
    <s v="VEH05"/>
    <s v="2021-08-01"/>
    <s v="CONT1;HFS2;B01;MC02;PR0302;ACPF6;SC0303;STAG1;SUBO2;DEFA2;FORB2;SSC3;PURP6;COLL4;TYVA01;FVAD3"/>
    <s v="51"/>
    <s v="REL01"/>
    <s v="SCOPE_1"/>
    <s v="CAAP4"/>
    <s v="SOUR2"/>
    <s v="DQS4"/>
    <n v="2215.42"/>
  </r>
  <r>
    <x v="326"/>
    <s v="M_0000_00000241584_000000000000001"/>
    <s v="VEH05"/>
    <s v="2021-08-01"/>
    <s v="CONT1;HFS2;B01;MC02;PR0302;ACPF6;SC0303;STAG1;SUBO2;DEFA2;FORB2;SSC3;PURP6;COLL4;TYVA01;FVAD3"/>
    <s v="51"/>
    <s v="REL01"/>
    <s v="SCOPE_1"/>
    <s v="CAAP4"/>
    <s v="SOUR2"/>
    <s v="DQS4"/>
    <n v="2215.4499999999998"/>
  </r>
  <r>
    <x v="327"/>
    <s v="M_0000_00000241585_000000000000001"/>
    <s v="VEH05"/>
    <s v="2021-08-01"/>
    <s v="CONT1;HFS2;B01;MC02;PR0302;ACPF6;SC0303;STAG1;SUBO2;DEFA2;FORB2;SSC3;PURP6;COLL4;TYVA01;FVAD3"/>
    <s v="51"/>
    <s v="REL01"/>
    <s v="SCOPE_1"/>
    <s v="CAAP4"/>
    <s v="SOUR2"/>
    <s v="DQS4"/>
    <n v="2215.4499999999998"/>
  </r>
  <r>
    <x v="328"/>
    <s v="M_0000_00000241586_000000000000001"/>
    <s v="VEH05"/>
    <s v="2021-08-01"/>
    <s v="CONT1;HFS2;B01;MC02;PR0302;ACPF6;SC0303;STAG1;SUBO2;DEFA2;FORB2;SSC3;PURP6;COLL4;TYVA01;FVAD3"/>
    <s v="51"/>
    <s v="REL01"/>
    <s v="SCOPE_1"/>
    <s v="CAAP4"/>
    <s v="SOUR2"/>
    <s v="DQS4"/>
    <n v="2215.4499999999998"/>
  </r>
  <r>
    <x v="329"/>
    <s v="M_0000_00000241587_000000000000001"/>
    <s v="VEH05"/>
    <s v="2021-08-01"/>
    <s v="CONT1;HFS2;B01;MC02;PR0302;ACPF6;SC0303;STAG1;SUBO2;DEFA2;FORB2;SSC3;PURP6;COLL4;TYVA01;FVAD3"/>
    <s v="51"/>
    <s v="REL01"/>
    <s v="SCOPE_1"/>
    <s v="CAAP4"/>
    <s v="SOUR2"/>
    <s v="DQS4"/>
    <n v="2215.42"/>
  </r>
  <r>
    <x v="329"/>
    <s v="M_0000_00000241587_000000000000002"/>
    <s v="VEH16"/>
    <s v="2021-08-01"/>
    <s v="CONT1;HFS2;B01;MC02;PR0302;ACPF6;SC0303;STAG1;SUBO2;DEFA2;FORB2;SSC3;PURP6;COLL4;TYVA01;FVAD3"/>
    <s v="51"/>
    <s v="REL01"/>
    <s v="SCOPE_1"/>
    <s v="CAAP4"/>
    <s v="SOUR2"/>
    <s v="DQS4"/>
    <n v="2215.42"/>
  </r>
  <r>
    <x v="330"/>
    <s v="M_0000_00000241588_000000000000001"/>
    <s v="VEH05"/>
    <s v="2021-09-15"/>
    <s v="CONT1;HFS2;B01;MC02;PR0302;ACPF6;SC0303;STAG1;SUBO2;DEFA2;FORB2;SSC4;PURP6;COLL4;TYVA01;FVAD3"/>
    <s v="51"/>
    <s v="REL01"/>
    <s v="SCOPE_1"/>
    <s v="CAAP4"/>
    <s v="SOUR2"/>
    <s v="DQS4"/>
    <n v="20098.05"/>
  </r>
  <r>
    <x v="330"/>
    <s v="M_0000_00000241588_000000000000002"/>
    <s v="VEH05"/>
    <s v="2021-09-15"/>
    <s v="CONT1;HFS2;B01;MC02;PR0302;ACPF6;SC0303;STAG1;SUBO2;DEFA2;FORB2;SSC4;PURP6;COLL4;TYVA01;FVAD3"/>
    <s v="51"/>
    <s v="REL01"/>
    <s v="SCOPE_1"/>
    <s v="CAAP4"/>
    <s v="SOUR2"/>
    <s v="DQS4"/>
    <n v="20098.05"/>
  </r>
  <r>
    <x v="331"/>
    <s v="M_0000_00000241595_000000000000001"/>
    <s v="VEH05"/>
    <s v="2021-09-01"/>
    <s v="CONT1;HFS2;B01;MC02;PR0302;ACPF6;SC0303;STAG2;POCI2;SUBO2;DEFA2;FORB2;SSC4;PURP6;COLL4;TYVA01;FVAD3"/>
    <s v="51"/>
    <s v="REL01"/>
    <s v="SCOPE_1"/>
    <s v="CAAP4"/>
    <s v="SOUR2"/>
    <s v="DQS4"/>
    <n v="14498.62"/>
  </r>
  <r>
    <x v="332"/>
    <s v="M_0000_00000241604_000000000000001"/>
    <s v="VEH05"/>
    <s v="2021-08-15"/>
    <s v="CONT1;HFS2;B01;MC02;PR0302;ACPF6;SC0303;STAG2;POCI2;SUBO2;DEFA2;FORB2;SSC4;PURP6;COLL4;TYVA01;FVAD3"/>
    <s v="51"/>
    <s v="REL01"/>
    <s v="SCOPE_1"/>
    <s v="CAAP4"/>
    <s v="SOUR2"/>
    <s v="DQS4"/>
    <n v="21319.41"/>
  </r>
  <r>
    <x v="333"/>
    <s v="M_0000_00000241641_000000000000001"/>
    <s v="VEH16"/>
    <s v="2021-10-15"/>
    <s v="CONT1;HFS2;B01;MC02;PR0302;ACPF6;SC0303;STAG3;POCI2;SUBO2;DEFA1;FORB2;SSC4;PURP6;COLL4;TYVA01;FVAD3"/>
    <s v="51"/>
    <s v="REL01"/>
    <s v="SCOPE_1"/>
    <s v="CAAP4"/>
    <s v="SOUR2"/>
    <s v="DQS4"/>
    <n v="7729.06"/>
  </r>
  <r>
    <x v="334"/>
    <s v="M_0000_00000241666_000000000000001"/>
    <s v="VEH16"/>
    <s v="2021-09-01"/>
    <s v="CONT1;HFS2;B01;MC02;PR0302;ACPF6;SC0303;STAG1;SUBO2;DEFA2;FORB2;SSC4;PURP6;COLL4;TYVA01;FVAD3"/>
    <s v="51"/>
    <s v="REL01"/>
    <s v="SCOPE_1"/>
    <s v="CAAP4"/>
    <s v="SOUR2"/>
    <s v="DQS4"/>
    <n v="3320.54"/>
  </r>
  <r>
    <x v="335"/>
    <s v="M_0000_00000241696_000000000000001"/>
    <s v="VEH05"/>
    <s v="2021-09-01"/>
    <s v="CONT1;HFS2;B01;MC02;PR0302;ACPF6;SC0303;STAG1;SUBO2;DEFA2;FORB2;SSC3;PURP6;COLL4;TYVA01;FVAD3"/>
    <s v="51"/>
    <s v="REL01"/>
    <s v="SCOPE_1"/>
    <s v="CAAP4"/>
    <s v="SOUR2"/>
    <s v="DQS4"/>
    <n v="5910.53"/>
  </r>
  <r>
    <x v="336"/>
    <s v="M_0000_00000241697_000000000000001"/>
    <s v="VEH05"/>
    <s v="2021-08-15"/>
    <s v="CONT1;HFS2;B01;MC02;PR0302;ACPF6;SC0303;STAG1;SUBO2;DEFA2;FORB2;SSC3;PURP6;COLL4;TYVA01;FVAD3"/>
    <s v="51"/>
    <s v="REL01"/>
    <s v="SCOPE_1"/>
    <s v="CAAP4"/>
    <s v="SOUR2"/>
    <s v="DQS4"/>
    <n v="2211.1"/>
  </r>
  <r>
    <x v="336"/>
    <s v="M_0000_00000241697_000000000000002"/>
    <s v="VEH16"/>
    <s v="2021-08-15"/>
    <s v="CONT1;HFS2;B01;MC02;PR0302;ACPF6;SC0303;STAG1;SUBO2;DEFA2;FORB2;SSC3;PURP6;COLL4;TYVA01;FVAD3"/>
    <s v="51"/>
    <s v="REL01"/>
    <s v="SCOPE_1"/>
    <s v="CAAP4"/>
    <s v="SOUR2"/>
    <s v="DQS4"/>
    <n v="2211.1"/>
  </r>
  <r>
    <x v="337"/>
    <s v="M_0000_00000241698_000000000000001"/>
    <s v="VEH05"/>
    <s v="2021-08-15"/>
    <s v="CONT1;HFS2;B01;MC02;PR0302;ACPF6;SC0303;STAG1;SUBO2;DEFA2;FORB2;SSC3;PURP6;COLL4;TYVA01;FVAD3"/>
    <s v="51"/>
    <s v="REL01"/>
    <s v="SCOPE_1"/>
    <s v="CAAP4"/>
    <s v="SOUR2"/>
    <s v="DQS4"/>
    <n v="2211.12"/>
  </r>
  <r>
    <x v="337"/>
    <s v="M_0000_00000241698_000000000000002"/>
    <s v="VEH16"/>
    <s v="2021-08-15"/>
    <s v="CONT1;HFS2;B01;MC02;PR0302;ACPF6;SC0303;STAG1;SUBO2;DEFA2;FORB2;SSC3;PURP6;COLL4;TYVA01;FVAD3"/>
    <s v="51"/>
    <s v="REL01"/>
    <s v="SCOPE_1"/>
    <s v="CAAP4"/>
    <s v="SOUR2"/>
    <s v="DQS4"/>
    <n v="2211.12"/>
  </r>
  <r>
    <x v="338"/>
    <s v="M_0000_00000241711_000000000000001"/>
    <s v="VEH05"/>
    <s v="2021-12-01"/>
    <s v="CONT1;HFS2;B01;MC02;PR0302;ACPF6;SC0303;STAG1;SUBO2;DEFA2;FORB2;SSC4;PURP6;COLL4;TYVA01;FVAD3"/>
    <s v="51"/>
    <s v="REL01"/>
    <s v="SCOPE_1"/>
    <s v="CAAP4"/>
    <s v="SOUR2"/>
    <s v="DQS4"/>
    <n v="16215.06"/>
  </r>
  <r>
    <x v="339"/>
    <s v="M_0000_00000241717_000000000000001"/>
    <s v="VEH16"/>
    <s v="2021-11-15"/>
    <s v="CONT1;HFS2;B01;MC02;PR0302;ACPF6;SC0303;STAG3;POCI2;SUBO2;DEFA1;FORB2;SSC4;PURP6;COLL4;TYVA01;FVAD3"/>
    <s v="51"/>
    <s v="REL01"/>
    <s v="SCOPE_1"/>
    <s v="CAAP4"/>
    <s v="SOUR2"/>
    <s v="DQS4"/>
    <n v="22803.37"/>
  </r>
  <r>
    <x v="340"/>
    <s v="M_0000_00000241725_000000000000001"/>
    <s v="VEH05"/>
    <s v="2021-10-01"/>
    <s v="CONT1;HFS2;B01;MC02;PR0302;ACPF6;SC0303;STAG2;POCI2;SUBO2;DEFA2;FORB2;SSC4;PURP6;COLL4;TYVA01;FVAD3"/>
    <s v="51"/>
    <s v="REL01"/>
    <s v="SCOPE_1"/>
    <s v="CAAP4"/>
    <s v="SOUR2"/>
    <s v="DQS4"/>
    <n v="14787.17"/>
  </r>
  <r>
    <x v="341"/>
    <s v="M_0000_00000241726_000000000000001"/>
    <s v="VEH05"/>
    <s v="2021-10-01"/>
    <s v="CONT1;HFS2;B01;MC02;PR0302;ACPF6;SC0303;STAG2;POCI2;SUBO2;DEFA2;FORB2;SSC4;PURP6;COLL4;TYVA01;FVAD3"/>
    <s v="51"/>
    <s v="REL01"/>
    <s v="SCOPE_1"/>
    <s v="CAAP4"/>
    <s v="SOUR2"/>
    <s v="DQS4"/>
    <n v="14787.17"/>
  </r>
  <r>
    <x v="342"/>
    <s v="M_0000_00000241739_000000000000002"/>
    <s v="VEH16"/>
    <s v="2021-10-01"/>
    <s v="CONT1;HFS2;B01;MC02;PR0302;ACPF6;SC0303;STAG1;SUBO2;DEFA2;FORB2;SSC4;PURP6;COLL4;TYVA01;FVAD3"/>
    <s v="51"/>
    <s v="REL01"/>
    <s v="SCOPE_1"/>
    <s v="CAAP4"/>
    <s v="SOUR2"/>
    <s v="DQS4"/>
    <n v="14591.38"/>
  </r>
  <r>
    <x v="342"/>
    <s v="M_0000_00000241739_000000000000001"/>
    <s v="VEH05"/>
    <s v="2021-10-01"/>
    <s v="CONT1;HFS2;B01;MC02;PR0302;ACPF6;SC0303;STAG1;SUBO2;DEFA2;FORB2;SSC4;PURP6;COLL4;TYVA01;FVAD3"/>
    <s v="51"/>
    <s v="REL01"/>
    <s v="SCOPE_1"/>
    <s v="CAAP4"/>
    <s v="SOUR2"/>
    <s v="DQS4"/>
    <n v="14591.38"/>
  </r>
  <r>
    <x v="343"/>
    <s v="M_0000_00000241751_000000000000001"/>
    <s v="VEH05"/>
    <s v="2021-12-01"/>
    <s v="CONT1;HFS2;B01;MC02;PR0302;ACPF6;SC0303;STAG1;SUBO2;DEFA2;FORB2;SSC4;PURP6;COLL4;TYVA01;FVAD3"/>
    <s v="51"/>
    <s v="REL01"/>
    <s v="SCOPE_1"/>
    <s v="CAAP4"/>
    <s v="SOUR2"/>
    <s v="DQS4"/>
    <n v="16325.06"/>
  </r>
  <r>
    <x v="344"/>
    <s v="M_0000_00000241780_000000000000001"/>
    <s v="VEH05"/>
    <s v="2021-09-15"/>
    <s v="CONT1;HFS2;B01;MC02;PR0302;ACPF6;SC0303;STAG1;SUBO2;DEFA2;FORB2;SSC4;PURP6;COLL4;TYVA01;FVAD3"/>
    <s v="51"/>
    <s v="REL01"/>
    <s v="SCOPE_1"/>
    <s v="CAAP4"/>
    <s v="SOUR2"/>
    <s v="DQS4"/>
    <n v="3324.79"/>
  </r>
  <r>
    <x v="345"/>
    <s v="M_0000_00000241826_000000000000001"/>
    <s v="VEH04"/>
    <s v="2021-12-15"/>
    <s v="CONT1;HFS2;B01;MC02;PR0302;ACPF6;SC0303;STAG2;POCI2;SUBO2;DEFA2;FORB2;SSC4;PURP6;COLL4;TYVA01;FVAD3"/>
    <s v="51"/>
    <s v="REL01"/>
    <s v="SCOPE_1"/>
    <s v="CAAP4"/>
    <s v="SOUR2"/>
    <s v="DQS4"/>
    <n v="729.94"/>
  </r>
  <r>
    <x v="346"/>
    <s v="M_0000_00000241844_000000000000001"/>
    <s v="VEH05"/>
    <s v="2021-11-01"/>
    <s v="CONT1;HFS2;B01;MC02;PR0302;ACPF6;SC0303;STAG2;POCI2;SUBO2;DEFA2;FORB2;SSC4;PURP6;COLL4;TYVA01;FVAD3"/>
    <s v="51"/>
    <s v="REL01"/>
    <s v="SCOPE_1"/>
    <s v="CAAP4"/>
    <s v="SOUR2"/>
    <s v="DQS4"/>
    <n v="14656.37"/>
  </r>
  <r>
    <x v="347"/>
    <s v="M_0000_00000241949_000000000000001"/>
    <s v="VEH05"/>
    <s v="2021-10-15"/>
    <s v="CONT1;HFS2;B01;MC02;PR0302;ACPF6;SC0303;STAG1;SUBO2;DEFA2;FORB2;SSC4;PURP6;COLL4;TYVA01;FVAD3"/>
    <s v="51"/>
    <s v="REL01"/>
    <s v="SCOPE_1"/>
    <s v="CAAP4"/>
    <s v="SOUR2"/>
    <s v="DQS4"/>
    <n v="15632.85"/>
  </r>
  <r>
    <x v="348"/>
    <s v="M_0000_00000241968_000000000000001"/>
    <s v="VEH16"/>
    <s v="2021-11-01"/>
    <s v="CONT1;HFS2;B01;MC02;PR0302;ACPF6;SC0303;STAG1;SUBO2;DEFA2;FORB2;SSC4;PURP6;COLL4;TYVA01;FVAD3"/>
    <s v="51"/>
    <s v="REL01"/>
    <s v="SCOPE_1"/>
    <s v="CAAP4"/>
    <s v="SOUR2"/>
    <s v="DQS4"/>
    <n v="16088.84"/>
  </r>
  <r>
    <x v="349"/>
    <s v="M_0000_00000241986_000000000000001"/>
    <s v="VEH05"/>
    <s v="2022-01-15"/>
    <s v="CONT1;HFS2;B01;MC02;PR0302;ACPF6;SC0303;STAG1;SUBO2;DEFA2;FORB2;SSC4;PURP6;COLL4;TYVA01;FVAD3"/>
    <s v="51"/>
    <s v="REL01"/>
    <s v="SCOPE_1"/>
    <s v="CAAP4"/>
    <s v="SOUR2"/>
    <s v="DQS4"/>
    <n v="7535.11"/>
  </r>
  <r>
    <x v="350"/>
    <s v="M_0000_00000242007_000000000000001"/>
    <s v="VEH05"/>
    <s v="2021-10-15"/>
    <s v="CONT1;HFS2;B01;MC02;PR0302;ACPF6;SC0303;STAG1;SUBO2;DEFA2;FORB2;SSC4;PURP6;COLL4;TYVA01;FVAD3"/>
    <s v="51"/>
    <s v="REL01"/>
    <s v="SCOPE_1"/>
    <s v="CAAP4"/>
    <s v="SOUR2"/>
    <s v="DQS4"/>
    <n v="15466.88"/>
  </r>
  <r>
    <x v="351"/>
    <s v="M_0000_00000242020_000000000000001"/>
    <s v="VEH05"/>
    <s v="2021-11-01"/>
    <s v="CONT1;HFS2;B01;MC02;PR0302;ACPF6;SC0303;STAG1;SUBO2;DEFA2;FORB2;SSC3;PURP6;COLL4;TYVA01;FVAD3"/>
    <s v="51"/>
    <s v="REL01"/>
    <s v="SCOPE_1"/>
    <s v="CAAP4"/>
    <s v="SOUR2"/>
    <s v="DQS4"/>
    <n v="5543.32"/>
  </r>
  <r>
    <x v="352"/>
    <s v="M_0000_00000242021_000000000000001"/>
    <s v="VEH05"/>
    <s v="2021-10-15"/>
    <s v="CONT1;HFS2;B01;MC02;PR0302;ACPF6;SC0303;STAG1;SUBO2;DEFA2;FORB2;SSC4;PURP6;COLL4;TYVA01;FVAD3"/>
    <s v="51"/>
    <s v="REL01"/>
    <s v="SCOPE_1"/>
    <s v="CAAP4"/>
    <s v="SOUR2"/>
    <s v="DQS4"/>
    <n v="3647.48"/>
  </r>
  <r>
    <x v="353"/>
    <s v="M_0000_00000242022_000000000000001"/>
    <s v="VEH05"/>
    <s v="2021-11-01"/>
    <s v="CONT1;HFS2;B01;MC02;PR0302;ACPF6;SC0303;STAG1;SUBO2;DEFA2;FORB2;SSC3;PURP6;COLL4;TYVA01;FVAD3"/>
    <s v="51"/>
    <s v="REL01"/>
    <s v="SCOPE_1"/>
    <s v="CAAP4"/>
    <s v="SOUR2"/>
    <s v="DQS4"/>
    <n v="5543.81"/>
  </r>
  <r>
    <x v="354"/>
    <s v="M_0000_00000242030_000000000000001"/>
    <s v="VEH16"/>
    <s v="2021-12-01"/>
    <s v="CONT1;HFS2;B01;MC02;PR0302;ACPF6;SC0303;STAG1;SUBO2;DEFA2;FORB2;SSC4;PURP6;COLL4;TYVA01;FVAD3"/>
    <s v="51"/>
    <s v="REL01"/>
    <s v="SCOPE_1"/>
    <s v="CAAP4"/>
    <s v="SOUR2"/>
    <s v="DQS4"/>
    <n v="10182.76"/>
  </r>
  <r>
    <x v="355"/>
    <s v="M_0000_00000242086_000000000000001"/>
    <s v="VEH05"/>
    <s v="2021-12-01"/>
    <s v="CONT1;HFS2;B01;MC02;PR0302;ACPF6;SC0303;STAG1;SUBO2;DEFA2;FORB2;SSC4;PURP6;COLL4;TYVA01;FVAD3"/>
    <s v="51"/>
    <s v="REL01"/>
    <s v="SCOPE_1"/>
    <s v="CAAP4"/>
    <s v="SOUR2"/>
    <s v="DQS4"/>
    <n v="14305.11"/>
  </r>
  <r>
    <x v="356"/>
    <s v="M_0000_00000242118_000000000000001"/>
    <s v="VEH16"/>
    <s v="2021-11-15"/>
    <s v="CONT1;HFS2;B01;MC02;PR0302;ACPF6;SC0303;STAG1;SUBO2;DEFA2;FORB2;SSC4;PURP6;COLL4;TYVA01;FVAD3"/>
    <s v="51"/>
    <s v="REL01"/>
    <s v="SCOPE_1"/>
    <s v="CAAP4"/>
    <s v="SOUR2"/>
    <s v="DQS4"/>
    <n v="14788.25"/>
  </r>
  <r>
    <x v="357"/>
    <s v="M_0000_00000242184_000000000000001"/>
    <s v="VEH05"/>
    <s v="2022-01-15"/>
    <s v="CONT1;HFS2;B01;MC02;PR0302;ACPF6;SC0303;STAG2;POCI2;SUBO2;DEFA2;FORB2;SSC4;PURP6;COLL4;TYVA01;FVAD3"/>
    <s v="51"/>
    <s v="REL01"/>
    <s v="SCOPE_1"/>
    <s v="CAAP4"/>
    <s v="SOUR2"/>
    <s v="DQS4"/>
    <n v="17457.91"/>
  </r>
  <r>
    <x v="358"/>
    <s v="M_0000_00000242206_000000000000001"/>
    <s v="VEH16"/>
    <s v="2021-12-01"/>
    <s v="CONT1;HFS2;B01;MC02;PR0302;ACPF6;SC0303;STAG1;SUBO2;DEFA2;FORB2;SSC4;PURP6;COLL4;TYVA01;FVAD3"/>
    <s v="51"/>
    <s v="REL01"/>
    <s v="SCOPE_1"/>
    <s v="CAAP4"/>
    <s v="SOUR2"/>
    <s v="DQS4"/>
    <n v="16095.79"/>
  </r>
  <r>
    <x v="359"/>
    <s v="M_0000_00000242270_000000000000001"/>
    <s v="VEH05"/>
    <s v="2021-11-15"/>
    <s v="CONT1;HFS2;B01;MC02;PR0302;ACPF6;SC0303;STAG1;SUBO2;DEFA2;FORB2;SSC4;PURP6;COLL4;TYVA01;FVAD3"/>
    <s v="51"/>
    <s v="REL01"/>
    <s v="SCOPE_1"/>
    <s v="CAAP4"/>
    <s v="SOUR2"/>
    <s v="DQS4"/>
    <n v="15886.13"/>
  </r>
  <r>
    <x v="360"/>
    <s v="M_0000_00000242299_000000000000001"/>
    <s v="VEH05"/>
    <s v="2021-12-15"/>
    <s v="CONT1;HFS2;B01;MC02;PR0302;ACPF6;SC0303;STAG1;SUBO2;DEFA2;FORB2;SSC4;PURP6;COLL4;TYVA01;FVAD3"/>
    <s v="51"/>
    <s v="REL01"/>
    <s v="SCOPE_1"/>
    <s v="CAAP4"/>
    <s v="SOUR2"/>
    <s v="DQS4"/>
    <n v="20590.52"/>
  </r>
  <r>
    <x v="361"/>
    <s v="M_0000_00000242309_000000000000001"/>
    <s v="VEH05"/>
    <s v="2021-12-15"/>
    <s v="CONT1;HFS2;B01;MC02;PR0302;ACPF6;SC0303;STAG2;POCI2;SUBO2;DEFA2;FORB2;SSC4;PURP6;COLL4;TYVA01;FVAD3"/>
    <s v="51"/>
    <s v="REL01"/>
    <s v="SCOPE_1"/>
    <s v="CAAP4"/>
    <s v="SOUR2"/>
    <s v="DQS4"/>
    <n v="8109.93"/>
  </r>
  <r>
    <x v="362"/>
    <s v="M_0000_00000242356_000000000000001"/>
    <s v="VEH16"/>
    <s v="2021-12-15"/>
    <s v="CONT1;HFS2;B01;MC02;PR0302;ACPF6;SC0303;STAG1;SUBO2;DEFA2;FORB2;SSC4;PURP6;COLL4;TYVA01;FVAD3"/>
    <s v="51"/>
    <s v="REL01"/>
    <s v="SCOPE_1"/>
    <s v="CAAP4"/>
    <s v="SOUR2"/>
    <s v="DQS4"/>
    <n v="6097.44"/>
  </r>
  <r>
    <x v="363"/>
    <s v="M_0000_00000242358_000000000000001"/>
    <s v="VEH16"/>
    <s v="2021-12-15"/>
    <s v="CONT1;HFS2;B01;MC02;PR0302;ACPF6;SC0303;STAG1;SUBO2;DEFA2;FORB2;SSC4;PURP6;COLL4;TYVA01;FVAD3"/>
    <s v="51"/>
    <s v="REL01"/>
    <s v="SCOPE_1"/>
    <s v="CAAP4"/>
    <s v="SOUR2"/>
    <s v="DQS4"/>
    <n v="6097.44"/>
  </r>
  <r>
    <x v="364"/>
    <s v="M_0000_00000242359_000000000000001"/>
    <s v="VEH16"/>
    <s v="2021-12-15"/>
    <s v="CONT1;HFS2;B01;MC02;PR0302;ACPF6;SC0303;STAG1;SUBO2;DEFA2;FORB2;SSC4;PURP6;COLL4;TYVA01;FVAD3"/>
    <s v="51"/>
    <s v="REL01"/>
    <s v="SCOPE_1"/>
    <s v="CAAP4"/>
    <s v="SOUR2"/>
    <s v="DQS4"/>
    <n v="6097.44"/>
  </r>
  <r>
    <x v="365"/>
    <s v="M_0000_00000242370_000000000000002"/>
    <s v="VEH05"/>
    <s v="2021-12-01"/>
    <s v="CONT1;HFS2;B01;MC02;PR0302;ACPF6;SC0303;STAG1;SUBO2;DEFA2;FORB2;SSC3;PURP6;COLL4;TYVA01;FVAD3"/>
    <s v="51"/>
    <s v="REL01"/>
    <s v="SCOPE_1"/>
    <s v="CAAP4"/>
    <s v="SOUR2"/>
    <s v="DQS4"/>
    <n v="16803.349999999999"/>
  </r>
  <r>
    <x v="365"/>
    <s v="M_0000_00000242370_000000000000003"/>
    <s v="VEH05"/>
    <s v="2021-12-01"/>
    <s v="CONT1;HFS2;B01;MC02;PR0302;ACPF6;SC0303;STAG1;SUBO2;DEFA2;FORB2;SSC3;PURP6;COLL4;TYVA01;FVAD3"/>
    <s v="51"/>
    <s v="REL01"/>
    <s v="SCOPE_1"/>
    <s v="CAAP4"/>
    <s v="SOUR2"/>
    <s v="DQS4"/>
    <n v="16803.349999999999"/>
  </r>
  <r>
    <x v="365"/>
    <s v="M_0000_00000242370_000000000000004"/>
    <s v="VEH05"/>
    <s v="2021-12-01"/>
    <s v="CONT1;HFS2;B01;MC02;PR0302;ACPF6;SC0303;STAG1;SUBO2;DEFA2;FORB2;SSC3;PURP6;COLL4;TYVA01;FVAD3"/>
    <s v="51"/>
    <s v="REL01"/>
    <s v="SCOPE_1"/>
    <s v="CAAP4"/>
    <s v="SOUR2"/>
    <s v="DQS4"/>
    <n v="16803.349999999999"/>
  </r>
  <r>
    <x v="365"/>
    <s v="M_0000_00000242370_000000000000005"/>
    <s v="VEH05"/>
    <s v="2021-12-01"/>
    <s v="CONT1;HFS2;B01;MC02;PR0302;ACPF6;SC0303;STAG1;SUBO2;DEFA2;FORB2;SSC3;PURP6;COLL4;TYVA01;FVAD3"/>
    <s v="51"/>
    <s v="REL01"/>
    <s v="SCOPE_1"/>
    <s v="CAAP4"/>
    <s v="SOUR2"/>
    <s v="DQS4"/>
    <n v="16803.349999999999"/>
  </r>
  <r>
    <x v="365"/>
    <s v="M_0000_00000242370_000000000000001"/>
    <s v="VEH05"/>
    <s v="2021-12-01"/>
    <s v="CONT1;HFS2;B01;MC02;PR0302;ACPF6;SC0303;STAG1;SUBO2;DEFA2;FORB2;SSC3;PURP6;COLL4;TYVA01;FVAD3"/>
    <s v="51"/>
    <s v="REL01"/>
    <s v="SCOPE_1"/>
    <s v="CAAP4"/>
    <s v="SOUR2"/>
    <s v="DQS4"/>
    <n v="16803.349999999999"/>
  </r>
  <r>
    <x v="365"/>
    <s v="M_0000_00000242370_000000000000006"/>
    <s v="VEH05"/>
    <s v="2021-12-01"/>
    <s v="CONT1;HFS2;B01;MC02;PR0302;ACPF6;SC0303;STAG1;SUBO2;DEFA2;FORB2;SSC3;PURP6;COLL4;TYVA01;FVAD3"/>
    <s v="51"/>
    <s v="REL01"/>
    <s v="SCOPE_1"/>
    <s v="CAAP4"/>
    <s v="SOUR2"/>
    <s v="DQS4"/>
    <n v="16803.349999999999"/>
  </r>
  <r>
    <x v="366"/>
    <s v="M_0000_00000242381_000000000000001"/>
    <s v="VEH16"/>
    <s v="2021-12-15"/>
    <s v="CONT1;HFS2;B01;MC02;PR0302;ACPF6;SC0303;STAG2;POCI2;SUBO2;DEFA2;FORB2;SSC4;PURP6;COLL4;TYVA01;FVAD3"/>
    <s v="51"/>
    <s v="REL01"/>
    <s v="SCOPE_1"/>
    <s v="CAAP4"/>
    <s v="SOUR2"/>
    <s v="DQS4"/>
    <n v="7127.39"/>
  </r>
  <r>
    <x v="367"/>
    <s v="M_0000_00000242408_000000000000001"/>
    <s v="VEH19"/>
    <s v="2021-12-01"/>
    <s v="CONT1;HFS2;B01;MC02;PR0302;ACPF6;SC0303;STAG1;SUBO2;DEFA2;FORB2;SSC4;PURP6;COLL4;TYVA01;FVAD3"/>
    <s v="51"/>
    <s v="REL01"/>
    <s v="SCOPE_1"/>
    <s v="CAAP4"/>
    <s v="SOUR2"/>
    <s v="DQS4"/>
    <n v="318.16000000000003"/>
  </r>
  <r>
    <x v="368"/>
    <s v="M_0000_00000242413_000000000000001"/>
    <s v="VEH05"/>
    <s v="2022-01-01"/>
    <s v="CONT1;HFS2;B01;MC02;PR0302;ACPF6;SC0303;STAG1;SUBO2;DEFA2;FORB2;SSC4;PURP6;COLL4;TYVA01;FVAD3"/>
    <s v="51"/>
    <s v="REL01"/>
    <s v="SCOPE_1"/>
    <s v="CAAP4"/>
    <s v="SOUR2"/>
    <s v="DQS4"/>
    <n v="10944.94"/>
  </r>
  <r>
    <x v="369"/>
    <s v="M_0000_00000242421_000000000000001"/>
    <s v="VEH05"/>
    <s v="2021-12-01"/>
    <s v="CONT1;HFS2;B01;MC02;PR0302;ACPF6;SC0303;STAG1;SUBO2;DEFA2;FORB2;SSC4;PURP6;COLL4;TYVA01;FVAD3"/>
    <s v="51"/>
    <s v="REL01"/>
    <s v="SCOPE_1"/>
    <s v="CAAP4"/>
    <s v="SOUR2"/>
    <s v="DQS4"/>
    <n v="6804.41"/>
  </r>
  <r>
    <x v="370"/>
    <s v="M_0000_00000242449_000000000000001"/>
    <s v="VEH05"/>
    <s v="2022-01-15"/>
    <s v="CONT1;HFS2;B01;MC02;PR0302;ACPF6;SC0303;STAG3;POCI2;SUBO2;DEFA1;FORB2;SSC4;PURP6;COLL4;TYVA01;FVAD3"/>
    <s v="51"/>
    <s v="REL01"/>
    <s v="SCOPE_1"/>
    <s v="CAAP4"/>
    <s v="SOUR2"/>
    <s v="DQS4"/>
    <n v="24383.25"/>
  </r>
  <r>
    <x v="371"/>
    <s v="M_0000_00000242492_000000000000001"/>
    <s v="VEH05"/>
    <s v="2021-12-15"/>
    <s v="CONT1;HFS2;B01;MC02;PR0302;ACPF6;SC0303;STAG1;SUBO2;DEFA2;FORB2;SSC3;PURP6;COLL4;TYVA01;FVAD3"/>
    <s v="51"/>
    <s v="REL01"/>
    <s v="SCOPE_1"/>
    <s v="CAAP4"/>
    <s v="SOUR2"/>
    <s v="DQS4"/>
    <n v="17304.32"/>
  </r>
  <r>
    <x v="371"/>
    <s v="M_0000_00000242492_000000000000002"/>
    <s v="VEH05"/>
    <s v="2021-12-15"/>
    <s v="CONT1;HFS2;B01;MC02;PR0302;ACPF6;SC0303;STAG1;SUBO2;DEFA2;FORB2;SSC3;PURP6;COLL4;TYVA01;FVAD3"/>
    <s v="51"/>
    <s v="REL01"/>
    <s v="SCOPE_1"/>
    <s v="CAAP4"/>
    <s v="SOUR2"/>
    <s v="DQS4"/>
    <n v="17304.32"/>
  </r>
  <r>
    <x v="372"/>
    <s v="M_0000_00000242519_000000000000001"/>
    <s v="VEH01"/>
    <s v="2022-03-15"/>
    <s v="CONT1;HFS2;B01;MC02;PR0302;ACPF6;SC0303;STAG1;SUBO2;DEFA2;FORB2;SSC3;PURP6;COLL4;TYVA01;FVAD3"/>
    <s v="51"/>
    <s v="REL01"/>
    <s v="SCOPE_1"/>
    <s v="CAAP4"/>
    <s v="SOUR2"/>
    <s v="DQS4"/>
    <n v="528.49"/>
  </r>
  <r>
    <x v="373"/>
    <s v="M_0000_00000242521_000000000000001"/>
    <s v="VEH05"/>
    <s v="2022-01-15"/>
    <s v="CONT1;HFS2;B01;MC02;PR0302;ACPF6;SC0303;STAG1;SUBO2;DEFA2;FORB2;SSC4;PURP6;COLL4;TYVA01;FVAD3"/>
    <s v="51"/>
    <s v="REL01"/>
    <s v="SCOPE_1"/>
    <s v="CAAP4"/>
    <s v="SOUR2"/>
    <s v="DQS4"/>
    <n v="16303.87"/>
  </r>
  <r>
    <x v="374"/>
    <s v="M_0000_00000242564_000000000000001"/>
    <s v="VEH16"/>
    <s v="2021-12-15"/>
    <s v="CONT1;HFS2;B01;MC02;PR0302;ACPF6;SC0303;STAG1;SUBO2;DEFA2;FORB2;SSC4;PURP6;COLL4;TYVA01;FVAD3"/>
    <s v="51"/>
    <s v="REL01"/>
    <s v="SCOPE_1"/>
    <s v="CAAP4"/>
    <s v="SOUR2"/>
    <s v="DQS4"/>
    <n v="16897.63"/>
  </r>
  <r>
    <x v="375"/>
    <s v="M_0000_00000242583_000000000000001"/>
    <s v="VEH05"/>
    <s v="2022-01-01"/>
    <s v="CONT1;HFS2;B01;MC02;PR0302;ACPF6;SC0303;STAG1;SUBO2;DEFA2;FORB2;SSC4;PURP6;COLL4;TYVA01;FVAD3"/>
    <s v="51"/>
    <s v="REL01"/>
    <s v="SCOPE_1"/>
    <s v="CAAP4"/>
    <s v="SOUR2"/>
    <s v="DQS4"/>
    <n v="7418.07"/>
  </r>
  <r>
    <x v="376"/>
    <s v="M_0000_00000242612_000000000000002"/>
    <s v="VEH05"/>
    <s v="2021-12-15"/>
    <s v="CONT1;HFS2;B01;MC02;PR0302;ACPF6;SC0303;STAG1;SUBO2;DEFA2;FORB2;SSC3;PURP6;COLL4;TYVA01;FVAD3"/>
    <s v="51"/>
    <s v="REL01"/>
    <s v="SCOPE_1"/>
    <s v="CAAP4"/>
    <s v="SOUR2"/>
    <s v="DQS4"/>
    <n v="16686.57"/>
  </r>
  <r>
    <x v="376"/>
    <s v="M_0000_00000242612_000000000000001"/>
    <s v="VEH05"/>
    <s v="2021-12-15"/>
    <s v="CONT1;HFS2;B01;MC02;PR0302;ACPF6;SC0303;STAG1;SUBO2;DEFA2;FORB2;SSC3;PURP6;COLL4;TYVA01;FVAD3"/>
    <s v="51"/>
    <s v="REL01"/>
    <s v="SCOPE_1"/>
    <s v="CAAP4"/>
    <s v="SOUR2"/>
    <s v="DQS4"/>
    <n v="16686.57"/>
  </r>
  <r>
    <x v="376"/>
    <s v="M_0000_00000242612_000000000000003"/>
    <s v="VEH05"/>
    <s v="2021-12-15"/>
    <s v="CONT1;HFS2;B01;MC02;PR0302;ACPF6;SC0303;STAG1;SUBO2;DEFA2;FORB2;SSC3;PURP6;COLL4;TYVA01;FVAD3"/>
    <s v="51"/>
    <s v="REL01"/>
    <s v="SCOPE_1"/>
    <s v="CAAP4"/>
    <s v="SOUR2"/>
    <s v="DQS4"/>
    <n v="16686.57"/>
  </r>
  <r>
    <x v="376"/>
    <s v="M_0000_00000242612_000000000000004"/>
    <s v="VEH05"/>
    <s v="2021-12-15"/>
    <s v="CONT1;HFS2;B01;MC02;PR0302;ACPF6;SC0303;STAG1;SUBO2;DEFA2;FORB2;SSC3;PURP6;COLL4;TYVA01;FVAD3"/>
    <s v="51"/>
    <s v="REL01"/>
    <s v="SCOPE_1"/>
    <s v="CAAP4"/>
    <s v="SOUR2"/>
    <s v="DQS4"/>
    <n v="16686.57"/>
  </r>
  <r>
    <x v="377"/>
    <s v="M_0000_00000242619_000000000000005"/>
    <s v="VEH04"/>
    <s v="2021-12-15"/>
    <s v="CONT1;HFS2;B01;MC02;PR0302;ACPF6;SC0303;STAG1;SUBO2;DEFA2;FORB2;SSC3;PURP6;COLL4;TYVA01;FVAD3"/>
    <s v="51"/>
    <s v="REL01"/>
    <s v="SCOPE_1"/>
    <s v="CAAP4"/>
    <s v="SOUR2"/>
    <s v="DQS4"/>
    <n v="270.62"/>
  </r>
  <r>
    <x v="377"/>
    <s v="M_0000_00000242619_000000000000004"/>
    <s v="VEH04"/>
    <s v="2021-12-15"/>
    <s v="CONT1;HFS2;B01;MC02;PR0302;ACPF6;SC0303;STAG1;SUBO2;DEFA2;FORB2;SSC3;PURP6;COLL4;TYVA01;FVAD3"/>
    <s v="51"/>
    <s v="REL01"/>
    <s v="SCOPE_1"/>
    <s v="CAAP4"/>
    <s v="SOUR2"/>
    <s v="DQS4"/>
    <n v="270.62"/>
  </r>
  <r>
    <x v="377"/>
    <s v="M_0000_00000242619_000000000000001"/>
    <s v="VEH04"/>
    <s v="2021-12-15"/>
    <s v="CONT1;HFS2;B01;MC02;PR0302;ACPF6;SC0303;STAG1;SUBO2;DEFA2;FORB2;SSC3;PURP6;COLL4;TYVA01;FVAD3"/>
    <s v="51"/>
    <s v="REL01"/>
    <s v="SCOPE_1"/>
    <s v="CAAP4"/>
    <s v="SOUR2"/>
    <s v="DQS4"/>
    <n v="270.62"/>
  </r>
  <r>
    <x v="377"/>
    <s v="M_0000_00000242619_000000000000003"/>
    <s v="VEH04"/>
    <s v="2021-12-15"/>
    <s v="CONT1;HFS2;B01;MC02;PR0302;ACPF6;SC0303;STAG1;SUBO2;DEFA2;FORB2;SSC3;PURP6;COLL4;TYVA01;FVAD3"/>
    <s v="51"/>
    <s v="REL01"/>
    <s v="SCOPE_1"/>
    <s v="CAAP4"/>
    <s v="SOUR2"/>
    <s v="DQS4"/>
    <n v="270.62"/>
  </r>
  <r>
    <x v="377"/>
    <s v="M_0000_00000242619_000000000000002"/>
    <s v="VEH04"/>
    <s v="2021-12-15"/>
    <s v="CONT1;HFS2;B01;MC02;PR0302;ACPF6;SC0303;STAG1;SUBO2;DEFA2;FORB2;SSC3;PURP6;COLL4;TYVA01;FVAD3"/>
    <s v="51"/>
    <s v="REL01"/>
    <s v="SCOPE_1"/>
    <s v="CAAP4"/>
    <s v="SOUR2"/>
    <s v="DQS4"/>
    <n v="270.62"/>
  </r>
  <r>
    <x v="378"/>
    <s v="M_0000_00000242655_000000000000001"/>
    <s v="VEH16"/>
    <s v="2022-02-01"/>
    <s v="CONT1;HFS2;B01;MC02;PR0302;ACPF6;SC0303;STAG1;SUBO2;DEFA2;FORB2;SSC4;PURP6;COLL4;TYVA01;FVAD3"/>
    <s v="51"/>
    <s v="REL01"/>
    <s v="SCOPE_1"/>
    <s v="CAAP4"/>
    <s v="SOUR2"/>
    <s v="DQS4"/>
    <n v="19059.61"/>
  </r>
  <r>
    <x v="379"/>
    <s v="M_0000_00000242683_000000000000001"/>
    <s v="VEH04"/>
    <s v="2021-12-15"/>
    <s v="CONT1;HFS2;B01;MC02;PR0302;ACPF6;SC0303;STAG1;SUBO2;DEFA2;FORB2;SSC4;PURP6;COLL4;TYVA01;FVAD3"/>
    <s v="51"/>
    <s v="REL01"/>
    <s v="SCOPE_1"/>
    <s v="CAAP4"/>
    <s v="SOUR2"/>
    <s v="DQS4"/>
    <n v="783.44"/>
  </r>
  <r>
    <x v="380"/>
    <s v="M_0000_00000242695_000000000000001"/>
    <s v="VEH01"/>
    <s v="2022-01-15"/>
    <s v="CONT1;HFS2;B01;MC02;PR0302;ACPF6;SC0303;STAG2;POCI2;SUBO2;DEFA2;FORB2;SSC4;PURP6;COLL4;TYVA01;FVAD3"/>
    <s v="51"/>
    <s v="REL01"/>
    <s v="SCOPE_1"/>
    <s v="CAAP4"/>
    <s v="SOUR2"/>
    <s v="DQS4"/>
    <n v="554.14"/>
  </r>
  <r>
    <x v="381"/>
    <s v="M_0000_00000242712_000000000000001"/>
    <s v="VEH05"/>
    <s v="2022-01-15"/>
    <s v="CONT1;HFS2;B01;MC02;PR0302;ACPF6;SC0303;STAG1;SUBO2;DEFA2;FORB2;SSC4;PURP6;COLL4;TYVA01;FVAD3"/>
    <s v="51"/>
    <s v="REL01"/>
    <s v="SCOPE_1"/>
    <s v="CAAP4"/>
    <s v="SOUR2"/>
    <s v="DQS4"/>
    <n v="16910.77"/>
  </r>
  <r>
    <x v="382"/>
    <s v="M_0000_00000242722_000000000000002"/>
    <s v="VEH05"/>
    <s v="2021-12-15"/>
    <s v="CONT1;HFS2;B01;MC02;PR0302;ACPF6;SC0303;STAG2;POCI2;SUBO2;DEFA2;FORB2;SSC4;PURP6;COLL4;TYVA01;FVAD3"/>
    <s v="51"/>
    <s v="REL01"/>
    <s v="SCOPE_1"/>
    <s v="CAAP4"/>
    <s v="SOUR2"/>
    <s v="DQS4"/>
    <n v="18520.45"/>
  </r>
  <r>
    <x v="382"/>
    <s v="M_0000_00000242722_000000000000001"/>
    <s v="VEH05"/>
    <s v="2021-12-15"/>
    <s v="CONT1;HFS2;B01;MC02;PR0302;ACPF6;SC0303;STAG2;POCI2;SUBO2;DEFA2;FORB2;SSC4;PURP6;COLL4;TYVA01;FVAD3"/>
    <s v="51"/>
    <s v="REL01"/>
    <s v="SCOPE_1"/>
    <s v="CAAP4"/>
    <s v="SOUR2"/>
    <s v="DQS4"/>
    <n v="18520.45"/>
  </r>
  <r>
    <x v="383"/>
    <s v="M_0000_00000242726_000000000000001"/>
    <s v="VEH04"/>
    <s v="2022-01-15"/>
    <s v="CONT1;HFS2;B01;MC02;PR0302;ACPF6;SC0303;STAG2;POCI2;SUBO2;DEFA2;FORB2;SSC4;PURP6;COLL4;TYVA01;FVAD3"/>
    <s v="51"/>
    <s v="REL01"/>
    <s v="SCOPE_1"/>
    <s v="CAAP4"/>
    <s v="SOUR2"/>
    <s v="DQS4"/>
    <n v="649.9"/>
  </r>
  <r>
    <x v="384"/>
    <s v="M_0000_00000242775_000000000000001"/>
    <s v="VEH01"/>
    <s v="2022-01-15"/>
    <s v="CONT1;HFS2;B01;MC02;PR0302;ACPF6;SC0303;STAG1;SUBO2;DEFA2;FORB2;SSC4;PURP6;COLL4;TYVA01;FVAD3"/>
    <s v="51"/>
    <s v="REL01"/>
    <s v="SCOPE_1"/>
    <s v="CAAP4"/>
    <s v="SOUR2"/>
    <s v="DQS4"/>
    <n v="536.99"/>
  </r>
  <r>
    <x v="385"/>
    <s v="M_0000_00000242878_000000000000002"/>
    <s v="VEH05"/>
    <s v="2022-02-01"/>
    <s v="CONT1;HFS2;B01;MC02;PR0302;ACPF6;SC0303;STAG1;SUBO2;DEFA2;FORB2;SSC3;PURP6;COLL4;TYVA01;FVAD3"/>
    <s v="51"/>
    <s v="REL01"/>
    <s v="SCOPE_1"/>
    <s v="CAAP4"/>
    <s v="SOUR2"/>
    <s v="DQS4"/>
    <n v="18542.34"/>
  </r>
  <r>
    <x v="385"/>
    <s v="M_0000_00000242878_000000000000001"/>
    <s v="VEH05"/>
    <s v="2022-02-01"/>
    <s v="CONT1;HFS2;B01;MC02;PR0302;ACPF6;SC0303;STAG1;SUBO2;DEFA2;FORB2;SSC3;PURP6;COLL4;TYVA01;FVAD3"/>
    <s v="51"/>
    <s v="REL01"/>
    <s v="SCOPE_1"/>
    <s v="CAAP4"/>
    <s v="SOUR2"/>
    <s v="DQS4"/>
    <n v="18542.34"/>
  </r>
  <r>
    <x v="386"/>
    <s v="M_0000_00000242891_000000000000002"/>
    <s v="VEH05"/>
    <s v="2022-03-01"/>
    <s v="CONT1;HFS2;B01;MC02;PR0302;ACPF6;SC0303;STAG2;POCI2;SUBO2;DEFA2;FORB2;SSC4;PURP6;COLL4;TYVA01;FVAD3"/>
    <s v="51"/>
    <s v="REL01"/>
    <s v="SCOPE_1"/>
    <s v="CAAP4"/>
    <s v="SOUR2"/>
    <s v="DQS4"/>
    <n v="18754.419999999998"/>
  </r>
  <r>
    <x v="386"/>
    <s v="M_0000_00000242891_000000000000001"/>
    <s v="VEH05"/>
    <s v="2022-03-01"/>
    <s v="CONT1;HFS2;B01;MC02;PR0302;ACPF6;SC0303;STAG2;POCI2;SUBO2;DEFA2;FORB2;SSC4;PURP6;COLL4;TYVA01;FVAD3"/>
    <s v="51"/>
    <s v="REL01"/>
    <s v="SCOPE_1"/>
    <s v="CAAP4"/>
    <s v="SOUR2"/>
    <s v="DQS4"/>
    <n v="18754.419999999998"/>
  </r>
  <r>
    <x v="387"/>
    <s v="M_0000_00000242900_000000000000001"/>
    <s v="VEH16"/>
    <s v="2024-03-01"/>
    <s v="CONT1;HFS2;B01;MC02;PR0302;ACPF6;SC0303;STAG1;SUBO2;DEFA2;FORB2;SSC4;PURP6;COLL4;TYVA01;FVAD3"/>
    <s v="51"/>
    <s v="REL01"/>
    <s v="SCOPE_1"/>
    <s v="CAAP4"/>
    <s v="SOUR2"/>
    <s v="DQS4"/>
    <n v="19368.04"/>
  </r>
  <r>
    <x v="387"/>
    <s v="M_0000_00000242900_000000000000002"/>
    <s v="VEH05"/>
    <s v="2024-03-01"/>
    <s v="CONT1;HFS2;B01;MC02;PR0302;ACPF6;SC0303;STAG1;SUBO2;DEFA2;FORB2;SSC4;PURP6;COLL4;TYVA01;FVAD3"/>
    <s v="51"/>
    <s v="REL01"/>
    <s v="SCOPE_1"/>
    <s v="CAAP4"/>
    <s v="SOUR2"/>
    <s v="DQS4"/>
    <n v="19368.04"/>
  </r>
  <r>
    <x v="387"/>
    <s v="M_0000_00000242900_000000000000002"/>
    <s v="VEH05"/>
    <s v="2024-03-01"/>
    <s v="CONT1;HFS2;B01;MC02;PR0302;ACPF6;SC0303;STAG1;SUBO2;DEFA2;FORB2;SSC4;PURP6;COLL4;TYVA01;FVAD3"/>
    <s v="51"/>
    <s v="REL01"/>
    <s v="SCOPE_1"/>
    <s v="CAAP4"/>
    <s v="SOUR2"/>
    <s v="DQS4"/>
    <n v="19368.02"/>
  </r>
  <r>
    <x v="387"/>
    <s v="M_0000_00000242900_000000000000001"/>
    <s v="VEH16"/>
    <s v="2024-03-01"/>
    <s v="CONT1;HFS2;B01;MC02;PR0302;ACPF6;SC0303;STAG1;SUBO2;DEFA2;FORB2;SSC4;PURP6;COLL4;TYVA01;FVAD3"/>
    <s v="51"/>
    <s v="REL01"/>
    <s v="SCOPE_1"/>
    <s v="CAAP4"/>
    <s v="SOUR2"/>
    <s v="DQS4"/>
    <n v="19368.02"/>
  </r>
  <r>
    <x v="388"/>
    <s v="M_0000_00000242916_000000000000001"/>
    <s v="VEH05"/>
    <s v="2022-02-01"/>
    <s v="CONT1;HFS2;B01;MC02;PR0302;ACPF6;SC0303;STAG2;POCI2;SUBO2;DEFA2;FORB2;SSC3;PURP6;COLL4;TYVA01;FVAD3"/>
    <s v="51"/>
    <s v="REL01"/>
    <s v="SCOPE_1"/>
    <s v="CAAP4"/>
    <s v="SOUR2"/>
    <s v="DQS4"/>
    <n v="19209.16"/>
  </r>
  <r>
    <x v="389"/>
    <s v="M_0000_00000242917_000000000000001"/>
    <s v="VEH05"/>
    <s v="2022-02-01"/>
    <s v="CONT1;HFS2;B01;MC02;PR0302;ACPF6;SC0303;STAG2;POCI2;SUBO2;DEFA2;FORB2;SSC3;PURP6;COLL4;TYVA01;FVAD3"/>
    <s v="51"/>
    <s v="REL01"/>
    <s v="SCOPE_1"/>
    <s v="CAAP4"/>
    <s v="SOUR2"/>
    <s v="DQS4"/>
    <n v="19209.16"/>
  </r>
  <r>
    <x v="390"/>
    <s v="M_0000_00000242922_000000000000002"/>
    <s v="VEH05"/>
    <s v="2022-02-01"/>
    <s v="CONT1;HFS2;B01;MC02;PR0302;ACPF6;SC0303;STAG1;SUBO2;DEFA2;FORB2;SSC3;PURP6;COLL4;TYVA01;FVAD3"/>
    <s v="51"/>
    <s v="REL01"/>
    <s v="SCOPE_1"/>
    <s v="CAAP4"/>
    <s v="SOUR2"/>
    <s v="DQS4"/>
    <n v="18542.32"/>
  </r>
  <r>
    <x v="390"/>
    <s v="M_0000_00000242922_000000000000001"/>
    <s v="VEH05"/>
    <s v="2022-02-01"/>
    <s v="CONT1;HFS2;B01;MC02;PR0302;ACPF6;SC0303;STAG1;SUBO2;DEFA2;FORB2;SSC3;PURP6;COLL4;TYVA01;FVAD3"/>
    <s v="51"/>
    <s v="REL01"/>
    <s v="SCOPE_1"/>
    <s v="CAAP4"/>
    <s v="SOUR2"/>
    <s v="DQS4"/>
    <n v="18542.32"/>
  </r>
  <r>
    <x v="391"/>
    <s v="M_0000_00000242929_000000000000001"/>
    <s v="VEH05"/>
    <s v="2022-02-01"/>
    <s v="CONT1;HFS2;B01;MC02;PR0302;ACPF6;SC0303;STAG2;POCI2;SUBO2;DEFA2;FORB2;SSC4;PURP6;COLL4;TYVA01;FVAD3"/>
    <s v="51"/>
    <s v="REL01"/>
    <s v="SCOPE_1"/>
    <s v="CAAP4"/>
    <s v="SOUR2"/>
    <s v="DQS4"/>
    <n v="17062.53"/>
  </r>
  <r>
    <x v="392"/>
    <s v="M_0000_00000242958_000000000000001"/>
    <s v="VEH16"/>
    <s v="2022-04-01"/>
    <s v="CONT1;HFS2;B01;MC02;PR0302;ACPF6;SC0303;STAG2;POCI2;SUBO2;DEFA2;FORB2;SSC4;PURP6;COLL4;TYVA01;FVAD3"/>
    <s v="51"/>
    <s v="REL01"/>
    <s v="SCOPE_1"/>
    <s v="CAAP4"/>
    <s v="SOUR2"/>
    <s v="DQS4"/>
    <n v="14542.88"/>
  </r>
  <r>
    <x v="393"/>
    <s v="M_0000_00000242982_000000000000001"/>
    <s v="VEH05"/>
    <s v="2022-03-01"/>
    <s v="CONT1;HFS2;B01;MC02;PR0302;ACPF6;SC0303;STAG1;SUBO2;DEFA2;FORB2;SSC4;PURP6;COLL4;TYVA01;FVAD3"/>
    <s v="51"/>
    <s v="REL01"/>
    <s v="SCOPE_1"/>
    <s v="CAAP4"/>
    <s v="SOUR2"/>
    <s v="DQS4"/>
    <n v="18535.57"/>
  </r>
  <r>
    <x v="394"/>
    <s v="M_0000_00000242988_000000000000001"/>
    <s v="VEH19"/>
    <s v="2023-03-01"/>
    <s v="CONT1;HFS2;B01;MC02;PR0302;ACPF6;SC0303;STAG1;SUBO2;DEFA2;FORB2;SSC4;PURP6;COLL4;TYVA01;FVAD3"/>
    <s v="51"/>
    <s v="REL01"/>
    <s v="SCOPE_1"/>
    <s v="CAAP4"/>
    <s v="SOUR2"/>
    <s v="DQS4"/>
    <n v="891.52"/>
  </r>
  <r>
    <x v="395"/>
    <s v="M_0000_00000243066_000000000000001"/>
    <s v="VEH05"/>
    <s v="2022-02-15"/>
    <s v="CONT1;HFS2;B01;MC02;PR0302;ACPF6;SC0303;STAG1;SUBO2;DEFA2;FORB2;SSC3;PURP6;COLL4;TYVA01;FVAD3"/>
    <s v="51"/>
    <s v="REL01"/>
    <s v="SCOPE_1"/>
    <s v="CAAP4"/>
    <s v="SOUR2"/>
    <s v="DQS4"/>
    <n v="19169.099999999999"/>
  </r>
  <r>
    <x v="395"/>
    <s v="M_0000_00000243066_000000000000002"/>
    <s v="VEH05"/>
    <s v="2022-02-15"/>
    <s v="CONT1;HFS2;B01;MC02;PR0302;ACPF6;SC0303;STAG1;SUBO2;DEFA2;FORB2;SSC3;PURP6;COLL4;TYVA01;FVAD3"/>
    <s v="51"/>
    <s v="REL01"/>
    <s v="SCOPE_1"/>
    <s v="CAAP4"/>
    <s v="SOUR2"/>
    <s v="DQS4"/>
    <n v="19169.099999999999"/>
  </r>
  <r>
    <x v="396"/>
    <s v="M_0000_00000243068_000000000000001"/>
    <s v="VEH16"/>
    <s v="2022-04-01"/>
    <s v="CONT1;HFS2;B01;MC02;PR0302;ACPF6;SC0303;STAG1;SUBO2;DEFA2;FORB2;SSC4;PURP6;COLL4;TYVA01;FVAD3"/>
    <s v="51"/>
    <s v="REL01"/>
    <s v="SCOPE_1"/>
    <s v="CAAP4"/>
    <s v="SOUR2"/>
    <s v="DQS4"/>
    <n v="16255.27"/>
  </r>
  <r>
    <x v="397"/>
    <s v="M_0000_00000243171_000000000000001"/>
    <s v="VEH05"/>
    <s v="2022-05-01"/>
    <s v="CONT1;HFS2;B01;MC02;PR0302;ACPF6;SC0303;STAG2;POCI2;SUBO2;DEFA2;FORB2;SSC4;PURP6;COLL4;TYVA01;FVAD3"/>
    <s v="51"/>
    <s v="REL01"/>
    <s v="SCOPE_1"/>
    <s v="CAAP4"/>
    <s v="SOUR2"/>
    <s v="DQS4"/>
    <n v="21531.54"/>
  </r>
  <r>
    <x v="398"/>
    <s v="M_0000_00000243180_000000000000001"/>
    <s v="VEH19"/>
    <s v="2022-03-01"/>
    <s v="CONT1;HFS2;B01;MC02;PR0302;ACPF6;SC0303;STAG2;POCI2;SUBO2;DEFA2;FORB2;SSC4;PURP6;COLL4;TYVA01;FVAD3"/>
    <s v="51"/>
    <s v="REL01"/>
    <s v="SCOPE_2"/>
    <s v="CAAP4"/>
    <s v="SOUR2"/>
    <s v="DQS4"/>
    <n v="144.91"/>
  </r>
  <r>
    <x v="399"/>
    <s v="M_0000_00000243269_000000000000001"/>
    <s v="VEH16"/>
    <s v="2022-03-15"/>
    <s v="CONT1;HFS2;B01;MC02;PR0302;ACPF6;SC0303;STAG1;SUBO2;DEFA2;FORB2;SSC4;PURP6;COLL4;TYVA01;FVAD3"/>
    <s v="51"/>
    <s v="REL01"/>
    <s v="SCOPE_1"/>
    <s v="CAAP4"/>
    <s v="SOUR2"/>
    <s v="DQS4"/>
    <n v="9291.02"/>
  </r>
  <r>
    <x v="400"/>
    <s v="M_0000_00000243291_000000000000001"/>
    <s v="VEH05"/>
    <s v="2022-03-15"/>
    <s v="CONT1;HFS2;B01;MC02;PR0302;ACPF6;SC0303;STAG1;SUBO2;DEFA2;FORB2;SSC4;PURP6;COLL4;TYVA01;FVAD3"/>
    <s v="51"/>
    <s v="REL01"/>
    <s v="SCOPE_1"/>
    <s v="CAAP4"/>
    <s v="SOUR2"/>
    <s v="DQS4"/>
    <n v="18651.38"/>
  </r>
  <r>
    <x v="401"/>
    <s v="M_0000_00000243303_000000000000001"/>
    <s v="VEH05"/>
    <s v="2022-03-15"/>
    <s v="CONT1;HFS2;B01;MC02;PR0302;ACPF6;SC0303;STAG2;POCI2;SUBO2;DEFA2;FORB2;SSC3;PURP6;COLL4;TYVA01;FVAD3"/>
    <s v="51"/>
    <s v="REL01"/>
    <s v="SCOPE_1"/>
    <s v="CAAP4"/>
    <s v="SOUR2"/>
    <s v="DQS4"/>
    <n v="20128.04"/>
  </r>
  <r>
    <x v="402"/>
    <s v="M_0000_00000243304_000000000000001"/>
    <s v="VEH05"/>
    <s v="2022-03-15"/>
    <s v="CONT1;HFS2;B01;MC02;PR0302;ACPF6;SC0303;STAG2;POCI2;SUBO2;DEFA2;FORB2;SSC3;PURP6;COLL4;TYVA01;FVAD3"/>
    <s v="51"/>
    <s v="REL01"/>
    <s v="SCOPE_1"/>
    <s v="CAAP4"/>
    <s v="SOUR2"/>
    <s v="DQS4"/>
    <n v="20128.04"/>
  </r>
  <r>
    <x v="403"/>
    <s v="M_0000_00000243305_000000000000001"/>
    <s v="VEH05"/>
    <s v="2022-03-15"/>
    <s v="CONT1;HFS2;B01;MC02;PR0302;ACPF6;SC0303;STAG2;POCI2;SUBO2;DEFA2;FORB2;SSC3;PURP6;COLL4;TYVA01;FVAD3"/>
    <s v="51"/>
    <s v="REL01"/>
    <s v="SCOPE_1"/>
    <s v="CAAP4"/>
    <s v="SOUR2"/>
    <s v="DQS4"/>
    <n v="20128.04"/>
  </r>
  <r>
    <x v="404"/>
    <s v="M_0000_00000243307_000000000000001"/>
    <s v="VEH05"/>
    <s v="2022-05-01"/>
    <s v="CONT1;HFS2;B01;MC02;PR0302;ACPF6;SC0303;STAG1;SUBO2;DEFA2;FORB2;SSC4;PURP6;COLL4;TYVA01;FVAD3"/>
    <s v="51"/>
    <s v="REL01"/>
    <s v="SCOPE_1"/>
    <s v="CAAP4"/>
    <s v="SOUR2"/>
    <s v="DQS4"/>
    <n v="13194.64"/>
  </r>
  <r>
    <x v="405"/>
    <s v="M_0000_00000243403_000000000000001"/>
    <s v="VEH05"/>
    <s v="2022-05-01"/>
    <s v="CONT1;HFS2;B01;MC02;PR0302;ACPF6;SC0303;STAG2;POCI2;SUBO2;DEFA2;FORB2;SSC4;PURP6;COLL4;TYVA01;FVAD3"/>
    <s v="51"/>
    <s v="REL01"/>
    <s v="SCOPE_1"/>
    <s v="CAAP4"/>
    <s v="SOUR2"/>
    <s v="DQS4"/>
    <n v="19928.05"/>
  </r>
  <r>
    <x v="406"/>
    <s v="M_0000_00000243445_000000000000004"/>
    <s v="VEH05"/>
    <s v="2022-08-15"/>
    <s v="CONT1;HFS2;B01;MC02;PR0302;ACPF6;SC0303;STAG1;SUBO2;DEFA2;FORB2;SSC3;PURP6;COLL4;TYVA01;FVAD3"/>
    <s v="51"/>
    <s v="REL01"/>
    <s v="SCOPE_1"/>
    <s v="CAAP4"/>
    <s v="SOUR2"/>
    <s v="DQS4"/>
    <n v="18122.3"/>
  </r>
  <r>
    <x v="406"/>
    <s v="M_0000_00000243445_000000000000002"/>
    <s v="VEH05"/>
    <s v="2022-08-15"/>
    <s v="CONT1;HFS2;B01;MC02;PR0302;ACPF6;SC0303;STAG1;SUBO2;DEFA2;FORB2;SSC3;PURP6;COLL4;TYVA01;FVAD3"/>
    <s v="51"/>
    <s v="REL01"/>
    <s v="SCOPE_1"/>
    <s v="CAAP4"/>
    <s v="SOUR2"/>
    <s v="DQS4"/>
    <n v="18122.3"/>
  </r>
  <r>
    <x v="406"/>
    <s v="M_0000_00000243445_000000000000005"/>
    <s v="VEH05"/>
    <s v="2022-08-15"/>
    <s v="CONT1;HFS2;B01;MC02;PR0302;ACPF6;SC0303;STAG1;SUBO2;DEFA2;FORB2;SSC3;PURP6;COLL4;TYVA01;FVAD3"/>
    <s v="51"/>
    <s v="REL01"/>
    <s v="SCOPE_1"/>
    <s v="CAAP4"/>
    <s v="SOUR2"/>
    <s v="DQS4"/>
    <n v="18122.3"/>
  </r>
  <r>
    <x v="406"/>
    <s v="M_0000_00000243445_000000000000003"/>
    <s v="VEH05"/>
    <s v="2022-08-15"/>
    <s v="CONT1;HFS2;B01;MC02;PR0302;ACPF6;SC0303;STAG1;SUBO2;DEFA2;FORB2;SSC3;PURP6;COLL4;TYVA01;FVAD3"/>
    <s v="51"/>
    <s v="REL01"/>
    <s v="SCOPE_1"/>
    <s v="CAAP4"/>
    <s v="SOUR2"/>
    <s v="DQS4"/>
    <n v="18122.3"/>
  </r>
  <r>
    <x v="406"/>
    <s v="M_0000_00000243445_000000000000001"/>
    <s v="VEH05"/>
    <s v="2022-08-15"/>
    <s v="CONT1;HFS2;B01;MC02;PR0302;ACPF6;SC0303;STAG1;SUBO2;DEFA2;FORB2;SSC3;PURP6;COLL4;TYVA01;FVAD3"/>
    <s v="51"/>
    <s v="REL01"/>
    <s v="SCOPE_1"/>
    <s v="CAAP4"/>
    <s v="SOUR2"/>
    <s v="DQS4"/>
    <n v="18122.3"/>
  </r>
  <r>
    <x v="407"/>
    <s v="M_0000_00000243480_000000000000001"/>
    <s v="VEH05"/>
    <s v="2022-06-01"/>
    <s v="CONT1;HFS2;B01;MC02;PR0302;ACPF6;SC0303;STAG1;SUBO2;DEFA2;FORB2;SSC4;PURP6;COLL4;TYVA01;FVAD3"/>
    <s v="51"/>
    <s v="REL01"/>
    <s v="SCOPE_1"/>
    <s v="CAAP4"/>
    <s v="SOUR2"/>
    <s v="DQS4"/>
    <n v="22338.22"/>
  </r>
  <r>
    <x v="408"/>
    <s v="M_0000_00000243515_000000000000001"/>
    <s v="VEH05"/>
    <s v="2022-05-15"/>
    <s v="CONT1;HFS2;B01;MC02;PR0302;ACPF6;SC0303;STAG1;SUBO2;DEFA2;FORB2;SSC4;PURP6;COLL4;TYVA01;FVAD3"/>
    <s v="51"/>
    <s v="REL01"/>
    <s v="SCOPE_1"/>
    <s v="CAAP4"/>
    <s v="SOUR2"/>
    <s v="DQS4"/>
    <n v="16393.689999999999"/>
  </r>
  <r>
    <x v="409"/>
    <s v="M_0000_00000243554_000000000000001"/>
    <s v="VEH05"/>
    <s v="2022-05-15"/>
    <s v="CONT1;HFS2;B01;MC02;PR0302;ACPF6;SC0303;STAG1;SUBO2;DEFA2;FORB2;SSC4;PURP6;COLL4;TYVA01;FVAD3"/>
    <s v="51"/>
    <s v="REL01"/>
    <s v="SCOPE_1"/>
    <s v="CAAP4"/>
    <s v="SOUR2"/>
    <s v="DQS4"/>
    <n v="21420"/>
  </r>
  <r>
    <x v="410"/>
    <s v="M_0000_00000243610_000000000000001"/>
    <s v="VEH05"/>
    <s v="2022-05-15"/>
    <s v="CONT1;HFS2;B01;MC02;PR0302;ACPF6;SC0303;STAG1;SUBO2;DEFA2;FORB2;SSC4;PURP6;COLL4;TYVA01;FVAD3"/>
    <s v="51"/>
    <s v="REL01"/>
    <s v="SCOPE_1"/>
    <s v="CAAP4"/>
    <s v="SOUR2"/>
    <s v="DQS4"/>
    <n v="21420"/>
  </r>
  <r>
    <x v="411"/>
    <s v="M_0000_00000243707_000000000000001"/>
    <s v="VEH16"/>
    <s v="2022-06-15"/>
    <s v="CONT1;HFS2;B01;MC02;PR0302;ACPF6;SC0303;STAG2;POCI2;SUBO2;DEFA2;FORB2;SSC4;PURP6;COLL4;TYVA01;FVAD3"/>
    <s v="51"/>
    <s v="REL01"/>
    <s v="SCOPE_1"/>
    <s v="CAAP4"/>
    <s v="SOUR2"/>
    <s v="DQS4"/>
    <n v="24049.69"/>
  </r>
  <r>
    <x v="412"/>
    <s v="M_0000_00000243798_000000000000001"/>
    <s v="VEH05"/>
    <s v="2022-08-01"/>
    <s v="CONT1;HFS2;B01;MC02;PR0302;ACPF6;SC0303;STAG1;SUBO2;DEFA2;FORB2;SSC4;PURP6;COLL4;TYVA01;FVAD3"/>
    <s v="51"/>
    <s v="REL01"/>
    <s v="SCOPE_1"/>
    <s v="CAAP4"/>
    <s v="SOUR2"/>
    <s v="DQS4"/>
    <n v="24357.34"/>
  </r>
  <r>
    <x v="413"/>
    <s v="M_0000_00000243951_000000000000001"/>
    <s v="VEH05"/>
    <s v="2022-08-01"/>
    <s v="CONT1;HFS2;B01;MC02;PR0302;ACPF6;SC0303;STAG3;POCI2;SUBO2;DEFA1;FORB2;SSC4;PURP6;COLL4;TYVA01;FVAD3"/>
    <s v="51"/>
    <s v="REL01"/>
    <s v="SCOPE_1"/>
    <s v="CAAP4"/>
    <s v="SOUR2"/>
    <s v="DQS4"/>
    <n v="21779.22"/>
  </r>
  <r>
    <x v="414"/>
    <s v="M_0000_00000243977_000000000000001"/>
    <s v="VEH05"/>
    <s v="2022-08-01"/>
    <s v="CONT1;HFS2;B01;MC02;PR0302;ACPF6;SC0303;STAG1;SUBO2;DEFA2;FORB2;SSC4;PURP6;COLL4;TYVA01;FVAD3"/>
    <s v="51"/>
    <s v="REL01"/>
    <s v="SCOPE_1"/>
    <s v="CAAP4"/>
    <s v="SOUR2"/>
    <s v="DQS4"/>
    <n v="23137.11"/>
  </r>
  <r>
    <x v="415"/>
    <s v="M_0000_00000243979_000000000000001"/>
    <s v="VEH05"/>
    <s v="2022-08-01"/>
    <s v="CONT1;HFS2;B01;MC02;PR0302;ACPF6;SC0303;STAG1;SUBO2;DEFA2;FORB2;SSC4;PURP6;COLL4;TYVA01;FVAD3"/>
    <s v="51"/>
    <s v="REL01"/>
    <s v="SCOPE_1"/>
    <s v="CAAP4"/>
    <s v="SOUR2"/>
    <s v="DQS4"/>
    <n v="23052.49"/>
  </r>
  <r>
    <x v="416"/>
    <s v="M_0000_00000244030_000000000000001"/>
    <s v="VEH05"/>
    <s v="2022-08-15"/>
    <s v="CONT1;HFS2;B01;MC02;PR0302;ACPF6;SC0303;STAG1;SUBO2;DEFA2;FORB2;SSC4;PURP6;COLL4;TYVA01;FVAD3"/>
    <s v="51"/>
    <s v="REL01"/>
    <s v="SCOPE_1"/>
    <s v="CAAP4"/>
    <s v="SOUR2"/>
    <s v="DQS4"/>
    <n v="25133.1"/>
  </r>
  <r>
    <x v="417"/>
    <s v="M_0000_00000244050_000000000000001"/>
    <s v="VEH01"/>
    <s v="2022-08-01"/>
    <s v="CONT1;HFS2;B01;MC02;PR0302;ACPF6;SC0303;STAG2;POCI2;SUBO2;DEFA2;FORB2;SSC4;PURP6;COLL4;TYVA01;FVAD3"/>
    <s v="51"/>
    <s v="REL01"/>
    <s v="SCOPE_2"/>
    <s v="CAAP4"/>
    <s v="SOUR2"/>
    <s v="DQS4"/>
    <n v="38.020000000000003"/>
  </r>
  <r>
    <x v="418"/>
    <s v="M_0000_00000244074_000000000000001"/>
    <s v="VEH04"/>
    <s v="2022-08-15"/>
    <s v="CONT1;HFS2;B01;MC02;PR0302;ACPF6;SC0303;STAG2;POCI2;SUBO2;DEFA2;FORB2;SSC4;PURP6;COLL4;TYVA01;FVAD3"/>
    <s v="51"/>
    <s v="REL01"/>
    <s v="SCOPE_1"/>
    <s v="CAAP4"/>
    <s v="SOUR2"/>
    <s v="DQS4"/>
    <n v="835.96"/>
  </r>
  <r>
    <x v="419"/>
    <s v="M_0000_00000244119_000000000000003"/>
    <s v="VEH05"/>
    <s v="2022-09-15"/>
    <s v="CONT1;HFS2;B01;MC02;PR0302;ACPF6;SC0303;STAG1;SUBO2;DEFA2;FORB2;SSC3;PURP6;COLL4;TYVA01;FVAD3"/>
    <s v="51"/>
    <s v="REL01"/>
    <s v="SCOPE_1"/>
    <s v="CAAP4"/>
    <s v="SOUR2"/>
    <s v="DQS4"/>
    <n v="19221.740000000002"/>
  </r>
  <r>
    <x v="419"/>
    <s v="M_0000_00000244119_000000000000005"/>
    <s v="VEH05"/>
    <s v="2022-09-15"/>
    <s v="CONT1;HFS2;B01;MC02;PR0302;ACPF6;SC0303;STAG1;SUBO2;DEFA2;FORB2;SSC3;PURP6;COLL4;TYVA01;FVAD3"/>
    <s v="51"/>
    <s v="REL01"/>
    <s v="SCOPE_1"/>
    <s v="CAAP4"/>
    <s v="SOUR2"/>
    <s v="DQS4"/>
    <n v="19221.740000000002"/>
  </r>
  <r>
    <x v="419"/>
    <s v="M_0000_00000244119_000000000000004"/>
    <s v="VEH05"/>
    <s v="2022-09-15"/>
    <s v="CONT1;HFS2;B01;MC02;PR0302;ACPF6;SC0303;STAG1;SUBO2;DEFA2;FORB2;SSC3;PURP6;COLL4;TYVA01;FVAD3"/>
    <s v="51"/>
    <s v="REL01"/>
    <s v="SCOPE_1"/>
    <s v="CAAP4"/>
    <s v="SOUR2"/>
    <s v="DQS4"/>
    <n v="19221.740000000002"/>
  </r>
  <r>
    <x v="419"/>
    <s v="M_0000_00000244119_000000000000001"/>
    <s v="VEH05"/>
    <s v="2022-09-15"/>
    <s v="CONT1;HFS2;B01;MC02;PR0302;ACPF6;SC0303;STAG1;SUBO2;DEFA2;FORB2;SSC3;PURP6;COLL4;TYVA01;FVAD3"/>
    <s v="51"/>
    <s v="REL01"/>
    <s v="SCOPE_1"/>
    <s v="CAAP4"/>
    <s v="SOUR2"/>
    <s v="DQS4"/>
    <n v="19221.740000000002"/>
  </r>
  <r>
    <x v="419"/>
    <s v="M_0000_00000244119_000000000000002"/>
    <s v="VEH05"/>
    <s v="2022-09-15"/>
    <s v="CONT1;HFS2;B01;MC02;PR0302;ACPF6;SC0303;STAG1;SUBO2;DEFA2;FORB2;SSC3;PURP6;COLL4;TYVA01;FVAD3"/>
    <s v="51"/>
    <s v="REL01"/>
    <s v="SCOPE_1"/>
    <s v="CAAP4"/>
    <s v="SOUR2"/>
    <s v="DQS4"/>
    <n v="19221.740000000002"/>
  </r>
  <r>
    <x v="420"/>
    <s v="M_0000_00000244123_000000000000001"/>
    <s v="VEH04"/>
    <s v="2022-12-15"/>
    <s v="CONT1;HFS2;B01;MC02;PR0302;ACPF6;SC0303;STAG1;SUBO2;DEFA2;FORB2;SSC4;PURP6;COLL4;TYVA01;FVAD3"/>
    <s v="51"/>
    <s v="REL01"/>
    <s v="SCOPE_1"/>
    <s v="CAAP4"/>
    <s v="SOUR2"/>
    <s v="DQS4"/>
    <n v="224.06"/>
  </r>
  <r>
    <x v="421"/>
    <s v="M_0000_00000244126_000000000000001"/>
    <s v="VEH05"/>
    <s v="2022-08-15"/>
    <s v="CONT1;HFS2;B01;MC02;PR0302;ACPF6;SC0303;STAG1;SUBO2;DEFA2;FORB2;SSC4;PURP6;COLL4;TYVA01;FVAD3"/>
    <s v="51"/>
    <s v="REL01"/>
    <s v="SCOPE_1"/>
    <s v="CAAP4"/>
    <s v="SOUR2"/>
    <s v="DQS4"/>
    <n v="2669.84"/>
  </r>
  <r>
    <x v="422"/>
    <s v="M_0000_00000244180_000000000000001"/>
    <s v="VEH16"/>
    <s v="2022-12-15"/>
    <s v="CONT1;HFS2;B01;MC02;PR0302;ACPF6;SC0303;STAG2;POCI2;SUBO2;DEFA2;FORB2;SSC4;PURP6;COLL4;TYVA01;FVAD3"/>
    <s v="51"/>
    <s v="REL01"/>
    <s v="SCOPE_1"/>
    <s v="CAAP4"/>
    <s v="SOUR2"/>
    <s v="DQS4"/>
    <n v="21564.37"/>
  </r>
  <r>
    <x v="423"/>
    <s v="M_0000_00000244209_000000000000001"/>
    <s v="VEH16"/>
    <s v="2022-11-01"/>
    <s v="CONT1;HFS2;B01;MC02;PR0302;ACPF6;SC0303;STAG2;POCI2;SUBO2;DEFA2;FORB2;SSC4;PURP6;COLL4;TYVA01;FVAD3"/>
    <s v="51"/>
    <s v="REL01"/>
    <s v="SCOPE_1"/>
    <s v="CAAP4"/>
    <s v="SOUR2"/>
    <s v="DQS4"/>
    <n v="25814.22"/>
  </r>
  <r>
    <x v="424"/>
    <s v="M_0000_00000244223_000000000000001"/>
    <s v="VEH16"/>
    <s v="2022-11-01"/>
    <s v="CONT1;HFS2;B01;MC02;PR0302;ACPF6;SC0303;STAG2;POCI2;SUBO2;DEFA2;FORB2;SSC4;PURP6;COLL4;TYVA01;FVAD3"/>
    <s v="51"/>
    <s v="REL01"/>
    <s v="SCOPE_1"/>
    <s v="CAAP4"/>
    <s v="SOUR2"/>
    <s v="DQS4"/>
    <n v="25814.22"/>
  </r>
  <r>
    <x v="425"/>
    <s v="M_0000_00000244234_000000000000001"/>
    <s v="VEH05"/>
    <s v="2022-09-15"/>
    <s v="CONT1;HFS2;B01;MC02;PR0302;ACPF6;SC0303;STAG2;POCI2;SUBO2;DEFA2;FORB2;SSC4;PURP6;COLL4;TYVA01;FVAD3"/>
    <s v="51"/>
    <s v="REL01"/>
    <s v="SCOPE_1"/>
    <s v="CAAP4"/>
    <s v="SOUR2"/>
    <s v="DQS4"/>
    <n v="24053.84"/>
  </r>
  <r>
    <x v="426"/>
    <s v="M_0000_00000244259_000000000000001"/>
    <s v="VEH04"/>
    <s v="2022-09-15"/>
    <s v="CONT1;HFS2;B01;MC02;PR0302;ACPF6;SC0303;STAG2;POCI2;SUBO2;DEFA2;FORB2;SSC4;PURP6;COLL4;TYVA01;FVAD3"/>
    <s v="51"/>
    <s v="REL01"/>
    <s v="SCOPE_1"/>
    <s v="CAAP4"/>
    <s v="SOUR2"/>
    <s v="DQS4"/>
    <n v="914.99"/>
  </r>
  <r>
    <x v="427"/>
    <s v="M_0000_00000244278_000000000000001"/>
    <s v="VEH05"/>
    <s v="2022-10-01"/>
    <s v="CONT1;HFS2;B01;MC02;PR0302;ACPF6;SC0303;STAG1;SUBO2;DEFA2;FORB2;SSC4;PURP6;COLL4;TYVA01;FVAD3"/>
    <s v="51"/>
    <s v="REL01"/>
    <s v="SCOPE_1"/>
    <s v="CAAP4"/>
    <s v="SOUR2"/>
    <s v="DQS4"/>
    <n v="31247.119999999999"/>
  </r>
  <r>
    <x v="428"/>
    <s v="M_0000_00000244296_000000000000001"/>
    <s v="VEH05"/>
    <s v="2022-11-01"/>
    <s v="CONT1;HFS2;B01;MC02;PR0302;ACPF6;SC0303;STAG1;SUBO2;DEFA2;FORB2;SSC4;PURP6;COLL4;TYVA01;FVAD3"/>
    <s v="51"/>
    <s v="REL01"/>
    <s v="SCOPE_1"/>
    <s v="CAAP4"/>
    <s v="SOUR2"/>
    <s v="DQS4"/>
    <n v="23820.71"/>
  </r>
  <r>
    <x v="429"/>
    <s v="M_0000_00000244339_000000000000001"/>
    <s v="VEH04"/>
    <s v="2022-10-01"/>
    <s v="CONT1;HFS2;B01;MC02;PR0302;ACPF6;SC0303;STAG2;POCI2;SUBO2;DEFA2;FORB2;SSC4;PURP6;COLL4;TYVA01;FVAD3"/>
    <s v="51"/>
    <s v="REL01"/>
    <s v="SCOPE_1"/>
    <s v="CAAP4"/>
    <s v="SOUR2"/>
    <s v="DQS4"/>
    <n v="726.85"/>
  </r>
  <r>
    <x v="430"/>
    <s v="M_0000_00000244357_000000000000001"/>
    <s v="VEH05"/>
    <s v="2022-10-15"/>
    <s v="CONT1;HFS2;B01;MC02;PR0302;ACPF6;SC0303;STAG2;POCI2;SUBO2;DEFA2;FORB2;SSC4;PURP6;COLL4;TYVA01;FVAD3"/>
    <s v="51"/>
    <s v="REL01"/>
    <s v="SCOPE_1"/>
    <s v="CAAP4"/>
    <s v="SOUR2"/>
    <s v="DQS4"/>
    <n v="15821.06"/>
  </r>
  <r>
    <x v="431"/>
    <s v="M_0000_00000244417_000000000000001"/>
    <s v="VEH05"/>
    <s v="2022-10-15"/>
    <s v="CONT1;HFS2;B01;MC02;PR0302;ACPF6;SC0303;STAG1;SUBO2;DEFA2;FORB2;SSC4;PURP6;COLL4;TYVA01;FVAD3"/>
    <s v="51"/>
    <s v="REL01"/>
    <s v="SCOPE_1"/>
    <s v="CAAP4"/>
    <s v="SOUR2"/>
    <s v="DQS4"/>
    <n v="31242.29"/>
  </r>
  <r>
    <x v="432"/>
    <s v="M_0000_00000244427_000000000000001"/>
    <s v="VEH04"/>
    <s v="2023-02-01"/>
    <s v="CONT1;HFS2;B01;MC02;PR0302;ACPF6;SC0303;STAG1;SUBO2;DEFA2;FORB2;SSC4;PURP6;COLL4;TYVA01;FVAD3"/>
    <s v="51"/>
    <s v="REL01"/>
    <s v="SCOPE_1"/>
    <s v="CAAP4"/>
    <s v="SOUR2"/>
    <s v="DQS4"/>
    <n v="948.95"/>
  </r>
  <r>
    <x v="433"/>
    <s v="M_0000_00000244444_000000000000005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3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4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10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2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8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6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7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1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9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6"/>
  </r>
  <r>
    <x v="433"/>
    <s v="M_0000_00000244444_000000000000008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2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1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10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5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6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9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7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3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3"/>
    <s v="M_0000_00000244444_000000000000004"/>
    <s v="VEH05"/>
    <s v="2022-11-01"/>
    <s v="CONT1;HFS2;B01;MC02;PR0302;ACPF6;SC0303;STAG2;POCI2;SUBO2;DEFA2;FORB2;SSC4;PURP6;COLL4;TYVA01;FVAD3"/>
    <s v="51"/>
    <s v="REL01"/>
    <s v="SCOPE_1"/>
    <s v="CAAP4"/>
    <s v="SOUR2"/>
    <s v="DQS4"/>
    <n v="7705.35"/>
  </r>
  <r>
    <x v="434"/>
    <s v="M_0000_00000244445_000000000000001"/>
    <s v="VEH04"/>
    <s v="2022-10-15"/>
    <s v="CONT1;HFS2;B01;MC02;PR0302;ACPF6;SC0303;STAG1;SUBO2;DEFA2;FORB2;SSC4;PURP6;COLL4;TYVA01;FVAD3"/>
    <s v="51"/>
    <s v="REL01"/>
    <s v="SCOPE_1"/>
    <s v="CAAP4"/>
    <s v="SOUR2"/>
    <s v="DQS4"/>
    <n v="529.6"/>
  </r>
  <r>
    <x v="435"/>
    <s v="M_0000_00000244467_000000000000001"/>
    <s v="VEH05"/>
    <s v="2024-07-15"/>
    <s v="CONT1;HFS2;B01;MC02;PR0302;ACPF6;SC0303;STAG1;SUBO2;DEFA2;FORB2;SSC4;PURP6;COLL4;TYVA01;FVAD3"/>
    <s v="51"/>
    <s v="REL01"/>
    <s v="SCOPE_1"/>
    <s v="CAAP4"/>
    <s v="SOUR2"/>
    <s v="DQS4"/>
    <n v="16791.36"/>
  </r>
  <r>
    <x v="436"/>
    <s v="M_0000_00000244468_000000000000001"/>
    <s v="VEH05"/>
    <s v="2022-12-15"/>
    <s v="CONT1;HFS2;B01;MC02;PR0302;ACPF6;SC0303;STAG1;SUBO2;DEFA2;FORB2;SSC4;PURP6;COLL4;TYVA01;FVAD3"/>
    <s v="51"/>
    <s v="REL01"/>
    <s v="SCOPE_1"/>
    <s v="CAAP4"/>
    <s v="SOUR2"/>
    <s v="DQS4"/>
    <n v="26178.01"/>
  </r>
  <r>
    <x v="436"/>
    <s v="M_0000_00000244468_000000000000004"/>
    <s v="VEH05"/>
    <s v="2022-12-15"/>
    <s v="CONT1;HFS2;B01;MC02;PR0302;ACPF6;SC0303;STAG1;SUBO2;DEFA2;FORB2;SSC4;PURP6;COLL4;TYVA01;FVAD3"/>
    <s v="51"/>
    <s v="REL01"/>
    <s v="SCOPE_1"/>
    <s v="CAAP4"/>
    <s v="SOUR2"/>
    <s v="DQS4"/>
    <n v="26178.01"/>
  </r>
  <r>
    <x v="436"/>
    <s v="M_0000_00000244468_000000000000002"/>
    <s v="VEH05"/>
    <s v="2022-12-15"/>
    <s v="CONT1;HFS2;B01;MC02;PR0302;ACPF6;SC0303;STAG1;SUBO2;DEFA2;FORB2;SSC4;PURP6;COLL4;TYVA01;FVAD3"/>
    <s v="51"/>
    <s v="REL01"/>
    <s v="SCOPE_1"/>
    <s v="CAAP4"/>
    <s v="SOUR2"/>
    <s v="DQS4"/>
    <n v="26178.01"/>
  </r>
  <r>
    <x v="436"/>
    <s v="M_0000_00000244468_000000000000003"/>
    <s v="VEH05"/>
    <s v="2022-12-15"/>
    <s v="CONT1;HFS2;B01;MC02;PR0302;ACPF6;SC0303;STAG1;SUBO2;DEFA2;FORB2;SSC4;PURP6;COLL4;TYVA01;FVAD3"/>
    <s v="51"/>
    <s v="REL01"/>
    <s v="SCOPE_1"/>
    <s v="CAAP4"/>
    <s v="SOUR2"/>
    <s v="DQS4"/>
    <n v="26178.01"/>
  </r>
  <r>
    <x v="437"/>
    <s v="M_0000_00000244470_000000000000001"/>
    <s v="VEH03"/>
    <s v="2022-11-01"/>
    <s v="CONT1;HFS2;B01;MC02;PR0302;ACPF6;SC0303;STAG2;POCI2;SUBO2;DEFA2;FORB2;SSC4;PURP6;COLL4;TYVA01;FVAD3"/>
    <s v="51"/>
    <s v="REL01"/>
    <s v="SCOPE_1"/>
    <s v="CAAP4"/>
    <s v="SOUR2"/>
    <s v="DQS4"/>
    <n v="26151.05"/>
  </r>
  <r>
    <x v="438"/>
    <s v="M_0000_00000244519_000000000000001"/>
    <s v="VEH05"/>
    <s v="2022-12-15"/>
    <s v="CONT1;HFS2;B01;MC02;PR0302;ACPF6;SC0303;STAG3;POCI2;SUBO2;DEFA1;FORB2;SSC4;PURP6;COLL4;TYVA01;FVAD3"/>
    <s v="51"/>
    <s v="REL01"/>
    <s v="SCOPE_1"/>
    <s v="CAAP4"/>
    <s v="SOUR2"/>
    <s v="DQS4"/>
    <n v="33019.58"/>
  </r>
  <r>
    <x v="439"/>
    <s v="M_0000_00000244531_000000000000002"/>
    <s v="VEH05"/>
    <s v="2023-03-01"/>
    <s v="CONT1;HFS2;B01;MC02;PR0302;ACPF6;SC0303;STAG2;POCI2;SUBO2;DEFA2;FORB2;SSC4;PURP6;COLL4;TYVA01;FVAD3"/>
    <s v="51"/>
    <s v="REL01"/>
    <s v="SCOPE_1"/>
    <s v="CAAP4"/>
    <s v="SOUR2"/>
    <s v="DQS4"/>
    <n v="32508.5"/>
  </r>
  <r>
    <x v="439"/>
    <s v="M_0000_00000244531_000000000000001"/>
    <s v="VEH05"/>
    <s v="2023-03-01"/>
    <s v="CONT1;HFS2;B01;MC02;PR0302;ACPF6;SC0303;STAG2;POCI2;SUBO2;DEFA2;FORB2;SSC4;PURP6;COLL4;TYVA01;FVAD3"/>
    <s v="51"/>
    <s v="REL01"/>
    <s v="SCOPE_1"/>
    <s v="CAAP4"/>
    <s v="SOUR2"/>
    <s v="DQS4"/>
    <n v="32508.5"/>
  </r>
  <r>
    <x v="439"/>
    <s v="M_0000_00000244531_000000000000003"/>
    <s v="VEH05"/>
    <s v="2023-03-01"/>
    <s v="CONT1;HFS2;B01;MC02;PR0302;ACPF6;SC0303;STAG2;POCI2;SUBO2;DEFA2;FORB2;SSC4;PURP6;COLL4;TYVA01;FVAD3"/>
    <s v="51"/>
    <s v="REL01"/>
    <s v="SCOPE_1"/>
    <s v="CAAP4"/>
    <s v="SOUR2"/>
    <s v="DQS4"/>
    <n v="32508.5"/>
  </r>
  <r>
    <x v="440"/>
    <s v="M_0000_00000244562_000000000000001"/>
    <s v="VEH05"/>
    <s v="2022-10-15"/>
    <s v="CONT1;HFS2;B01;MC02;PR0302;ACPF6;SC0303;STAG1;SUBO2;DEFA2;FORB2;SSC4;PURP6;COLL4;TYVA01;FVAD3"/>
    <s v="51"/>
    <s v="REL01"/>
    <s v="SCOPE_1"/>
    <s v="CAAP4"/>
    <s v="SOUR2"/>
    <s v="DQS4"/>
    <n v="17548.919999999998"/>
  </r>
  <r>
    <x v="441"/>
    <s v="M_0000_00000244563_000000000000001"/>
    <s v="VEH05"/>
    <s v="2022-12-01"/>
    <s v="CONT1;HFS2;B01;MC02;PR0302;ACPF6;SC0303;STAG2;POCI2;SUBO2;DEFA2;FORB2;SSC4;PURP6;COLL4;TYVA01;FVAD3"/>
    <s v="51"/>
    <s v="REL01"/>
    <s v="SCOPE_1"/>
    <s v="CAAP4"/>
    <s v="SOUR2"/>
    <s v="DQS4"/>
    <n v="28674.98"/>
  </r>
  <r>
    <x v="442"/>
    <s v="M_0000_00000244580_000000000000001"/>
    <s v="VEH05"/>
    <s v="2022-11-15"/>
    <s v="CONT1;HFS2;B01;MC02;PR0302;ACPF6;SC0303;STAG1;SUBO2;DEFA2;FORB2;SSC4;PURP6;COLL4;TYVA01;FVAD3"/>
    <s v="51"/>
    <s v="REL01"/>
    <s v="SCOPE_1"/>
    <s v="CAAP4"/>
    <s v="SOUR2"/>
    <s v="DQS4"/>
    <n v="21246.75"/>
  </r>
  <r>
    <x v="443"/>
    <s v="M_0000_00000244586_000000000000001"/>
    <s v="VEH05"/>
    <s v="2022-12-15"/>
    <s v="CONT1;HFS2;B01;MC02;PR0302;ACPF6;SC0303;STAG1;SUBO2;DEFA2;FORB2;SSC4;PURP6;COLL4;TYVA01;FVAD3"/>
    <s v="51"/>
    <s v="REL01"/>
    <s v="SCOPE_1"/>
    <s v="CAAP4"/>
    <s v="SOUR2"/>
    <s v="DQS4"/>
    <n v="38147.71"/>
  </r>
  <r>
    <x v="444"/>
    <s v="M_0000_00000244587_000000000000001"/>
    <s v="VEH05"/>
    <s v="2022-12-15"/>
    <s v="CONT1;HFS2;B01;MC02;PR0302;ACPF6;SC0303;STAG1;SUBO2;DEFA2;FORB2;SSC4;PURP6;COLL4;TYVA01;FVAD3"/>
    <s v="51"/>
    <s v="REL01"/>
    <s v="SCOPE_1"/>
    <s v="CAAP4"/>
    <s v="SOUR2"/>
    <s v="DQS4"/>
    <n v="38147.71"/>
  </r>
  <r>
    <x v="445"/>
    <s v="M_0000_00000244613_000000000000001"/>
    <s v="VEH05"/>
    <s v="2022-11-15"/>
    <s v="CONT1;HFS2;B01;MC02;PR0302;ACPF6;SC0303;STAG1;SUBO2;DEFA2;FORB2;SSC4;PURP6;COLL4;TYVA01;FVAD3"/>
    <s v="51"/>
    <s v="REL01"/>
    <s v="SCOPE_1"/>
    <s v="CAAP4"/>
    <s v="SOUR2"/>
    <s v="DQS4"/>
    <n v="27809.599999999999"/>
  </r>
  <r>
    <x v="446"/>
    <s v="M_0000_00000244614_000000000000001"/>
    <s v="VEH05"/>
    <s v="2022-11-15"/>
    <s v="CONT1;HFS2;B01;MC02;PR0302;ACPF6;SC0303;STAG1;SUBO2;DEFA2;FORB2;SSC4;PURP6;COLL4;TYVA01;FVAD3"/>
    <s v="51"/>
    <s v="REL01"/>
    <s v="SCOPE_1"/>
    <s v="CAAP4"/>
    <s v="SOUR2"/>
    <s v="DQS4"/>
    <n v="27809.599999999999"/>
  </r>
  <r>
    <x v="447"/>
    <s v="M_0000_00000244615_000000000000001"/>
    <s v="VEH05"/>
    <s v="2022-11-15"/>
    <s v="CONT1;HFS2;B01;MC02;PR0302;ACPF6;SC0303;STAG1;SUBO2;DEFA2;FORB2;SSC4;PURP6;COLL4;TYVA01;FVAD3"/>
    <s v="51"/>
    <s v="REL01"/>
    <s v="SCOPE_1"/>
    <s v="CAAP4"/>
    <s v="SOUR2"/>
    <s v="DQS4"/>
    <n v="27809.599999999999"/>
  </r>
  <r>
    <x v="448"/>
    <s v="M_0000_00000244665_000000000000001"/>
    <s v="VEH05"/>
    <s v="2023-02-15"/>
    <s v="CONT1;HFS2;B01;MC02;PR0302;ACPF6;SC0303;STAG2;POCI2;SUBO2;DEFA2;FORB2;SSC4;PURP6;COLL4;TYVA01;FVAD3"/>
    <s v="51"/>
    <s v="REL01"/>
    <s v="SCOPE_1"/>
    <s v="CAAP4"/>
    <s v="SOUR2"/>
    <s v="DQS4"/>
    <n v="35377.49"/>
  </r>
  <r>
    <x v="449"/>
    <s v="M_0000_00000244677_000000000000001"/>
    <s v="VEH05"/>
    <s v="2022-11-15"/>
    <s v="CONT1;HFS2;B01;MC02;PR0302;ACPF6;SC0303;STAG1;SUBO2;DEFA2;FORB2;SSC4;PURP6;COLL4;TYVA01;FVAD3"/>
    <s v="51"/>
    <s v="REL01"/>
    <s v="SCOPE_1"/>
    <s v="CAAP4"/>
    <s v="SOUR2"/>
    <s v="DQS4"/>
    <n v="12403.18"/>
  </r>
  <r>
    <x v="450"/>
    <s v="M_0000_00000244712_000000000000002"/>
    <s v="VEH04"/>
    <s v="2023-01-01"/>
    <s v="CONT1;HFS2;B01;MC02;PR0302;ACPF6;SC0303;STAG2;POCI2;SUBO2;DEFA2;FORB2;SSC4;PURP6;COLL4;TYVA01;FVAD3"/>
    <s v="51"/>
    <s v="REL01"/>
    <s v="SCOPE_1"/>
    <s v="CAAP4"/>
    <s v="SOUR2"/>
    <s v="DQS4"/>
    <n v="858.05"/>
  </r>
  <r>
    <x v="450"/>
    <s v="M_0000_00000244712_000000000000003"/>
    <s v="VEH04"/>
    <s v="2023-01-01"/>
    <s v="CONT1;HFS2;B01;MC02;PR0302;ACPF6;SC0303;STAG2;POCI2;SUBO2;DEFA2;FORB2;SSC4;PURP6;COLL4;TYVA01;FVAD3"/>
    <s v="51"/>
    <s v="REL01"/>
    <s v="SCOPE_1"/>
    <s v="CAAP4"/>
    <s v="SOUR2"/>
    <s v="DQS4"/>
    <n v="858.05"/>
  </r>
  <r>
    <x v="450"/>
    <s v="M_0000_00000244712_000000000000001"/>
    <s v="VEH04"/>
    <s v="2023-01-01"/>
    <s v="CONT1;HFS2;B01;MC02;PR0302;ACPF6;SC0303;STAG2;POCI2;SUBO2;DEFA2;FORB2;SSC4;PURP6;COLL4;TYVA01;FVAD3"/>
    <s v="51"/>
    <s v="REL01"/>
    <s v="SCOPE_1"/>
    <s v="CAAP4"/>
    <s v="SOUR2"/>
    <s v="DQS4"/>
    <n v="858.05"/>
  </r>
  <r>
    <x v="450"/>
    <s v="M_0000_00000244712_000000000000004"/>
    <s v="VEH04"/>
    <s v="2023-01-01"/>
    <s v="CONT1;HFS2;B01;MC02;PR0302;ACPF6;SC0303;STAG2;POCI2;SUBO2;DEFA2;FORB2;SSC4;PURP6;COLL4;TYVA01;FVAD3"/>
    <s v="51"/>
    <s v="REL01"/>
    <s v="SCOPE_1"/>
    <s v="CAAP4"/>
    <s v="SOUR2"/>
    <s v="DQS4"/>
    <n v="858.05"/>
  </r>
  <r>
    <x v="451"/>
    <s v="M_0000_00000244718_000000000000001"/>
    <s v="VEH16"/>
    <s v="2022-12-15"/>
    <s v="CONT1;HFS2;B01;MC02;PR0302;ACPF6;SC0303;STAG1;SUBO2;DEFA2;FORB2;SSC4;PURP6;COLL4;TYVA01;FVAD3"/>
    <s v="51"/>
    <s v="REL01"/>
    <s v="SCOPE_1"/>
    <s v="CAAP4"/>
    <s v="SOUR2"/>
    <s v="DQS4"/>
    <n v="27508.57"/>
  </r>
  <r>
    <x v="452"/>
    <s v="M_0000_00000244719_000000000000001"/>
    <s v="VEH16"/>
    <s v="2022-12-15"/>
    <s v="CONT1;HFS2;B01;MC02;PR0302;ACPF6;SC0303;STAG1;SUBO2;DEFA2;FORB2;SSC4;PURP6;COLL4;TYVA01;FVAD3"/>
    <s v="51"/>
    <s v="REL01"/>
    <s v="SCOPE_1"/>
    <s v="CAAP4"/>
    <s v="SOUR2"/>
    <s v="DQS4"/>
    <n v="27508.57"/>
  </r>
  <r>
    <x v="453"/>
    <s v="M_0000_00000244720_000000000000001"/>
    <s v="VEH16"/>
    <s v="2022-12-15"/>
    <s v="CONT1;HFS2;B01;MC02;PR0302;ACPF6;SC0303;STAG1;SUBO2;DEFA2;FORB2;SSC4;PURP6;COLL4;TYVA01;FVAD3"/>
    <s v="51"/>
    <s v="REL01"/>
    <s v="SCOPE_1"/>
    <s v="CAAP4"/>
    <s v="SOUR2"/>
    <s v="DQS4"/>
    <n v="27508.57"/>
  </r>
  <r>
    <x v="454"/>
    <s v="M_0000_00000244721_000000000000001"/>
    <s v="VEH16"/>
    <s v="2022-12-15"/>
    <s v="CONT1;HFS2;B01;MC02;PR0302;ACPF6;SC0303;STAG1;SUBO2;DEFA2;FORB2;SSC4;PURP6;COLL4;TYVA01;FVAD3"/>
    <s v="51"/>
    <s v="REL01"/>
    <s v="SCOPE_1"/>
    <s v="CAAP4"/>
    <s v="SOUR2"/>
    <s v="DQS4"/>
    <n v="27508.57"/>
  </r>
  <r>
    <x v="455"/>
    <s v="M_0000_00000244734_000000000000001"/>
    <s v="VEH16"/>
    <s v="2022-12-15"/>
    <s v="CONT1;HFS2;B01;MC02;PR0302;ACPF6;SC0303;STAG1;SUBO2;DEFA2;FORB2;SSC4;PURP6;COLL4;TYVA01;FVAD3"/>
    <s v="51"/>
    <s v="REL01"/>
    <s v="SCOPE_1"/>
    <s v="CAAP4"/>
    <s v="SOUR2"/>
    <s v="DQS4"/>
    <n v="27657.75"/>
  </r>
  <r>
    <x v="456"/>
    <s v="M_0000_00000244736_000000000000001"/>
    <s v="VEH01"/>
    <s v="2022-11-15"/>
    <s v="CONT1;HFS2;B01;MC02;PR0302;ACPF6;SC0303;STAG1;SUBO2;DEFA2;FORB2;SSC3;PURP6;COLL4;TYVA01;FVAD3"/>
    <s v="51"/>
    <s v="REL01"/>
    <s v="SCOPE_2"/>
    <s v="CAAP4"/>
    <s v="SOUR2"/>
    <s v="DQS4"/>
    <n v="87.6"/>
  </r>
  <r>
    <x v="457"/>
    <s v="M_0000_00000244737_000000000000001"/>
    <s v="VEH04"/>
    <s v="2022-12-15"/>
    <s v="CONT1;HFS2;B01;MC02;PR0302;ACPF6;SC0303;STAG1;SUBO2;DEFA2;FORB2;SSC4;PURP6;COLL4;TYVA01;FVAD3"/>
    <s v="51"/>
    <s v="REL01"/>
    <s v="SCOPE_1"/>
    <s v="CAAP4"/>
    <s v="SOUR2"/>
    <s v="DQS4"/>
    <n v="1014.7"/>
  </r>
  <r>
    <x v="458"/>
    <s v="M_0000_00000244757_000000000000001"/>
    <s v="VEH16"/>
    <s v="2023-01-15"/>
    <s v="CONT1;HFS2;B01;MC02;PR0302;ACPF6;SC0303;STAG1;SUBO2;DEFA2;FORB2;SSC4;PURP6;COLL4;TYVA01;FVAD3"/>
    <s v="51"/>
    <s v="REL01"/>
    <s v="SCOPE_1"/>
    <s v="CAAP4"/>
    <s v="SOUR2"/>
    <s v="DQS4"/>
    <n v="22321.83"/>
  </r>
  <r>
    <x v="459"/>
    <s v="M_0000_00000244758_000000000000001"/>
    <s v="VEH16"/>
    <s v="2023-01-15"/>
    <s v="CONT1;HFS2;B01;MC02;PR0302;ACPF6;SC0303;STAG1;SUBO2;DEFA2;FORB2;SSC4;PURP6;COLL4;TYVA01;FVAD3"/>
    <s v="51"/>
    <s v="REL01"/>
    <s v="SCOPE_1"/>
    <s v="CAAP4"/>
    <s v="SOUR2"/>
    <s v="DQS4"/>
    <n v="22321.83"/>
  </r>
  <r>
    <x v="460"/>
    <s v="M_0000_00000244760_000000000000001"/>
    <s v="VEH16"/>
    <s v="2023-01-15"/>
    <s v="CONT1;HFS2;B01;MC02;PR0302;ACPF6;SC0303;STAG1;SUBO2;DEFA2;FORB2;SSC4;PURP6;COLL4;TYVA01;FVAD3"/>
    <s v="51"/>
    <s v="REL01"/>
    <s v="SCOPE_1"/>
    <s v="CAAP4"/>
    <s v="SOUR2"/>
    <s v="DQS4"/>
    <n v="22321.83"/>
  </r>
  <r>
    <x v="461"/>
    <s v="M_0000_00000244761_000000000000001"/>
    <s v="VEH16"/>
    <s v="2023-01-15"/>
    <s v="CONT1;HFS2;B01;MC02;PR0302;ACPF6;SC0303;STAG1;SUBO2;DEFA2;FORB2;SSC4;PURP6;COLL4;TYVA01;FVAD3"/>
    <s v="51"/>
    <s v="REL01"/>
    <s v="SCOPE_1"/>
    <s v="CAAP4"/>
    <s v="SOUR2"/>
    <s v="DQS4"/>
    <n v="22321.83"/>
  </r>
  <r>
    <x v="462"/>
    <s v="M_0000_00000244762_000000000000001"/>
    <s v="VEH16"/>
    <s v="2023-01-15"/>
    <s v="CONT1;HFS2;B01;MC02;PR0302;ACPF6;SC0303;STAG1;SUBO2;DEFA2;FORB2;SSC4;PURP6;COLL4;TYVA01;FVAD3"/>
    <s v="51"/>
    <s v="REL01"/>
    <s v="SCOPE_1"/>
    <s v="CAAP4"/>
    <s v="SOUR2"/>
    <s v="DQS4"/>
    <n v="22321.83"/>
  </r>
  <r>
    <x v="463"/>
    <s v="M_0000_00000244772_000000000000001"/>
    <s v="VEH16"/>
    <s v="2022-12-15"/>
    <s v="CONT1;HFS2;B01;MC02;PR0302;ACPF6;SC0303;STAG1;SUBO2;DEFA2;FORB2;SSC4;PURP6;COLL4;TYVA01;FVAD3"/>
    <s v="51"/>
    <s v="REL01"/>
    <s v="SCOPE_1"/>
    <s v="CAAP4"/>
    <s v="SOUR2"/>
    <s v="DQS4"/>
    <n v="24286.81"/>
  </r>
  <r>
    <x v="464"/>
    <s v="M_0000_00000244775_000000000000001"/>
    <s v="VEH16"/>
    <s v="2023-02-15"/>
    <s v="CONT1;HFS2;B01;MC02;PR0302;ACPF6;SC0303;STAG1;SUBO2;DEFA2;FORB2;SSC4;PURP6;COLL4;TYVA01;FVAD3"/>
    <s v="51"/>
    <s v="REL01"/>
    <s v="SCOPE_1"/>
    <s v="CAAP4"/>
    <s v="SOUR2"/>
    <s v="DQS4"/>
    <n v="23626.85"/>
  </r>
  <r>
    <x v="465"/>
    <s v="M_0000_00000244780_000000000000001"/>
    <s v="VEH05"/>
    <s v="2022-12-15"/>
    <s v="CONT1;HFS2;B01;MC02;PR0302;ACPF6;SC0303;STAG2;POCI2;SUBO2;DEFA2;FORB2;SSC4;PURP6;COLL4;TYVA01;FVAD3"/>
    <s v="51"/>
    <s v="REL01"/>
    <s v="SCOPE_1"/>
    <s v="CAAP4"/>
    <s v="SOUR2"/>
    <s v="DQS4"/>
    <n v="28631.01"/>
  </r>
  <r>
    <x v="466"/>
    <s v="M_0000_00000244786_000000000000001"/>
    <s v="VEH05"/>
    <s v="2022-12-15"/>
    <s v="CONT1;HFS2;B01;MC02;PR0302;ACPF6;SC0303;STAG2;POCI2;SUBO2;DEFA2;FORB2;SSC4;PURP6;COLL4;TYVA01;FVAD3"/>
    <s v="51"/>
    <s v="REL01"/>
    <s v="SCOPE_1"/>
    <s v="CAAP4"/>
    <s v="SOUR2"/>
    <s v="DQS4"/>
    <n v="28631.01"/>
  </r>
  <r>
    <x v="467"/>
    <s v="M_0000_00000244789_000000000000001"/>
    <s v="VEH01"/>
    <s v="2022-12-15"/>
    <s v="CONT1;HFS2;B01;MC02;PR0302;ACPF6;SC0303;STAG1;SUBO2;DEFA2;FORB2;SSC3;PURP6;COLL4;TYVA01;FVAD3"/>
    <s v="51"/>
    <s v="REL01"/>
    <s v="SCOPE_1"/>
    <s v="CAAP4"/>
    <s v="SOUR2"/>
    <s v="DQS4"/>
    <n v="541.42999999999995"/>
  </r>
  <r>
    <x v="468"/>
    <s v="M_0000_00000244792_000000000000001"/>
    <s v="VEH04"/>
    <s v="2023-01-15"/>
    <s v="CONT1;HFS2;B01;MC02;PR0302;ACPF6;SC0303;STAG1;SUBO2;DEFA2;FORB2;SSC4;PURP6;COLL4;TYVA01;FVAD3"/>
    <s v="51"/>
    <s v="REL01"/>
    <s v="SCOPE_1"/>
    <s v="CAAP4"/>
    <s v="SOUR2"/>
    <s v="DQS4"/>
    <n v="404.99"/>
  </r>
  <r>
    <x v="469"/>
    <s v="M_0000_00000244846_000000000000001"/>
    <s v="VEH04"/>
    <s v="2023-02-15"/>
    <s v="CONT1;HFS2;B01;MC02;PR0302;ACPF6;SC0303;STAG1;SUBO2;DEFA2;FORB2;SSC4;PURP6;COLL4;TYVA01;FVAD3"/>
    <s v="51"/>
    <s v="REL01"/>
    <s v="SCOPE_1"/>
    <s v="CAAP4"/>
    <s v="SOUR2"/>
    <s v="DQS4"/>
    <n v="1078.43"/>
  </r>
  <r>
    <x v="470"/>
    <s v="M_0000_00000244849_000000000000001"/>
    <s v="VEH05"/>
    <s v="2022-12-15"/>
    <s v="CONT1;HFS2;B01;MC02;PR0302;ACPF6;SC0303;STAG2;POCI2;SUBO2;DEFA2;FORB2;SSC4;PURP6;COLL4;TYVA01;FVAD3"/>
    <s v="51"/>
    <s v="REL01"/>
    <s v="SCOPE_1"/>
    <s v="CAAP4"/>
    <s v="SOUR2"/>
    <s v="DQS4"/>
    <n v="28534.66"/>
  </r>
  <r>
    <x v="471"/>
    <s v="M_0000_00000244899_000000000000001"/>
    <s v="VEH01"/>
    <s v="2023-03-15"/>
    <s v="CONT1;HFS2;B01;MC02;PR0302;ACPF6;SC0303;STAG2;POCI2;SUBO2;DEFA2;FORB2;SSC4;PURP6;COLL4;TYVA01;FVAD3"/>
    <s v="51"/>
    <s v="REL01"/>
    <s v="SCOPE_1"/>
    <s v="CAAP4"/>
    <s v="SOUR2"/>
    <s v="DQS4"/>
    <n v="400.52"/>
  </r>
  <r>
    <x v="471"/>
    <s v="M_0000_00000244899_000000000000001"/>
    <s v="VEH01"/>
    <s v="2023-03-15"/>
    <s v="CONT1;HFS2;B01;MC02;PR0302;ACPF6;SC0303;STAG2;POCI2;SUBO2;DEFA2;FORB2;SSC4;PURP6;COLL4;TYVA01;FVAD3"/>
    <s v="51"/>
    <s v="REL01"/>
    <s v="SCOPE_2"/>
    <s v="CAAP4"/>
    <s v="SOUR2"/>
    <s v="DQS4"/>
    <n v="340.21"/>
  </r>
  <r>
    <x v="472"/>
    <s v="M_0000_00000244917_000000000000001"/>
    <s v="VEH05"/>
    <s v="2023-01-01"/>
    <s v="CONT1;HFS2;B01;MC02;PR0302;ACPF6;SC0303;STAG2;POCI2;SUBO2;DEFA2;FORB2;SSC4;PURP6;COLL4;TYVA01;FVAD3"/>
    <s v="51"/>
    <s v="REL01"/>
    <s v="SCOPE_1"/>
    <s v="CAAP4"/>
    <s v="SOUR2"/>
    <s v="DQS4"/>
    <n v="29327.68"/>
  </r>
  <r>
    <x v="473"/>
    <s v="M_0000_00000244918_000000000000001"/>
    <s v="VEH05"/>
    <s v="2022-12-15"/>
    <s v="CONT1;HFS2;B01;MC02;PR0302;ACPF6;SC0303;STAG1;SUBO2;DEFA2;FORB2;SSC4;PURP6;COLL4;TYVA01;FVAD3"/>
    <s v="51"/>
    <s v="REL01"/>
    <s v="SCOPE_1"/>
    <s v="CAAP4"/>
    <s v="SOUR2"/>
    <s v="DQS4"/>
    <n v="26178.05"/>
  </r>
  <r>
    <x v="474"/>
    <s v="M_0000_00000244921_000000000000001"/>
    <s v="VEH01"/>
    <s v="2023-01-01"/>
    <s v="CONT1;HFS2;B01;MC02;PR0302;ACPF6;SC0303;STAG1;SUBO2;DEFA2;FORB2;SSC4;PURP6;COLL4;TYVA01;FVAD3"/>
    <s v="51"/>
    <s v="REL01"/>
    <s v="SCOPE_1"/>
    <s v="CAAP4"/>
    <s v="SOUR2"/>
    <s v="DQS4"/>
    <n v="1095.1199999999999"/>
  </r>
  <r>
    <x v="475"/>
    <s v="M_0000_00000244924_000000000000001"/>
    <s v="VEH04"/>
    <s v="2023-02-01"/>
    <s v="CONT1;HFS2;B01;MC02;PR0302;ACPF6;SC0303;STAG1;SUBO2;DEFA2;FORB2;SSC4;PURP6;COLL4;TYVA01;FVAD3"/>
    <s v="51"/>
    <s v="REL01"/>
    <s v="SCOPE_1"/>
    <s v="CAAP4"/>
    <s v="SOUR2"/>
    <s v="DQS4"/>
    <n v="951.03"/>
  </r>
  <r>
    <x v="476"/>
    <s v="M_0000_00000244926_000000000000001"/>
    <s v="VEH04"/>
    <s v="2023-03-01"/>
    <s v="CONT1;HFS2;B01;MC02;PR0302;ACPF6;SC0303;STAG1;SUBO2;DEFA2;FORB2;SSC4;PURP6;COLL4;TYVA01;FVAD3"/>
    <s v="51"/>
    <s v="REL01"/>
    <s v="SCOPE_1"/>
    <s v="CAAP4"/>
    <s v="SOUR2"/>
    <s v="DQS4"/>
    <n v="883.36"/>
  </r>
  <r>
    <x v="477"/>
    <s v="M_0000_00000244933_000000000000001"/>
    <s v="VEH01"/>
    <s v="2022-12-15"/>
    <s v="CONT1;HFS2;B01;MC02;PR0302;ACPF6;SC0303;STAG1;SUBO2;DEFA2;FORB2;SSC4;PURP6;COLL4;TYVA01;FVAD3"/>
    <s v="51"/>
    <s v="REL01"/>
    <s v="SCOPE_2"/>
    <s v="CAAP4"/>
    <s v="SOUR2"/>
    <s v="DQS4"/>
    <n v="294.45999999999998"/>
  </r>
  <r>
    <x v="478"/>
    <s v="M_0000_00000244934_000000000000001"/>
    <s v="VEH01"/>
    <s v="2022-12-15"/>
    <s v="CONT1;HFS2;B01;MC02;PR0302;ACPF6;SC0303;STAG1;SUBO2;DEFA2;FORB2;SSC4;PURP6;COLL4;TYVA01;FVAD3"/>
    <s v="51"/>
    <s v="REL01"/>
    <s v="SCOPE_2"/>
    <s v="CAAP4"/>
    <s v="SOUR2"/>
    <s v="DQS4"/>
    <n v="294.45999999999998"/>
  </r>
  <r>
    <x v="479"/>
    <s v="M_0000_00000244940_000000000000001"/>
    <s v="VEH05"/>
    <s v="2023-01-15"/>
    <s v="CONT1;HFS2;B01;MC02;PR0302;ACPF6;SC0303;STAG2;POCI2;SUBO2;DEFA2;FORB2;SSC4;PURP6;COLL4;TYVA01;FVAD3"/>
    <s v="51"/>
    <s v="REL01"/>
    <s v="SCOPE_1"/>
    <s v="CAAP4"/>
    <s v="SOUR2"/>
    <s v="DQS4"/>
    <n v="22964.36"/>
  </r>
  <r>
    <x v="480"/>
    <s v="M_0000_00000244968_000000000000001"/>
    <s v="VEH04"/>
    <s v="2023-02-01"/>
    <s v="CONT1;HFS2;B01;MC02;PR0302;ACPF6;SC0303;STAG2;POCI2;SUBO2;DEFA2;FORB2;SSC4;PURP6;COLL4;TYVA01;FVAD3"/>
    <s v="51"/>
    <s v="REL01"/>
    <s v="SCOPE_1"/>
    <s v="CAAP4"/>
    <s v="SOUR2"/>
    <s v="DQS4"/>
    <n v="1316.98"/>
  </r>
  <r>
    <x v="481"/>
    <s v="M_0000_00000245000_000000000000001"/>
    <s v="VEH05"/>
    <s v="2023-02-15"/>
    <s v="CONT1;HFS2;B01;MC02;PR0302;ACPF6;SC0303;STAG2;POCI2;SUBO2;DEFA2;FORB2;SSC4;PURP6;COLL4;TYVA01;FVAD3"/>
    <s v="51"/>
    <s v="REL01"/>
    <s v="SCOPE_1"/>
    <s v="CAAP4"/>
    <s v="SOUR2"/>
    <s v="DQS4"/>
    <n v="27890.1"/>
  </r>
  <r>
    <x v="482"/>
    <s v="M_0000_00000245011_000000000000001"/>
    <s v="VEH05"/>
    <s v="2023-01-01"/>
    <s v="CONT1;HFS2;B01;MC02;PR0302;ACPF6;SC0303;STAG1;SUBO2;DEFA2;FORB2;SSC4;PURP6;COLL4;TYVA01;FVAD3"/>
    <s v="51"/>
    <s v="REL01"/>
    <s v="SCOPE_1"/>
    <s v="CAAP4"/>
    <s v="SOUR2"/>
    <s v="DQS4"/>
    <n v="27336.57"/>
  </r>
  <r>
    <x v="483"/>
    <s v="M_0000_00000245018_000000000000001"/>
    <s v="VEH04"/>
    <s v="2023-01-15"/>
    <s v="CONT1;HFS2;B01;MC02;PR0302;ACPF6;SC0303;STAG3;POCI2;SUBO2;DEFA1;FORB2;SSC4;PURP6;COLL4;TYVA01;FVAD3"/>
    <s v="51"/>
    <s v="REL01"/>
    <s v="SCOPE_1"/>
    <s v="CAAP4"/>
    <s v="SOUR2"/>
    <s v="DQS4"/>
    <n v="1517.66"/>
  </r>
  <r>
    <x v="484"/>
    <s v="M_0000_00000245052_000000000000001"/>
    <s v="VEH04"/>
    <s v="2023-02-15"/>
    <s v="CONT1;HFS2;B01;MC02;PR0302;ACPF6;SC0303;STAG1;SUBO2;DEFA2;FORB2;SSC4;PURP6;COLL4;TYVA01;FVAD3"/>
    <s v="51"/>
    <s v="REL01"/>
    <s v="SCOPE_2"/>
    <s v="CAAP4"/>
    <s v="SOUR2"/>
    <s v="DQS4"/>
    <n v="237.28"/>
  </r>
  <r>
    <x v="485"/>
    <s v="M_0000_00000245053_000000000000001"/>
    <s v="VEH04"/>
    <s v="2023-02-15"/>
    <s v="CONT1;HFS2;B01;MC02;PR0302;ACPF6;SC0303;STAG1;SUBO2;DEFA2;FORB2;SSC4;PURP6;COLL4;TYVA01;FVAD3"/>
    <s v="51"/>
    <s v="REL01"/>
    <s v="SCOPE_2"/>
    <s v="CAAP4"/>
    <s v="SOUR2"/>
    <s v="DQS4"/>
    <n v="237.28"/>
  </r>
  <r>
    <x v="486"/>
    <s v="M_0000_00000245054_000000000000003"/>
    <s v="VEH04"/>
    <s v="2023-02-15"/>
    <s v="CONT1;HFS2;B01;MC02;PR0302;ACPF6;SC0303;STAG1;SUBO2;DEFA2;FORB2;SSC4;PURP6;COLL4;TYVA01;FVAD3"/>
    <s v="51"/>
    <s v="REL01"/>
    <s v="SCOPE_2"/>
    <s v="CAAP4"/>
    <s v="SOUR2"/>
    <s v="DQS4"/>
    <n v="236.89"/>
  </r>
  <r>
    <x v="486"/>
    <s v="M_0000_00000245054_000000000000002"/>
    <s v="VEH04"/>
    <s v="2023-02-15"/>
    <s v="CONT1;HFS2;B01;MC02;PR0302;ACPF6;SC0303;STAG1;SUBO2;DEFA2;FORB2;SSC4;PURP6;COLL4;TYVA01;FVAD3"/>
    <s v="51"/>
    <s v="REL01"/>
    <s v="SCOPE_2"/>
    <s v="CAAP4"/>
    <s v="SOUR2"/>
    <s v="DQS4"/>
    <n v="236.89"/>
  </r>
  <r>
    <x v="486"/>
    <s v="M_0000_00000245054_000000000000001"/>
    <s v="VEH04"/>
    <s v="2023-02-15"/>
    <s v="CONT1;HFS2;B01;MC02;PR0302;ACPF6;SC0303;STAG1;SUBO2;DEFA2;FORB2;SSC4;PURP6;COLL4;TYVA01;FVAD3"/>
    <s v="51"/>
    <s v="REL01"/>
    <s v="SCOPE_2"/>
    <s v="CAAP4"/>
    <s v="SOUR2"/>
    <s v="DQS4"/>
    <n v="236.89"/>
  </r>
  <r>
    <x v="487"/>
    <s v="M_0000_00000245062_000000000000001"/>
    <s v="VEH04"/>
    <s v="2023-03-15"/>
    <s v="CONT1;HFS2;B01;MC02;PR0302;ACPF6;SC0303;STAG1;SUBO2;DEFA2;FORB2;SSC4;PURP6;COLL4;TYVA01;FVAD3"/>
    <s v="51"/>
    <s v="REL01"/>
    <s v="SCOPE_2"/>
    <s v="CAAP4"/>
    <s v="SOUR2"/>
    <s v="DQS4"/>
    <n v="65.209999999999994"/>
  </r>
  <r>
    <x v="488"/>
    <s v="M_0000_00000245141_000000000000001"/>
    <s v="VEH05"/>
    <s v="2023-02-15"/>
    <s v="CONT1;HFS2;B01;MC02;PR0302;ACPF6;SC0303;STAG1;SUBO2;DEFA2;FORB2;SSC4;PURP6;COLL4;TYVA01;FVAD3"/>
    <s v="51"/>
    <s v="REL01"/>
    <s v="SCOPE_1"/>
    <s v="CAAP4"/>
    <s v="SOUR2"/>
    <s v="DQS4"/>
    <n v="28107.439999999999"/>
  </r>
  <r>
    <x v="489"/>
    <s v="M_0000_00000245142_000000000000001"/>
    <s v="VEH05"/>
    <s v="2023-02-15"/>
    <s v="CONT1;HFS2;B01;MC02;PR0302;ACPF6;SC0303;STAG1;SUBO2;DEFA2;FORB2;SSC4;PURP6;COLL4;TYVA01;FVAD3"/>
    <s v="51"/>
    <s v="REL01"/>
    <s v="SCOPE_1"/>
    <s v="CAAP4"/>
    <s v="SOUR2"/>
    <s v="DQS4"/>
    <n v="28107.439999999999"/>
  </r>
  <r>
    <x v="490"/>
    <s v="M_0000_00000245155_000000000000002"/>
    <s v="VEH04"/>
    <s v="2023-03-01"/>
    <s v="CONT1;HFS2;B01;MC02;PR0302;ACPF6;SC0303;STAG2;POCI2;SUBO2;DEFA2;FORB2;SSC4;PURP6;COLL4;TYVA01;FVAD3"/>
    <s v="51"/>
    <s v="REL01"/>
    <s v="SCOPE_1"/>
    <s v="CAAP4"/>
    <s v="SOUR2"/>
    <s v="DQS4"/>
    <n v="949.03"/>
  </r>
  <r>
    <x v="490"/>
    <s v="M_0000_00000245155_000000000000001"/>
    <s v="VEH04"/>
    <s v="2023-03-01"/>
    <s v="CONT1;HFS2;B01;MC02;PR0302;ACPF6;SC0303;STAG2;POCI2;SUBO2;DEFA2;FORB2;SSC4;PURP6;COLL4;TYVA01;FVAD3"/>
    <s v="51"/>
    <s v="REL01"/>
    <s v="SCOPE_1"/>
    <s v="CAAP4"/>
    <s v="SOUR2"/>
    <s v="DQS4"/>
    <n v="949.03"/>
  </r>
  <r>
    <x v="491"/>
    <s v="M_0000_00000245157_000000000000002"/>
    <s v="VEH05"/>
    <s v="2023-02-01"/>
    <s v="CONT1;HFS2;B01;MC02;PR0302;ACPF6;SC0303;STAG1;SUBO2;DEFA2;FORB2;SSC3;PURP6;COLL4;TYVA01;FVAD3"/>
    <s v="51"/>
    <s v="REL01"/>
    <s v="SCOPE_1"/>
    <s v="CAAP4"/>
    <s v="SOUR2"/>
    <s v="DQS4"/>
    <n v="24925.119999999999"/>
  </r>
  <r>
    <x v="491"/>
    <s v="M_0000_00000245157_000000000000003"/>
    <s v="VEH05"/>
    <s v="2023-02-01"/>
    <s v="CONT1;HFS2;B01;MC02;PR0302;ACPF6;SC0303;STAG1;SUBO2;DEFA2;FORB2;SSC3;PURP6;COLL4;TYVA01;FVAD3"/>
    <s v="51"/>
    <s v="REL01"/>
    <s v="SCOPE_1"/>
    <s v="CAAP4"/>
    <s v="SOUR2"/>
    <s v="DQS4"/>
    <n v="24925.119999999999"/>
  </r>
  <r>
    <x v="491"/>
    <s v="M_0000_00000245157_000000000000001"/>
    <s v="VEH05"/>
    <s v="2023-02-01"/>
    <s v="CONT1;HFS2;B01;MC02;PR0302;ACPF6;SC0303;STAG1;SUBO2;DEFA2;FORB2;SSC3;PURP6;COLL4;TYVA01;FVAD3"/>
    <s v="51"/>
    <s v="REL01"/>
    <s v="SCOPE_1"/>
    <s v="CAAP4"/>
    <s v="SOUR2"/>
    <s v="DQS4"/>
    <n v="24925.119999999999"/>
  </r>
  <r>
    <x v="492"/>
    <s v="M_0000_00000245181_000000000000001"/>
    <s v="VEH04"/>
    <s v="2023-03-15"/>
    <s v="CONT1;HFS2;B01;MC02;PR0302;ACPF6;SC0303;STAG1;SUBO2;DEFA2;FORB2;SSC4;PURP6;COLL4;TYVA01;FVAD3"/>
    <s v="51"/>
    <s v="REL01"/>
    <s v="SCOPE_2"/>
    <s v="CAAP4"/>
    <s v="SOUR2"/>
    <s v="DQS4"/>
    <n v="65.209999999999994"/>
  </r>
  <r>
    <x v="493"/>
    <s v="M_0000_00000245194_000000000000001"/>
    <s v="VEH05"/>
    <s v="2023-03-01"/>
    <s v="CONT1;HFS2;B01;MC02;PR0302;ACPF6;SC0303;STAG1;SUBO2;DEFA2;FORB2;SSC4;PURP6;COLL4;TYVA01;FVAD3"/>
    <s v="51"/>
    <s v="REL01"/>
    <s v="SCOPE_1"/>
    <s v="CAAP4"/>
    <s v="SOUR2"/>
    <s v="DQS4"/>
    <n v="20627.61"/>
  </r>
  <r>
    <x v="494"/>
    <s v="M_0000_00000245195_000000000000001"/>
    <s v="VEH05"/>
    <s v="2023-03-01"/>
    <s v="CONT1;HFS2;B01;MC02;PR0302;ACPF6;SC0303;STAG3;POCI2;SUBO2;DEFA1;FORB2;SSC4;PURP6;COLL4;TYVA01;FVAD3"/>
    <s v="51"/>
    <s v="REL01"/>
    <s v="SCOPE_1"/>
    <s v="CAAP4"/>
    <s v="SOUR2"/>
    <s v="DQS4"/>
    <n v="32473.06"/>
  </r>
  <r>
    <x v="495"/>
    <s v="M_0000_00000245204_000000000000001"/>
    <s v="VEH05"/>
    <s v="2023-03-01"/>
    <s v="CONT1;HFS2;B01;MC02;PR0302;ACPF6;SC0303;STAG1;SUBO2;DEFA2;FORB2;SSC4;PURP6;COLL4;TYVA01;FVAD3"/>
    <s v="51"/>
    <s v="REL01"/>
    <s v="SCOPE_1"/>
    <s v="CAAP4"/>
    <s v="SOUR2"/>
    <s v="DQS4"/>
    <n v="26034.68"/>
  </r>
  <r>
    <x v="496"/>
    <s v="M_0000_00000245281_000000000000001"/>
    <s v="VEH05"/>
    <s v="2023-03-15"/>
    <s v="CONT1;HFS2;B01;MC02;PR0302;ACPF6;SC0303;STAG2;POCI2;SUBO2;DEFA2;FORB2;SSC4;PURP6;COLL4;TYVA01;FVAD3"/>
    <s v="51"/>
    <s v="REL01"/>
    <s v="SCOPE_1"/>
    <s v="CAAP4"/>
    <s v="SOUR2"/>
    <s v="DQS4"/>
    <n v="37146.69"/>
  </r>
  <r>
    <x v="497"/>
    <s v="M_0000_00000245297_000000000000001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497"/>
    <s v="M_0000_00000245297_000000000000002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498"/>
    <s v="M_0000_00000245298_000000000000001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498"/>
    <s v="M_0000_00000245298_000000000000002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499"/>
    <s v="M_0000_00000245299_000000000000001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499"/>
    <s v="M_0000_00000245299_000000000000002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500"/>
    <s v="M_0000_00000245300_000000000000002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500"/>
    <s v="M_0000_00000245300_000000000000001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501"/>
    <s v="M_0000_00000245301_000000000000002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501"/>
    <s v="M_0000_00000245301_000000000000001"/>
    <s v="VEH16"/>
    <s v="2023-03-01"/>
    <s v="CONT1;HFS2;B01;MC02;PR0302;ACPF6;SC0303;STAG1;SUBO2;DEFA2;FORB2;SSC4;PURP6;COLL4;TYVA01;FVAD3"/>
    <s v="51"/>
    <s v="REL01"/>
    <s v="SCOPE_1"/>
    <s v="CAAP4"/>
    <s v="SOUR2"/>
    <s v="DQS4"/>
    <n v="19315.71"/>
  </r>
  <r>
    <x v="502"/>
    <s v="M_0000_00000245330_000000000000001"/>
    <s v="VEH05"/>
    <s v="2023-03-01"/>
    <s v="CONT1;HFS2;B01;MC02;PR0302;ACPF6;SC0303;STAG1;SUBO2;DEFA2;FORB2;SSC4;PURP6;COLL4;TYVA01;FVAD3"/>
    <s v="51"/>
    <s v="REL01"/>
    <s v="SCOPE_1"/>
    <s v="CAAP4"/>
    <s v="SOUR2"/>
    <s v="DQS4"/>
    <n v="24462.92"/>
  </r>
  <r>
    <x v="503"/>
    <s v="M_0000_00000245335_000000000000001"/>
    <s v="VEH05"/>
    <s v="2023-04-01"/>
    <s v="CONT1;HFS2;B01;MC02;PR0302;ACPF6;SC0303;STAG1;SUBO2;DEFA2;FORB2;SSC4;PURP6;COLL4;TYVA01;FVAD3"/>
    <s v="51"/>
    <s v="REL01"/>
    <s v="SCOPE_1"/>
    <s v="CAAP4"/>
    <s v="SOUR2"/>
    <s v="DQS4"/>
    <n v="29929.97"/>
  </r>
  <r>
    <x v="504"/>
    <s v="M_0000_00000245337_000000000000001"/>
    <s v="VEH05"/>
    <s v="2023-03-01"/>
    <s v="CONT1;HFS2;B01;MC02;PR0302;ACPF6;SC0303;STAG2;POCI2;SUBO2;DEFA2;FORB2;SSC4;PURP6;COLL4;TYVA01;FVAD3"/>
    <s v="51"/>
    <s v="REL01"/>
    <s v="SCOPE_1"/>
    <s v="CAAP4"/>
    <s v="SOUR2"/>
    <s v="DQS4"/>
    <n v="29083.71"/>
  </r>
  <r>
    <x v="505"/>
    <s v="M_0000_00000245344_000000000000001"/>
    <s v="VEH04"/>
    <s v="2023-03-01"/>
    <s v="CONT1;HFS2;B01;MC02;PR0302;ACPF6;SC0303;STAG2;POCI2;SUBO2;DEFA2;FORB2;SSC4;PURP6;COLL4;TYVA01;FVAD3"/>
    <s v="51"/>
    <s v="REL01"/>
    <s v="SCOPE_1"/>
    <s v="CAAP4"/>
    <s v="SOUR2"/>
    <s v="DQS4"/>
    <n v="950.04"/>
  </r>
  <r>
    <x v="505"/>
    <s v="M_0000_00000245344_000000000000002"/>
    <s v="VEH04"/>
    <s v="2023-03-01"/>
    <s v="CONT1;HFS2;B01;MC02;PR0302;ACPF6;SC0303;STAG2;POCI2;SUBO2;DEFA2;FORB2;SSC4;PURP6;COLL4;TYVA01;FVAD3"/>
    <s v="51"/>
    <s v="REL01"/>
    <s v="SCOPE_1"/>
    <s v="CAAP4"/>
    <s v="SOUR2"/>
    <s v="DQS4"/>
    <n v="950.04"/>
  </r>
  <r>
    <x v="506"/>
    <s v="M_0000_00000245374_000000000000004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6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3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7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8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1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2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10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5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6"/>
    <s v="M_0000_00000245374_000000000000009"/>
    <s v="VEH05"/>
    <s v="2023-03-15"/>
    <s v="CONT1;HFS2;B01;MC02;PR0302;ACPF6;SC0303;STAG1;SUBO2;DEFA2;FORB2;SSC3;PURP6;COLL4;TYVA01;FVAD3"/>
    <s v="51"/>
    <s v="REL01"/>
    <s v="SCOPE_1"/>
    <s v="CAAP4"/>
    <s v="SOUR2"/>
    <s v="DQS4"/>
    <n v="33008.28"/>
  </r>
  <r>
    <x v="507"/>
    <s v="M_0000_00000245379_000000000000001"/>
    <s v="VEH05"/>
    <s v="2023-03-15"/>
    <s v="CONT1;HFS2;B01;MC02;PR0302;ACPF6;SC0303;STAG1;SUBO2;DEFA2;FORB2;SSC4;PURP6;COLL4;TYVA01;FVAD3"/>
    <s v="51"/>
    <s v="REL01"/>
    <s v="SCOPE_1"/>
    <s v="CAAP4"/>
    <s v="SOUR2"/>
    <s v="DQS4"/>
    <n v="24109.54"/>
  </r>
  <r>
    <x v="508"/>
    <s v="M_0000_00000245380_000000000000001"/>
    <s v="VEH16"/>
    <s v="2023-03-15"/>
    <s v="CONT1;HFS2;B01;MC02;PR0302;ACPF6;SC0303;STAG1;SUBO2;DEFA2;FORB2;SSC4;PURP6;COLL4;TYVA01;FVAD3"/>
    <s v="51"/>
    <s v="REL01"/>
    <s v="SCOPE_1"/>
    <s v="CAAP4"/>
    <s v="SOUR2"/>
    <s v="DQS4"/>
    <n v="24109.18"/>
  </r>
  <r>
    <x v="509"/>
    <s v="M_0000_00000245425_000000000000001"/>
    <s v="VEH16"/>
    <s v="2023-03-15"/>
    <s v="CONT1;HFS2;B01;MC02;PR0302;ACPF6;SC0303;STAG1;SUBO2;DEFA2;FORB2;SSC4;PURP6;COLL4;TYVA01;FVAD3"/>
    <s v="51"/>
    <s v="REL01"/>
    <s v="SCOPE_1"/>
    <s v="CAAP4"/>
    <s v="SOUR2"/>
    <s v="DQS4"/>
    <n v="25095.69"/>
  </r>
  <r>
    <x v="510"/>
    <s v="M_0000_00000245499_000000000000001"/>
    <s v="VEH05"/>
    <s v="2023-04-01"/>
    <s v="CONT1;HFS2;B01;MC02;PR0302;ACPF6;SC0303;STAG1;SUBO2;DEFA2;FORB2;SSC4;PURP6;COLL4;TYVA01;FVAD3"/>
    <s v="51"/>
    <s v="REL01"/>
    <s v="SCOPE_1"/>
    <s v="CAAP4"/>
    <s v="SOUR2"/>
    <s v="DQS4"/>
    <n v="29772.81"/>
  </r>
  <r>
    <x v="511"/>
    <s v="M_0000_00000245524_000000000000001"/>
    <s v="VEH05"/>
    <s v="2023-04-15"/>
    <s v="CONT1;HFS2;B01;MC02;PR0302;ACPF6;SC0303;STAG1;SUBO2;DEFA2;FORB2;SSC4;PURP6;COLL4;TYVA01;FVAD3"/>
    <s v="51"/>
    <s v="REL01"/>
    <s v="SCOPE_1"/>
    <s v="CAAP4"/>
    <s v="SOUR2"/>
    <s v="DQS4"/>
    <n v="27768.89"/>
  </r>
  <r>
    <x v="512"/>
    <s v="M_0000_00000245527_000000000000001"/>
    <s v="VEH05"/>
    <s v="2023-04-15"/>
    <s v="CONT1;HFS2;B01;MC02;PR0302;ACPF6;SC0303;STAG1;SUBO2;DEFA2;FORB2;SSC4;PURP6;COLL4;TYVA01;FVAD3"/>
    <s v="51"/>
    <s v="REL01"/>
    <s v="SCOPE_1"/>
    <s v="CAAP4"/>
    <s v="SOUR2"/>
    <s v="DQS4"/>
    <n v="27768.89"/>
  </r>
  <r>
    <x v="513"/>
    <s v="M_0000_00000245538_000000000000001"/>
    <s v="VEH05"/>
    <s v="2023-03-15"/>
    <s v="CONT1;HFS2;B01;MC02;PR0302;ACPF6;SC0303;STAG1;SUBO2;DEFA2;FORB2;SSC4;PURP6;COLL4;TYVA01;FVAD3"/>
    <s v="51"/>
    <s v="REL01"/>
    <s v="SCOPE_1"/>
    <s v="CAAP4"/>
    <s v="SOUR2"/>
    <s v="DQS4"/>
    <n v="13683.2"/>
  </r>
  <r>
    <x v="513"/>
    <s v="M_0000_00000245538_000000000000005"/>
    <s v="VEH05"/>
    <s v="2023-03-15"/>
    <s v="CONT1;HFS2;B01;MC02;PR0302;ACPF6;SC0303;STAG1;SUBO2;DEFA2;FORB2;SSC4;PURP6;COLL4;TYVA01;FVAD3"/>
    <s v="51"/>
    <s v="REL01"/>
    <s v="SCOPE_1"/>
    <s v="CAAP4"/>
    <s v="SOUR2"/>
    <s v="DQS4"/>
    <n v="13683.2"/>
  </r>
  <r>
    <x v="513"/>
    <s v="M_0000_00000245538_000000000000004"/>
    <s v="VEH05"/>
    <s v="2023-03-15"/>
    <s v="CONT1;HFS2;B01;MC02;PR0302;ACPF6;SC0303;STAG1;SUBO2;DEFA2;FORB2;SSC4;PURP6;COLL4;TYVA01;FVAD3"/>
    <s v="51"/>
    <s v="REL01"/>
    <s v="SCOPE_1"/>
    <s v="CAAP4"/>
    <s v="SOUR2"/>
    <s v="DQS4"/>
    <n v="13683.2"/>
  </r>
  <r>
    <x v="513"/>
    <s v="M_0000_00000245538_000000000000003"/>
    <s v="VEH05"/>
    <s v="2023-03-15"/>
    <s v="CONT1;HFS2;B01;MC02;PR0302;ACPF6;SC0303;STAG1;SUBO2;DEFA2;FORB2;SSC4;PURP6;COLL4;TYVA01;FVAD3"/>
    <s v="51"/>
    <s v="REL01"/>
    <s v="SCOPE_1"/>
    <s v="CAAP4"/>
    <s v="SOUR2"/>
    <s v="DQS4"/>
    <n v="13683.2"/>
  </r>
  <r>
    <x v="513"/>
    <s v="M_0000_00000245538_000000000000002"/>
    <s v="VEH05"/>
    <s v="2023-03-15"/>
    <s v="CONT1;HFS2;B01;MC02;PR0302;ACPF6;SC0303;STAG1;SUBO2;DEFA2;FORB2;SSC4;PURP6;COLL4;TYVA01;FVAD3"/>
    <s v="51"/>
    <s v="REL01"/>
    <s v="SCOPE_1"/>
    <s v="CAAP4"/>
    <s v="SOUR2"/>
    <s v="DQS4"/>
    <n v="13683.2"/>
  </r>
  <r>
    <x v="514"/>
    <s v="M_0000_00000245559_000000000000001"/>
    <s v="VEH04"/>
    <s v="2023-05-15"/>
    <s v="CONT1;HFS2;B01;MC02;PR0302;ACPF6;SC0303;STAG1;SUBO2;DEFA2;FORB2;SSC4;PURP6;COLL4;TYVA01;FVAD3"/>
    <s v="51"/>
    <s v="REL01"/>
    <s v="SCOPE_1"/>
    <s v="CAAP4"/>
    <s v="SOUR2"/>
    <s v="DQS4"/>
    <n v="1312.74"/>
  </r>
  <r>
    <x v="515"/>
    <s v="M_0000_00000245603_000000000000001"/>
    <s v="VEH05"/>
    <s v="2023-04-01"/>
    <s v="CONT1;HFS2;B01;MC02;PR0302;ACPF6;SC0303;STAG1;SUBO2;DEFA2;FORB2;SSC4;PURP6;COLL4;TYVA01;FVAD3"/>
    <s v="51"/>
    <s v="REL01"/>
    <s v="SCOPE_1"/>
    <s v="CAAP4"/>
    <s v="SOUR2"/>
    <s v="DQS4"/>
    <n v="28366.35"/>
  </r>
  <r>
    <x v="516"/>
    <s v="M_0000_00000245604_000000000000001"/>
    <s v="VEH05"/>
    <s v="2023-04-01"/>
    <s v="CONT1;HFS2;B01;MC02;PR0302;ACPF6;SC0303;STAG1;SUBO2;DEFA2;FORB2;SSC4;PURP6;COLL4;TYVA01;FVAD3"/>
    <s v="51"/>
    <s v="REL01"/>
    <s v="SCOPE_1"/>
    <s v="CAAP4"/>
    <s v="SOUR2"/>
    <s v="DQS4"/>
    <n v="28366.35"/>
  </r>
  <r>
    <x v="517"/>
    <s v="M_0000_00000245605_000000000000001"/>
    <s v="VEH16"/>
    <s v="2023-06-01"/>
    <s v="CONT1;HFS2;B01;MC02;PR0302;ACPF6;SC0303;STAG2;POCI2;SUBO2;DEFA2;FORB2;SSC4;PURP6;COLL4;TYVA01;FVAD3"/>
    <s v="51"/>
    <s v="REL01"/>
    <s v="SCOPE_1"/>
    <s v="CAAP4"/>
    <s v="SOUR2"/>
    <s v="DQS4"/>
    <n v="31651.53"/>
  </r>
  <r>
    <x v="518"/>
    <s v="M_0000_00000245607_000000000000001"/>
    <s v="VEH16"/>
    <s v="2023-04-01"/>
    <s v="CONT1;HFS2;B01;MC02;PR0302;ACPF6;SC0303;STAG1;SUBO2;DEFA2;FORB2;SSC4;PURP6;COLL4;TYVA01;FVAD3"/>
    <s v="51"/>
    <s v="REL01"/>
    <s v="SCOPE_1"/>
    <s v="CAAP4"/>
    <s v="SOUR2"/>
    <s v="DQS4"/>
    <n v="29772.69"/>
  </r>
  <r>
    <x v="519"/>
    <s v="M_0000_00000245627_000000000000001"/>
    <s v="VEH05"/>
    <s v="2023-04-15"/>
    <s v="CONT1;HFS2;B01;MC02;PR0302;ACPF6;SC0303;STAG1;SUBO2;DEFA2;FORB2;SSC4;PURP6;COLL4;TYVA01;FVAD3"/>
    <s v="51"/>
    <s v="REL01"/>
    <s v="SCOPE_1"/>
    <s v="CAAP4"/>
    <s v="SOUR2"/>
    <s v="DQS4"/>
    <n v="30557.040000000001"/>
  </r>
  <r>
    <x v="520"/>
    <s v="M_0000_00000245658_000000000000001"/>
    <s v="VEH05"/>
    <s v="2023-04-01"/>
    <s v="CONT1;HFS2;B01;MC02;PR0302;ACPF6;SC0303;STAG1;SUBO2;DEFA2;FORB2;SSC4;PURP6;COLL4;TYVA01;FVAD3"/>
    <s v="51"/>
    <s v="REL01"/>
    <s v="SCOPE_1"/>
    <s v="CAAP4"/>
    <s v="SOUR2"/>
    <s v="DQS4"/>
    <n v="32387.51"/>
  </r>
  <r>
    <x v="521"/>
    <s v="M_0000_00000245669_000000000000001"/>
    <s v="VEH05"/>
    <s v="2023-04-15"/>
    <s v="CONT1;HFS2;B01;MC02;PR0302;ACPF6;SC0303;STAG1;SUBO2;DEFA2;FORB2;SSC3;PURP6;COLL4;TYVA01;FVAD3"/>
    <s v="51"/>
    <s v="REL01"/>
    <s v="SCOPE_1"/>
    <s v="CAAP4"/>
    <s v="SOUR2"/>
    <s v="DQS4"/>
    <n v="28318.1"/>
  </r>
  <r>
    <x v="522"/>
    <s v="M_0000_00000245672_000000000000001"/>
    <s v="VEH05"/>
    <s v="2023-07-01"/>
    <s v="CONT1;HFS2;B01;MC02;PR0302;ACPF6;SC0303;STAG2;POCI2;SUBO2;DEFA2;FORB2;SSC4;PURP6;COLL4;TYVA01;FVAD3"/>
    <s v="51"/>
    <s v="REL01"/>
    <s v="SCOPE_1"/>
    <s v="CAAP4"/>
    <s v="SOUR2"/>
    <s v="DQS4"/>
    <n v="35184.53"/>
  </r>
  <r>
    <x v="523"/>
    <s v="M_0000_00000245695_000000000000001"/>
    <s v="VEH05"/>
    <s v="2023-04-15"/>
    <s v="CONT1;HFS2;B01;MC02;PR0302;ACPF6;SC0303;STAG1;SUBO2;DEFA2;FORB2;SSC4;PURP6;COLL4;TYVA01;FVAD3"/>
    <s v="51"/>
    <s v="REL01"/>
    <s v="SCOPE_1"/>
    <s v="CAAP4"/>
    <s v="SOUR2"/>
    <s v="DQS4"/>
    <n v="32258.75"/>
  </r>
  <r>
    <x v="524"/>
    <s v="M_0000_00000245700_000000000000001"/>
    <s v="VEH05"/>
    <s v="2024-03-01"/>
    <s v="CONT1;HFS2;B01;MC02;PR0302;ACPF6;SC0303;STAG2;POCI2;SUBO2;DEFA2;FORB2;SSC4;PURP6;COLL4;TYVA01;FVAD3"/>
    <s v="51"/>
    <s v="REL01"/>
    <s v="SCOPE_1"/>
    <s v="CAAP4"/>
    <s v="SOUR2"/>
    <s v="DQS4"/>
    <n v="35880"/>
  </r>
  <r>
    <x v="525"/>
    <s v="M_0000_00000245723_000000000000001"/>
    <s v="VEH05"/>
    <s v="2023-05-15"/>
    <s v="CONT1;HFS2;B01;MC02;PR0302;ACPF6;SC0303;STAG1;SUBO2;DEFA2;FORB2;SSC4;PURP6;COLL4;TYVA01;FVAD3"/>
    <s v="51"/>
    <s v="REL01"/>
    <s v="SCOPE_1"/>
    <s v="CAAP4"/>
    <s v="SOUR2"/>
    <s v="DQS4"/>
    <n v="27819.64"/>
  </r>
  <r>
    <x v="526"/>
    <s v="M_0000_00000245725_000000000000001"/>
    <s v="VEH05"/>
    <s v="2023-05-15"/>
    <s v="CONT1;HFS2;B01;MC02;PR0302;ACPF6;SC0303;STAG1;SUBO2;DEFA2;FORB2;SSC4;PURP6;COLL4;TYVA01;FVAD3"/>
    <s v="51"/>
    <s v="REL01"/>
    <s v="SCOPE_1"/>
    <s v="CAAP4"/>
    <s v="SOUR2"/>
    <s v="DQS4"/>
    <n v="27819.64"/>
  </r>
  <r>
    <x v="527"/>
    <s v="M_0000_00000245730_000000000000001"/>
    <s v="VEH05"/>
    <s v="2023-06-01"/>
    <s v="CONT1;HFS2;B01;MC02;PR0302;ACPF6;SC0303;STAG1;SUBO2;DEFA2;FORB2;SSC4;PURP6;COLL4;TYVA01;FVAD3"/>
    <s v="51"/>
    <s v="REL01"/>
    <s v="SCOPE_1"/>
    <s v="CAAP4"/>
    <s v="SOUR2"/>
    <s v="DQS4"/>
    <n v="63291.08"/>
  </r>
  <r>
    <x v="528"/>
    <s v="M_0000_00000245734_000000000000001"/>
    <s v="VEH05"/>
    <s v="2023-06-15"/>
    <s v="CONT1;HFS2;B01;MC02;PR0302;ACPF6;SC0303;STAG1;SUBO2;DEFA2;FORB2;SSC4;PURP6;COLL4;TYVA01;FVAD3"/>
    <s v="51"/>
    <s v="REL01"/>
    <s v="SCOPE_1"/>
    <s v="CAAP4"/>
    <s v="SOUR2"/>
    <s v="DQS4"/>
    <n v="29883.06"/>
  </r>
  <r>
    <x v="529"/>
    <s v="M_0000_00000245739_000000000000001"/>
    <s v="VEH16"/>
    <s v="2023-05-01"/>
    <s v="CONT1;HFS2;B01;MC02;PR0302;ACPF6;SC0303;STAG1;SUBO2;DEFA2;FORB2;SSC4;PURP6;COLL4;TYVA01;FVAD3"/>
    <s v="51"/>
    <s v="REL01"/>
    <s v="SCOPE_1"/>
    <s v="CAAP4"/>
    <s v="SOUR2"/>
    <s v="DQS4"/>
    <n v="30775.42"/>
  </r>
  <r>
    <x v="530"/>
    <s v="M_0000_00000245754_000000000000001"/>
    <s v="VEH05"/>
    <s v="2023-05-15"/>
    <s v="CONT1;HFS2;B01;MC02;PR0302;ACPF6;SC0303;STAG2;POCI2;SUBO2;DEFA2;FORB2;SSC4;PURP6;COLL4;TYVA01;FVAD3"/>
    <s v="51"/>
    <s v="REL01"/>
    <s v="SCOPE_1"/>
    <s v="CAAP4"/>
    <s v="SOUR2"/>
    <s v="DQS4"/>
    <n v="27213.279999999999"/>
  </r>
  <r>
    <x v="531"/>
    <s v="M_0000_00000245782_000000000000001"/>
    <s v="VEH05"/>
    <s v="2023-05-15"/>
    <s v="CONT1;HFS2;B01;MC02;PR0302;ACPF6;SC0303;STAG1;SUBO2;DEFA2;FORB2;SSC4;PURP6;COLL4;TYVA01;FVAD3"/>
    <s v="51"/>
    <s v="REL01"/>
    <s v="SCOPE_1"/>
    <s v="CAAP4"/>
    <s v="SOUR2"/>
    <s v="DQS4"/>
    <n v="30560.65"/>
  </r>
  <r>
    <x v="532"/>
    <s v="M_0000_00000245857_000000000000001"/>
    <s v="VEH05"/>
    <s v="2023-06-15"/>
    <s v="CONT1;HFS2;B01;MC02;PR0302;ACPF6;SC0303;STAG2;POCI2;SUBO2;DEFA2;FORB2;SSC4;PURP6;COLL4;TYVA01;FVAD3"/>
    <s v="51"/>
    <s v="REL01"/>
    <s v="SCOPE_1"/>
    <s v="CAAP4"/>
    <s v="SOUR2"/>
    <s v="DQS4"/>
    <n v="29029.360000000001"/>
  </r>
  <r>
    <x v="533"/>
    <s v="M_0000_00000245978_000000000000001"/>
    <s v="VEH01"/>
    <s v="2023-06-15"/>
    <s v="CONT1;HFS2;B01;MC02;PR0302;ACPF6;SC0303;STAG1;SUBO2;DEFA2;FORB2;SSC4;PURP6;COLL4;TYVA01;FVAD3"/>
    <s v="51"/>
    <s v="REL01"/>
    <s v="SCOPE_1"/>
    <s v="CAAP4"/>
    <s v="SOUR2"/>
    <s v="DQS4"/>
    <n v="1561.41"/>
  </r>
  <r>
    <x v="534"/>
    <s v="M_0000_00000245981_000000000000001"/>
    <s v="VEH05"/>
    <s v="2023-06-15"/>
    <s v="CONT1;HFS2;B01;MC02;PR0302;ACPF6;SC0303;STAG2;POCI2;SUBO2;DEFA2;FORB2;SSC4;PURP6;COLL4;TYVA01;FVAD3"/>
    <s v="51"/>
    <s v="REL01"/>
    <s v="SCOPE_1"/>
    <s v="CAAP4"/>
    <s v="SOUR2"/>
    <s v="DQS4"/>
    <n v="31543.1"/>
  </r>
  <r>
    <x v="535"/>
    <s v="M_0000_00000245989_000000000000001"/>
    <s v="VEH16"/>
    <s v="2023-06-01"/>
    <s v="CONT1;HFS2;B01;MC02;PR0302;ACPF6;SC0303;STAG2;POCI2;SUBO2;DEFA2;FORB2;SSC4;PURP6;COLL4;TYVA01;FVAD3"/>
    <s v="51"/>
    <s v="REL01"/>
    <s v="SCOPE_1"/>
    <s v="CAAP4"/>
    <s v="SOUR2"/>
    <s v="DQS4"/>
    <n v="26283.62"/>
  </r>
  <r>
    <x v="536"/>
    <s v="M_0000_00000246004_000000000000001"/>
    <s v="VEH01"/>
    <s v="2023-07-01"/>
    <s v="CONT1;HFS2;B01;MC02;PR0302;ACPF6;SC0303;STAG1;SUBO2;DEFA2;FORB2;SSC4;PURP6;COLL4;TYVA01;FVAD3"/>
    <s v="51"/>
    <s v="REL01"/>
    <s v="SCOPE_2"/>
    <s v="CAAP4"/>
    <s v="SOUR2"/>
    <s v="DQS4"/>
    <n v="455.81"/>
  </r>
  <r>
    <x v="537"/>
    <s v="M_0000_00000246049_000000000000001"/>
    <s v="VEH05"/>
    <s v="2023-07-15"/>
    <s v="CONT1;HFS2;B01;MC02;PR0302;ACPF6;SC0303;STAG2;POCI2;SUBO2;DEFA2;FORB2;SSC4;PURP6;COLL4;TYVA01;FVAD3"/>
    <s v="51"/>
    <s v="REL01"/>
    <s v="SCOPE_1"/>
    <s v="CAAP4"/>
    <s v="SOUR2"/>
    <s v="DQS4"/>
    <n v="38730.81"/>
  </r>
  <r>
    <x v="538"/>
    <s v="M_0000_00000246050_000000000000001"/>
    <s v="VEH05"/>
    <s v="2023-07-15"/>
    <s v="CONT1;HFS2;B01;MC02;PR0302;ACPF6;SC0303;STAG2;POCI2;SUBO2;DEFA2;FORB2;SSC4;PURP6;COLL4;TYVA01;FVAD3"/>
    <s v="51"/>
    <s v="REL01"/>
    <s v="SCOPE_1"/>
    <s v="CAAP4"/>
    <s v="SOUR2"/>
    <s v="DQS4"/>
    <n v="38730.81"/>
  </r>
  <r>
    <x v="539"/>
    <s v="M_0000_00000246056_000000000000001"/>
    <s v="VEH05"/>
    <s v="2023-07-01"/>
    <s v="CONT1;HFS2;B01;MC02;PR0302;ACPF6;SC0303;STAG1;SUBO2;DEFA2;FORB2;SSC4;PURP6;COLL4;TYVA01;FVAD3"/>
    <s v="51"/>
    <s v="REL01"/>
    <s v="SCOPE_1"/>
    <s v="CAAP4"/>
    <s v="SOUR2"/>
    <s v="DQS4"/>
    <n v="25245.13"/>
  </r>
  <r>
    <x v="540"/>
    <s v="M_0000_00000246079_000000000000001"/>
    <s v="VEH05"/>
    <s v="2023-07-01"/>
    <s v="CONT1;HFS2;B01;MC02;PR0302;ACPF6;SC0303;STAG2;POCI2;SUBO2;DEFA2;FORB2;SSC4;PURP6;COLL4;TYVA01;FVAD3"/>
    <s v="51"/>
    <s v="REL01"/>
    <s v="SCOPE_1"/>
    <s v="CAAP4"/>
    <s v="SOUR2"/>
    <s v="DQS4"/>
    <n v="32451.14"/>
  </r>
  <r>
    <x v="541"/>
    <s v="M_0000_00000246095_000000000000001"/>
    <s v="VEH19"/>
    <s v="2023-06-15"/>
    <s v="CONT1;HFS2;B01;MC02;PR0302;ACPF6;SC0303;STAG1;SUBO2;DEFA2;FORB2;SSC4;PURP6;COLL4;TYVA01;FVAD3"/>
    <s v="51"/>
    <s v="REL01"/>
    <s v="SCOPE_1"/>
    <s v="CAAP4"/>
    <s v="SOUR2"/>
    <s v="DQS4"/>
    <n v="483.92"/>
  </r>
  <r>
    <x v="541"/>
    <s v="M_0000_00000246095_000000000000001"/>
    <s v="VEH19"/>
    <s v="2023-06-15"/>
    <s v="CONT1;HFS2;B01;MC02;PR0302;ACPF6;SC0303;STAG1;SUBO2;DEFA2;FORB2;SSC4;PURP6;COLL4;TYVA01;FVAD3"/>
    <s v="51"/>
    <s v="REL01"/>
    <s v="SCOPE_2"/>
    <s v="CAAP4"/>
    <s v="SOUR2"/>
    <s v="DQS4"/>
    <n v="411.06"/>
  </r>
  <r>
    <x v="542"/>
    <s v="M_0000_00000246119_000000000000001"/>
    <s v="VEH05"/>
    <s v="2023-06-15"/>
    <s v="CONT1;HFS2;B01;MC02;PR0302;ACPF6;SC0303;STAG1;SUBO2;DEFA2;FORB2;SSC4;PURP6;COLL4;TYVA01;FVAD3"/>
    <s v="51"/>
    <s v="REL01"/>
    <s v="SCOPE_1"/>
    <s v="CAAP4"/>
    <s v="SOUR2"/>
    <s v="DQS4"/>
    <n v="28236.3"/>
  </r>
  <r>
    <x v="543"/>
    <s v="M_0000_00000246120_000000000000001"/>
    <s v="VEH05"/>
    <s v="2023-06-15"/>
    <s v="CONT1;HFS2;B01;MC02;PR0302;ACPF6;SC0303;STAG1;SUBO2;DEFA2;FORB2;SSC4;PURP6;COLL4;TYVA01;FVAD3"/>
    <s v="51"/>
    <s v="REL01"/>
    <s v="SCOPE_1"/>
    <s v="CAAP4"/>
    <s v="SOUR2"/>
    <s v="DQS4"/>
    <n v="28237.59"/>
  </r>
  <r>
    <x v="544"/>
    <s v="M_0000_00000246125_000000000000001"/>
    <s v="VEH05"/>
    <s v="2023-06-15"/>
    <s v="CONT1;HFS2;B01;MC02;PR0302;ACPF6;SC0303;STAG1;SUBO2;DEFA2;FORB2;SSC4;PURP6;COLL4;TYVA01;FVAD3"/>
    <s v="51"/>
    <s v="REL01"/>
    <s v="SCOPE_1"/>
    <s v="CAAP4"/>
    <s v="SOUR2"/>
    <s v="DQS4"/>
    <n v="28237.59"/>
  </r>
  <r>
    <x v="545"/>
    <s v="M_0000_00000246130_000000000000001"/>
    <s v="VEH05"/>
    <s v="2023-06-15"/>
    <s v="CONT1;HFS2;B01;MC02;PR0302;ACPF6;SC0303;STAG1;SUBO2;DEFA2;FORB2;SSC4;PURP6;COLL4;TYVA01;FVAD3"/>
    <s v="51"/>
    <s v="REL01"/>
    <s v="SCOPE_1"/>
    <s v="CAAP4"/>
    <s v="SOUR2"/>
    <s v="DQS4"/>
    <n v="28237.59"/>
  </r>
  <r>
    <x v="546"/>
    <s v="M_0000_00000246157_000000000000001"/>
    <s v="VEH05"/>
    <s v="2023-08-01"/>
    <s v="CONT1;HFS2;B01;MC02;PR0302;ACPF6;SC0303;STAG2;POCI2;SUBO2;DEFA2;FORB2;SSC4;PURP6;COLL4;TYVA01;FVAD3"/>
    <s v="51"/>
    <s v="REL01"/>
    <s v="SCOPE_1"/>
    <s v="CAAP4"/>
    <s v="SOUR2"/>
    <s v="DQS4"/>
    <n v="35032.959999999999"/>
  </r>
  <r>
    <x v="547"/>
    <s v="M_0000_00000246179_000000000000001"/>
    <s v="VEH05"/>
    <s v="2023-07-01"/>
    <s v="CONT1;HFS2;B01;MC02;PR0302;ACPF6;SC0303;STAG1;SUBO2;DEFA2;FORB2;SSC4;PURP6;COLL4;TYVA01;FVAD3"/>
    <s v="51"/>
    <s v="REL01"/>
    <s v="SCOPE_1"/>
    <s v="CAAP4"/>
    <s v="SOUR2"/>
    <s v="DQS4"/>
    <n v="25288.14"/>
  </r>
  <r>
    <x v="548"/>
    <s v="M_0000_00000246216_000000000000001"/>
    <s v="VEH05"/>
    <s v="2023-07-15"/>
    <s v="CONT1;HFS2;B01;MC02;PR0302;ACPF6;SC0303;STAG1;SUBO2;DEFA2;FORB2;SSC4;PURP6;COLL4;TYVA01;FVAD3"/>
    <s v="51"/>
    <s v="REL01"/>
    <s v="SCOPE_1"/>
    <s v="CAAP4"/>
    <s v="SOUR2"/>
    <s v="DQS4"/>
    <n v="26026.33"/>
  </r>
  <r>
    <x v="549"/>
    <s v="M_0000_00000246218_000000000000001"/>
    <s v="VEH05"/>
    <s v="2023-07-01"/>
    <s v="CONT1;HFS2;B01;MC02;PR0302;ACPF6;SC0303;STAG1;SUBO2;DEFA2;FORB2;SSC4;PURP6;COLL4;TYVA01;FVAD3"/>
    <s v="51"/>
    <s v="REL01"/>
    <s v="SCOPE_1"/>
    <s v="CAAP4"/>
    <s v="SOUR2"/>
    <s v="DQS4"/>
    <n v="34226.32"/>
  </r>
  <r>
    <x v="550"/>
    <s v="M_0000_00000246263_000000000000001"/>
    <s v="VEH04"/>
    <s v="2023-07-15"/>
    <s v="CONT1;HFS2;B01;MC02;PR0302;ACPF6;SC0303;STAG2;POCI2;SUBO2;DEFA2;FORB2;SSC4;PURP6;COLL4;TYVA01;FVAD3"/>
    <s v="51"/>
    <s v="REL01"/>
    <s v="SCOPE_1"/>
    <s v="CAAP4"/>
    <s v="SOUR2"/>
    <s v="DQS4"/>
    <n v="1360.98"/>
  </r>
  <r>
    <x v="551"/>
    <s v="M_0000_00000246297_000000000000001"/>
    <s v="VEH01"/>
    <s v="2023-07-15"/>
    <s v="CONT1;HFS2;B01;MC02;PR0302;ACPF6;SC0303;STAG1;SUBO2;DEFA2;FORB2;SSC4;PURP6;COLL4;TYVA01;FVAD3"/>
    <s v="51"/>
    <s v="REL01"/>
    <s v="SCOPE_1"/>
    <s v="CAAP4"/>
    <s v="SOUR2"/>
    <s v="DQS4"/>
    <n v="823.19"/>
  </r>
  <r>
    <x v="552"/>
    <s v="M_0000_00000246300_000000000000004"/>
    <s v="VEH16"/>
    <s v="2023-07-15"/>
    <s v="CONT1;HFS2;B01;MC02;PR0302;ACPF6;SC0303;STAG1;SUBO2;DEFA2;FORB2;SSC3;PURP6;COLL4;TYVA01;FVAD3"/>
    <s v="51"/>
    <s v="REL01"/>
    <s v="SCOPE_1"/>
    <s v="CAAP4"/>
    <s v="SOUR2"/>
    <s v="DQS4"/>
    <n v="30294.15"/>
  </r>
  <r>
    <x v="552"/>
    <s v="M_0000_00000246300_000000000000005"/>
    <s v="VEH16"/>
    <s v="2023-07-15"/>
    <s v="CONT1;HFS2;B01;MC02;PR0302;ACPF6;SC0303;STAG1;SUBO2;DEFA2;FORB2;SSC3;PURP6;COLL4;TYVA01;FVAD3"/>
    <s v="51"/>
    <s v="REL01"/>
    <s v="SCOPE_1"/>
    <s v="CAAP4"/>
    <s v="SOUR2"/>
    <s v="DQS4"/>
    <n v="30294.15"/>
  </r>
  <r>
    <x v="552"/>
    <s v="M_0000_00000246300_000000000000002"/>
    <s v="VEH16"/>
    <s v="2023-07-15"/>
    <s v="CONT1;HFS2;B01;MC02;PR0302;ACPF6;SC0303;STAG1;SUBO2;DEFA2;FORB2;SSC3;PURP6;COLL4;TYVA01;FVAD3"/>
    <s v="51"/>
    <s v="REL01"/>
    <s v="SCOPE_1"/>
    <s v="CAAP4"/>
    <s v="SOUR2"/>
    <s v="DQS4"/>
    <n v="30294.15"/>
  </r>
  <r>
    <x v="552"/>
    <s v="M_0000_00000246300_000000000000001"/>
    <s v="VEH16"/>
    <s v="2023-07-15"/>
    <s v="CONT1;HFS2;B01;MC02;PR0302;ACPF6;SC0303;STAG1;SUBO2;DEFA2;FORB2;SSC3;PURP6;COLL4;TYVA01;FVAD3"/>
    <s v="51"/>
    <s v="REL01"/>
    <s v="SCOPE_1"/>
    <s v="CAAP4"/>
    <s v="SOUR2"/>
    <s v="DQS4"/>
    <n v="30294.15"/>
  </r>
  <r>
    <x v="552"/>
    <s v="M_0000_00000246300_000000000000003"/>
    <s v="VEH16"/>
    <s v="2023-07-15"/>
    <s v="CONT1;HFS2;B01;MC02;PR0302;ACPF6;SC0303;STAG1;SUBO2;DEFA2;FORB2;SSC3;PURP6;COLL4;TYVA01;FVAD3"/>
    <s v="51"/>
    <s v="REL01"/>
    <s v="SCOPE_1"/>
    <s v="CAAP4"/>
    <s v="SOUR2"/>
    <s v="DQS4"/>
    <n v="30294.15"/>
  </r>
  <r>
    <x v="553"/>
    <s v="M_0000_00000246302_000000000000001"/>
    <s v="VEH05"/>
    <s v="2023-08-15"/>
    <s v="CONT1;HFS2;B01;MC02;PR0302;ACPF6;SC0303;STAG1;SUBO2;DEFA2;FORB2;SSC4;PURP6;COLL4;TYVA01;FVAD3"/>
    <s v="51"/>
    <s v="REL01"/>
    <s v="SCOPE_1"/>
    <s v="CAAP4"/>
    <s v="SOUR2"/>
    <s v="DQS4"/>
    <n v="39043.39"/>
  </r>
  <r>
    <x v="554"/>
    <s v="M_0000_00000246415_000000000000001"/>
    <s v="VEH05"/>
    <s v="2023-09-01"/>
    <s v="CONT1;HFS2;B01;MC02;PR0302;ACPF6;SC0303;STAG2;POCI2;SUBO2;DEFA2;FORB2;SSC4;PURP6;COLL4;TYVA01;FVAD3"/>
    <s v="51"/>
    <s v="REL01"/>
    <s v="SCOPE_1"/>
    <s v="CAAP4"/>
    <s v="SOUR2"/>
    <s v="DQS4"/>
    <n v="29386.74"/>
  </r>
  <r>
    <x v="555"/>
    <s v="M_0000_00000246424_000000000000001"/>
    <s v="VEH16"/>
    <s v="2023-08-15"/>
    <s v="CONT1;HFS2;B01;MC02;PR0302;ACPF6;SC0303;STAG1;SUBO2;DEFA2;FORB2;SSC3;PURP6;COLL4;TYVA01;FVAD3"/>
    <s v="51"/>
    <s v="REL01"/>
    <s v="SCOPE_1"/>
    <s v="CAAP4"/>
    <s v="SOUR2"/>
    <s v="DQS4"/>
    <n v="28266.240000000002"/>
  </r>
  <r>
    <x v="556"/>
    <s v="M_0000_00000246432_000000000000001"/>
    <s v="VEH05"/>
    <s v="2023-08-01"/>
    <s v="CONT1;HFS2;B01;MC02;PR0302;ACPF6;SC0303;STAG1;SUBO2;DEFA2;FORB2;SSC3;PURP6;COLL4;TYVA01;FVAD3"/>
    <s v="51"/>
    <s v="REL01"/>
    <s v="SCOPE_1"/>
    <s v="CAAP4"/>
    <s v="SOUR2"/>
    <s v="DQS4"/>
    <n v="28321.4"/>
  </r>
  <r>
    <x v="557"/>
    <s v="M_0000_00000246462_000000000000004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7"/>
    <s v="M_0000_00000246462_000000000000003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7"/>
    <s v="M_0000_00000246462_000000000000005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7"/>
    <s v="M_0000_00000246462_000000000000002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7"/>
    <s v="M_0000_00000246462_000000000000001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8"/>
    <s v="M_0000_00000246463_000000000000005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8"/>
    <s v="M_0000_00000246463_000000000000003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8"/>
    <s v="M_0000_00000246463_000000000000004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8"/>
    <s v="M_0000_00000246463_000000000000002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8"/>
    <s v="M_0000_00000246463_000000000000001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5"/>
  </r>
  <r>
    <x v="559"/>
    <s v="M_0000_00000246478_000000000000006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59"/>
    <s v="M_0000_00000246478_000000000000004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59"/>
    <s v="M_0000_00000246478_000000000000003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59"/>
    <s v="M_0000_00000246478_000000000000002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59"/>
    <s v="M_0000_00000246478_000000000000001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59"/>
    <s v="M_0000_00000246478_000000000000007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59"/>
    <s v="M_0000_00000246478_000000000000008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59"/>
    <s v="M_0000_00000246478_000000000000005"/>
    <s v="VEH16"/>
    <s v="2023-08-15"/>
    <s v="CONT1;HFS2;B01;MC02;PR0302;ACPF6;SC0303;STAG1;SUBO2;DEFA2;FORB2;SSC3;PURP6;COLL4;TYVA01;FVAD3"/>
    <s v="51"/>
    <s v="REL01"/>
    <s v="SCOPE_1"/>
    <s v="CAAP4"/>
    <s v="SOUR2"/>
    <s v="DQS4"/>
    <n v="31365.94"/>
  </r>
  <r>
    <x v="560"/>
    <s v="M_0000_00000246481_000000000000001"/>
    <s v="VEH04"/>
    <s v="2023-08-15"/>
    <s v="CONT1;HFS2;B01;MC02;PR0302;ACPF6;SC0303;STAG2;POCI2;SUBO2;DEFA2;FORB2;SSC4;PURP6;COLL4;TYVA01;FVAD3"/>
    <s v="51"/>
    <s v="REL01"/>
    <s v="SCOPE_2"/>
    <s v="CAAP4"/>
    <s v="SOUR2"/>
    <s v="DQS4"/>
    <n v="332.62"/>
  </r>
  <r>
    <x v="561"/>
    <s v="M_0000_00000246491_000000000000001"/>
    <s v="VEH16"/>
    <s v="2023-09-15"/>
    <s v="CONT1;HFS2;B01;MC02;PR0302;ACPF6;SC0303;STAG1;SUBO2;DEFA2;FORB2;SSC4;PURP6;COLL4;TYVA01;FVAD3"/>
    <s v="51"/>
    <s v="REL01"/>
    <s v="SCOPE_1"/>
    <s v="CAAP4"/>
    <s v="SOUR2"/>
    <s v="DQS4"/>
    <n v="33713.910000000003"/>
  </r>
  <r>
    <x v="562"/>
    <s v="M_0000_00000246492_000000000000001"/>
    <s v="VEH05"/>
    <s v="2023-08-15"/>
    <s v="CONT1;HFS2;B01;MC02;PR0302;ACPF6;SC0303;STAG1;SUBO2;DEFA2;FORB2;SSC4;PURP6;COLL4;TYVA01;FVAD3"/>
    <s v="51"/>
    <s v="REL01"/>
    <s v="SCOPE_1"/>
    <s v="CAAP4"/>
    <s v="SOUR2"/>
    <s v="DQS4"/>
    <n v="32971.25"/>
  </r>
  <r>
    <x v="563"/>
    <s v="M_0000_00000246513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44440.98"/>
  </r>
  <r>
    <x v="564"/>
    <s v="M_0000_00000246514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44440.98"/>
  </r>
  <r>
    <x v="565"/>
    <s v="M_0000_00000246517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44440.98"/>
  </r>
  <r>
    <x v="566"/>
    <s v="M_0000_00000246518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44440.98"/>
  </r>
  <r>
    <x v="567"/>
    <s v="M_0000_00000246519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44440.98"/>
  </r>
  <r>
    <x v="568"/>
    <s v="M_0000_00000246520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44440.98"/>
  </r>
  <r>
    <x v="569"/>
    <s v="M_0000_00000246524_000000000000001"/>
    <s v="VEH05"/>
    <s v="2023-08-15"/>
    <s v="CONT1;HFS2;B01;MC02;PR0302;ACPF6;SC0303;STAG1;SUBO2;DEFA2;FORB2;SSC4;PURP6;COLL4;TYVA01;FVAD3"/>
    <s v="51"/>
    <s v="REL01"/>
    <s v="SCOPE_1"/>
    <s v="CAAP4"/>
    <s v="SOUR2"/>
    <s v="DQS4"/>
    <n v="34584.400000000001"/>
  </r>
  <r>
    <x v="570"/>
    <s v="M_0000_00000246548_000000000000001"/>
    <s v="VEH05"/>
    <s v="2023-09-01"/>
    <s v="CONT1;HFS2;B01;MC02;PR0302;ACPF6;SC0303;STAG2;POCI2;SUBO2;DEFA2;FORB2;SSC4;PURP6;COLL4;TYVA01;FVAD3"/>
    <s v="51"/>
    <s v="REL01"/>
    <s v="SCOPE_1"/>
    <s v="CAAP4"/>
    <s v="SOUR2"/>
    <s v="DQS4"/>
    <n v="34343.269999999997"/>
  </r>
  <r>
    <x v="571"/>
    <s v="M_0000_00000246550_000000000000001"/>
    <s v="VEH05"/>
    <s v="2023-09-01"/>
    <s v="CONT1;HFS2;B01;MC02;PR0302;ACPF6;SC0303;STAG2;POCI2;SUBO2;DEFA2;FORB2;SSC4;PURP6;COLL4;TYVA01;FVAD3"/>
    <s v="51"/>
    <s v="REL01"/>
    <s v="SCOPE_1"/>
    <s v="CAAP4"/>
    <s v="SOUR2"/>
    <s v="DQS4"/>
    <n v="34343.269999999997"/>
  </r>
  <r>
    <x v="572"/>
    <s v="M_0000_00000246557_000000000000001"/>
    <s v="VEH05"/>
    <s v="2023-09-15"/>
    <s v="CONT1;HFS2;B01;MC02;PR0302;ACPF6;SC0303;STAG1;SUBO2;DEFA2;FORB2;SSC4;PURP6;COLL4;TYVA01;FVAD3"/>
    <s v="51"/>
    <s v="REL01"/>
    <s v="SCOPE_1"/>
    <s v="CAAP4"/>
    <s v="SOUR2"/>
    <s v="DQS4"/>
    <n v="31968.26"/>
  </r>
  <r>
    <x v="573"/>
    <s v="M_0000_00000246570_000000000000001"/>
    <s v="VEH05"/>
    <s v="2023-09-15"/>
    <s v="CONT1;HFS2;B01;MC02;PR0302;ACPF6;SC0303;STAG1;SUBO2;DEFA2;FORB2;SSC4;PURP6;COLL4;TYVA01;FVAD3"/>
    <s v="51"/>
    <s v="REL01"/>
    <s v="SCOPE_1"/>
    <s v="CAAP4"/>
    <s v="SOUR2"/>
    <s v="DQS4"/>
    <n v="33714.06"/>
  </r>
  <r>
    <x v="574"/>
    <s v="M_0000_00000246660_000000000000001"/>
    <s v="VEH04"/>
    <s v="2023-08-15"/>
    <s v="CONT1;HFS2;B01;MC02;PR0302;ACPF6;SC0303;STAG1;SUBO2;DEFA2;FORB2;SSC4;PURP6;COLL4;TYVA01;FVAD3"/>
    <s v="51"/>
    <s v="REL01"/>
    <s v="SCOPE_2"/>
    <s v="CAAP4"/>
    <s v="SOUR2"/>
    <s v="DQS4"/>
    <n v="282.45999999999998"/>
  </r>
  <r>
    <x v="575"/>
    <s v="M_0000_00000246661_000000000000001"/>
    <s v="VEH04"/>
    <s v="2023-08-15"/>
    <s v="CONT1;HFS2;B01;MC02;PR0302;ACPF6;SC0303;STAG1;SUBO2;DEFA2;FORB2;SSC4;PURP6;COLL4;TYVA01;FVAD3"/>
    <s v="51"/>
    <s v="REL01"/>
    <s v="SCOPE_2"/>
    <s v="CAAP4"/>
    <s v="SOUR2"/>
    <s v="DQS4"/>
    <n v="282.45999999999998"/>
  </r>
  <r>
    <x v="576"/>
    <s v="M_0000_00000246662_000000000000001"/>
    <s v="VEH04"/>
    <s v="2023-08-15"/>
    <s v="CONT1;HFS2;B01;MC02;PR0302;ACPF6;SC0303;STAG1;SUBO2;DEFA2;FORB2;SSC4;PURP6;COLL4;TYVA01;FVAD3"/>
    <s v="51"/>
    <s v="REL01"/>
    <s v="SCOPE_2"/>
    <s v="CAAP4"/>
    <s v="SOUR2"/>
    <s v="DQS4"/>
    <n v="282.45999999999998"/>
  </r>
  <r>
    <x v="577"/>
    <s v="M_0000_00000246699_000000000000001"/>
    <s v="VEH05"/>
    <s v="2023-10-01"/>
    <s v="CONT1;HFS2;B01;MC02;PR0302;ACPF6;SC0303;STAG1;SUBO2;DEFA2;FORB2;SSC4;PURP6;COLL4;TYVA01;FVAD3"/>
    <s v="51"/>
    <s v="REL01"/>
    <s v="SCOPE_1"/>
    <s v="CAAP4"/>
    <s v="SOUR2"/>
    <s v="DQS4"/>
    <n v="36771.550000000003"/>
  </r>
  <r>
    <x v="578"/>
    <s v="M_0000_00000246720_000000000000001"/>
    <s v="VEH05"/>
    <s v="2023-09-15"/>
    <s v="CONT1;HFS2;B01;MC02;PR0302;ACPF6;SC0303;STAG2;POCI2;SUBO2;DEFA2;FORB2;SSC4;PURP6;COLL4;TYVA01;FVAD3"/>
    <s v="51"/>
    <s v="REL01"/>
    <s v="SCOPE_1"/>
    <s v="CAAP4"/>
    <s v="SOUR2"/>
    <s v="DQS4"/>
    <n v="30747.3"/>
  </r>
  <r>
    <x v="579"/>
    <s v="M_0000_00000246731_000000000000001"/>
    <s v="VEH05"/>
    <s v="2023-09-01"/>
    <s v="CONT1;HFS2;B01;MC02;PR0302;ACPF6;SC0303;STAG2;POCI2;SUBO2;DEFA2;FORB2;SSC4;PURP6;COLL4;TYVA01;FVAD3"/>
    <s v="51"/>
    <s v="REL01"/>
    <s v="SCOPE_1"/>
    <s v="CAAP4"/>
    <s v="SOUR2"/>
    <s v="DQS4"/>
    <n v="36547.72"/>
  </r>
  <r>
    <x v="580"/>
    <s v="M_0000_00000246732_000000000000001"/>
    <s v="VEH05"/>
    <s v="2023-09-01"/>
    <s v="CONT1;HFS2;B01;MC02;PR0302;ACPF6;SC0303;STAG2;POCI2;SUBO2;DEFA2;FORB2;SSC4;PURP6;COLL4;TYVA01;FVAD3"/>
    <s v="51"/>
    <s v="REL01"/>
    <s v="SCOPE_1"/>
    <s v="CAAP4"/>
    <s v="SOUR2"/>
    <s v="DQS4"/>
    <n v="36547.72"/>
  </r>
  <r>
    <x v="581"/>
    <s v="M_0000_00000246740_000000000000001"/>
    <s v="VEH04"/>
    <s v="2023-12-01"/>
    <s v="CONT1;HFS2;B01;MC02;PR0302;ACPF6;SC0303;STAG1;SUBO2;DEFA2;FORB2;SSC4;PURP6;COLL4;TYVA01;FVAD3"/>
    <s v="51"/>
    <s v="REL01"/>
    <s v="SCOPE_1"/>
    <s v="CAAP4"/>
    <s v="SOUR2"/>
    <s v="DQS4"/>
    <n v="1438.92"/>
  </r>
  <r>
    <x v="582"/>
    <s v="M_0000_00000246742_000000000000001"/>
    <s v="VEH04"/>
    <s v="2023-11-15"/>
    <s v="CONT1;HFS2;B01;MC02;PR0302;ACPF6;SC0303;STAG1;SUBO2;DEFA2;FORB2;SSC4;PURP6;COLL4;TYVA01;FVAD3"/>
    <s v="51"/>
    <s v="REL01"/>
    <s v="SCOPE_1"/>
    <s v="CAAP4"/>
    <s v="SOUR2"/>
    <s v="DQS4"/>
    <n v="1410.1"/>
  </r>
  <r>
    <x v="583"/>
    <s v="M_0000_00000246769_000000000000001"/>
    <s v="VEH05"/>
    <s v="2023-10-01"/>
    <s v="CONT1;HFS2;B01;MC02;PR0302;ACPF6;SC0303;STAG1;SUBO2;DEFA2;FORB2;SSC3;PURP6;COLL4;TYVA01;FVAD3"/>
    <s v="51"/>
    <s v="REL01"/>
    <s v="SCOPE_1"/>
    <s v="CAAP4"/>
    <s v="SOUR2"/>
    <s v="DQS4"/>
    <n v="33545.32"/>
  </r>
  <r>
    <x v="583"/>
    <s v="M_0000_00000246769_000000000000002"/>
    <s v="VEH05"/>
    <s v="2023-10-01"/>
    <s v="CONT1;HFS2;B01;MC02;PR0302;ACPF6;SC0303;STAG1;SUBO2;DEFA2;FORB2;SSC3;PURP6;COLL4;TYVA01;FVAD3"/>
    <s v="51"/>
    <s v="REL01"/>
    <s v="SCOPE_1"/>
    <s v="CAAP4"/>
    <s v="SOUR2"/>
    <s v="DQS4"/>
    <n v="33545.32"/>
  </r>
  <r>
    <x v="584"/>
    <s v="M_0000_00000246802_000000000000001"/>
    <s v="VEH05"/>
    <s v="2023-10-15"/>
    <s v="CONT1;HFS2;B01;MC02;PR0302;ACPF6;SC0303;STAG2;POCI2;SUBO2;DEFA2;FORB2;SSC4;PURP6;COLL4;TYVA01;FVAD3"/>
    <s v="51"/>
    <s v="REL01"/>
    <s v="SCOPE_1"/>
    <s v="CAAP4"/>
    <s v="SOUR2"/>
    <s v="DQS4"/>
    <n v="34909.199999999997"/>
  </r>
  <r>
    <x v="585"/>
    <s v="M_0000_00000246804_000000000000001"/>
    <s v="VEH04"/>
    <s v="2023-10-15"/>
    <s v="CONT1;HFS2;B01;MC02;PR0302;ACPF6;SC0303;STAG1;SUBO2;DEFA2;FORB2;SSC3;PURP6;COLL4;TYVA01;FVAD3"/>
    <s v="51"/>
    <s v="REL01"/>
    <s v="SCOPE_1"/>
    <s v="CAAP4"/>
    <s v="SOUR2"/>
    <s v="DQS4"/>
    <n v="1144.04"/>
  </r>
  <r>
    <x v="586"/>
    <s v="M_0000_00000246808_000000000000001"/>
    <s v="VEH05"/>
    <s v="2023-11-15"/>
    <s v="CONT1;HFS2;B01;MC02;PR0302;ACPF6;SC0303;STAG1;SUBO2;DEFA2;FORB2;SSC4;PURP6;COLL4;TYVA01;FVAD3"/>
    <s v="51"/>
    <s v="REL01"/>
    <s v="SCOPE_1"/>
    <s v="CAAP4"/>
    <s v="SOUR2"/>
    <s v="DQS4"/>
    <n v="35409.25"/>
  </r>
  <r>
    <x v="587"/>
    <s v="M_0000_00000246810_000000000000001"/>
    <s v="VEH05"/>
    <s v="2023-10-01"/>
    <s v="CONT1;HFS2;B01;MC02;PR0302;ACPF6;SC0303;STAG2;POCI2;SUBO2;DEFA2;FORB2;SSC4;PURP6;COLL4;TYVA01;FVAD3"/>
    <s v="51"/>
    <s v="REL01"/>
    <s v="SCOPE_1"/>
    <s v="CAAP4"/>
    <s v="SOUR2"/>
    <s v="DQS4"/>
    <n v="37826.86"/>
  </r>
  <r>
    <x v="588"/>
    <s v="M_0000_00000246818_000000000000001"/>
    <s v="VEH05"/>
    <s v="2023-10-01"/>
    <s v="CONT1;HFS2;B01;MC02;PR0302;ACPF6;SC0303;STAG1;SUBO2;DEFA2;FORB2;SSC4;PURP6;COLL4;TYVA01;FVAD3"/>
    <s v="51"/>
    <s v="REL01"/>
    <s v="SCOPE_1"/>
    <s v="CAAP4"/>
    <s v="SOUR2"/>
    <s v="DQS4"/>
    <n v="32975.49"/>
  </r>
  <r>
    <x v="589"/>
    <s v="M_0000_00000246829_000000000000001"/>
    <s v="VEH05"/>
    <s v="2023-10-01"/>
    <s v="CONT1;HFS2;B01;MC02;PR0302;ACPF6;SC0303;STAG1;SUBO2;DEFA2;FORB2;SSC3;PURP6;COLL4;TYVA01;FVAD3"/>
    <s v="51"/>
    <s v="REL01"/>
    <s v="SCOPE_1"/>
    <s v="CAAP4"/>
    <s v="SOUR2"/>
    <s v="DQS4"/>
    <n v="32919.18"/>
  </r>
  <r>
    <x v="590"/>
    <s v="M_0000_00000246902_000000000000001"/>
    <s v="VEH01"/>
    <s v="2023-10-01"/>
    <s v="CONT1;HFS2;B01;MC02;PR0302;ACPF6;SC0303;STAG1;SUBO2;DEFA2;FORB2;SSC4;PURP6;COLL4;TYVA01;FVAD3"/>
    <s v="51"/>
    <s v="REL01"/>
    <s v="SCOPE_1"/>
    <s v="CAAP4"/>
    <s v="SOUR2"/>
    <s v="DQS4"/>
    <n v="1898.05"/>
  </r>
  <r>
    <x v="591"/>
    <s v="M_0000_00000246927_000000000000001"/>
    <s v="VEH05"/>
    <s v="2023-10-15"/>
    <s v="CONT1;HFS2;B01;MC02;PR0302;ACPF6;SC0303;STAG2;POCI2;SUBO2;DEFA2;FORB2;SSC4;PURP6;COLL4;TYVA01;FVAD3"/>
    <s v="51"/>
    <s v="REL01"/>
    <s v="SCOPE_1"/>
    <s v="CAAP4"/>
    <s v="SOUR2"/>
    <s v="DQS4"/>
    <n v="37591.129999999997"/>
  </r>
  <r>
    <x v="592"/>
    <s v="M_0000_00000246932_000000000000001"/>
    <s v="VEH04"/>
    <s v="2024-01-15"/>
    <s v="CONT1;HFS2;B01;MC02;PR0302;ACPF6;SC0303;STAG1;SUBO2;DEFA2;FORB2;SSC4;PURP6;COLL4;TYVA01;FVAD3"/>
    <s v="51"/>
    <s v="REL01"/>
    <s v="SCOPE_1"/>
    <s v="CAAP4"/>
    <s v="SOUR2"/>
    <s v="DQS4"/>
    <n v="1093.67"/>
  </r>
  <r>
    <x v="593"/>
    <s v="M_0000_00000246936_000000000000001"/>
    <s v="VEH04"/>
    <s v="2023-10-15"/>
    <s v="CONT1;HFS2;B01;MC02;PR0302;ACPF6;SC0303;STAG1;SUBO2;DEFA2;FORB2;SSC4;PURP6;COLL4;TYVA01;FVAD3"/>
    <s v="51"/>
    <s v="REL01"/>
    <s v="SCOPE_1"/>
    <s v="CAAP4"/>
    <s v="SOUR2"/>
    <s v="DQS4"/>
    <n v="1186.07"/>
  </r>
  <r>
    <x v="594"/>
    <s v="M_0000_00000246943_000000000000002"/>
    <s v="VEH05"/>
    <s v="2023-10-15"/>
    <s v="CONT1;HFS2;B01;MC02;PR0302;ACPF6;SC0303;STAG2;POCI2;SUBO2;DEFA2;FORB2;SSC4;PURP6;COLL4;TYVA01;FVAD3"/>
    <s v="51"/>
    <s v="REL01"/>
    <s v="SCOPE_1"/>
    <s v="CAAP4"/>
    <s v="SOUR2"/>
    <s v="DQS4"/>
    <n v="37760.39"/>
  </r>
  <r>
    <x v="594"/>
    <s v="M_0000_00000246943_000000000000001"/>
    <s v="VEH05"/>
    <s v="2023-10-15"/>
    <s v="CONT1;HFS2;B01;MC02;PR0302;ACPF6;SC0303;STAG2;POCI2;SUBO2;DEFA2;FORB2;SSC4;PURP6;COLL4;TYVA01;FVAD3"/>
    <s v="51"/>
    <s v="REL01"/>
    <s v="SCOPE_1"/>
    <s v="CAAP4"/>
    <s v="SOUR2"/>
    <s v="DQS4"/>
    <n v="37760.39"/>
  </r>
  <r>
    <x v="595"/>
    <s v="M_0000_00000246962_000000000000001"/>
    <s v="VEH05"/>
    <s v="2023-11-15"/>
    <s v="CONT1;HFS2;B01;MC02;PR0302;ACPF6;SC0303;STAG1;SUBO2;DEFA2;FORB2;SSC3;PURP6;COLL4;TYVA01;FVAD3"/>
    <s v="51"/>
    <s v="REL01"/>
    <s v="SCOPE_1"/>
    <s v="CAAP4"/>
    <s v="SOUR2"/>
    <s v="DQS4"/>
    <n v="41146.28"/>
  </r>
  <r>
    <x v="595"/>
    <s v="M_0000_00000246962_000000000000002"/>
    <s v="VEH05"/>
    <s v="2023-11-15"/>
    <s v="CONT1;HFS2;B01;MC02;PR0302;ACPF6;SC0303;STAG1;SUBO2;DEFA2;FORB2;SSC3;PURP6;COLL4;TYVA01;FVAD3"/>
    <s v="51"/>
    <s v="REL01"/>
    <s v="SCOPE_1"/>
    <s v="CAAP4"/>
    <s v="SOUR2"/>
    <s v="DQS4"/>
    <n v="41146.28"/>
  </r>
  <r>
    <x v="595"/>
    <s v="M_0000_00000246962_000000000000004"/>
    <s v="VEH05"/>
    <s v="2023-11-15"/>
    <s v="CONT1;HFS2;B01;MC02;PR0302;ACPF6;SC0303;STAG1;SUBO2;DEFA2;FORB2;SSC3;PURP6;COLL4;TYVA01;FVAD3"/>
    <s v="51"/>
    <s v="REL01"/>
    <s v="SCOPE_1"/>
    <s v="CAAP4"/>
    <s v="SOUR2"/>
    <s v="DQS4"/>
    <n v="41146.28"/>
  </r>
  <r>
    <x v="595"/>
    <s v="M_0000_00000246962_000000000000003"/>
    <s v="VEH05"/>
    <s v="2023-11-15"/>
    <s v="CONT1;HFS2;B01;MC02;PR0302;ACPF6;SC0303;STAG1;SUBO2;DEFA2;FORB2;SSC3;PURP6;COLL4;TYVA01;FVAD3"/>
    <s v="51"/>
    <s v="REL01"/>
    <s v="SCOPE_1"/>
    <s v="CAAP4"/>
    <s v="SOUR2"/>
    <s v="DQS4"/>
    <n v="41146.28"/>
  </r>
  <r>
    <x v="596"/>
    <s v="M_0000_00000246971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42267.53"/>
  </r>
  <r>
    <x v="597"/>
    <s v="M_0000_00000247001_000000000000001"/>
    <s v="VEH05"/>
    <s v="2023-11-15"/>
    <s v="CONT1;HFS2;B01;MC02;PR0302;ACPF6;SC0303;STAG2;POCI2;SUBO2;DEFA2;FORB2;SSC4;PURP6;COLL4;TYVA01;FVAD3"/>
    <s v="51"/>
    <s v="REL01"/>
    <s v="SCOPE_1"/>
    <s v="CAAP4"/>
    <s v="SOUR2"/>
    <s v="DQS4"/>
    <n v="38629.050000000003"/>
  </r>
  <r>
    <x v="598"/>
    <s v="M_0000_00000247002_000000000000001"/>
    <s v="VEH05"/>
    <s v="2023-11-01"/>
    <s v="CONT1;HFS2;B01;MC02;PR0302;ACPF6;SC0303;STAG2;POCI2;SUBO2;DEFA2;FORB2;SSC4;PURP6;COLL4;TYVA01;FVAD3"/>
    <s v="51"/>
    <s v="REL01"/>
    <s v="SCOPE_1"/>
    <s v="CAAP4"/>
    <s v="SOUR2"/>
    <s v="DQS4"/>
    <n v="38108.11"/>
  </r>
  <r>
    <x v="599"/>
    <s v="M_0000_00000247003_000000000000001"/>
    <s v="VEH05"/>
    <s v="2023-12-15"/>
    <s v="CONT1;HFS2;B01;MC02;PR0302;ACPF6;SC0303;STAG2;POCI2;SUBO2;DEFA2;FORB2;SSC4;PURP6;COLL4;TYVA01;FVAD3"/>
    <s v="51"/>
    <s v="REL01"/>
    <s v="SCOPE_1"/>
    <s v="CAAP4"/>
    <s v="SOUR2"/>
    <s v="DQS4"/>
    <n v="38660.65"/>
  </r>
  <r>
    <x v="600"/>
    <s v="M_0000_00000247037_000000000000001"/>
    <s v="VEH04"/>
    <s v="2023-11-15"/>
    <s v="CONT1;HFS2;B01;MC02;PR0302;ACPF6;SC0303;STAG1;SUBO2;DEFA2;FORB2;SSC4;PURP6;COLL4;TYVA01;FVAD3"/>
    <s v="51"/>
    <s v="REL01"/>
    <s v="SCOPE_1"/>
    <s v="CAAP4"/>
    <s v="SOUR2"/>
    <s v="DQS4"/>
    <n v="1599.32"/>
  </r>
  <r>
    <x v="601"/>
    <s v="M_0000_00000247047_000000000000001"/>
    <s v="VEH16"/>
    <s v="2023-12-15"/>
    <s v="CONT1;HFS2;B01;MC02;PR0302;ACPF6;SC0303;STAG1;SUBO2;DEFA2;FORB2;SSC4;PURP6;COLL4;TYVA01;FVAD3"/>
    <s v="51"/>
    <s v="REL01"/>
    <s v="SCOPE_1"/>
    <s v="CAAP4"/>
    <s v="SOUR2"/>
    <s v="DQS4"/>
    <n v="31658.51"/>
  </r>
  <r>
    <x v="602"/>
    <s v="M_0000_00000247066_000000000000005"/>
    <s v="VEH05"/>
    <s v="2023-11-01"/>
    <s v="CONT1;HFS2;B01;MC02;PR0302;ACPF6;SC0303;STAG2;POCI2;SUBO2;DEFA2;FORB2;SSC4;PURP6;COLL4;TYVA01;FVAD3"/>
    <s v="51"/>
    <s v="REL01"/>
    <s v="SCOPE_1"/>
    <s v="CAAP4"/>
    <s v="SOUR2"/>
    <s v="DQS4"/>
    <n v="40355.39"/>
  </r>
  <r>
    <x v="602"/>
    <s v="M_0000_00000247066_000000000000002"/>
    <s v="VEH05"/>
    <s v="2023-11-01"/>
    <s v="CONT1;HFS2;B01;MC02;PR0302;ACPF6;SC0303;STAG2;POCI2;SUBO2;DEFA2;FORB2;SSC4;PURP6;COLL4;TYVA01;FVAD3"/>
    <s v="51"/>
    <s v="REL01"/>
    <s v="SCOPE_1"/>
    <s v="CAAP4"/>
    <s v="SOUR2"/>
    <s v="DQS4"/>
    <n v="40355.39"/>
  </r>
  <r>
    <x v="602"/>
    <s v="M_0000_00000247066_000000000000004"/>
    <s v="VEH05"/>
    <s v="2023-11-01"/>
    <s v="CONT1;HFS2;B01;MC02;PR0302;ACPF6;SC0303;STAG2;POCI2;SUBO2;DEFA2;FORB2;SSC4;PURP6;COLL4;TYVA01;FVAD3"/>
    <s v="51"/>
    <s v="REL01"/>
    <s v="SCOPE_1"/>
    <s v="CAAP4"/>
    <s v="SOUR2"/>
    <s v="DQS4"/>
    <n v="40355.39"/>
  </r>
  <r>
    <x v="602"/>
    <s v="M_0000_00000247066_000000000000003"/>
    <s v="VEH05"/>
    <s v="2023-11-01"/>
    <s v="CONT1;HFS2;B01;MC02;PR0302;ACPF6;SC0303;STAG2;POCI2;SUBO2;DEFA2;FORB2;SSC4;PURP6;COLL4;TYVA01;FVAD3"/>
    <s v="51"/>
    <s v="REL01"/>
    <s v="SCOPE_1"/>
    <s v="CAAP4"/>
    <s v="SOUR2"/>
    <s v="DQS4"/>
    <n v="40355.39"/>
  </r>
  <r>
    <x v="602"/>
    <s v="M_0000_00000247066_000000000000001"/>
    <s v="VEH05"/>
    <s v="2023-11-01"/>
    <s v="CONT1;HFS2;B01;MC02;PR0302;ACPF6;SC0303;STAG2;POCI2;SUBO2;DEFA2;FORB2;SSC4;PURP6;COLL4;TYVA01;FVAD3"/>
    <s v="51"/>
    <s v="REL01"/>
    <s v="SCOPE_1"/>
    <s v="CAAP4"/>
    <s v="SOUR2"/>
    <s v="DQS4"/>
    <n v="40355.39"/>
  </r>
  <r>
    <x v="603"/>
    <s v="M_0000_00000247067_000000000000001"/>
    <s v="VEH05"/>
    <s v="2024-02-01"/>
    <s v="CONT1;HFS2;B01;MC02;PR0302;ACPF6;SC0303;STAG1;SUBO2;DEFA2;FORB2;SSC4;PURP6;COLL4;TYVA01;FVAD3"/>
    <s v="51"/>
    <s v="REL01"/>
    <s v="SCOPE_1"/>
    <s v="CAAP4"/>
    <s v="SOUR2"/>
    <s v="DQS4"/>
    <n v="40787.24"/>
  </r>
  <r>
    <x v="604"/>
    <s v="M_0000_00000247077_000000000000001"/>
    <s v="VEH05"/>
    <s v="2023-11-01"/>
    <s v="CONT1;HFS2;B01;MC02;PR0302;ACPF6;SC0303;STAG1;SUBO2;DEFA2;FORB2;SSC4;PURP6;COLL4;TYVA01;FVAD3"/>
    <s v="51"/>
    <s v="REL01"/>
    <s v="SCOPE_1"/>
    <s v="CAAP4"/>
    <s v="SOUR2"/>
    <s v="DQS4"/>
    <n v="38666.61"/>
  </r>
  <r>
    <x v="605"/>
    <s v="M_0000_00000247080_000000000000001"/>
    <s v="VEH05"/>
    <s v="2023-11-01"/>
    <s v="CONT1;HFS2;B01;MC02;PR0302;ACPF6;SC0303;STAG2;POCI2;SUBO2;DEFA2;FORB2;SSC4;PURP6;COLL4;TYVA01;FVAD3"/>
    <s v="51"/>
    <s v="REL01"/>
    <s v="SCOPE_1"/>
    <s v="CAAP4"/>
    <s v="SOUR2"/>
    <s v="DQS4"/>
    <n v="41272.639999999999"/>
  </r>
  <r>
    <x v="606"/>
    <s v="M_0000_00000247111_000000000000001"/>
    <s v="VEH05"/>
    <s v="2023-12-15"/>
    <s v="CONT1;HFS2;B01;MC02;PR0302;ACPF6;SC0303;STAG1;SUBO2;DEFA2;FORB2;SSC4;PURP6;COLL4;TYVA01;FVAD3"/>
    <s v="51"/>
    <s v="REL01"/>
    <s v="SCOPE_1"/>
    <s v="CAAP4"/>
    <s v="SOUR2"/>
    <s v="DQS4"/>
    <n v="36036.89"/>
  </r>
  <r>
    <x v="607"/>
    <s v="M_0000_00000247117_000000000000001"/>
    <s v="VEH05"/>
    <s v="2023-12-01"/>
    <s v="CONT1;HFS2;B01;MC02;PR0302;ACPF6;SC0303;STAG1;SUBO2;DEFA2;FORB2;SSC4;PURP6;COLL4;TYVA01;FVAD3"/>
    <s v="51"/>
    <s v="REL01"/>
    <s v="SCOPE_1"/>
    <s v="CAAP4"/>
    <s v="SOUR2"/>
    <s v="DQS4"/>
    <n v="30123.43"/>
  </r>
  <r>
    <x v="608"/>
    <s v="M_0000_00000247130_000000000000001"/>
    <s v="VEH05"/>
    <s v="2023-12-15"/>
    <s v="CONT1;HFS2;B01;MC02;PR0302;ACPF6;SC0303;STAG1;SUBO2;DEFA2;FORB2;SSC4;PURP6;COLL4;TYVA01;FVAD3"/>
    <s v="51"/>
    <s v="REL01"/>
    <s v="SCOPE_1"/>
    <s v="CAAP4"/>
    <s v="SOUR2"/>
    <s v="DQS4"/>
    <n v="37517.800000000003"/>
  </r>
  <r>
    <x v="609"/>
    <s v="M_0000_00000247134_000000000000001"/>
    <s v="VEH16"/>
    <s v="2023-12-15"/>
    <s v="CONT1;HFS2;B01;MC02;PR0302;ACPF6;SC0303;STAG1;SUBO2;DEFA2;FORB2;SSC4;PURP6;COLL4;TYVA01;FVAD3"/>
    <s v="51"/>
    <s v="REL01"/>
    <s v="SCOPE_1"/>
    <s v="CAAP4"/>
    <s v="SOUR2"/>
    <s v="DQS4"/>
    <n v="35782.76"/>
  </r>
  <r>
    <x v="610"/>
    <s v="M_0000_00000247219_000000000000001"/>
    <s v="VEH05"/>
    <s v="2024-03-01"/>
    <s v="CONT1;HFS2;B01;MC02;PR0302;ACPF6;SC0303;STAG1;SUBO2;DEFA2;FORB2;SSC4;PURP6;COLL4;TYVA01;FVAD3"/>
    <s v="51"/>
    <s v="REL01"/>
    <s v="SCOPE_1"/>
    <s v="CAAP4"/>
    <s v="SOUR2"/>
    <s v="DQS4"/>
    <n v="36373.300000000003"/>
  </r>
  <r>
    <x v="611"/>
    <s v="M_0000_00000247239_000000000000001"/>
    <s v="VEH05"/>
    <s v="2024-03-01"/>
    <s v="CONT1;HFS2;B01;MC02;PR0302;ACPF6;SC0303;STAG1;SUBO2;DEFA2;FORB2;SSC4;PURP6;COLL4;TYVA01;FVAD3"/>
    <s v="51"/>
    <s v="REL01"/>
    <s v="SCOPE_1"/>
    <s v="CAAP4"/>
    <s v="SOUR2"/>
    <s v="DQS4"/>
    <n v="39170.629999999997"/>
  </r>
  <r>
    <x v="612"/>
    <s v="M_0000_00000247240_000000000000001"/>
    <s v="VEH05"/>
    <s v="2024-02-15"/>
    <s v="CONT1;HFS2;B01;MC02;PR0302;ACPF6;SC0303;STAG1;SUBO2;DEFA2;FORB2;SSC4;PURP6;COLL4;TYVA01;FVAD3"/>
    <s v="51"/>
    <s v="REL01"/>
    <s v="SCOPE_1"/>
    <s v="CAAP4"/>
    <s v="SOUR2"/>
    <s v="DQS4"/>
    <n v="38397.980000000003"/>
  </r>
  <r>
    <x v="613"/>
    <s v="M_0000_00000247289_000000000000001"/>
    <s v="VEH01"/>
    <s v="2023-11-15"/>
    <s v="CONT1;HFS2;B01;MC02;PR0302;ACPF6;SC0303;STAG1;SUBO2;DEFA2;FORB2;SSC3;PURP6;COLL4;TYVA01;FVAD3"/>
    <s v="51"/>
    <s v="REL01"/>
    <s v="SCOPE_1"/>
    <s v="CAAP4"/>
    <s v="SOUR2"/>
    <s v="DQS4"/>
    <n v="1711.38"/>
  </r>
  <r>
    <x v="614"/>
    <s v="M_0000_00000247316_000000000000001"/>
    <s v="VEH16"/>
    <s v="2023-12-01"/>
    <s v="CONT1;HFS2;B01;MC02;PR0302;ACPF6;SC0303;STAG1;SUBO2;DEFA2;FORB2;SSC3;PURP6;COLL4;TYVA01;FVAD3"/>
    <s v="51"/>
    <s v="REL01"/>
    <s v="SCOPE_1"/>
    <s v="CAAP4"/>
    <s v="SOUR2"/>
    <s v="DQS4"/>
    <n v="35648.35"/>
  </r>
  <r>
    <x v="614"/>
    <s v="M_0000_00000247316_000000000000002"/>
    <s v="VEH16"/>
    <s v="2023-12-01"/>
    <s v="CONT1;HFS2;B01;MC02;PR0302;ACPF6;SC0303;STAG1;SUBO2;DEFA2;FORB2;SSC3;PURP6;COLL4;TYVA01;FVAD3"/>
    <s v="51"/>
    <s v="REL01"/>
    <s v="SCOPE_1"/>
    <s v="CAAP4"/>
    <s v="SOUR2"/>
    <s v="DQS4"/>
    <n v="35648.35"/>
  </r>
  <r>
    <x v="615"/>
    <s v="M_0000_00000247318_000000000000002"/>
    <s v="VEH01"/>
    <s v="2023-12-15"/>
    <s v="CONT1;HFS2;B01;MC02;PR0302;ACPF6;SC0303;STAG1;SUBO2;DEFA2;FORB2;SSC3;PURP6;COLL4;TYVA01;FVAD3"/>
    <s v="51"/>
    <s v="REL01"/>
    <s v="SCOPE_1"/>
    <s v="CAAP4"/>
    <s v="SOUR2"/>
    <s v="DQS4"/>
    <n v="1763.51"/>
  </r>
  <r>
    <x v="615"/>
    <s v="M_0000_00000247318_000000000000001"/>
    <s v="VEH04"/>
    <s v="2023-12-15"/>
    <s v="CONT1;HFS2;B01;MC02;PR0302;ACPF6;SC0303;STAG1;SUBO2;DEFA2;FORB2;SSC3;PURP6;COLL4;TYVA01;FVAD3"/>
    <s v="51"/>
    <s v="REL01"/>
    <s v="SCOPE_1"/>
    <s v="CAAP4"/>
    <s v="SOUR2"/>
    <s v="DQS4"/>
    <n v="1763.51"/>
  </r>
  <r>
    <x v="615"/>
    <s v="M_0000_00000247318_000000000000002"/>
    <s v="VEH01"/>
    <s v="2023-12-15"/>
    <s v="CONT1;HFS2;B01;MC02;PR0302;ACPF6;SC0303;STAG1;SUBO2;DEFA2;FORB2;SSC3;PURP6;COLL4;TYVA01;FVAD3"/>
    <s v="51"/>
    <s v="REL01"/>
    <s v="SCOPE_1"/>
    <s v="CAAP4"/>
    <s v="SOUR2"/>
    <s v="DQS4"/>
    <n v="1358.86"/>
  </r>
  <r>
    <x v="615"/>
    <s v="M_0000_00000247318_000000000000001"/>
    <s v="VEH04"/>
    <s v="2023-12-15"/>
    <s v="CONT1;HFS2;B01;MC02;PR0302;ACPF6;SC0303;STAG1;SUBO2;DEFA2;FORB2;SSC3;PURP6;COLL4;TYVA01;FVAD3"/>
    <s v="51"/>
    <s v="REL01"/>
    <s v="SCOPE_1"/>
    <s v="CAAP4"/>
    <s v="SOUR2"/>
    <s v="DQS4"/>
    <n v="1358.86"/>
  </r>
  <r>
    <x v="616"/>
    <s v="M_0000_00000247320_000000000000001"/>
    <s v="VEH05"/>
    <s v="2023-12-01"/>
    <s v="CONT1;HFS2;B01;MC02;PR0302;ACPF6;SC0303;STAG1;SUBO2;DEFA2;FORB2;SSC4;PURP6;COLL4;TYVA01;FVAD3"/>
    <s v="51"/>
    <s v="REL01"/>
    <s v="SCOPE_1"/>
    <s v="CAAP4"/>
    <s v="SOUR2"/>
    <s v="DQS4"/>
    <n v="36058.47"/>
  </r>
  <r>
    <x v="617"/>
    <s v="M_0000_00000247329_000000000000001"/>
    <s v="VEH05"/>
    <s v="2024-01-15"/>
    <s v="CONT1;HFS2;B01;MC02;PR0302;ACPF6;SC0303;STAG2;POCI2;SUBO2;DEFA2;FORB2;SSC4;PURP6;COLL4;TYVA01;FVAD3"/>
    <s v="51"/>
    <s v="REL01"/>
    <s v="SCOPE_1"/>
    <s v="CAAP4"/>
    <s v="SOUR2"/>
    <s v="DQS4"/>
    <n v="39080.93"/>
  </r>
  <r>
    <x v="618"/>
    <s v="M_0000_00000247337_000000000000001"/>
    <s v="VEH05"/>
    <s v="2024-01-15"/>
    <s v="CONT1;HFS2;B01;MC02;PR0302;ACPF6;SC0303;STAG1;SUBO2;DEFA2;FORB2;SSC4;PURP6;COLL4;TYVA01;FVAD3"/>
    <s v="51"/>
    <s v="REL01"/>
    <s v="SCOPE_1"/>
    <s v="CAAP4"/>
    <s v="SOUR2"/>
    <s v="DQS4"/>
    <n v="32678.62"/>
  </r>
  <r>
    <x v="619"/>
    <s v="M_0000_00000247380_000000000000001"/>
    <s v="VEH05"/>
    <s v="2023-12-15"/>
    <s v="CONT1;HFS2;B01;MC02;PR0302;ACPF6;SC0303;STAG1;SUBO2;DEFA2;FORB2;SSC4;PURP6;COLL4;TYVA01;FVAD3"/>
    <s v="51"/>
    <s v="REL01"/>
    <s v="SCOPE_1"/>
    <s v="CAAP4"/>
    <s v="SOUR2"/>
    <s v="DQS4"/>
    <n v="32129.040000000001"/>
  </r>
  <r>
    <x v="620"/>
    <s v="M_0000_00000247423_000000000000001"/>
    <s v="VEH04"/>
    <s v="2024-01-01"/>
    <s v="CONT1;HFS2;B01;MC02;PR0302;ACPF6;SC0303;STAG1;SUBO2;DEFA2;FORB2;SSC4;PURP6;COLL4;TYVA01;FVAD3"/>
    <s v="51"/>
    <s v="REL01"/>
    <s v="SCOPE_1"/>
    <s v="CAAP4"/>
    <s v="SOUR2"/>
    <s v="DQS4"/>
    <n v="1028.1500000000001"/>
  </r>
  <r>
    <x v="621"/>
    <s v="M_0000_00000247428_000000000000001"/>
    <s v="VEH04"/>
    <s v="2023-12-15"/>
    <s v="CONT1;HFS2;B01;MC02;PR0302;ACPF6;SC0303;STAG2;POCI2;SUBO2;DEFA2;FORB2;SSC4;PURP6;COLL4;TYVA01;FVAD3"/>
    <s v="51"/>
    <s v="REL01"/>
    <s v="SCOPE_1"/>
    <s v="CAAP4"/>
    <s v="SOUR2"/>
    <s v="DQS4"/>
    <n v="1411.91"/>
  </r>
  <r>
    <x v="622"/>
    <s v="M_0000_00000247433_000000000000001"/>
    <s v="VEH04"/>
    <s v="2024-01-01"/>
    <s v="CONT1;HFS2;B01;MC02;PR0302;ACPF6;SC0303;STAG1;SUBO2;DEFA2;FORB2;SSC3;PURP6;COLL4;TYVA01;FVAD3"/>
    <s v="51"/>
    <s v="REL01"/>
    <s v="SCOPE_1"/>
    <s v="CAAP4"/>
    <s v="SOUR2"/>
    <s v="DQS4"/>
    <n v="1818.05"/>
  </r>
  <r>
    <x v="622"/>
    <s v="M_0000_00000247433_000000000000003"/>
    <s v="VEH01"/>
    <s v="2024-01-01"/>
    <s v="CONT1;HFS2;B01;MC02;PR0302;ACPF6;SC0303;STAG1;SUBO2;DEFA2;FORB2;SSC3;PURP6;COLL4;TYVA01;FVAD3"/>
    <s v="51"/>
    <s v="REL01"/>
    <s v="SCOPE_1"/>
    <s v="CAAP4"/>
    <s v="SOUR2"/>
    <s v="DQS4"/>
    <n v="1818.05"/>
  </r>
  <r>
    <x v="622"/>
    <s v="M_0000_00000247433_000000000000004"/>
    <s v="VEH01"/>
    <s v="2024-01-01"/>
    <s v="CONT1;HFS2;B01;MC02;PR0302;ACPF6;SC0303;STAG1;SUBO2;DEFA2;FORB2;SSC3;PURP6;COLL4;TYVA01;FVAD3"/>
    <s v="51"/>
    <s v="REL01"/>
    <s v="SCOPE_1"/>
    <s v="CAAP4"/>
    <s v="SOUR2"/>
    <s v="DQS4"/>
    <n v="1818.05"/>
  </r>
  <r>
    <x v="622"/>
    <s v="M_0000_00000247433_000000000000002"/>
    <s v="VEH01"/>
    <s v="2024-01-01"/>
    <s v="CONT1;HFS2;B01;MC02;PR0302;ACPF6;SC0303;STAG1;SUBO2;DEFA2;FORB2;SSC3;PURP6;COLL4;TYVA01;FVAD3"/>
    <s v="51"/>
    <s v="REL01"/>
    <s v="SCOPE_1"/>
    <s v="CAAP4"/>
    <s v="SOUR2"/>
    <s v="DQS4"/>
    <n v="1818.05"/>
  </r>
  <r>
    <x v="622"/>
    <s v="M_0000_00000247433_000000000000005"/>
    <s v="VEH01"/>
    <s v="2024-01-01"/>
    <s v="CONT1;HFS2;B01;MC02;PR0302;ACPF6;SC0303;STAG1;SUBO2;DEFA2;FORB2;SSC3;PURP6;COLL4;TYVA01;FVAD3"/>
    <s v="51"/>
    <s v="REL01"/>
    <s v="SCOPE_1"/>
    <s v="CAAP4"/>
    <s v="SOUR2"/>
    <s v="DQS4"/>
    <n v="1818.05"/>
  </r>
  <r>
    <x v="622"/>
    <s v="M_0000_00000247433_000000000000002"/>
    <s v="VEH01"/>
    <s v="2024-01-01"/>
    <s v="CONT1;HFS2;B01;MC02;PR0302;ACPF6;SC0303;STAG1;SUBO2;DEFA2;FORB2;SSC3;PURP6;COLL4;TYVA01;FVAD3"/>
    <s v="51"/>
    <s v="REL01"/>
    <s v="SCOPE_1"/>
    <s v="CAAP4"/>
    <s v="SOUR2"/>
    <s v="DQS4"/>
    <n v="1400.89"/>
  </r>
  <r>
    <x v="622"/>
    <s v="M_0000_00000247433_000000000000004"/>
    <s v="VEH01"/>
    <s v="2024-01-01"/>
    <s v="CONT1;HFS2;B01;MC02;PR0302;ACPF6;SC0303;STAG1;SUBO2;DEFA2;FORB2;SSC3;PURP6;COLL4;TYVA01;FVAD3"/>
    <s v="51"/>
    <s v="REL01"/>
    <s v="SCOPE_1"/>
    <s v="CAAP4"/>
    <s v="SOUR2"/>
    <s v="DQS4"/>
    <n v="1400.89"/>
  </r>
  <r>
    <x v="622"/>
    <s v="M_0000_00000247433_000000000000005"/>
    <s v="VEH01"/>
    <s v="2024-01-01"/>
    <s v="CONT1;HFS2;B01;MC02;PR0302;ACPF6;SC0303;STAG1;SUBO2;DEFA2;FORB2;SSC3;PURP6;COLL4;TYVA01;FVAD3"/>
    <s v="51"/>
    <s v="REL01"/>
    <s v="SCOPE_1"/>
    <s v="CAAP4"/>
    <s v="SOUR2"/>
    <s v="DQS4"/>
    <n v="1400.89"/>
  </r>
  <r>
    <x v="622"/>
    <s v="M_0000_00000247433_000000000000003"/>
    <s v="VEH01"/>
    <s v="2024-01-01"/>
    <s v="CONT1;HFS2;B01;MC02;PR0302;ACPF6;SC0303;STAG1;SUBO2;DEFA2;FORB2;SSC3;PURP6;COLL4;TYVA01;FVAD3"/>
    <s v="51"/>
    <s v="REL01"/>
    <s v="SCOPE_1"/>
    <s v="CAAP4"/>
    <s v="SOUR2"/>
    <s v="DQS4"/>
    <n v="1400.89"/>
  </r>
  <r>
    <x v="622"/>
    <s v="M_0000_00000247433_000000000000001"/>
    <s v="VEH04"/>
    <s v="2024-01-01"/>
    <s v="CONT1;HFS2;B01;MC02;PR0302;ACPF6;SC0303;STAG1;SUBO2;DEFA2;FORB2;SSC3;PURP6;COLL4;TYVA01;FVAD3"/>
    <s v="51"/>
    <s v="REL01"/>
    <s v="SCOPE_1"/>
    <s v="CAAP4"/>
    <s v="SOUR2"/>
    <s v="DQS4"/>
    <n v="1400.89"/>
  </r>
  <r>
    <x v="623"/>
    <s v="M_0000_00000247434_000000000000002"/>
    <s v="VEH05"/>
    <s v="2024-01-01"/>
    <s v="CONT1;HFS2;B01;MC02;PR0302;ACPF6;SC0303;STAG1;SUBO2;DEFA2;FORB2;SSC4;PURP6;COLL4;TYVA01;FVAD3"/>
    <s v="51"/>
    <s v="REL01"/>
    <s v="SCOPE_1"/>
    <s v="CAAP4"/>
    <s v="SOUR2"/>
    <s v="DQS4"/>
    <n v="30846.55"/>
  </r>
  <r>
    <x v="623"/>
    <s v="M_0000_00000247434_000000000000001"/>
    <s v="VEH05"/>
    <s v="2024-01-01"/>
    <s v="CONT1;HFS2;B01;MC02;PR0302;ACPF6;SC0303;STAG1;SUBO2;DEFA2;FORB2;SSC4;PURP6;COLL4;TYVA01;FVAD3"/>
    <s v="51"/>
    <s v="REL01"/>
    <s v="SCOPE_1"/>
    <s v="CAAP4"/>
    <s v="SOUR2"/>
    <s v="DQS4"/>
    <n v="30846.55"/>
  </r>
  <r>
    <x v="624"/>
    <s v="M_0000_00000247436_000000000000001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7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6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2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3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5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8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4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10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4"/>
    <s v="M_0000_00000247436_000000000000009"/>
    <s v="VEH05"/>
    <s v="2024-01-15"/>
    <s v="CONT1;HFS2;B01;MC02;PR0302;ACPF6;SC0303;STAG1;SUBO2;DEFA2;FORB2;SSC3;PURP6;COLL4;TYVA01;FVAD3"/>
    <s v="51"/>
    <s v="REL01"/>
    <s v="SCOPE_1"/>
    <s v="CAAP4"/>
    <s v="SOUR2"/>
    <s v="DQS4"/>
    <n v="40055.050000000003"/>
  </r>
  <r>
    <x v="625"/>
    <s v="M_0000_00000247471_000000000000002"/>
    <s v="VEH16"/>
    <s v="2023-12-15"/>
    <s v="CONT1;HFS2;B01;MC02;PR0302;ACPF6;SC0303;STAG2;POCI2;SUBO2;DEFA2;FORB2;SSC4;PURP6;COLL4;TYVA01;FVAD3"/>
    <s v="51"/>
    <s v="REL01"/>
    <s v="SCOPE_1"/>
    <s v="CAAP4"/>
    <s v="SOUR2"/>
    <s v="DQS4"/>
    <n v="23432.87"/>
  </r>
  <r>
    <x v="625"/>
    <s v="M_0000_00000247471_000000000000001"/>
    <s v="VEH16"/>
    <s v="2023-12-15"/>
    <s v="CONT1;HFS2;B01;MC02;PR0302;ACPF6;SC0303;STAG2;POCI2;SUBO2;DEFA2;FORB2;SSC4;PURP6;COLL4;TYVA01;FVAD3"/>
    <s v="51"/>
    <s v="REL01"/>
    <s v="SCOPE_1"/>
    <s v="CAAP4"/>
    <s v="SOUR2"/>
    <s v="DQS4"/>
    <n v="23432.87"/>
  </r>
  <r>
    <x v="625"/>
    <s v="M_0000_00000247471_000000000000003"/>
    <s v="VEH16"/>
    <s v="2023-12-15"/>
    <s v="CONT1;HFS2;B01;MC02;PR0302;ACPF6;SC0303;STAG2;POCI2;SUBO2;DEFA2;FORB2;SSC4;PURP6;COLL4;TYVA01;FVAD3"/>
    <s v="51"/>
    <s v="REL01"/>
    <s v="SCOPE_1"/>
    <s v="CAAP4"/>
    <s v="SOUR2"/>
    <s v="DQS4"/>
    <n v="23432.87"/>
  </r>
  <r>
    <x v="625"/>
    <s v="M_0000_00000247471_000000000000004"/>
    <s v="VEH16"/>
    <s v="2023-12-15"/>
    <s v="CONT1;HFS2;B01;MC02;PR0302;ACPF6;SC0303;STAG2;POCI2;SUBO2;DEFA2;FORB2;SSC4;PURP6;COLL4;TYVA01;FVAD3"/>
    <s v="51"/>
    <s v="REL01"/>
    <s v="SCOPE_1"/>
    <s v="CAAP4"/>
    <s v="SOUR2"/>
    <s v="DQS4"/>
    <n v="23432.87"/>
  </r>
  <r>
    <x v="626"/>
    <s v="M_0000_00000247492_000000000000001"/>
    <s v="VEH05"/>
    <s v="2024-01-01"/>
    <s v="CONT1;HFS2;B01;MC02;PR0302;ACPF6;SC0303;STAG2;POCI2;SUBO2;DEFA2;FORB2;SSC4;PURP6;COLL4;TYVA01;FVAD3"/>
    <s v="51"/>
    <s v="REL01"/>
    <s v="SCOPE_1"/>
    <s v="CAAP4"/>
    <s v="SOUR2"/>
    <s v="DQS4"/>
    <n v="23928.7"/>
  </r>
  <r>
    <x v="626"/>
    <s v="M_0000_00000247492_000000000000004"/>
    <s v="VEH05"/>
    <s v="2024-01-01"/>
    <s v="CONT1;HFS2;B01;MC02;PR0302;ACPF6;SC0303;STAG2;POCI2;SUBO2;DEFA2;FORB2;SSC4;PURP6;COLL4;TYVA01;FVAD3"/>
    <s v="51"/>
    <s v="REL01"/>
    <s v="SCOPE_1"/>
    <s v="CAAP4"/>
    <s v="SOUR2"/>
    <s v="DQS4"/>
    <n v="23928.7"/>
  </r>
  <r>
    <x v="626"/>
    <s v="M_0000_00000247492_000000000000002"/>
    <s v="VEH05"/>
    <s v="2024-01-01"/>
    <s v="CONT1;HFS2;B01;MC02;PR0302;ACPF6;SC0303;STAG2;POCI2;SUBO2;DEFA2;FORB2;SSC4;PURP6;COLL4;TYVA01;FVAD3"/>
    <s v="51"/>
    <s v="REL01"/>
    <s v="SCOPE_1"/>
    <s v="CAAP4"/>
    <s v="SOUR2"/>
    <s v="DQS4"/>
    <n v="23928.7"/>
  </r>
  <r>
    <x v="626"/>
    <s v="M_0000_00000247492_000000000000003"/>
    <s v="VEH05"/>
    <s v="2024-01-01"/>
    <s v="CONT1;HFS2;B01;MC02;PR0302;ACPF6;SC0303;STAG2;POCI2;SUBO2;DEFA2;FORB2;SSC4;PURP6;COLL4;TYVA01;FVAD3"/>
    <s v="51"/>
    <s v="REL01"/>
    <s v="SCOPE_1"/>
    <s v="CAAP4"/>
    <s v="SOUR2"/>
    <s v="DQS4"/>
    <n v="23928.7"/>
  </r>
  <r>
    <x v="627"/>
    <s v="M_0000_00000247496_000000000000001"/>
    <s v="VEH05"/>
    <s v="2023-12-15"/>
    <s v="CONT1;HFS2;B01;MC02;PR0302;ACPF6;SC0303;STAG1;SUBO2;DEFA2;FORB2;SSC4;PURP6;COLL4;TYVA01;FVAD3"/>
    <s v="51"/>
    <s v="REL01"/>
    <s v="SCOPE_1"/>
    <s v="CAAP4"/>
    <s v="SOUR2"/>
    <s v="DQS4"/>
    <n v="36628.49"/>
  </r>
  <r>
    <x v="628"/>
    <s v="M_0000_00000247610_000000000000001"/>
    <s v="VEH04"/>
    <s v="2024-01-15"/>
    <s v="CONT1;HFS2;B01;MC02;PR0302;ACPF6;SC0303;STAG1;SUBO2;DEFA2;FORB2;SSC4;PURP6;COLL4;TYVA01;FVAD3"/>
    <s v="51"/>
    <s v="REL01"/>
    <s v="SCOPE_1"/>
    <s v="CAAP4"/>
    <s v="SOUR2"/>
    <s v="DQS4"/>
    <n v="1461.35"/>
  </r>
  <r>
    <x v="629"/>
    <s v="M_0000_00000247615_000000000000001"/>
    <s v="VEH05"/>
    <s v="2024-02-15"/>
    <s v="CONT1;HFS2;B01;MC02;PR0302;ACPF6;SC0303;STAG1;SUBO2;DEFA2;FORB2;SSC4;PURP6;COLL4;TYVA01;FVAD3"/>
    <s v="51"/>
    <s v="REL01"/>
    <s v="SCOPE_1"/>
    <s v="CAAP4"/>
    <s v="SOUR2"/>
    <s v="DQS4"/>
    <n v="38293.5"/>
  </r>
  <r>
    <x v="630"/>
    <s v="M_0000_00000247646_000000000000003"/>
    <s v="VEH04"/>
    <s v="2024-03-01"/>
    <s v="CONT1;HFS2;B01;MC02;PR0302;ACPF6;SC0303;STAG1;SUBO2;DEFA2;FORB2;SSC4;PURP6;COLL4;TYVA01;FVAD3"/>
    <s v="51"/>
    <s v="REL01"/>
    <s v="SCOPE_2"/>
    <s v="CAAP4"/>
    <s v="SOUR2"/>
    <s v="DQS4"/>
    <n v="353.73"/>
  </r>
  <r>
    <x v="630"/>
    <s v="M_0000_00000247646_000000000000001"/>
    <s v="VEH04"/>
    <s v="2024-03-01"/>
    <s v="CONT1;HFS2;B01;MC02;PR0302;ACPF6;SC0303;STAG1;SUBO2;DEFA2;FORB2;SSC4;PURP6;COLL4;TYVA01;FVAD3"/>
    <s v="51"/>
    <s v="REL01"/>
    <s v="SCOPE_2"/>
    <s v="CAAP4"/>
    <s v="SOUR2"/>
    <s v="DQS4"/>
    <n v="353.73"/>
  </r>
  <r>
    <x v="630"/>
    <s v="M_0000_00000247646_000000000000002"/>
    <s v="VEH04"/>
    <s v="2024-03-01"/>
    <s v="CONT1;HFS2;B01;MC02;PR0302;ACPF6;SC0303;STAG1;SUBO2;DEFA2;FORB2;SSC4;PURP6;COLL4;TYVA01;FVAD3"/>
    <s v="51"/>
    <s v="REL01"/>
    <s v="SCOPE_2"/>
    <s v="CAAP4"/>
    <s v="SOUR2"/>
    <s v="DQS4"/>
    <n v="353.73"/>
  </r>
  <r>
    <x v="631"/>
    <s v="M_0000_00000247662_000000000000001"/>
    <s v="VEH05"/>
    <s v="2024-02-15"/>
    <s v="CONT1;HFS2;B01;MC02;PR0302;ACPF6;SC0303;STAG1;SUBO2;DEFA2;FORB2;SSC4;PURP6;COLL4;TYVA01;FVAD3"/>
    <s v="51"/>
    <s v="REL01"/>
    <s v="SCOPE_1"/>
    <s v="CAAP4"/>
    <s v="SOUR2"/>
    <s v="DQS4"/>
    <n v="37568.15"/>
  </r>
  <r>
    <x v="632"/>
    <s v="M_0000_00000247685_000000000000001"/>
    <s v="VEH16"/>
    <s v="2024-02-01"/>
    <s v="CONT1;HFS2;B01;MC02;PR0302;ACPF6;SC0303;STAG1;SUBO2;DEFA2;FORB2;SSC4;PURP6;COLL4;TYVA01;FVAD3"/>
    <s v="51"/>
    <s v="REL01"/>
    <s v="SCOPE_1"/>
    <s v="CAAP4"/>
    <s v="SOUR2"/>
    <s v="DQS4"/>
    <n v="41079.72"/>
  </r>
  <r>
    <x v="633"/>
    <s v="M_0000_00000247717_000000000000001"/>
    <s v="VEH05"/>
    <s v="2024-04-01"/>
    <s v="CONT1;HFS2;B01;MC02;PR0302;ACPF6;SC0303;STAG1;SUBO2;DEFA2;FORB2;SSC4;PURP6;COLL4;TYVA01;FVAD3"/>
    <s v="51"/>
    <s v="REL01"/>
    <s v="SCOPE_1"/>
    <s v="CAAP4"/>
    <s v="SOUR2"/>
    <s v="DQS4"/>
    <n v="41698.339999999997"/>
  </r>
  <r>
    <x v="634"/>
    <s v="M_0000_00000247751_000000000000001"/>
    <s v="VEH16"/>
    <s v="2024-01-15"/>
    <s v="CONT1;HFS2;B01;MC02;PR0302;ACPF6;SC0303;STAG1;SUBO2;DEFA2;FORB2;SSC4;PURP6;COLL4;TYVA01;FVAD3"/>
    <s v="51"/>
    <s v="REL01"/>
    <s v="SCOPE_1"/>
    <s v="CAAP4"/>
    <s v="SOUR2"/>
    <s v="DQS4"/>
    <n v="31532.639999999999"/>
  </r>
  <r>
    <x v="635"/>
    <s v="M_0000_00000247777_000000000000001"/>
    <s v="VEH16"/>
    <s v="2024-04-01"/>
    <s v="CONT1;HFS2;B01;MC02;PR0302;ACPF6;SC0303;STAG2;POCI2;SUBO2;DEFA2;FORB2;SSC4;PURP6;COLL4;TYVA01;FVAD3"/>
    <s v="51"/>
    <s v="REL01"/>
    <s v="SCOPE_1"/>
    <s v="CAAP4"/>
    <s v="SOUR2"/>
    <s v="DQS4"/>
    <n v="42109.34"/>
  </r>
  <r>
    <x v="636"/>
    <s v="M_0000_00000247783_000000000000003"/>
    <s v="VEH05"/>
    <s v="2024-02-15"/>
    <s v="CONT1;HFS2;B01;MC02;PR0302;ACPF6;SC0303;STAG2;POCI2;SUBO2;DEFA2;FORB2;SSC3;PURP6;COLL4;TYVA01;FVAD3"/>
    <s v="51"/>
    <s v="REL01"/>
    <s v="SCOPE_1"/>
    <s v="CAAP4"/>
    <s v="SOUR2"/>
    <s v="DQS4"/>
    <n v="38151.21"/>
  </r>
  <r>
    <x v="636"/>
    <s v="M_0000_00000247783_000000000000002"/>
    <s v="VEH05"/>
    <s v="2024-02-15"/>
    <s v="CONT1;HFS2;B01;MC02;PR0302;ACPF6;SC0303;STAG2;POCI2;SUBO2;DEFA2;FORB2;SSC3;PURP6;COLL4;TYVA01;FVAD3"/>
    <s v="51"/>
    <s v="REL01"/>
    <s v="SCOPE_1"/>
    <s v="CAAP4"/>
    <s v="SOUR2"/>
    <s v="DQS4"/>
    <n v="38151.21"/>
  </r>
  <r>
    <x v="636"/>
    <s v="M_0000_00000247783_000000000000001"/>
    <s v="VEH05"/>
    <s v="2024-02-15"/>
    <s v="CONT1;HFS2;B01;MC02;PR0302;ACPF6;SC0303;STAG2;POCI2;SUBO2;DEFA2;FORB2;SSC3;PURP6;COLL4;TYVA01;FVAD3"/>
    <s v="51"/>
    <s v="REL01"/>
    <s v="SCOPE_1"/>
    <s v="CAAP4"/>
    <s v="SOUR2"/>
    <s v="DQS4"/>
    <n v="38151.21"/>
  </r>
  <r>
    <x v="637"/>
    <s v="M_0000_00000247796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7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8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3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2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4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6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5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9999999997"/>
  </r>
  <r>
    <x v="637"/>
    <s v="M_0000_00000247796_000000000000004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7"/>
    <s v="M_0000_00000247796_000000000000008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7"/>
    <s v="M_0000_00000247796_000000000000006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7"/>
    <s v="M_0000_00000247796_000000000000005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7"/>
    <s v="M_0000_00000247796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7"/>
    <s v="M_0000_00000247796_000000000000003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7"/>
    <s v="M_0000_00000247796_000000000000007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7"/>
    <s v="M_0000_00000247796_000000000000002"/>
    <s v="VEH16"/>
    <s v="2024-03-15"/>
    <s v="CONT1;HFS2;B01;MC02;PR0302;ACPF6;SC0303;STAG1;SUBO2;DEFA2;FORB2;SSC4;PURP6;COLL4;TYVA01;FVAD3"/>
    <s v="51"/>
    <s v="REL01"/>
    <s v="SCOPE_1"/>
    <s v="CAAP4"/>
    <s v="SOUR2"/>
    <s v="DQS4"/>
    <n v="40790.83"/>
  </r>
  <r>
    <x v="638"/>
    <s v="M_0000_00000247801_000000000000004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8"/>
    <s v="M_0000_00000247801_000000000000003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8"/>
    <s v="M_0000_00000247801_000000000000007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8"/>
    <s v="M_0000_00000247801_000000000000001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8"/>
    <s v="M_0000_00000247801_000000000000006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8"/>
    <s v="M_0000_00000247801_000000000000002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8"/>
    <s v="M_0000_00000247801_000000000000008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8"/>
    <s v="M_0000_00000247801_000000000000005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39"/>
    <s v="M_0000_00000247812_000000000000001"/>
    <s v="VEH01"/>
    <s v="2024-01-15"/>
    <s v="CONT1;HFS2;B01;MC02;PR0302;ACPF6;SC0303;STAG1;SUBO2;DEFA2;FORB2;SSC4;PURP6;COLL4;TYVA01;FVAD3"/>
    <s v="51"/>
    <s v="REL01"/>
    <s v="SCOPE_1"/>
    <s v="CAAP4"/>
    <s v="SOUR2"/>
    <s v="DQS4"/>
    <n v="250"/>
  </r>
  <r>
    <x v="639"/>
    <s v="M_0000_00000247812_000000000000001"/>
    <s v="VEH01"/>
    <s v="2024-01-15"/>
    <s v="CONT1;HFS2;B01;MC02;PR0302;ACPF6;SC0303;STAG1;SUBO2;DEFA2;FORB2;SSC4;PURP6;COLL4;TYVA01;FVAD3"/>
    <s v="51"/>
    <s v="REL01"/>
    <s v="SCOPE_2"/>
    <s v="CAAP4"/>
    <s v="SOUR2"/>
    <s v="DQS4"/>
    <n v="212.36"/>
  </r>
  <r>
    <x v="640"/>
    <s v="M_0000_00000247813_000000000000001"/>
    <s v="VEH04"/>
    <s v="2024-02-15"/>
    <s v="CONT1;HFS2;B01;MC02;PR0302;ACPF6;SC0303;STAG1;SUBO2;DEFA2;FORB2;SSC4;PURP6;COLL4;TYVA01;FVAD3"/>
    <s v="51"/>
    <s v="REL01"/>
    <s v="SCOPE_1"/>
    <s v="CAAP4"/>
    <s v="SOUR2"/>
    <s v="DQS4"/>
    <n v="1488.42"/>
  </r>
  <r>
    <x v="641"/>
    <s v="M_0000_00000247818_000000000000003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2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6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5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9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8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1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11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10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7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04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1"/>
    <s v="M_0000_00000247818_000000000000012"/>
    <s v="VEH05"/>
    <s v="2024-01-15"/>
    <s v="CONT1;HFS2;B01;MC02;PR0302;ACPF6;SC0303;STAG1;SUBO2;DEFA2;FORB2;SSC3;PURP6;COLL4;TYVA01;FVAD3"/>
    <s v="51"/>
    <s v="REL01"/>
    <s v="SCOPE_1"/>
    <s v="CAAP4"/>
    <s v="SOUR2"/>
    <s v="DQS4"/>
    <n v="35882.199999999997"/>
  </r>
  <r>
    <x v="642"/>
    <s v="M_0000_00000247825_000000000000001"/>
    <s v="VEH05"/>
    <s v="2024-02-01"/>
    <s v="CONT1;HFS2;B01;MC02;PR0302;ACPF6;SC0303;STAG1;SUBO2;DEFA2;FORB2;SSC4;PURP6;COLL4;TYVA01;FVAD3"/>
    <s v="51"/>
    <s v="REL01"/>
    <s v="SCOPE_1"/>
    <s v="CAAP4"/>
    <s v="SOUR2"/>
    <s v="DQS4"/>
    <n v="40450.11"/>
  </r>
  <r>
    <x v="642"/>
    <s v="M_0000_00000247825_000000000000002"/>
    <s v="VEH05"/>
    <s v="2024-02-01"/>
    <s v="CONT1;HFS2;B01;MC02;PR0302;ACPF6;SC0303;STAG1;SUBO2;DEFA2;FORB2;SSC4;PURP6;COLL4;TYVA01;FVAD3"/>
    <s v="51"/>
    <s v="REL01"/>
    <s v="SCOPE_1"/>
    <s v="CAAP4"/>
    <s v="SOUR2"/>
    <s v="DQS4"/>
    <n v="40450.11"/>
  </r>
  <r>
    <x v="643"/>
    <s v="M_0000_00000247865_000000000000001"/>
    <s v="VEH16"/>
    <s v="2024-02-15"/>
    <s v="CONT1;HFS2;B01;MC02;PR0302;ACPF6;SC0303;STAG1;SUBO2;DEFA2;FORB2;SSC3;PURP6;COLL4;TYVA01;FVAD3"/>
    <s v="51"/>
    <s v="REL01"/>
    <s v="SCOPE_1"/>
    <s v="CAAP4"/>
    <s v="SOUR2"/>
    <s v="DQS4"/>
    <n v="43550.19"/>
  </r>
  <r>
    <x v="643"/>
    <s v="M_0000_00000247865_000000000000002"/>
    <s v="VEH16"/>
    <s v="2024-02-15"/>
    <s v="CONT1;HFS2;B01;MC02;PR0302;ACPF6;SC0303;STAG1;SUBO2;DEFA2;FORB2;SSC3;PURP6;COLL4;TYVA01;FVAD3"/>
    <s v="51"/>
    <s v="REL01"/>
    <s v="SCOPE_1"/>
    <s v="CAAP4"/>
    <s v="SOUR2"/>
    <s v="DQS4"/>
    <n v="43550.19"/>
  </r>
  <r>
    <x v="644"/>
    <s v="M_0000_00000247878_000000000000001"/>
    <s v="VEH05"/>
    <s v="2024-04-15"/>
    <s v="CONT1;HFS2;B01;MC02;PR0302;ACPF6;SC0303;STAG2;POCI2;SUBO2;DEFA2;FORB2;SSC4;PURP6;COLL4;TYVA01;FVAD3"/>
    <s v="51"/>
    <s v="REL01"/>
    <s v="SCOPE_1"/>
    <s v="CAAP4"/>
    <s v="SOUR2"/>
    <s v="DQS4"/>
    <n v="42289.48"/>
  </r>
  <r>
    <x v="645"/>
    <s v="M_0000_00000247928_000000000000001"/>
    <s v="VEH05"/>
    <s v="2024-03-01"/>
    <s v="CONT1;HFS2;B01;MC02;PR0302;ACPF6;SC0303;STAG2;POCI2;SUBO2;DEFA2;FORB2;SSC4;PURP6;COLL4;TYVA01;FVAD3"/>
    <s v="51"/>
    <s v="REL01"/>
    <s v="SCOPE_1"/>
    <s v="CAAP4"/>
    <s v="SOUR2"/>
    <s v="DQS4"/>
    <n v="38936.35"/>
  </r>
  <r>
    <x v="646"/>
    <s v="M_0000_00000247933_000000000000001"/>
    <s v="VEH05"/>
    <s v="2024-03-01"/>
    <s v="CONT1;HFS2;B01;MC02;PR0302;ACPF6;SC0303;STAG1;SUBO2;DEFA2;FORB2;SSC4;PURP6;COLL4;TYVA01;FVAD3"/>
    <s v="51"/>
    <s v="REL01"/>
    <s v="SCOPE_1"/>
    <s v="CAAP4"/>
    <s v="SOUR2"/>
    <s v="DQS4"/>
    <n v="38379.449999999997"/>
  </r>
  <r>
    <x v="647"/>
    <s v="M_0000_00000247940_000000000000002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47"/>
    <s v="M_0000_00000247940_000000000000004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47"/>
    <s v="M_0000_00000247940_000000000000001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47"/>
    <s v="M_0000_00000247940_000000000000003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47"/>
    <s v="M_0000_00000247940_000000000000005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48"/>
    <s v="M_0000_00000247954_000000000000001"/>
    <s v="VEH16"/>
    <s v="2024-02-15"/>
    <s v="CONT1;HFS2;B01;MC02;PR0302;ACPF6;SC0303;STAG1;SUBO2;DEFA2;FORB2;SSC3;PURP6;COLL4;TYVA01;FVAD3"/>
    <s v="51"/>
    <s v="REL01"/>
    <s v="SCOPE_1"/>
    <s v="CAAP4"/>
    <s v="SOUR2"/>
    <s v="DQS4"/>
    <n v="43544.43"/>
  </r>
  <r>
    <x v="648"/>
    <s v="M_0000_00000247954_000000000000003"/>
    <s v="VEH16"/>
    <s v="2024-02-15"/>
    <s v="CONT1;HFS2;B01;MC02;PR0302;ACPF6;SC0303;STAG1;SUBO2;DEFA2;FORB2;SSC3;PURP6;COLL4;TYVA01;FVAD3"/>
    <s v="51"/>
    <s v="REL01"/>
    <s v="SCOPE_1"/>
    <s v="CAAP4"/>
    <s v="SOUR2"/>
    <s v="DQS4"/>
    <n v="43544.43"/>
  </r>
  <r>
    <x v="648"/>
    <s v="M_0000_00000247954_000000000000002"/>
    <s v="VEH16"/>
    <s v="2024-02-15"/>
    <s v="CONT1;HFS2;B01;MC02;PR0302;ACPF6;SC0303;STAG1;SUBO2;DEFA2;FORB2;SSC3;PURP6;COLL4;TYVA01;FVAD3"/>
    <s v="51"/>
    <s v="REL01"/>
    <s v="SCOPE_1"/>
    <s v="CAAP4"/>
    <s v="SOUR2"/>
    <s v="DQS4"/>
    <n v="43544.43"/>
  </r>
  <r>
    <x v="649"/>
    <s v="M_0000_00000247955_000000000000001"/>
    <s v="VEH05"/>
    <s v="2024-03-15"/>
    <s v="CONT1;HFS2;B01;MC02;PR0302;ACPF6;SC0303;STAG2;POCI2;SUBO2;DEFA2;FORB2;SSC4;PURP6;COLL4;TYVA01;FVAD3"/>
    <s v="51"/>
    <s v="REL01"/>
    <s v="SCOPE_1"/>
    <s v="CAAP4"/>
    <s v="SOUR2"/>
    <s v="DQS4"/>
    <n v="38666.959999999999"/>
  </r>
  <r>
    <x v="650"/>
    <s v="M_0000_00000247966_000000000000001"/>
    <s v="VEH05"/>
    <s v="2024-03-15"/>
    <s v="CONT1;HFS2;B01;MC02;PR0302;ACPF6;SC0303;STAG2;POCI2;SUBO2;DEFA2;FORB2;SSC4;PURP6;COLL4;TYVA01;FVAD3"/>
    <s v="51"/>
    <s v="REL01"/>
    <s v="SCOPE_1"/>
    <s v="CAAP4"/>
    <s v="SOUR2"/>
    <s v="DQS4"/>
    <n v="37120.080000000002"/>
  </r>
  <r>
    <x v="651"/>
    <s v="M_0000_00000247970_000000000000001"/>
    <s v="VEH05"/>
    <s v="2024-02-15"/>
    <s v="CONT1;HFS2;B01;MC02;PR0302;ACPF6;SC0303;STAG2;POCI2;SUBO2;DEFA2;FORB2;SSC4;PURP6;COLL4;TYVA01;FVAD3"/>
    <s v="51"/>
    <s v="REL01"/>
    <s v="SCOPE_1"/>
    <s v="CAAP4"/>
    <s v="SOUR2"/>
    <s v="DQS4"/>
    <n v="28275.25"/>
  </r>
  <r>
    <x v="652"/>
    <s v="M_0000_00000247971_000000000000001"/>
    <s v="VEH05"/>
    <s v="2024-04-01"/>
    <s v="CONT1;HFS2;B01;MC02;PR0302;ACPF6;SC0303;STAG1;SUBO2;DEFA2;FORB2;SSC4;PURP6;COLL4;TYVA01;FVAD3"/>
    <s v="51"/>
    <s v="REL01"/>
    <s v="SCOPE_1"/>
    <s v="CAAP4"/>
    <s v="SOUR2"/>
    <s v="DQS4"/>
    <n v="34412.18"/>
  </r>
  <r>
    <x v="653"/>
    <s v="M_0000_00000248027_000000000000001"/>
    <s v="VEH05"/>
    <s v="2024-03-01"/>
    <s v="CONT1;HFS2;B01;MC02;PR0302;ACPF6;SC0303;STAG1;SUBO2;DEFA2;FORB2;SSC4;PURP6;COLL4;TYVA01;FVAD3"/>
    <s v="51"/>
    <s v="REL01"/>
    <s v="SCOPE_1"/>
    <s v="CAAP4"/>
    <s v="SOUR2"/>
    <s v="DQS4"/>
    <n v="38416.85"/>
  </r>
  <r>
    <x v="654"/>
    <s v="M_0000_00000248042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40296.199999999997"/>
  </r>
  <r>
    <x v="655"/>
    <s v="M_0000_00000248043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40296.199999999997"/>
  </r>
  <r>
    <x v="656"/>
    <s v="M_0000_00000248044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40296.199999999997"/>
  </r>
  <r>
    <x v="657"/>
    <s v="M_0000_00000248045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40296.199999999997"/>
  </r>
  <r>
    <x v="658"/>
    <s v="M_0000_00000248046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40296.199999999997"/>
  </r>
  <r>
    <x v="659"/>
    <s v="M_0000_00000248048_000000000000001"/>
    <s v="VEH05"/>
    <s v="2024-03-15"/>
    <s v="CONT1;HFS2;B01;MC02;PR0302;ACPF6;SC0303;STAG1;SUBO2;DEFA2;FORB2;SSC4;PURP6;COLL4;TYVA01;FVAD3"/>
    <s v="51"/>
    <s v="REL01"/>
    <s v="SCOPE_1"/>
    <s v="CAAP4"/>
    <s v="SOUR2"/>
    <s v="DQS4"/>
    <n v="38176.44"/>
  </r>
  <r>
    <x v="660"/>
    <s v="M_0000_00000248049_000000000000001"/>
    <s v="VEH05"/>
    <s v="2024-03-15"/>
    <s v="CONT1;HFS2;B01;MC02;PR0302;ACPF6;SC0303;STAG1;SUBO2;DEFA2;FORB2;SSC4;PURP6;COLL4;TYVA01;FVAD3"/>
    <s v="51"/>
    <s v="REL01"/>
    <s v="SCOPE_1"/>
    <s v="CAAP4"/>
    <s v="SOUR2"/>
    <s v="DQS4"/>
    <n v="38366.129999999997"/>
  </r>
  <r>
    <x v="661"/>
    <s v="M_0000_00000248050_000000000000001"/>
    <s v="VEH05"/>
    <s v="2024-03-15"/>
    <s v="CONT1;HFS2;B01;MC02;PR0302;ACPF6;SC0303;STAG1;SUBO2;DEFA2;FORB2;SSC4;PURP6;COLL4;TYVA01;FVAD3"/>
    <s v="51"/>
    <s v="REL01"/>
    <s v="SCOPE_1"/>
    <s v="CAAP4"/>
    <s v="SOUR2"/>
    <s v="DQS4"/>
    <n v="29666.74"/>
  </r>
  <r>
    <x v="662"/>
    <s v="M_0000_00000248051_000000000000001"/>
    <s v="VEH05"/>
    <s v="2024-04-01"/>
    <s v="CONT1;HFS2;B01;MC02;PR0302;ACPF6;SC0303;STAG1;SUBO2;DEFA2;FORB2;SSC4;PURP6;COLL4;TYVA01;FVAD3"/>
    <s v="51"/>
    <s v="REL01"/>
    <s v="SCOPE_1"/>
    <s v="CAAP4"/>
    <s v="SOUR2"/>
    <s v="DQS4"/>
    <n v="31100.15"/>
  </r>
  <r>
    <x v="663"/>
    <s v="M_0000_00000248056_000000000000001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4"/>
    <s v="M_0000_00000248057_000000000000001"/>
    <s v="VEH05"/>
    <s v="2024-03-15"/>
    <s v="CONT1;HFS2;B01;MC02;PR0302;ACPF6;SC0303;STAG3;POCI2;SUBO2;DEFA1;FORB2;SSC4;PURP6;COLL4;TYVA01;FVAD3"/>
    <s v="51"/>
    <s v="REL01"/>
    <s v="SCOPE_1"/>
    <s v="CAAP4"/>
    <s v="SOUR2"/>
    <s v="DQS4"/>
    <n v="38264.07"/>
  </r>
  <r>
    <x v="665"/>
    <s v="M_0000_00000248104_000000000000002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5"/>
    <s v="M_0000_00000248104_000000000000004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5"/>
    <s v="M_0000_00000248104_000000000000003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5"/>
    <s v="M_0000_00000248104_000000000000001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5"/>
    <s v="M_0000_00000248104_000000000000005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6"/>
    <s v="M_0000_00000248105_000000000000001"/>
    <s v="VEH05"/>
    <s v="2024-03-15"/>
    <s v="CONT1;HFS2;B01;MC02;PR0302;ACPF6;SC0303;STAG1;SUBO2;DEFA2;FORB2;SSC4;PURP6;COLL4;TYVA01;FVAD3"/>
    <s v="51"/>
    <s v="REL01"/>
    <s v="SCOPE_1"/>
    <s v="CAAP4"/>
    <s v="SOUR2"/>
    <s v="DQS4"/>
    <n v="44817.59"/>
  </r>
  <r>
    <x v="667"/>
    <s v="M_0000_00000248113_000000000000001"/>
    <s v="VEH16"/>
    <s v="2024-04-01"/>
    <s v="CONT1;HFS2;B01;MC02;PR0302;ACPF6;SC0303;STAG1;SUBO2;DEFA2;FORB2;SSC3;PURP6;COLL4;TYVA01;FVAD3"/>
    <s v="51"/>
    <s v="REL01"/>
    <s v="SCOPE_1"/>
    <s v="CAAP4"/>
    <s v="SOUR2"/>
    <s v="DQS4"/>
    <n v="46254.09"/>
  </r>
  <r>
    <x v="668"/>
    <s v="M_0000_00000248115_000000000000005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8"/>
    <s v="M_0000_00000248115_000000000000004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8"/>
    <s v="M_0000_00000248115_000000000000002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8"/>
    <s v="M_0000_00000248115_000000000000003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8"/>
    <s v="M_0000_00000248115_000000000000001"/>
    <s v="VEH05"/>
    <s v="2024-04-15"/>
    <s v="CONT1;HFS2;B01;MC02;PR0302;ACPF6;SC0303;STAG1;SUBO2;DEFA2;FORB2;SSC3;PURP6;COLL4;TYVA01;FVAD3"/>
    <s v="51"/>
    <s v="REL01"/>
    <s v="SCOPE_1"/>
    <s v="CAAP4"/>
    <s v="SOUR2"/>
    <s v="DQS4"/>
    <n v="46188.9"/>
  </r>
  <r>
    <x v="669"/>
    <s v="M_0000_00000248116_000000000000001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69"/>
    <s v="M_0000_00000248116_000000000000005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69"/>
    <s v="M_0000_00000248116_000000000000002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69"/>
    <s v="M_0000_00000248116_000000000000004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69"/>
    <s v="M_0000_00000248116_000000000000003"/>
    <s v="VEH05"/>
    <s v="2024-03-15"/>
    <s v="CONT1;HFS2;B01;MC02;PR0302;ACPF6;SC0303;STAG1;SUBO2;DEFA2;FORB2;SSC3;PURP6;COLL4;TYVA01;FVAD3"/>
    <s v="51"/>
    <s v="REL01"/>
    <s v="SCOPE_1"/>
    <s v="CAAP4"/>
    <s v="SOUR2"/>
    <s v="DQS4"/>
    <n v="43414.12"/>
  </r>
  <r>
    <x v="670"/>
    <s v="M_0000_00000248139_000000000000001"/>
    <s v="VEH03"/>
    <s v="2024-03-15"/>
    <s v="CONT1;HFS2;B01;MC02;PR0302;ACPF6;SC0303;STAG1;SUBO2;DEFA2;FORB2;SSC4;PURP6;COLL4;TYVA01;FVAD3"/>
    <s v="51"/>
    <s v="REL01"/>
    <s v="SCOPE_1"/>
    <s v="CAAP4"/>
    <s v="SOUR2"/>
    <s v="DQS4"/>
    <n v="39996.629999999997"/>
  </r>
  <r>
    <x v="671"/>
    <s v="M_0000_00000248146_000000000000001"/>
    <s v="VEH04"/>
    <s v="2024-03-15"/>
    <s v="CONT1;HFS2;B01;MC02;PR0302;ACPF6;SC0303;STAG1;SUBO2;DEFA2;FORB2;SSC4;PURP6;COLL4;TYVA01;FVAD3"/>
    <s v="51"/>
    <s v="REL01"/>
    <s v="SCOPE_1"/>
    <s v="CAAP4"/>
    <s v="SOUR2"/>
    <s v="DQS4"/>
    <n v="1413.62"/>
  </r>
  <r>
    <x v="672"/>
    <s v="M_0000_00000248189_000000000000001"/>
    <s v="VEH16"/>
    <s v="2024-03-15"/>
    <s v="CONT1;HFS2;B01;MC02;PR0302;ACPF6;SC0303;STAG1;SUBO2;DEFA2;FORB2;SSC4;PURP6;COLL4;TYVA01;FVAD3"/>
    <s v="51"/>
    <s v="REL01"/>
    <s v="SCOPE_1"/>
    <s v="CAAP4"/>
    <s v="SOUR2"/>
    <s v="DQS4"/>
    <n v="38366.11"/>
  </r>
  <r>
    <x v="673"/>
    <s v="M_0000_00000248201_000000000000001"/>
    <s v="VEH16"/>
    <s v="2024-03-15"/>
    <s v="CONT1;HFS2;B01;MC02;PR0302;ACPF6;SC0303;STAG1;SUBO2;DEFA2;FORB2;SSC3;PURP6;COLL4;TYVA01;FVAD3"/>
    <s v="51"/>
    <s v="REL01"/>
    <s v="SCOPE_1"/>
    <s v="CAAP4"/>
    <s v="SOUR2"/>
    <s v="DQS4"/>
    <n v="43414.13"/>
  </r>
  <r>
    <x v="673"/>
    <s v="M_0000_00000248201_000000000000002"/>
    <s v="VEH16"/>
    <s v="2024-03-15"/>
    <s v="CONT1;HFS2;B01;MC02;PR0302;ACPF6;SC0303;STAG1;SUBO2;DEFA2;FORB2;SSC3;PURP6;COLL4;TYVA01;FVAD3"/>
    <s v="51"/>
    <s v="REL01"/>
    <s v="SCOPE_1"/>
    <s v="CAAP4"/>
    <s v="SOUR2"/>
    <s v="DQS4"/>
    <n v="43414.13"/>
  </r>
  <r>
    <x v="674"/>
    <s v="M_0000_00000248251_000000000000001"/>
    <s v="VEH01"/>
    <s v="2024-04-01"/>
    <s v="CONT1;HFS2;B01;MC02;PR0302;ACPF6;SC0303;STAG1;SUBO2;DEFA2;FORB2;SSC4;PURP6;COLL4;TYVA01;FVAD3"/>
    <s v="51"/>
    <s v="REL01"/>
    <s v="SCOPE_1"/>
    <s v="CAAP4"/>
    <s v="SOUR2"/>
    <s v="DQS4"/>
    <n v="1998.03"/>
  </r>
  <r>
    <x v="675"/>
    <s v="M_0000_00000248257_000000000000001"/>
    <s v="VEH05"/>
    <s v="2024-04-01"/>
    <s v="CONT1;HFS2;B01;MC02;PR0302;ACPF6;SC0303;STAG2;POCI2;SUBO2;DEFA2;FORB2;SSC3;PURP6;COLL4;TYVA01;FVAD3"/>
    <s v="51"/>
    <s v="REL01"/>
    <s v="SCOPE_1"/>
    <s v="CAAP4"/>
    <s v="SOUR2"/>
    <s v="DQS4"/>
    <n v="41497.47"/>
  </r>
  <r>
    <x v="675"/>
    <s v="M_0000_00000248257_000000000000003"/>
    <s v="VEH05"/>
    <s v="2024-04-01"/>
    <s v="CONT1;HFS2;B01;MC02;PR0302;ACPF6;SC0303;STAG2;POCI2;SUBO2;DEFA2;FORB2;SSC3;PURP6;COLL4;TYVA01;FVAD3"/>
    <s v="51"/>
    <s v="REL01"/>
    <s v="SCOPE_1"/>
    <s v="CAAP4"/>
    <s v="SOUR2"/>
    <s v="DQS4"/>
    <n v="41497.47"/>
  </r>
  <r>
    <x v="675"/>
    <s v="M_0000_00000248257_000000000000004"/>
    <s v="VEH05"/>
    <s v="2024-04-01"/>
    <s v="CONT1;HFS2;B01;MC02;PR0302;ACPF6;SC0303;STAG2;POCI2;SUBO2;DEFA2;FORB2;SSC3;PURP6;COLL4;TYVA01;FVAD3"/>
    <s v="51"/>
    <s v="REL01"/>
    <s v="SCOPE_1"/>
    <s v="CAAP4"/>
    <s v="SOUR2"/>
    <s v="DQS4"/>
    <n v="41497.47"/>
  </r>
  <r>
    <x v="675"/>
    <s v="M_0000_00000248257_000000000000005"/>
    <s v="VEH05"/>
    <s v="2024-04-01"/>
    <s v="CONT1;HFS2;B01;MC02;PR0302;ACPF6;SC0303;STAG2;POCI2;SUBO2;DEFA2;FORB2;SSC3;PURP6;COLL4;TYVA01;FVAD3"/>
    <s v="51"/>
    <s v="REL01"/>
    <s v="SCOPE_1"/>
    <s v="CAAP4"/>
    <s v="SOUR2"/>
    <s v="DQS4"/>
    <n v="41497.47"/>
  </r>
  <r>
    <x v="675"/>
    <s v="M_0000_00000248257_000000000000002"/>
    <s v="VEH05"/>
    <s v="2024-04-01"/>
    <s v="CONT1;HFS2;B01;MC02;PR0302;ACPF6;SC0303;STAG2;POCI2;SUBO2;DEFA2;FORB2;SSC3;PURP6;COLL4;TYVA01;FVAD3"/>
    <s v="51"/>
    <s v="REL01"/>
    <s v="SCOPE_1"/>
    <s v="CAAP4"/>
    <s v="SOUR2"/>
    <s v="DQS4"/>
    <n v="41497.47"/>
  </r>
  <r>
    <x v="676"/>
    <s v="M_0000_00000248261_000000000000001"/>
    <s v="VEH16"/>
    <s v="2024-04-01"/>
    <s v="CONT1;HFS2;B01;MC02;PR0302;ACPF6;SC0303;STAG2;POCI2;SUBO2;DEFA2;FORB2;SSC4;PURP6;COLL4;TYVA01;FVAD3"/>
    <s v="51"/>
    <s v="REL01"/>
    <s v="SCOPE_1"/>
    <s v="CAAP4"/>
    <s v="SOUR2"/>
    <s v="DQS4"/>
    <n v="42755.98"/>
  </r>
  <r>
    <x v="677"/>
    <s v="M_0000_00000248262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37122.660000000003"/>
  </r>
  <r>
    <x v="678"/>
    <s v="M_0000_00000248278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43953.57"/>
  </r>
  <r>
    <x v="679"/>
    <s v="M_0000_00000248290_000000000000001"/>
    <s v="VEH05"/>
    <s v="2024-04-15"/>
    <s v="CONT1;HFS2;B01;MC02;PR0302;ACPF6;SC0303;STAG1;SUBO2;DEFA2;FORB2;SSC4;PURP6;COLL4;TYVA01;FVAD3"/>
    <s v="51"/>
    <s v="REL01"/>
    <s v="SCOPE_1"/>
    <s v="CAAP4"/>
    <s v="SOUR2"/>
    <s v="DQS4"/>
    <n v="24272.22"/>
  </r>
  <r>
    <x v="679"/>
    <s v="M_0000_00000248290_000000000000002"/>
    <s v="VEH05"/>
    <s v="2024-04-15"/>
    <s v="CONT1;HFS2;B01;MC02;PR0302;ACPF6;SC0303;STAG1;SUBO2;DEFA2;FORB2;SSC4;PURP6;COLL4;TYVA01;FVAD3"/>
    <s v="51"/>
    <s v="REL01"/>
    <s v="SCOPE_1"/>
    <s v="CAAP4"/>
    <s v="SOUR2"/>
    <s v="DQS4"/>
    <n v="24272.22"/>
  </r>
  <r>
    <x v="680"/>
    <s v="M_0000_00000248306_000000000000001"/>
    <s v="VEH03"/>
    <s v="2024-03-15"/>
    <s v="CONT1;HFS2;B01;MC02;PR0302;ACPF6;SC0303;STAG1;SUBO2;DEFA2;FORB2;SSC4;PURP6;COLL4;TYVA01;FVAD3"/>
    <s v="51"/>
    <s v="REL01"/>
    <s v="SCOPE_1"/>
    <s v="CAAP4"/>
    <s v="SOUR2"/>
    <s v="DQS4"/>
    <n v="39996.65"/>
  </r>
  <r>
    <x v="681"/>
    <s v="M_0000_00000248308_000000000000001"/>
    <s v="VEH03"/>
    <s v="2024-03-15"/>
    <s v="CONT1;HFS2;B01;MC02;PR0302;ACPF6;SC0303;STAG1;SUBO2;DEFA2;FORB2;SSC4;PURP6;COLL4;TYVA01;FVAD3"/>
    <s v="51"/>
    <s v="REL01"/>
    <s v="SCOPE_1"/>
    <s v="CAAP4"/>
    <s v="SOUR2"/>
    <s v="DQS4"/>
    <n v="39996.629999999997"/>
  </r>
  <r>
    <x v="682"/>
    <s v="M_0000_00000248309_000000000000004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2"/>
    <s v="M_0000_00000248309_000000000000002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2"/>
    <s v="M_0000_00000248309_000000000000005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2"/>
    <s v="M_0000_00000248309_000000000000008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2"/>
    <s v="M_0000_00000248309_000000000000001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2"/>
    <s v="M_0000_00000248309_000000000000007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2"/>
    <s v="M_0000_00000248309_000000000000003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2"/>
    <s v="M_0000_00000248309_000000000000006"/>
    <s v="VEH05"/>
    <s v="2024-04-01"/>
    <s v="CONT1;HFS2;B01;MC02;PR0302;ACPF6;SC0303;STAG2;POCI2;SUBO2;DEFA2;FORB2;SSC4;PURP6;COLL4;TYVA01;FVAD3"/>
    <s v="51"/>
    <s v="REL01"/>
    <s v="SCOPE_1"/>
    <s v="CAAP4"/>
    <s v="SOUR2"/>
    <s v="DQS4"/>
    <n v="43221.62"/>
  </r>
  <r>
    <x v="683"/>
    <s v="M_0000_00000248310_000000000000005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3"/>
    <s v="M_0000_00000248310_000000000000004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3"/>
    <s v="M_0000_00000248310_000000000000002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3"/>
    <s v="M_0000_00000248310_000000000000006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3"/>
    <s v="M_0000_00000248310_000000000000001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3"/>
    <s v="M_0000_00000248310_000000000000003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1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5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7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4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2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8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3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10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6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4"/>
    <s v="M_0000_00000248311_000000000000009"/>
    <s v="VEH05"/>
    <s v="2024-05-15"/>
    <s v="CONT1;HFS2;B01;MC02;PR0302;ACPF6;SC0303;STAG1;SUBO2;DEFA2;FORB2;SSC3;PURP6;COLL4;TYVA01;FVAD3"/>
    <s v="51"/>
    <s v="REL01"/>
    <s v="SCOPE_1"/>
    <s v="CAAP4"/>
    <s v="SOUR2"/>
    <s v="DQS4"/>
    <n v="46028.99"/>
  </r>
  <r>
    <x v="685"/>
    <s v="M_0000_00000248313_000000000000001"/>
    <s v="VEH05"/>
    <s v="2024-05-01"/>
    <s v="CONT1;HFS2;B01;MC02;PR0302;ACPF6;SC0303;STAG1;SUBO2;DEFA2;FORB2;SSC4;PURP6;COLL4;TYVA01;FVAD3"/>
    <s v="51"/>
    <s v="REL01"/>
    <s v="SCOPE_1"/>
    <s v="CAAP4"/>
    <s v="SOUR2"/>
    <s v="DQS4"/>
    <n v="38416.720000000001"/>
  </r>
  <r>
    <x v="686"/>
    <s v="M_0000_00000248339_000000000000001"/>
    <s v="VEH04"/>
    <s v="2024-05-01"/>
    <s v="CONT1;HFS2;B01;MC02;PR0302;ACPF6;SC0303;STAG2;POCI2;SUBO2;DEFA2;FORB2;SSC4;PURP6;COLL4;TYVA01;FVAD3"/>
    <s v="51"/>
    <s v="REL01"/>
    <s v="SCOPE_1"/>
    <s v="CAAP4"/>
    <s v="SOUR2"/>
    <s v="DQS4"/>
    <n v="1461.18"/>
  </r>
  <r>
    <x v="687"/>
    <s v="M_0000_00000248340_000000000000001"/>
    <s v="VEH04"/>
    <s v="2024-05-01"/>
    <s v="CONT1;HFS2;B01;MC02;PR0302;ACPF6;SC0303;STAG2;POCI2;SUBO2;DEFA2;FORB2;SSC4;PURP6;COLL4;TYVA01;FVAD3"/>
    <s v="51"/>
    <s v="REL01"/>
    <s v="SCOPE_1"/>
    <s v="CAAP4"/>
    <s v="SOUR2"/>
    <s v="DQS4"/>
    <n v="1461.18"/>
  </r>
  <r>
    <x v="688"/>
    <s v="M_0000_00000248386_000000000000001"/>
    <s v="VEH05"/>
    <s v="2024-05-01"/>
    <s v="CONT1;HFS2;B01;MC02;PR0302;ACPF6;SC0303;STAG1;SUBO2;DEFA2;FORB2;SSC4;PURP6;COLL4;TYVA01;FVAD3"/>
    <s v="51"/>
    <s v="REL01"/>
    <s v="SCOPE_1"/>
    <s v="CAAP4"/>
    <s v="SOUR2"/>
    <s v="DQS4"/>
    <n v="37412.89"/>
  </r>
  <r>
    <x v="689"/>
    <s v="M_0000_00000248388_000000000000001"/>
    <s v="VEH05"/>
    <s v="2024-07-01"/>
    <s v="CONT1;HFS2;B01;MC02;PR0302;ACPF6;SC0303;STAG2;POCI2;SUBO2;DEFA2;FORB2;SSC4;PURP6;COLL4;TYVA01;FVAD3"/>
    <s v="51"/>
    <s v="REL01"/>
    <s v="SCOPE_1"/>
    <s v="CAAP4"/>
    <s v="SOUR2"/>
    <s v="DQS4"/>
    <n v="37028.74"/>
  </r>
  <r>
    <x v="690"/>
    <s v="M_0000_00000248408_000000000000001"/>
    <s v="VEH05"/>
    <s v="2024-04-15"/>
    <s v="CONT1;HFS2;B01;MC02;PR0302;ACPF6;SC0303;STAG2;POCI2;SUBO2;DEFA2;FORB2;SSC4;PURP6;COLL4;TYVA01;FVAD3"/>
    <s v="51"/>
    <s v="REL01"/>
    <s v="SCOPE_1"/>
    <s v="CAAP4"/>
    <s v="SOUR2"/>
    <s v="DQS4"/>
    <n v="39390.93"/>
  </r>
  <r>
    <x v="691"/>
    <s v="M_0000_00000248417_000000000000001"/>
    <s v="VEH16"/>
    <s v="2024-04-01"/>
    <s v="CONT1;HFS2;B01;MC02;PR0302;ACPF6;SC0303;STAG1;SUBO2;DEFA2;FORB2;SSC3;PURP6;COLL4;TYVA01;FVAD3"/>
    <s v="51"/>
    <s v="REL01"/>
    <s v="SCOPE_1"/>
    <s v="CAAP4"/>
    <s v="SOUR2"/>
    <s v="DQS4"/>
    <n v="46254.09"/>
  </r>
  <r>
    <x v="692"/>
    <s v="M_0000_00000248447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41822.33"/>
  </r>
  <r>
    <x v="693"/>
    <s v="M_0000_00000248495_000000000000001"/>
    <s v="VEH05"/>
    <s v="2024-07-15"/>
    <s v="CONT1;HFS2;B01;MC02;PR0302;ACPF6;SC0303;STAG1;SUBO2;DEFA2;FORB2;SSC4;PURP6;COLL4;TYVA01;FVAD3"/>
    <s v="51"/>
    <s v="REL01"/>
    <s v="SCOPE_1"/>
    <s v="CAAP4"/>
    <s v="SOUR2"/>
    <s v="DQS4"/>
    <n v="35173.120000000003"/>
  </r>
  <r>
    <x v="694"/>
    <s v="M_0000_00000248571_000000000000001"/>
    <s v="VEH05"/>
    <s v="2024-05-01"/>
    <s v="CONT1;HFS2;B01;MC02;PR0302;ACPF6;SC0303;STAG1;SUBO2;DEFA2;FORB2;SSC4;PURP6;COLL4;TYVA01;FVAD3"/>
    <s v="51"/>
    <s v="REL01"/>
    <s v="SCOPE_1"/>
    <s v="CAAP4"/>
    <s v="SOUR2"/>
    <s v="DQS4"/>
    <n v="39291.99"/>
  </r>
  <r>
    <x v="695"/>
    <s v="M_0000_00000248617_000000000000001"/>
    <s v="VEH16"/>
    <s v="2024-05-01"/>
    <s v="CONT1;HFS2;B01;MC02;PR0302;ACPF6;SC0303;STAG1;SUBO2;DEFA2;FORB2;SSC3;PURP6;COLL4;TYVA01;FVAD3"/>
    <s v="51"/>
    <s v="REL01"/>
    <s v="SCOPE_1"/>
    <s v="CAAP4"/>
    <s v="SOUR2"/>
    <s v="DQS4"/>
    <n v="46089.02"/>
  </r>
  <r>
    <x v="695"/>
    <s v="M_0000_00000248617_000000000000002"/>
    <s v="VEH16"/>
    <s v="2024-05-01"/>
    <s v="CONT1;HFS2;B01;MC02;PR0302;ACPF6;SC0303;STAG1;SUBO2;DEFA2;FORB2;SSC3;PURP6;COLL4;TYVA01;FVAD3"/>
    <s v="51"/>
    <s v="REL01"/>
    <s v="SCOPE_1"/>
    <s v="CAAP4"/>
    <s v="SOUR2"/>
    <s v="DQS4"/>
    <n v="46089.02"/>
  </r>
  <r>
    <x v="695"/>
    <s v="M_0000_00000248617_000000000000003"/>
    <s v="VEH16"/>
    <s v="2024-05-01"/>
    <s v="CONT1;HFS2;B01;MC02;PR0302;ACPF6;SC0303;STAG1;SUBO2;DEFA2;FORB2;SSC3;PURP6;COLL4;TYVA01;FVAD3"/>
    <s v="51"/>
    <s v="REL01"/>
    <s v="SCOPE_1"/>
    <s v="CAAP4"/>
    <s v="SOUR2"/>
    <s v="DQS4"/>
    <n v="46089.02"/>
  </r>
  <r>
    <x v="696"/>
    <s v="M_0000_00000248627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40436.03"/>
  </r>
  <r>
    <x v="697"/>
    <s v="M_0000_00000248629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40436.03"/>
  </r>
  <r>
    <x v="698"/>
    <s v="M_0000_00000248656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40250.79"/>
  </r>
  <r>
    <x v="699"/>
    <s v="M_0000_00000248681_000000000000001"/>
    <s v="VEH05"/>
    <s v="2024-06-15"/>
    <s v="CONT1;HFS2;B01;MC02;PR0302;ACPF6;SC0303;STAG2;POCI2;SUBO2;DEFA2;FORB2;SSC4;PURP6;COLL4;TYVA01;FVAD3"/>
    <s v="51"/>
    <s v="REL01"/>
    <s v="SCOPE_1"/>
    <s v="CAAP4"/>
    <s v="SOUR2"/>
    <s v="DQS4"/>
    <n v="33835.629999999997"/>
  </r>
  <r>
    <x v="700"/>
    <s v="M_0000_00000248683_000000000000001"/>
    <s v="VEH04"/>
    <s v="2024-05-01"/>
    <s v="CONT1;HFS2;B01;MC02;PR0302;ACPF6;SC0303;STAG1;SUBO2;DEFA2;FORB2;SSC4;PURP6;COLL4;TYVA01;FVAD3"/>
    <s v="51"/>
    <s v="REL01"/>
    <s v="SCOPE_1"/>
    <s v="CAAP4"/>
    <s v="SOUR2"/>
    <s v="DQS4"/>
    <n v="1608.16"/>
  </r>
  <r>
    <x v="701"/>
    <s v="M_0000_00000248706_000000000000001"/>
    <s v="VEH05"/>
    <s v="2024-05-15"/>
    <s v="CONT1;HFS2;B01;MC02;PR0302;ACPF6;SC0303;STAG2;POCI2;SUBO2;DEFA2;FORB2;SSC4;PURP6;COLL4;TYVA01;FVAD3"/>
    <s v="51"/>
    <s v="REL01"/>
    <s v="SCOPE_1"/>
    <s v="CAAP4"/>
    <s v="SOUR2"/>
    <s v="DQS4"/>
    <n v="43384.21"/>
  </r>
  <r>
    <x v="702"/>
    <s v="M_0000_00000248717_000000000000001"/>
    <s v="VEH04"/>
    <s v="2024-06-15"/>
    <s v="CONT1;HFS2;B01;MC02;PR0302;ACPF6;SC0303;STAG1;SUBO2;DEFA2;FORB2;SSC4;PURP6;COLL4;TYVA01;FVAD3"/>
    <s v="51"/>
    <s v="REL01"/>
    <s v="SCOPE_1"/>
    <s v="CAAP4"/>
    <s v="SOUR2"/>
    <s v="DQS4"/>
    <n v="1642.52"/>
  </r>
  <r>
    <x v="703"/>
    <s v="M_0000_00000248731_000000000000001"/>
    <s v="VEH05"/>
    <s v="2024-06-15"/>
    <s v="CONT1;HFS2;B01;MC02;PR0302;ACPF6;SC0303;STAG1;SUBO2;DEFA2;FORB2;SSC4;PURP6;COLL4;TYVA01;FVAD3"/>
    <s v="51"/>
    <s v="REL01"/>
    <s v="SCOPE_1"/>
    <s v="CAAP4"/>
    <s v="SOUR2"/>
    <s v="DQS4"/>
    <n v="37980.660000000003"/>
  </r>
  <r>
    <x v="704"/>
    <s v="M_0000_00000248753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44201.39"/>
  </r>
  <r>
    <x v="705"/>
    <s v="M_0000_00000248756_000000000000001"/>
    <s v="VEH05"/>
    <s v="2024-06-01"/>
    <s v="CONT1;HFS2;B01;MC02;PR0302;ACPF6;SC0303;STAG1;SUBO2;DEFA2;FORB2;SSC4;PURP6;COLL4;TYVA01;FVAD3"/>
    <s v="51"/>
    <s v="REL01"/>
    <s v="SCOPE_1"/>
    <s v="CAAP4"/>
    <s v="SOUR2"/>
    <s v="DQS4"/>
    <n v="31484.59"/>
  </r>
  <r>
    <x v="706"/>
    <s v="M_0000_00000248771_000000000000001"/>
    <s v="VEH05"/>
    <s v="2024-06-01"/>
    <s v="CONT1;HFS2;B01;MC02;PR0302;ACPF6;SC0303;STAG1;SUBO2;DEFA2;FORB2;SSC4;PURP6;COLL4;TYVA01;FVAD3"/>
    <s v="51"/>
    <s v="REL01"/>
    <s v="SCOPE_1"/>
    <s v="CAAP4"/>
    <s v="SOUR2"/>
    <s v="DQS4"/>
    <n v="41718.01"/>
  </r>
  <r>
    <x v="707"/>
    <s v="M_0000_00000248786_000000000000001"/>
    <s v="VEH01"/>
    <s v="2024-06-15"/>
    <s v="CONT1;HFS2;B01;MC02;PR0302;ACPF6;SC0303;STAG1;SUBO2;DEFA2;FORB2;SSC4;PURP6;COLL4;TYVA01;FVAD3"/>
    <s v="51"/>
    <s v="REL01"/>
    <s v="SCOPE_1"/>
    <s v="CAAP4"/>
    <s v="SOUR2"/>
    <s v="DQS4"/>
    <n v="2064.0300000000002"/>
  </r>
  <r>
    <x v="708"/>
    <s v="M_0000_00000248806_000000000000001"/>
    <s v="VEH05"/>
    <s v="2024-09-01"/>
    <s v="CONT1;HFS2;B01;MC02;PR0302;ACPF6;SC0303;STAG1;SUBO2;DEFA2;FORB2;SSC4;PURP6;COLL4;TYVA01;FVAD3"/>
    <s v="51"/>
    <s v="REL01"/>
    <s v="SCOPE_1"/>
    <s v="CAAP4"/>
    <s v="SOUR2"/>
    <s v="DQS4"/>
    <n v="44903.3"/>
  </r>
  <r>
    <x v="709"/>
    <s v="M_0000_00000248811_000000000000001"/>
    <s v="VEH05"/>
    <s v="2024-06-01"/>
    <s v="CONT1;HFS2;B01;MC02;PR0302;ACPF6;SC0303;STAG1;SUBO2;DEFA2;FORB2;SSC4;PURP6;COLL4;TYVA01;FVAD3"/>
    <s v="51"/>
    <s v="REL01"/>
    <s v="SCOPE_1"/>
    <s v="CAAP4"/>
    <s v="SOUR2"/>
    <s v="DQS4"/>
    <n v="40369.65"/>
  </r>
  <r>
    <x v="710"/>
    <s v="M_0000_00000248835_000000000000002"/>
    <s v="VEH16"/>
    <s v="2024-06-15"/>
    <s v="CONT1;HFS2;B01;MC02;PR0302;ACPF6;SC0303;STAG2;POCI2;SUBO2;DEFA2;FORB2;SSC4;PURP6;COLL4;TYVA01;FVAD3"/>
    <s v="51"/>
    <s v="REL01"/>
    <s v="SCOPE_1"/>
    <s v="CAAP4"/>
    <s v="SOUR2"/>
    <s v="DQS4"/>
    <n v="41156.49"/>
  </r>
  <r>
    <x v="710"/>
    <s v="M_0000_00000248835_000000000000001"/>
    <s v="VEH16"/>
    <s v="2024-06-15"/>
    <s v="CONT1;HFS2;B01;MC02;PR0302;ACPF6;SC0303;STAG2;POCI2;SUBO2;DEFA2;FORB2;SSC4;PURP6;COLL4;TYVA01;FVAD3"/>
    <s v="51"/>
    <s v="REL01"/>
    <s v="SCOPE_1"/>
    <s v="CAAP4"/>
    <s v="SOUR2"/>
    <s v="DQS4"/>
    <n v="41156.49"/>
  </r>
  <r>
    <x v="711"/>
    <s v="M_0000_00000248838_000000000000001"/>
    <s v="VEH04"/>
    <s v="2024-05-15"/>
    <s v="CONT1;HFS2;B01;MC02;PR0302;ACPF6;SC0303;STAG1;SUBO2;DEFA2;FORB2;SSC4;PURP6;COLL4;TYVA01;FVAD3"/>
    <s v="51"/>
    <s v="REL01"/>
    <s v="SCOPE_1"/>
    <s v="CAAP4"/>
    <s v="SOUR2"/>
    <s v="DQS4"/>
    <n v="1562.05"/>
  </r>
  <r>
    <x v="712"/>
    <s v="M_0000_00000248839_000000000000001"/>
    <s v="VEH04"/>
    <s v="2024-05-15"/>
    <s v="CONT1;HFS2;B01;MC02;PR0302;ACPF6;SC0303;STAG1;SUBO2;DEFA2;FORB2;SSC4;PURP6;COLL4;TYVA01;FVAD3"/>
    <s v="51"/>
    <s v="REL01"/>
    <s v="SCOPE_1"/>
    <s v="CAAP4"/>
    <s v="SOUR2"/>
    <s v="DQS4"/>
    <n v="1562.05"/>
  </r>
  <r>
    <x v="713"/>
    <s v="M_0000_00000248846_000000000000001"/>
    <s v="VEH05"/>
    <s v="2024-08-01"/>
    <s v="CONT1;HFS2;B01;MC02;PR0302;ACPF6;SC0303;STAG1;SUBO2;DEFA2;FORB2;SSC4;PURP6;COLL4;TYVA01;FVAD3"/>
    <s v="51"/>
    <s v="REL01"/>
    <s v="SCOPE_1"/>
    <s v="CAAP4"/>
    <s v="SOUR2"/>
    <s v="DQS4"/>
    <n v="42285.61"/>
  </r>
  <r>
    <x v="714"/>
    <s v="M_0000_00000248851_000000000000001"/>
    <s v="VEH16"/>
    <s v="2024-06-15"/>
    <s v="CONT1;HFS2;B01;MC02;PR0302;ACPF6;SC0303;STAG1;SUBO2;DEFA2;FORB2;SSC4;PURP6;COLL4;TYVA01;FVAD3"/>
    <s v="51"/>
    <s v="REL01"/>
    <s v="SCOPE_1"/>
    <s v="CAAP4"/>
    <s v="SOUR2"/>
    <s v="DQS4"/>
    <n v="40696.92"/>
  </r>
  <r>
    <x v="715"/>
    <s v="M_0000_00000248865_000000000000001"/>
    <s v="VEH16"/>
    <s v="2024-06-15"/>
    <s v="CONT1;HFS2;B01;MC02;PR0302;ACPF6;SC0303;STAG2;POCI2;SUBO2;DEFA2;FORB2;SSC4;PURP6;COLL4;TYVA01;FVAD3"/>
    <s v="51"/>
    <s v="REL01"/>
    <s v="SCOPE_1"/>
    <s v="CAAP4"/>
    <s v="SOUR2"/>
    <s v="DQS4"/>
    <n v="43196.52"/>
  </r>
  <r>
    <x v="716"/>
    <s v="M_0000_00000248867_000000000000002"/>
    <s v="VEH16"/>
    <s v="2024-05-15"/>
    <s v="CONT1;HFS2;B01;MC02;PR0302;ACPF6;SC0303;STAG2;POCI2;SUBO2;DEFA2;FORB2;SSC4;PURP6;COLL4;TYVA01;FVAD3"/>
    <s v="51"/>
    <s v="REL01"/>
    <s v="SCOPE_1"/>
    <s v="CAAP4"/>
    <s v="SOUR2"/>
    <s v="DQS4"/>
    <n v="44073.919999999998"/>
  </r>
  <r>
    <x v="716"/>
    <s v="M_0000_00000248867_000000000000001"/>
    <s v="VEH16"/>
    <s v="2024-05-15"/>
    <s v="CONT1;HFS2;B01;MC02;PR0302;ACPF6;SC0303;STAG2;POCI2;SUBO2;DEFA2;FORB2;SSC4;PURP6;COLL4;TYVA01;FVAD3"/>
    <s v="51"/>
    <s v="REL01"/>
    <s v="SCOPE_1"/>
    <s v="CAAP4"/>
    <s v="SOUR2"/>
    <s v="DQS4"/>
    <n v="44073.919999999998"/>
  </r>
  <r>
    <x v="717"/>
    <s v="M_0000_00000248868_000000000000001"/>
    <s v="VEH16"/>
    <s v="2024-08-01"/>
    <s v="CONT1;HFS2;B01;MC02;PR0302;ACPF6;SC0303;STAG2;POCI2;SUBO2;DEFA2;FORB2;SSC4;PURP6;COLL4;TYVA01;FVAD3"/>
    <s v="51"/>
    <s v="REL01"/>
    <s v="SCOPE_1"/>
    <s v="CAAP4"/>
    <s v="SOUR2"/>
    <s v="DQS4"/>
    <n v="44406.31"/>
  </r>
  <r>
    <x v="718"/>
    <s v="M_0000_00000248875_000000000000001"/>
    <s v="VEH05"/>
    <s v="2024-05-15"/>
    <s v="CONT1;HFS2;B01;MC02;PR0302;ACPF6;SC0303;STAG1;SUBO2;DEFA2;FORB2;SSC4;PURP6;COLL4;TYVA01;FVAD3"/>
    <s v="51"/>
    <s v="REL01"/>
    <s v="SCOPE_1"/>
    <s v="CAAP4"/>
    <s v="SOUR2"/>
    <s v="DQS4"/>
    <n v="42099.65"/>
  </r>
  <r>
    <x v="719"/>
    <s v="M_0000_00000248877_000000000000001"/>
    <s v="VEH21"/>
    <s v="2024-06-15"/>
    <s v="CONT1;HFS2;B01;MC02;PR0302;ACPF6;SC0303;STAG2;POCI2;SUBO2;DEFA2;FORB2;SSC4;PURP6;COLL4;TYVA01;FVAD3"/>
    <s v="51"/>
    <s v="REL01"/>
    <s v="SCOPE_1"/>
    <s v="CAAP4"/>
    <s v="SOUR2"/>
    <s v="DQS4"/>
    <n v="44560.95"/>
  </r>
  <r>
    <x v="720"/>
    <s v="M_0000_00000248882_000000000000001"/>
    <s v="VEH05"/>
    <s v="2024-10-01"/>
    <s v="CONT1;HFS2;B01;MC02;PR0302;ACPF6;SC0303;STAG1;SUBO2;DEFA2;FORB2;SSC3;PURP6;COLL4;TYVA01;FVAD3"/>
    <s v="51"/>
    <s v="REL01"/>
    <s v="SCOPE_1"/>
    <s v="CAAP4"/>
    <s v="SOUR2"/>
    <s v="DQS4"/>
    <n v="38306.910000000003"/>
  </r>
  <r>
    <x v="721"/>
    <s v="M_0000_00000248883_000000000000001"/>
    <s v="VEH05"/>
    <s v="2024-06-15"/>
    <s v="CONT1;HFS2;B01;MC02;PR0302;ACPF6;SC0303;STAG2;POCI2;SUBO2;DEFA2;FORB2;SSC4;PURP6;COLL4;TYVA01;FVAD3"/>
    <s v="51"/>
    <s v="REL01"/>
    <s v="SCOPE_1"/>
    <s v="CAAP4"/>
    <s v="SOUR2"/>
    <s v="DQS4"/>
    <n v="34297.300000000003"/>
  </r>
  <r>
    <x v="722"/>
    <s v="M_0000_00000248887_000000000000002"/>
    <s v="VEH16"/>
    <s v="2024-05-15"/>
    <s v="CONT1;HFS2;B01;MC02;PR0302;ACPF6;SC0303;STAG1;SUBO2;DEFA2;FORB2;SSC3;PURP6;COLL4;TYVA01;FVAD3"/>
    <s v="51"/>
    <s v="REL01"/>
    <s v="SCOPE_1"/>
    <s v="CAAP4"/>
    <s v="SOUR2"/>
    <s v="DQS4"/>
    <n v="46029"/>
  </r>
  <r>
    <x v="722"/>
    <s v="M_0000_00000248887_000000000000001"/>
    <s v="VEH16"/>
    <s v="2024-05-15"/>
    <s v="CONT1;HFS2;B01;MC02;PR0302;ACPF6;SC0303;STAG1;SUBO2;DEFA2;FORB2;SSC3;PURP6;COLL4;TYVA01;FVAD3"/>
    <s v="51"/>
    <s v="REL01"/>
    <s v="SCOPE_1"/>
    <s v="CAAP4"/>
    <s v="SOUR2"/>
    <s v="DQS4"/>
    <n v="46029"/>
  </r>
  <r>
    <x v="723"/>
    <s v="M_0000_00000248890_000000000000001"/>
    <s v="VEH05"/>
    <s v="2024-06-15"/>
    <s v="CONT1;HFS2;B01;MC02;PR0302;ACPF6;SC0303;STAG1;SUBO2;DEFA2;FORB2;SSC4;PURP6;COLL4;TYVA01;FVAD3"/>
    <s v="51"/>
    <s v="REL01"/>
    <s v="SCOPE_1"/>
    <s v="CAAP4"/>
    <s v="SOUR2"/>
    <s v="DQS4"/>
    <n v="45295.19"/>
  </r>
  <r>
    <x v="724"/>
    <s v="M_0000_00000248893_000000000000003"/>
    <s v="VEH05"/>
    <s v="2024-06-01"/>
    <s v="CONT1;HFS2;B01;MC02;PR0302;ACPF6;SC0303;STAG2;POCI2;SUBO2;DEFA2;FORB2;SSC3;PURP6;COLL4;TYVA01;FVAD3"/>
    <s v="51"/>
    <s v="REL01"/>
    <s v="SCOPE_1"/>
    <s v="CAAP4"/>
    <s v="SOUR2"/>
    <s v="DQS4"/>
    <n v="43638.87"/>
  </r>
  <r>
    <x v="724"/>
    <s v="M_0000_00000248893_000000000000004"/>
    <s v="VEH05"/>
    <s v="2024-06-01"/>
    <s v="CONT1;HFS2;B01;MC02;PR0302;ACPF6;SC0303;STAG2;POCI2;SUBO2;DEFA2;FORB2;SSC3;PURP6;COLL4;TYVA01;FVAD3"/>
    <s v="51"/>
    <s v="REL01"/>
    <s v="SCOPE_1"/>
    <s v="CAAP4"/>
    <s v="SOUR2"/>
    <s v="DQS4"/>
    <n v="43638.87"/>
  </r>
  <r>
    <x v="724"/>
    <s v="M_0000_00000248893_000000000000006"/>
    <s v="VEH05"/>
    <s v="2024-06-01"/>
    <s v="CONT1;HFS2;B01;MC02;PR0302;ACPF6;SC0303;STAG2;POCI2;SUBO2;DEFA2;FORB2;SSC3;PURP6;COLL4;TYVA01;FVAD3"/>
    <s v="51"/>
    <s v="REL01"/>
    <s v="SCOPE_1"/>
    <s v="CAAP4"/>
    <s v="SOUR2"/>
    <s v="DQS4"/>
    <n v="43638.87"/>
  </r>
  <r>
    <x v="724"/>
    <s v="M_0000_00000248893_000000000000005"/>
    <s v="VEH05"/>
    <s v="2024-06-01"/>
    <s v="CONT1;HFS2;B01;MC02;PR0302;ACPF6;SC0303;STAG2;POCI2;SUBO2;DEFA2;FORB2;SSC3;PURP6;COLL4;TYVA01;FVAD3"/>
    <s v="51"/>
    <s v="REL01"/>
    <s v="SCOPE_1"/>
    <s v="CAAP4"/>
    <s v="SOUR2"/>
    <s v="DQS4"/>
    <n v="43638.87"/>
  </r>
  <r>
    <x v="724"/>
    <s v="M_0000_00000248893_000000000000001"/>
    <s v="VEH05"/>
    <s v="2024-06-01"/>
    <s v="CONT1;HFS2;B01;MC02;PR0302;ACPF6;SC0303;STAG2;POCI2;SUBO2;DEFA2;FORB2;SSC3;PURP6;COLL4;TYVA01;FVAD3"/>
    <s v="51"/>
    <s v="REL01"/>
    <s v="SCOPE_1"/>
    <s v="CAAP4"/>
    <s v="SOUR2"/>
    <s v="DQS4"/>
    <n v="43638.87"/>
  </r>
  <r>
    <x v="724"/>
    <s v="M_0000_00000248893_000000000000002"/>
    <s v="VEH05"/>
    <s v="2024-06-01"/>
    <s v="CONT1;HFS2;B01;MC02;PR0302;ACPF6;SC0303;STAG2;POCI2;SUBO2;DEFA2;FORB2;SSC3;PURP6;COLL4;TYVA01;FVAD3"/>
    <s v="51"/>
    <s v="REL01"/>
    <s v="SCOPE_1"/>
    <s v="CAAP4"/>
    <s v="SOUR2"/>
    <s v="DQS4"/>
    <n v="43638.87"/>
  </r>
  <r>
    <x v="725"/>
    <s v="M_0000_00000248898_000000000000001"/>
    <s v="VEH05"/>
    <s v="2024-06-01"/>
    <s v="CONT1;HFS2;B01;MC02;PR0302;ACPF6;SC0303;STAG1;SUBO2;DEFA2;FORB2;SSC4;PURP6;COLL4;TYVA01;FVAD3"/>
    <s v="51"/>
    <s v="REL01"/>
    <s v="SCOPE_1"/>
    <s v="CAAP4"/>
    <s v="SOUR2"/>
    <s v="DQS4"/>
    <n v="41189.32"/>
  </r>
  <r>
    <x v="726"/>
    <s v="M_0000_00000248906_000000000000001"/>
    <s v="VEH05"/>
    <s v="2024-06-15"/>
    <s v="CONT1;HFS2;B01;MC02;PR0302;ACPF6;SC0303;STAG1;SUBO2;DEFA2;FORB2;SSC4;PURP6;COLL4;TYVA01;FVAD3"/>
    <s v="51"/>
    <s v="REL01"/>
    <s v="SCOPE_1"/>
    <s v="CAAP4"/>
    <s v="SOUR2"/>
    <s v="DQS4"/>
    <n v="43243.29"/>
  </r>
  <r>
    <x v="727"/>
    <s v="M_0000_00000248922_000000000000001"/>
    <s v="VEH16"/>
    <s v="2024-06-01"/>
    <s v="CONT1;HFS2;B01;MC02;PR0302;ACPF6;SC0303;STAG1;SUBO2;DEFA2;FORB2;SSC4;PURP6;COLL4;TYVA01;FVAD3"/>
    <s v="51"/>
    <s v="REL01"/>
    <s v="SCOPE_1"/>
    <s v="CAAP4"/>
    <s v="SOUR2"/>
    <s v="DQS4"/>
    <n v="40786.019999999997"/>
  </r>
  <r>
    <x v="728"/>
    <s v="M_0000_00000248928_000000000000001"/>
    <s v="VEH16"/>
    <s v="2024-06-15"/>
    <s v="CONT1;HFS2;B01;MC02;PR0302;ACPF6;SC0303;STAG1;SUBO2;DEFA2;FORB2;SSC4;PURP6;COLL4;TYVA01;FVAD3"/>
    <s v="51"/>
    <s v="REL01"/>
    <s v="SCOPE_1"/>
    <s v="CAAP4"/>
    <s v="SOUR2"/>
    <s v="DQS4"/>
    <n v="40737.24"/>
  </r>
  <r>
    <x v="729"/>
    <s v="M_0000_00000248929_000000000000001"/>
    <s v="VEH04"/>
    <s v="2024-06-15"/>
    <s v="CONT1;HFS2;B01;MC02;PR0302;ACPF6;SC0303;STAG1;SUBO2;DEFA2;FORB2;SSC4;PURP6;COLL4;TYVA01;FVAD3"/>
    <s v="51"/>
    <s v="REL01"/>
    <s v="SCOPE_1"/>
    <s v="CAAP4"/>
    <s v="SOUR2"/>
    <s v="DQS4"/>
    <n v="1471.83"/>
  </r>
  <r>
    <x v="730"/>
    <s v="M_0000_00000248935_000000000000001"/>
    <s v="VEH09"/>
    <s v="2024-07-15"/>
    <s v="CONT1;HFS2;B01;MC02;PR0302;ACPF6;SC0303;STAG1;SUBO2;DEFA2;FORB2;SSC4;PURP6;COLL4;TYVA01;FVAD3"/>
    <s v="51"/>
    <s v="REL01"/>
    <s v="SCOPE_1"/>
    <s v="CAAP4"/>
    <s v="SOUR2"/>
    <s v="DQS4"/>
    <n v="2162.91"/>
  </r>
  <r>
    <x v="731"/>
    <s v="M_0000_00000248955_000000000000002"/>
    <s v="VEH05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31"/>
    <s v="M_0000_00000248955_000000000000003"/>
    <s v="VEH05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31"/>
    <s v="M_0000_00000248955_000000000000005"/>
    <s v="VEH05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31"/>
    <s v="M_0000_00000248955_000000000000004"/>
    <s v="VEH05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31"/>
    <s v="M_0000_00000248955_000000000000001"/>
    <s v="VEH05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32"/>
    <s v="M_0000_00000248961_000000000000001"/>
    <s v="VEH05"/>
    <s v="2024-06-15"/>
    <s v="CONT1;HFS2;B01;MC02;PR0302;ACPF6;SC0303;STAG2;POCI2;SUBO2;DEFA2;FORB2;SSC4;PURP6;COLL4;TYVA01;FVAD3"/>
    <s v="51"/>
    <s v="REL01"/>
    <s v="SCOPE_1"/>
    <s v="CAAP4"/>
    <s v="SOUR2"/>
    <s v="DQS4"/>
    <n v="37007.160000000003"/>
  </r>
  <r>
    <x v="733"/>
    <s v="M_0000_00000249070_000000000000001"/>
    <s v="VEH04"/>
    <s v="2024-07-01"/>
    <s v="CONT1;HFS2;B01;MC02;PR0302;ACPF6;SC0303;STAG1;SUBO2;DEFA2;FORB2;SSC4;PURP6;COLL4;TYVA01;FVAD3"/>
    <s v="51"/>
    <s v="REL01"/>
    <s v="SCOPE_1"/>
    <s v="CAAP4"/>
    <s v="SOUR2"/>
    <s v="DQS4"/>
    <n v="1739.69"/>
  </r>
  <r>
    <x v="734"/>
    <s v="M_0000_00000249072_000000000000001"/>
    <s v="VEH05"/>
    <s v="2024-10-15"/>
    <s v="CONT1;HFS2;B01;MC02;PR0302;ACPF6;SC0303;STAG1;SUBO2;DEFA2;FORB2;SSC4;PURP6;COLL4;TYVA01;FVAD3"/>
    <s v="51"/>
    <s v="REL01"/>
    <s v="SCOPE_1"/>
    <s v="CAAP4"/>
    <s v="SOUR2"/>
    <s v="DQS4"/>
    <n v="48568.03"/>
  </r>
  <r>
    <x v="735"/>
    <s v="M_0000_00000249097_000000000000001"/>
    <s v="VEH01"/>
    <s v="2024-12-15"/>
    <s v="CONT1;HFS2;B01;MC02;PR0302;ACPF6;SC0303;STAG1;SUBO2;DEFA2;FORB2;SSC4;PURP6;COLL4;TYVA01;FVAD3"/>
    <s v="51"/>
    <s v="REL01"/>
    <s v="SCOPE_2"/>
    <s v="CAAP4"/>
    <s v="SOUR2"/>
    <s v="DQS4"/>
    <n v="636.35"/>
  </r>
  <r>
    <x v="736"/>
    <s v="M_0000_00000249098_000000000000001"/>
    <s v="VEH05"/>
    <s v="2024-07-01"/>
    <s v="CONT1;HFS2;B01;MC02;PR0302;ACPF6;SC0303;STAG1;SUBO2;DEFA2;FORB2;SSC4;PURP6;COLL4;TYVA01;FVAD3"/>
    <s v="51"/>
    <s v="REL01"/>
    <s v="SCOPE_1"/>
    <s v="CAAP4"/>
    <s v="SOUR2"/>
    <s v="DQS4"/>
    <n v="41954"/>
  </r>
  <r>
    <x v="737"/>
    <s v="M_0000_00000249109_000000000000001"/>
    <s v="VEH16"/>
    <s v="2024-08-15"/>
    <s v="CONT1;HFS2;B01;MC02;PR0302;ACPF6;SC0303;STAG1;SUBO2;DEFA2;FORB2;SSC4;PURP6;COLL4;TYVA01;FVAD3"/>
    <s v="51"/>
    <s v="REL01"/>
    <s v="SCOPE_1"/>
    <s v="CAAP4"/>
    <s v="SOUR2"/>
    <s v="DQS4"/>
    <n v="42326.3"/>
  </r>
  <r>
    <x v="738"/>
    <s v="M_0000_00000249117_000000000000001"/>
    <s v="VEH05"/>
    <s v="2024-06-15"/>
    <s v="CONT1;HFS2;B01;MC02;PR0302;ACPF6;SC0303;STAG1;SUBO2;DEFA2;FORB2;SSC4;PURP6;COLL4;TYVA01;FVAD3"/>
    <s v="51"/>
    <s v="REL01"/>
    <s v="SCOPE_1"/>
    <s v="CAAP4"/>
    <s v="SOUR2"/>
    <s v="DQS4"/>
    <n v="40509.72"/>
  </r>
  <r>
    <x v="739"/>
    <s v="M_0000_00000249118_000000000000001"/>
    <s v="VEH05"/>
    <s v="2024-06-15"/>
    <s v="CONT1;HFS2;B01;MC02;PR0302;ACPF6;SC0303;STAG1;SUBO2;DEFA2;FORB2;SSC4;PURP6;COLL4;TYVA01;FVAD3"/>
    <s v="51"/>
    <s v="REL01"/>
    <s v="SCOPE_1"/>
    <s v="CAAP4"/>
    <s v="SOUR2"/>
    <s v="DQS4"/>
    <n v="40509.72"/>
  </r>
  <r>
    <x v="740"/>
    <s v="M_0000_00000249119_000000000000001"/>
    <s v="VEH05"/>
    <s v="2024-06-15"/>
    <s v="CONT1;HFS2;B01;MC02;PR0302;ACPF6;SC0303;STAG1;SUBO2;DEFA2;FORB2;SSC4;PURP6;COLL4;TYVA01;FVAD3"/>
    <s v="51"/>
    <s v="REL01"/>
    <s v="SCOPE_1"/>
    <s v="CAAP4"/>
    <s v="SOUR2"/>
    <s v="DQS4"/>
    <n v="40525.440000000002"/>
  </r>
  <r>
    <x v="741"/>
    <s v="M_0000_00000249135_000000000000001"/>
    <s v="VEH05"/>
    <s v="2024-08-15"/>
    <s v="CONT1;HFS2;B01;MC02;PR0302;ACPF6;SC0303;STAG1;SUBO2;DEFA2;FORB2;SSC4;PURP6;COLL4;TYVA01;FVAD3"/>
    <s v="51"/>
    <s v="REL01"/>
    <s v="SCOPE_1"/>
    <s v="CAAP4"/>
    <s v="SOUR2"/>
    <s v="DQS4"/>
    <n v="44126.41"/>
  </r>
  <r>
    <x v="742"/>
    <s v="M_0000_00000249167_000000000000001"/>
    <s v="VEH05"/>
    <s v="2024-07-15"/>
    <s v="CONT1;HFS2;B01;MC02;PR0302;ACPF6;SC0303;STAG2;POCI2;SUBO2;DEFA2;FORB2;SSC4;PURP6;COLL4;TYVA01;FVAD3"/>
    <s v="51"/>
    <s v="REL01"/>
    <s v="SCOPE_1"/>
    <s v="CAAP4"/>
    <s v="SOUR2"/>
    <s v="DQS4"/>
    <n v="37346.65"/>
  </r>
  <r>
    <x v="743"/>
    <s v="M_0000_00000249240_000000000000001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3"/>
    <s v="M_0000_00000249240_000000000000008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3"/>
    <s v="M_0000_00000249240_000000000000006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3"/>
    <s v="M_0000_00000249240_000000000000004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3"/>
    <s v="M_0000_00000249240_000000000000002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3"/>
    <s v="M_0000_00000249240_000000000000007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3"/>
    <s v="M_0000_00000249240_000000000000005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3"/>
    <s v="M_0000_00000249240_000000000000003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4"/>
    <s v="M_0000_00000249241_000000000000007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4"/>
    <s v="M_0000_00000249241_000000000000001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4"/>
    <s v="M_0000_00000249241_000000000000006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4"/>
    <s v="M_0000_00000249241_000000000000003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4"/>
    <s v="M_0000_00000249241_000000000000002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4"/>
    <s v="M_0000_00000249241_000000000000004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4"/>
    <s v="M_0000_00000249241_000000000000005"/>
    <s v="VEH05"/>
    <s v="2024-09-15"/>
    <s v="CONT1;HFS2;B01;MC02;PR0302;ACPF6;SC0303;STAG1;SUBO2;DEFA2;FORB2;SSC4;PURP6;COLL4;TYVA01;FVAD3"/>
    <s v="51"/>
    <s v="REL01"/>
    <s v="SCOPE_1"/>
    <s v="CAAP4"/>
    <s v="SOUR2"/>
    <s v="DQS4"/>
    <n v="49280.12"/>
  </r>
  <r>
    <x v="745"/>
    <s v="M_0000_00000249264_000000000000001"/>
    <s v="VEH05"/>
    <s v="2024-07-15"/>
    <s v="CONT1;HFS2;B01;MC02;PR0302;ACPF6;SC0303;STAG2;POCI2;SUBO2;DEFA2;FORB2;SSC4;PURP6;COLL4;TYVA01;FVAD3"/>
    <s v="51"/>
    <s v="REL01"/>
    <s v="SCOPE_1"/>
    <s v="CAAP4"/>
    <s v="SOUR2"/>
    <s v="DQS4"/>
    <n v="30949.07"/>
  </r>
  <r>
    <x v="746"/>
    <s v="M_0000_00000249278_000000000000001"/>
    <s v="VEH04"/>
    <s v="2024-08-15"/>
    <s v="CONT1;HFS2;B01;MC02;PR0302;ACPF6;SC0303;STAG1;SUBO2;DEFA2;FORB2;SSC4;PURP6;COLL4;TYVA01;FVAD3"/>
    <s v="51"/>
    <s v="REL01"/>
    <s v="SCOPE_1"/>
    <s v="CAAP4"/>
    <s v="SOUR2"/>
    <s v="DQS4"/>
    <n v="1788.57"/>
  </r>
  <r>
    <x v="747"/>
    <s v="M_0000_00000249301_000000000000001"/>
    <s v="VEH05"/>
    <s v="2024-07-15"/>
    <s v="CONT1;HFS2;B01;MC02;PR0302;ACPF6;SC0303;STAG2;POCI2;SUBO2;DEFA2;FORB2;SSC4;PURP6;COLL4;TYVA01;FVAD3"/>
    <s v="51"/>
    <s v="REL01"/>
    <s v="SCOPE_1"/>
    <s v="CAAP4"/>
    <s v="SOUR2"/>
    <s v="DQS4"/>
    <n v="37922.44"/>
  </r>
  <r>
    <x v="748"/>
    <s v="M_0000_00000249315_000000000000001"/>
    <s v="VEH05"/>
    <s v="2024-08-15"/>
    <s v="CONT1;HFS2;B01;MC02;PR0302;ACPF6;SC0303;STAG2;POCI2;SUBO2;DEFA2;FORB2;SSC4;PURP6;COLL4;TYVA01;FVAD3"/>
    <s v="51"/>
    <s v="REL01"/>
    <s v="SCOPE_1"/>
    <s v="CAAP4"/>
    <s v="SOUR2"/>
    <s v="DQS4"/>
    <n v="36336.69"/>
  </r>
  <r>
    <x v="749"/>
    <s v="M_0000_00000249331_000000000000001"/>
    <s v="VEH05"/>
    <s v="2024-08-15"/>
    <s v="CONT1;HFS2;B01;MC02;PR0302;ACPF6;SC0303;STAG2;POCI2;SUBO2;DEFA2;FORB2;SSC4;PURP6;COLL4;TYVA01;FVAD3"/>
    <s v="51"/>
    <s v="REL01"/>
    <s v="SCOPE_1"/>
    <s v="CAAP4"/>
    <s v="SOUR2"/>
    <s v="DQS4"/>
    <n v="33759.25"/>
  </r>
  <r>
    <x v="750"/>
    <s v="M_0000_00000249343_000000000000001"/>
    <s v="VEH05"/>
    <s v="2024-09-15"/>
    <s v="CONT1;HFS2;B01;MC02;PR0302;ACPF6;SC0303;STAG1;SUBO2;DEFA2;FORB2;SSC4;PURP6;COLL4;TYVA01;FVAD3"/>
    <s v="51"/>
    <s v="REL01"/>
    <s v="SCOPE_1"/>
    <s v="CAAP4"/>
    <s v="SOUR2"/>
    <s v="DQS4"/>
    <n v="22023.09"/>
  </r>
  <r>
    <x v="751"/>
    <s v="M_0000_00000249361_000000000000001"/>
    <s v="VEH19"/>
    <s v="2024-07-15"/>
    <s v="CONT1;HFS2;B01;MC02;PR0302;ACPF6;SC0303;STAG1;SUBO2;DEFA2;FORB2;SSC4;PURP6;COLL4;TYVA01;FVAD3"/>
    <s v="51"/>
    <s v="REL01"/>
    <s v="SCOPE_1"/>
    <s v="CAAP4"/>
    <s v="SOUR2"/>
    <s v="DQS4"/>
    <n v="2242.39"/>
  </r>
  <r>
    <x v="752"/>
    <s v="M_0000_00000249388_000000000000001"/>
    <s v="VEH05"/>
    <s v="2024-08-15"/>
    <s v="CONT1;HFS2;B01;MC02;PR0302;ACPF6;SC0303;STAG1;SUBO2;DEFA2;FORB2;SSC4;PURP6;COLL4;TYVA01;FVAD3"/>
    <s v="51"/>
    <s v="REL01"/>
    <s v="SCOPE_1"/>
    <s v="CAAP4"/>
    <s v="SOUR2"/>
    <s v="DQS4"/>
    <n v="42738.5"/>
  </r>
  <r>
    <x v="753"/>
    <s v="M_0000_00000249410_000000000000001"/>
    <s v="VEH04"/>
    <s v="2024-08-01"/>
    <s v="CONT1;HFS2;B01;MC02;PR0302;ACPF6;SC0303;STAG1;SUBO2;DEFA2;FORB2;SSC4;PURP6;COLL4;TYVA01;FVAD3"/>
    <s v="51"/>
    <s v="REL01"/>
    <s v="SCOPE_1"/>
    <s v="CAAP4"/>
    <s v="SOUR2"/>
    <s v="DQS4"/>
    <n v="1642.02"/>
  </r>
  <r>
    <x v="754"/>
    <s v="M_0000_00000249495_000000000000001"/>
    <s v="VEH16"/>
    <s v="2024-08-15"/>
    <s v="CONT1;HFS2;B01;MC02;PR0302;ACPF6;SC0303;STAG1;SUBO2;DEFA2;FORB2;SSC3;PURP6;COLL4;TYVA01;FVAD3"/>
    <s v="51"/>
    <s v="REL01"/>
    <s v="SCOPE_1"/>
    <s v="CAAP4"/>
    <s v="SOUR2"/>
    <s v="DQS4"/>
    <n v="48484.14"/>
  </r>
  <r>
    <x v="754"/>
    <s v="M_0000_00000249495_000000000000002"/>
    <s v="VEH16"/>
    <s v="2024-08-15"/>
    <s v="CONT1;HFS2;B01;MC02;PR0302;ACPF6;SC0303;STAG1;SUBO2;DEFA2;FORB2;SSC3;PURP6;COLL4;TYVA01;FVAD3"/>
    <s v="51"/>
    <s v="REL01"/>
    <s v="SCOPE_1"/>
    <s v="CAAP4"/>
    <s v="SOUR2"/>
    <s v="DQS4"/>
    <n v="48484.14"/>
  </r>
  <r>
    <x v="755"/>
    <s v="M_0000_00000249517_000000000000002"/>
    <s v="VEH16"/>
    <s v="2024-08-15"/>
    <s v="CONT1;HFS2;B01;MC02;PR0302;ACPF6;SC0303;STAG1;SUBO2;DEFA2;FORB2;SSC4;PURP6;COLL4;TYVA01;FVAD3"/>
    <s v="51"/>
    <s v="REL01"/>
    <s v="SCOPE_1"/>
    <s v="CAAP4"/>
    <s v="SOUR2"/>
    <s v="DQS4"/>
    <n v="46104.27"/>
  </r>
  <r>
    <x v="755"/>
    <s v="M_0000_00000249517_000000000000004"/>
    <s v="VEH16"/>
    <s v="2024-08-15"/>
    <s v="CONT1;HFS2;B01;MC02;PR0302;ACPF6;SC0303;STAG1;SUBO2;DEFA2;FORB2;SSC4;PURP6;COLL4;TYVA01;FVAD3"/>
    <s v="51"/>
    <s v="REL01"/>
    <s v="SCOPE_1"/>
    <s v="CAAP4"/>
    <s v="SOUR2"/>
    <s v="DQS4"/>
    <n v="46104.27"/>
  </r>
  <r>
    <x v="755"/>
    <s v="M_0000_00000249517_000000000000001"/>
    <s v="VEH16"/>
    <s v="2024-08-15"/>
    <s v="CONT1;HFS2;B01;MC02;PR0302;ACPF6;SC0303;STAG1;SUBO2;DEFA2;FORB2;SSC4;PURP6;COLL4;TYVA01;FVAD3"/>
    <s v="51"/>
    <s v="REL01"/>
    <s v="SCOPE_1"/>
    <s v="CAAP4"/>
    <s v="SOUR2"/>
    <s v="DQS4"/>
    <n v="46104.27"/>
  </r>
  <r>
    <x v="755"/>
    <s v="M_0000_00000249517_000000000000003"/>
    <s v="VEH16"/>
    <s v="2024-08-15"/>
    <s v="CONT1;HFS2;B01;MC02;PR0302;ACPF6;SC0303;STAG1;SUBO2;DEFA2;FORB2;SSC4;PURP6;COLL4;TYVA01;FVAD3"/>
    <s v="51"/>
    <s v="REL01"/>
    <s v="SCOPE_1"/>
    <s v="CAAP4"/>
    <s v="SOUR2"/>
    <s v="DQS4"/>
    <n v="46104.27"/>
  </r>
  <r>
    <x v="756"/>
    <s v="M_0000_00000249529_000000000000001"/>
    <s v="VEH05"/>
    <s v="2024-08-15"/>
    <s v="CONT1;HFS2;B01;MC02;PR0302;ACPF6;SC0303;STAG1;SUBO2;DEFA2;FORB2;SSC4;PURP6;COLL4;TYVA01;FVAD3"/>
    <s v="51"/>
    <s v="REL01"/>
    <s v="SCOPE_1"/>
    <s v="CAAP4"/>
    <s v="SOUR2"/>
    <s v="DQS4"/>
    <n v="40114.230000000003"/>
  </r>
  <r>
    <x v="757"/>
    <s v="M_0000_00000249536_000000000000001"/>
    <s v="VEH01"/>
    <s v="2024-09-01"/>
    <s v="CONT1;HFS2;B01;MC02;PR0302;ACPF6;SC0303;STAG1;SUBO2;DEFA2;FORB2;SSC4;PURP6;COLL4;TYVA01;FVAD3"/>
    <s v="51"/>
    <s v="REL01"/>
    <s v="SCOPE_1"/>
    <s v="CAAP4"/>
    <s v="SOUR2"/>
    <s v="DQS4"/>
    <n v="1506.98"/>
  </r>
  <r>
    <x v="758"/>
    <s v="M_0000_00000249538_000000000000001"/>
    <s v="VEH16"/>
    <s v="2024-08-15"/>
    <s v="CONT1;HFS2;B01;MC02;PR0302;ACPF6;SC0303;STAG1;SUBO2;DEFA2;FORB2;SSC4;PURP6;COLL4;TYVA01;FVAD3"/>
    <s v="51"/>
    <s v="REL01"/>
    <s v="SCOPE_1"/>
    <s v="CAAP4"/>
    <s v="SOUR2"/>
    <s v="DQS4"/>
    <n v="42297.64"/>
  </r>
  <r>
    <x v="759"/>
    <s v="M_0000_00000249564_000000000000001"/>
    <s v="VEH05"/>
    <s v="2024-08-15"/>
    <s v="CONT1;HFS2;B01;MC02;PR0302;ACPF6;SC0303;STAG1;SUBO2;DEFA2;FORB2;SSC4;PURP6;COLL4;TYVA01;FVAD3"/>
    <s v="51"/>
    <s v="REL01"/>
    <s v="SCOPE_1"/>
    <s v="CAAP4"/>
    <s v="SOUR2"/>
    <s v="DQS4"/>
    <n v="41315.01"/>
  </r>
  <r>
    <x v="760"/>
    <s v="M_0000_00000249573_000000000000001"/>
    <s v="VEH16"/>
    <s v="2024-09-15"/>
    <s v="CONT1;HFS2;B01;MC02;PR0302;ACPF6;SC0303;STAG1;SUBO2;DEFA2;FORB2;SSC4;PURP6;COLL4;TYVA01;FVAD3"/>
    <s v="51"/>
    <s v="REL01"/>
    <s v="SCOPE_1"/>
    <s v="CAAP4"/>
    <s v="SOUR2"/>
    <s v="DQS4"/>
    <n v="40619.57"/>
  </r>
  <r>
    <x v="761"/>
    <s v="M_0000_00000249574_000000000000001"/>
    <s v="VEH16"/>
    <s v="2024-09-15"/>
    <s v="CONT1;HFS2;B01;MC02;PR0302;ACPF6;SC0303;STAG1;SUBO2;DEFA2;FORB2;SSC4;PURP6;COLL4;TYVA01;FVAD3"/>
    <s v="51"/>
    <s v="REL01"/>
    <s v="SCOPE_1"/>
    <s v="CAAP4"/>
    <s v="SOUR2"/>
    <s v="DQS4"/>
    <n v="35858.92"/>
  </r>
  <r>
    <x v="762"/>
    <s v="M_0000_00000249581_000000000000001"/>
    <s v="VEH04"/>
    <s v="2024-08-15"/>
    <s v="CONT1;HFS2;B01;MC02;PR0302;ACPF6;SC0303;STAG1;SUBO2;DEFA2;FORB2;SSC4;PURP6;COLL4;TYVA01;FVAD3"/>
    <s v="51"/>
    <s v="REL01"/>
    <s v="SCOPE_1"/>
    <s v="CAAP4"/>
    <s v="SOUR2"/>
    <s v="DQS4"/>
    <n v="1612.4"/>
  </r>
  <r>
    <x v="763"/>
    <s v="M_0000_00000249591_000000000000001"/>
    <s v="VEH01"/>
    <s v="2024-09-01"/>
    <s v="CONT1;HFS2;B01;MC02;PR0302;ACPF6;SC0303;STAG1;SUBO2;DEFA2;FORB2;SSC4;PURP6;COLL4;TYVA01;FVAD3"/>
    <s v="51"/>
    <s v="REL01"/>
    <s v="SCOPE_2"/>
    <s v="CAAP4"/>
    <s v="SOUR2"/>
    <s v="DQS4"/>
    <n v="558.41999999999996"/>
  </r>
  <r>
    <x v="763"/>
    <s v="M_0000_00000249591_000000000000001"/>
    <s v="VEH01"/>
    <s v="2024-09-01"/>
    <s v="CONT1;HFS2;B01;MC02;PR0302;ACPF6;SC0303;STAG1;SUBO2;DEFA2;FORB2;SSC4;PURP6;COLL4;TYVA01;FVAD3"/>
    <s v="51"/>
    <s v="REL01"/>
    <s v="SCOPE_1"/>
    <s v="CAAP4"/>
    <s v="SOUR2"/>
    <s v="DQS4"/>
    <n v="437.29"/>
  </r>
  <r>
    <x v="764"/>
    <s v="M_0000_00000249605_000000000000001"/>
    <s v="VEH05"/>
    <s v="2024-10-15"/>
    <s v="CONT1;HFS2;B01;MC02;PR0302;ACPF6;SC0303;STAG2;POCI2;SUBO2;DEFA2;FORB2;SSC4;PURP6;COLL4;TYVA01;FVAD3"/>
    <s v="51"/>
    <s v="REL01"/>
    <s v="SCOPE_1"/>
    <s v="CAAP4"/>
    <s v="SOUR2"/>
    <s v="DQS4"/>
    <n v="46444.61"/>
  </r>
  <r>
    <x v="765"/>
    <s v="M_0000_00000249606_000000000000002"/>
    <s v="VEH05"/>
    <s v="2024-09-01"/>
    <s v="CONT1;HFS2;B01;MC02;PR0302;ACPF6;SC0303;STAG1;SUBO2;DEFA2;FORB2;SSC4;PURP6;COLL4;TYVA01;FVAD3"/>
    <s v="51"/>
    <s v="REL01"/>
    <s v="SCOPE_1"/>
    <s v="CAAP4"/>
    <s v="SOUR2"/>
    <s v="DQS4"/>
    <n v="36652.39"/>
  </r>
  <r>
    <x v="765"/>
    <s v="M_0000_00000249606_000000000000001"/>
    <s v="VEH05"/>
    <s v="2024-09-01"/>
    <s v="CONT1;HFS2;B01;MC02;PR0302;ACPF6;SC0303;STAG1;SUBO2;DEFA2;FORB2;SSC4;PURP6;COLL4;TYVA01;FVAD3"/>
    <s v="51"/>
    <s v="REL01"/>
    <s v="SCOPE_1"/>
    <s v="CAAP4"/>
    <s v="SOUR2"/>
    <s v="DQS4"/>
    <n v="36652.39"/>
  </r>
  <r>
    <x v="765"/>
    <s v="M_0000_00000249606_000000000000002"/>
    <s v="VEH05"/>
    <s v="2024-09-01"/>
    <s v="CONT1;HFS2;B01;MC02;PR0302;ACPF6;SC0303;STAG1;SUBO2;DEFA2;FORB2;SSC4;PURP6;COLL4;TYVA01;FVAD3"/>
    <s v="51"/>
    <s v="REL01"/>
    <s v="SCOPE_1"/>
    <s v="CAAP4"/>
    <s v="SOUR2"/>
    <s v="DQS4"/>
    <n v="36652.379999999997"/>
  </r>
  <r>
    <x v="765"/>
    <s v="M_0000_00000249606_000000000000001"/>
    <s v="VEH05"/>
    <s v="2024-09-01"/>
    <s v="CONT1;HFS2;B01;MC02;PR0302;ACPF6;SC0303;STAG1;SUBO2;DEFA2;FORB2;SSC4;PURP6;COLL4;TYVA01;FVAD3"/>
    <s v="51"/>
    <s v="REL01"/>
    <s v="SCOPE_1"/>
    <s v="CAAP4"/>
    <s v="SOUR2"/>
    <s v="DQS4"/>
    <n v="36652.379999999997"/>
  </r>
  <r>
    <x v="766"/>
    <s v="M_0000_00000249618_000000000000003"/>
    <s v="VEH16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66"/>
    <s v="M_0000_00000249618_000000000000002"/>
    <s v="VEH16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66"/>
    <s v="M_0000_00000249618_000000000000001"/>
    <s v="VEH16"/>
    <s v="2024-09-15"/>
    <s v="CONT1;HFS2;B01;MC02;PR0302;ACPF6;SC0303;STAG1;SUBO2;DEFA2;FORB2;SSC3;PURP6;COLL4;TYVA01;FVAD3"/>
    <s v="51"/>
    <s v="REL01"/>
    <s v="SCOPE_1"/>
    <s v="CAAP4"/>
    <s v="SOUR2"/>
    <s v="DQS4"/>
    <n v="48224.99"/>
  </r>
  <r>
    <x v="767"/>
    <s v="M_0000_00000249645_000000000000002"/>
    <s v="VEH05"/>
    <s v="2024-09-15"/>
    <s v="CONT1;HFS2;B01;MC02;PR0302;ACPF6;SC0303;STAG1;SUBO2;DEFA2;FORB2;SSC4;PURP6;COLL4;TYVA01;FVAD3"/>
    <s v="51"/>
    <s v="REL01"/>
    <s v="SCOPE_1"/>
    <s v="CAAP4"/>
    <s v="SOUR2"/>
    <s v="DQS4"/>
    <n v="43057.7"/>
  </r>
  <r>
    <x v="767"/>
    <s v="M_0000_00000249645_000000000000001"/>
    <s v="VEH05"/>
    <s v="2024-09-15"/>
    <s v="CONT1;HFS2;B01;MC02;PR0302;ACPF6;SC0303;STAG1;SUBO2;DEFA2;FORB2;SSC4;PURP6;COLL4;TYVA01;FVAD3"/>
    <s v="51"/>
    <s v="REL01"/>
    <s v="SCOPE_1"/>
    <s v="CAAP4"/>
    <s v="SOUR2"/>
    <s v="DQS4"/>
    <n v="43057.7"/>
  </r>
  <r>
    <x v="768"/>
    <s v="M_0000_00000249647_000000000000001"/>
    <s v="VEH05"/>
    <s v="2024-09-01"/>
    <s v="CONT1;HFS2;B01;MC02;PR0302;ACPF6;SC0303;STAG1;SUBO2;DEFA2;FORB2;SSC4;PURP6;COLL4;TYVA01;FVAD3"/>
    <s v="51"/>
    <s v="REL01"/>
    <s v="SCOPE_1"/>
    <s v="CAAP4"/>
    <s v="SOUR2"/>
    <s v="DQS4"/>
    <n v="46868.81"/>
  </r>
  <r>
    <x v="769"/>
    <s v="M_0000_00000249688_000000000000001"/>
    <s v="VEH16"/>
    <s v="2024-11-01"/>
    <s v="CONT1;HFS2;B01;MC02;PR0302;ACPF6;SC0303;STAG1;SUBO2;DEFA2;FORB2;SSC4;PURP6;COLL4;TYVA01;FVAD3"/>
    <s v="51"/>
    <s v="REL01"/>
    <s v="SCOPE_1"/>
    <s v="CAAP4"/>
    <s v="SOUR2"/>
    <s v="DQS4"/>
    <n v="44657.04"/>
  </r>
  <r>
    <x v="770"/>
    <s v="M_0000_00000249691_000000000000001"/>
    <s v="VEH04"/>
    <s v="2024-11-15"/>
    <s v="CONT1;HFS2;B01;MC02;PR0302;ACPF6;SC0303;STAG1;SUBO2;DEFA2;FORB2;SSC4;PURP6;COLL4;TYVA01;FVAD3"/>
    <s v="51"/>
    <s v="REL01"/>
    <s v="SCOPE_1"/>
    <s v="CAAP4"/>
    <s v="SOUR2"/>
    <s v="DQS4"/>
    <n v="1542.11"/>
  </r>
  <r>
    <x v="771"/>
    <s v="M_0000_00000249706_000000000000001"/>
    <s v="VEH05"/>
    <s v="2024-10-01"/>
    <s v="CONT1;HFS2;B01;MC02;PR0302;ACPF6;SC0303;STAG1;SUBO2;DEFA2;FORB2;SSC4;PURP6;COLL4;TYVA01;FVAD3"/>
    <s v="51"/>
    <s v="REL01"/>
    <s v="SCOPE_1"/>
    <s v="CAAP4"/>
    <s v="SOUR2"/>
    <s v="DQS4"/>
    <n v="45018.34"/>
  </r>
  <r>
    <x v="772"/>
    <s v="M_0000_00000249707_000000000000001"/>
    <s v="VEH05"/>
    <s v="2024-10-01"/>
    <s v="CONT1;HFS2;B01;MC02;PR0302;ACPF6;SC0303;STAG1;SUBO2;DEFA2;FORB2;SSC4;PURP6;COLL4;TYVA01;FVAD3"/>
    <s v="51"/>
    <s v="REL01"/>
    <s v="SCOPE_1"/>
    <s v="CAAP4"/>
    <s v="SOUR2"/>
    <s v="DQS4"/>
    <n v="45018.34"/>
  </r>
  <r>
    <x v="773"/>
    <s v="M_0000_00000249717_000000000000002"/>
    <s v="VEH16"/>
    <s v="2024-11-15"/>
    <s v="CONT1;HFS2;B01;MC02;PR0302;ACPF6;SC0303;STAG1;SUBO2;DEFA2;FORB2;SSC3;PURP6;COLL4;TYVA01;FVAD3"/>
    <s v="51"/>
    <s v="REL01"/>
    <s v="SCOPE_1"/>
    <s v="CAAP4"/>
    <s v="SOUR2"/>
    <s v="DQS4"/>
    <n v="50823.4"/>
  </r>
  <r>
    <x v="773"/>
    <s v="M_0000_00000249717_000000000000001"/>
    <s v="VEH16"/>
    <s v="2024-11-15"/>
    <s v="CONT1;HFS2;B01;MC02;PR0302;ACPF6;SC0303;STAG1;SUBO2;DEFA2;FORB2;SSC3;PURP6;COLL4;TYVA01;FVAD3"/>
    <s v="51"/>
    <s v="REL01"/>
    <s v="SCOPE_1"/>
    <s v="CAAP4"/>
    <s v="SOUR2"/>
    <s v="DQS4"/>
    <n v="50823.4"/>
  </r>
  <r>
    <x v="774"/>
    <s v="M_0000_00000249719_000000000000001"/>
    <s v="VEH04"/>
    <s v="2024-10-01"/>
    <s v="CONT1;HFS2;B01;MC02;PR0302;ACPF6;SC0303;STAG1;SUBO2;DEFA2;FORB2;SSC4;PURP6;COLL4;TYVA01;FVAD3"/>
    <s v="51"/>
    <s v="REL01"/>
    <s v="SCOPE_1"/>
    <s v="CAAP4"/>
    <s v="SOUR2"/>
    <s v="DQS4"/>
    <n v="1692.27"/>
  </r>
  <r>
    <x v="775"/>
    <s v="M_0000_00000249720_000000000000001"/>
    <s v="VEH04"/>
    <s v="2024-09-15"/>
    <s v="CONT1;HFS2;B01;MC02;PR0302;ACPF6;SC0303;STAG1;SUBO2;DEFA2;FORB2;SSC4;PURP6;COLL4;TYVA01;FVAD3"/>
    <s v="51"/>
    <s v="REL01"/>
    <s v="SCOPE_1"/>
    <s v="CAAP4"/>
    <s v="SOUR2"/>
    <s v="DQS4"/>
    <n v="1664.31"/>
  </r>
  <r>
    <x v="776"/>
    <s v="M_0000_00000249726_000000000000001"/>
    <s v="VEH05"/>
    <s v="2024-09-15"/>
    <s v="CONT1;HFS2;B01;MC02;PR0302;ACPF6;SC0303;STAG2;POCI2;SUBO2;DEFA2;FORB2;SSC4;PURP6;COLL4;TYVA01;FVAD3"/>
    <s v="51"/>
    <s v="REL01"/>
    <s v="SCOPE_1"/>
    <s v="CAAP4"/>
    <s v="SOUR2"/>
    <s v="DQS4"/>
    <n v="43008.22"/>
  </r>
  <r>
    <x v="777"/>
    <s v="M_0000_00000249730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45157.97"/>
  </r>
  <r>
    <x v="778"/>
    <s v="M_0000_00000249784_000000000000001"/>
    <s v="VEH01"/>
    <s v="2024-10-01"/>
    <s v="CONT1;HFS2;B01;MC02;PR0302;ACPF6;SC0303;STAG1;SUBO2;DEFA2;FORB2;SSC4;PURP6;COLL4;TYVA01;FVAD3"/>
    <s v="51"/>
    <s v="REL01"/>
    <s v="SCOPE_1"/>
    <s v="CAAP4"/>
    <s v="SOUR2"/>
    <s v="DQS4"/>
    <n v="2253.9699999999998"/>
  </r>
  <r>
    <x v="779"/>
    <s v="M_0000_00000249788_000000000000007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2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3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8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5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4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6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10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1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79"/>
    <s v="M_0000_00000249788_000000000000009"/>
    <s v="VEH05"/>
    <s v="2024-09-15"/>
    <s v="CONT1;HFS2;B01;MC02;PR0302;ACPF6;SC0303;STAG1;SUBO2;DEFA2;FORB2;SSC3;PURP6;COLL4;TYVA01;FVAD3"/>
    <s v="51"/>
    <s v="REL01"/>
    <s v="SCOPE_1"/>
    <s v="CAAP4"/>
    <s v="SOUR2"/>
    <s v="DQS4"/>
    <n v="44556.42"/>
  </r>
  <r>
    <x v="780"/>
    <s v="M_0000_00000249807_000000000000001"/>
    <s v="VEH05"/>
    <s v="2024-10-01"/>
    <s v="CONT1;HFS2;B01;MC02;PR0302;ACPF6;SC0303;STAG2;POCI2;SUBO2;DEFA2;FORB2;SSC4;PURP6;COLL4;TYVA01;FVAD3"/>
    <s v="51"/>
    <s v="REL01"/>
    <s v="SCOPE_1"/>
    <s v="CAAP4"/>
    <s v="SOUR2"/>
    <s v="DQS4"/>
    <n v="45566.73"/>
  </r>
  <r>
    <x v="781"/>
    <s v="M_0000_00000249835_000000000000001"/>
    <s v="VEH05"/>
    <s v="2024-10-15"/>
    <s v="CONT1;HFS2;B01;MC02;PR0302;ACPF6;SC0303;STAG1;SUBO2;DEFA2;FORB2;SSC4;PURP6;COLL4;TYVA01;FVAD3"/>
    <s v="51"/>
    <s v="REL01"/>
    <s v="SCOPE_1"/>
    <s v="CAAP4"/>
    <s v="SOUR2"/>
    <s v="DQS4"/>
    <n v="43682.93"/>
  </r>
  <r>
    <x v="782"/>
    <s v="M_0000_00000249862_000000000000001"/>
    <s v="VEH16"/>
    <s v="2024-10-01"/>
    <s v="CONT1;HFS2;B01;MC02;PR0302;ACPF6;SC0303;STAG2;POCI2;SUBO2;DEFA2;FORB2;SSC4;PURP6;COLL4;TYVA01;FVAD3"/>
    <s v="51"/>
    <s v="REL01"/>
    <s v="SCOPE_1"/>
    <s v="CAAP4"/>
    <s v="SOUR2"/>
    <s v="DQS4"/>
    <n v="45427.6"/>
  </r>
  <r>
    <x v="783"/>
    <s v="M_0000_00000249880_000000000000001"/>
    <s v="VEH05"/>
    <s v="2024-10-15"/>
    <s v="CONT1;HFS2;B01;MC02;PR0302;ACPF6;SC0303;STAG1;SUBO2;DEFA2;FORB2;SSC4;PURP6;COLL4;TYVA01;FVAD3"/>
    <s v="51"/>
    <s v="REL01"/>
    <s v="SCOPE_1"/>
    <s v="CAAP4"/>
    <s v="SOUR2"/>
    <s v="DQS4"/>
    <n v="41951.16"/>
  </r>
  <r>
    <x v="784"/>
    <s v="M_0000_00000249884_000000000000001"/>
    <s v="VEH16"/>
    <s v="2024-10-15"/>
    <s v="CONT1;HFS2;B01;MC02;PR0302;ACPF6;SC0303;STAG1;SUBO2;DEFA2;FORB2;SSC4;PURP6;COLL4;TYVA01;FVAD3"/>
    <s v="51"/>
    <s v="REL01"/>
    <s v="SCOPE_1"/>
    <s v="CAAP4"/>
    <s v="SOUR2"/>
    <s v="DQS4"/>
    <n v="49143.47"/>
  </r>
  <r>
    <x v="784"/>
    <s v="M_0000_00000249884_000000000000002"/>
    <s v="VEH16"/>
    <s v="2024-10-15"/>
    <s v="CONT1;HFS2;B01;MC02;PR0302;ACPF6;SC0303;STAG1;SUBO2;DEFA2;FORB2;SSC4;PURP6;COLL4;TYVA01;FVAD3"/>
    <s v="51"/>
    <s v="REL01"/>
    <s v="SCOPE_1"/>
    <s v="CAAP4"/>
    <s v="SOUR2"/>
    <s v="DQS4"/>
    <n v="49143.47"/>
  </r>
  <r>
    <x v="785"/>
    <s v="M_0000_00000249886_000000000000001"/>
    <s v="VEH05"/>
    <s v="2024-10-15"/>
    <s v="CONT1;HFS2;B01;MC02;PR0302;ACPF6;SC0303;STAG1;SUBO2;DEFA2;FORB2;SSC4;PURP6;COLL4;TYVA01;FVAD3"/>
    <s v="51"/>
    <s v="REL01"/>
    <s v="SCOPE_1"/>
    <s v="CAAP4"/>
    <s v="SOUR2"/>
    <s v="DQS4"/>
    <n v="41357.01"/>
  </r>
  <r>
    <x v="786"/>
    <s v="M_0000_00000249895_000000000000001"/>
    <s v="VEH16"/>
    <s v="2024-10-01"/>
    <s v="CONT1;HFS2;B01;MC02;PR0302;ACPF6;SC0303;STAG1;SUBO2;DEFA2;FORB2;SSC3;PURP6;COLL4;TYVA01;FVAD3"/>
    <s v="51"/>
    <s v="REL01"/>
    <s v="SCOPE_1"/>
    <s v="CAAP4"/>
    <s v="SOUR2"/>
    <s v="DQS4"/>
    <n v="51023.4"/>
  </r>
  <r>
    <x v="786"/>
    <s v="M_0000_00000249895_000000000000002"/>
    <s v="VEH16"/>
    <s v="2024-10-01"/>
    <s v="CONT1;HFS2;B01;MC02;PR0302;ACPF6;SC0303;STAG1;SUBO2;DEFA2;FORB2;SSC3;PURP6;COLL4;TYVA01;FVAD3"/>
    <s v="51"/>
    <s v="REL01"/>
    <s v="SCOPE_1"/>
    <s v="CAAP4"/>
    <s v="SOUR2"/>
    <s v="DQS4"/>
    <n v="51023.4"/>
  </r>
  <r>
    <x v="787"/>
    <s v="M_0000_00000249902_000000000000001"/>
    <s v="VEH05"/>
    <s v="2024-10-15"/>
    <s v="CONT1;HFS2;B01;MC02;PR0302;ACPF6;SC0303;STAG1;SUBO2;DEFA2;FORB2;SSC4;PURP6;COLL4;TYVA01;FVAD3"/>
    <s v="51"/>
    <s v="REL01"/>
    <s v="SCOPE_1"/>
    <s v="CAAP4"/>
    <s v="SOUR2"/>
    <s v="DQS4"/>
    <n v="48065.46"/>
  </r>
  <r>
    <x v="788"/>
    <s v="M_0000_00000249943_000000000000007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6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2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5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4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9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8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3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01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8"/>
    <s v="M_0000_00000249943_000000000000010"/>
    <s v="VEH16"/>
    <s v="2024-12-15"/>
    <s v="CONT1;HFS2;B01;MC02;PR0302;ACPF6;SC0303;STAG1;SUBO2;DEFA2;FORB2;SSC4;PURP6;COLL4;TYVA01;FVAD3"/>
    <s v="51"/>
    <s v="REL01"/>
    <s v="SCOPE_1"/>
    <s v="CAAP4"/>
    <s v="SOUR2"/>
    <s v="DQS4"/>
    <n v="47874.41"/>
  </r>
  <r>
    <x v="789"/>
    <s v="M_0000_00000249948_000000000000001"/>
    <s v="VEH04"/>
    <s v="2024-10-15"/>
    <s v="CONT1;HFS2;B01;MC02;PR0302;ACPF6;SC0303;STAG1;SUBO2;DEFA2;FORB2;SSC4;PURP6;COLL4;TYVA01;FVAD3"/>
    <s v="51"/>
    <s v="REL01"/>
    <s v="SCOPE_1"/>
    <s v="CAAP4"/>
    <s v="SOUR2"/>
    <s v="DQS4"/>
    <n v="1849.88"/>
  </r>
  <r>
    <x v="790"/>
    <s v="M_0000_00000249986_000000000000001"/>
    <s v="VEH16"/>
    <s v="2024-11-15"/>
    <s v="CONT1;HFS2;B01;MC02;PR0302;ACPF6;SC0303;STAG1;SUBO2;DEFA2;FORB2;SSC4;PURP6;COLL4;TYVA01;FVAD3"/>
    <s v="51"/>
    <s v="REL01"/>
    <s v="SCOPE_1"/>
    <s v="CAAP4"/>
    <s v="SOUR2"/>
    <s v="DQS4"/>
    <n v="43640.49"/>
  </r>
  <r>
    <x v="791"/>
    <s v="M_0000_00000250008_000000000000001"/>
    <s v="VEH16"/>
    <s v="2024-12-01"/>
    <s v="CONT1;HFS2;B01;MC02;PR0302;ACPF6;SC0303;STAG2;POCI2;SUBO2;DEFA2;FORB2;SSC4;PURP6;COLL4;TYVA01;FVAD3"/>
    <s v="51"/>
    <s v="REL01"/>
    <s v="SCOPE_1"/>
    <s v="CAAP4"/>
    <s v="SOUR2"/>
    <s v="DQS4"/>
    <n v="45434.400000000001"/>
  </r>
  <r>
    <x v="792"/>
    <s v="M_0000_00000250021_000000000000001"/>
    <s v="VEH05"/>
    <s v="2024-12-01"/>
    <s v="CONT1;HFS2;B01;MC02;PR0302;ACPF6;SC0303;STAG1;SUBO2;DEFA2;FORB2;SSC4;PURP6;COLL4;TYVA01;FVAD3"/>
    <s v="51"/>
    <s v="REL01"/>
    <s v="SCOPE_1"/>
    <s v="CAAP4"/>
    <s v="SOUR2"/>
    <s v="DQS4"/>
    <n v="49048.43"/>
  </r>
  <r>
    <x v="793"/>
    <s v="M_0000_00000250050_000000000000001"/>
    <s v="VEH04"/>
    <s v="2024-12-01"/>
    <s v="CONT1;HFS2;B01;MC02;PR0302;ACPF6;SC0303;STAG1;SUBO2;DEFA2;FORB2;SSC4;PURP6;COLL4;TYVA01;FVAD3"/>
    <s v="51"/>
    <s v="REL01"/>
    <s v="SCOPE_1"/>
    <s v="CAAP4"/>
    <s v="SOUR2"/>
    <s v="DQS4"/>
    <n v="1784.34"/>
  </r>
  <r>
    <x v="794"/>
    <s v="M_0000_00000250054_000000000000001"/>
    <s v="VEH16"/>
    <s v="2024-12-01"/>
    <s v="CONT1;HFS2;B01;MC02;PR0302;ACPF6;SC0303;STAG2;POCI2;SUBO2;DEFA2;FORB2;SSC4;PURP6;COLL4;TYVA01;FVAD3"/>
    <s v="51"/>
    <s v="REL01"/>
    <s v="SCOPE_1"/>
    <s v="CAAP4"/>
    <s v="SOUR2"/>
    <s v="DQS4"/>
    <n v="40414.85"/>
  </r>
  <r>
    <x v="795"/>
    <s v="M_0000_00000250072_000000000000001"/>
    <s v="VEH05"/>
    <s v="2024-11-15"/>
    <s v="CONT1;HFS2;B01;MC02;PR0302;ACPF6;SC0303;STAG1;SUBO2;DEFA2;FORB2;SSC4;PURP6;COLL4;TYVA01;FVAD3"/>
    <s v="51"/>
    <s v="REL01"/>
    <s v="SCOPE_1"/>
    <s v="CAAP4"/>
    <s v="SOUR2"/>
    <s v="DQS4"/>
    <n v="44087.63"/>
  </r>
  <r>
    <x v="796"/>
    <s v="M_0000_00000250089_000000000000001"/>
    <s v="VEH16"/>
    <s v="2024-11-01"/>
    <s v="CONT1;HFS2;B01;MC02;PR0302;ACPF6;SC0303;STAG1;SUBO2;DEFA2;FORB2;SSC3;PURP6;COLL4;TYVA01;FVAD3"/>
    <s v="51"/>
    <s v="REL01"/>
    <s v="SCOPE_1"/>
    <s v="CAAP4"/>
    <s v="SOUR2"/>
    <s v="DQS4"/>
    <n v="50795.82"/>
  </r>
  <r>
    <x v="796"/>
    <s v="M_0000_00000250089_000000000000002"/>
    <s v="VEH16"/>
    <s v="2024-11-01"/>
    <s v="CONT1;HFS2;B01;MC02;PR0302;ACPF6;SC0303;STAG1;SUBO2;DEFA2;FORB2;SSC3;PURP6;COLL4;TYVA01;FVAD3"/>
    <s v="51"/>
    <s v="REL01"/>
    <s v="SCOPE_1"/>
    <s v="CAAP4"/>
    <s v="SOUR2"/>
    <s v="DQS4"/>
    <n v="50795.82"/>
  </r>
  <r>
    <x v="797"/>
    <s v="M_0000_00000250092_000000000000001"/>
    <s v="VEH04"/>
    <s v="2024-11-15"/>
    <s v="CONT1;HFS2;B01;MC02;PR0302;ACPF6;SC0303;STAG2;POCI2;SUBO2;DEFA2;FORB2;SSC4;PURP6;COLL4;TYVA01;FVAD3"/>
    <s v="51"/>
    <s v="REL01"/>
    <s v="SCOPE_1"/>
    <s v="CAAP4"/>
    <s v="SOUR2"/>
    <s v="DQS4"/>
    <n v="1462.6"/>
  </r>
  <r>
    <x v="798"/>
    <s v="M_0000_00000250121_000000000000001"/>
    <s v="VEH05"/>
    <s v="2024-11-15"/>
    <s v="CONT1;HFS2;B01;MC02;PR0302;ACPF6;SC0303;STAG1;SUBO2;DEFA2;FORB2;SSC4;PURP6;COLL4;TYVA01;FVAD3"/>
    <s v="51"/>
    <s v="REL01"/>
    <s v="SCOPE_1"/>
    <s v="CAAP4"/>
    <s v="SOUR2"/>
    <s v="DQS4"/>
    <n v="42938.04"/>
  </r>
  <r>
    <x v="799"/>
    <s v="M_0000_00000250152_000000000000002"/>
    <s v="VEH05"/>
    <s v="2024-11-15"/>
    <s v="CONT1;HFS2;B01;MC02;PR0302;ACPF6;SC0303;STAG1;SUBO2;DEFA2;FORB2;SSC3;PURP6;COLL4;TYVA01;FVAD3"/>
    <s v="51"/>
    <s v="REL01"/>
    <s v="SCOPE_1"/>
    <s v="CAAP4"/>
    <s v="SOUR2"/>
    <s v="DQS4"/>
    <n v="48810.54"/>
  </r>
  <r>
    <x v="799"/>
    <s v="M_0000_00000250152_000000000000001"/>
    <s v="VEH05"/>
    <s v="2024-11-15"/>
    <s v="CONT1;HFS2;B01;MC02;PR0302;ACPF6;SC0303;STAG1;SUBO2;DEFA2;FORB2;SSC3;PURP6;COLL4;TYVA01;FVAD3"/>
    <s v="51"/>
    <s v="REL01"/>
    <s v="SCOPE_1"/>
    <s v="CAAP4"/>
    <s v="SOUR2"/>
    <s v="DQS4"/>
    <n v="48810.54"/>
  </r>
  <r>
    <x v="800"/>
    <s v="M_0000_00000250178_000000000000001"/>
    <s v="VEH20"/>
    <s v="2024-11-15"/>
    <s v="CONT1;HFS2;B01;MC02;PR0302;ACPF6;SC0303;STAG1;SUBO2;DEFA2;FORB2;SSC4;PURP6;COLL4;TYVA01;FVAD3"/>
    <s v="51"/>
    <s v="REL01"/>
    <s v="SCOPE_1"/>
    <s v="CAAP4"/>
    <s v="SOUR2"/>
    <s v="DQS4"/>
    <n v="37051.949999999997"/>
  </r>
  <r>
    <x v="801"/>
    <s v="M_0000_00000250224_000000000000001"/>
    <s v="VEH05"/>
    <s v="2025-02-01"/>
    <s v="CONT1;HFS2;B01;MC02;PR0302;ACPF6;SC0303;STAG1;SUBO2;DEFA2;FORB2;SSC4;PURP6;COLL4;TYVA01;FVAD3"/>
    <s v="51"/>
    <s v="REL01"/>
    <s v="SCOPE_1"/>
    <s v="CAAP4"/>
    <s v="SOUR2"/>
    <s v="DQS4"/>
    <n v="47587.96"/>
  </r>
  <r>
    <x v="802"/>
    <s v="M_0000_00000250238_000000000000001"/>
    <s v="VEH05"/>
    <s v="2025-01-15"/>
    <s v="CONT1;HFS2;B01;MC02;PR0302;ACPF6;SC0303;STAG2;POCI2;SUBO2;DEFA2;FORB2;SSC4;PURP6;COLL4;TYVA01;FVAD3"/>
    <s v="51"/>
    <s v="REL01"/>
    <s v="SCOPE_1"/>
    <s v="CAAP4"/>
    <s v="SOUR2"/>
    <s v="DQS4"/>
    <n v="48772.6"/>
  </r>
  <r>
    <x v="803"/>
    <s v="M_0000_00000250256_000000000000001"/>
    <s v="VEH05"/>
    <s v="2024-12-01"/>
    <s v="CONT1;HFS2;B01;MC02;PR0302;ACPF6;SC0303;STAG1;SUBO2;DEFA2;FORB2;SSC4;PURP6;COLL4;TYVA01;FVAD3"/>
    <s v="51"/>
    <s v="REL01"/>
    <s v="SCOPE_1"/>
    <s v="CAAP4"/>
    <s v="SOUR2"/>
    <s v="DQS4"/>
    <n v="44617.36"/>
  </r>
  <r>
    <x v="804"/>
    <s v="M_0000_00000250257_000000000000001"/>
    <s v="VEH05"/>
    <s v="2024-11-15"/>
    <s v="CONT1;HFS2;B01;MC02;PR0302;ACPF6;SC0303;STAG1;SUBO2;DEFA2;FORB2;SSC4;PURP6;COLL4;TYVA01;FVAD3"/>
    <s v="51"/>
    <s v="REL01"/>
    <s v="SCOPE_1"/>
    <s v="CAAP4"/>
    <s v="SOUR2"/>
    <s v="DQS4"/>
    <n v="44389.66"/>
  </r>
  <r>
    <x v="805"/>
    <s v="M_0000_00000250268_000000000000001"/>
    <s v="VEH05"/>
    <s v="2024-12-15"/>
    <s v="CONT1;HFS2;B01;MC02;PR0302;ACPF6;SC0303;STAG2;POCI2;SUBO2;DEFA2;FORB2;SSC4;PURP6;COLL4;TYVA01;FVAD3"/>
    <s v="51"/>
    <s v="REL01"/>
    <s v="SCOPE_1"/>
    <s v="CAAP4"/>
    <s v="SOUR2"/>
    <s v="DQS4"/>
    <n v="45305.86"/>
  </r>
  <r>
    <x v="806"/>
    <s v="M_0000_00000250318_000000000000001"/>
    <s v="VEH05"/>
    <s v="2025-01-01"/>
    <s v="CONT1;HFS2;B01;MC02;PR0302;ACPF6;SC0303;STAG2;POCI2;SUBO2;DEFA2;FORB2;SSC4;PURP6;COLL4;TYVA01;FVAD3"/>
    <s v="51"/>
    <s v="REL01"/>
    <s v="SCOPE_1"/>
    <s v="CAAP4"/>
    <s v="SOUR2"/>
    <s v="DQS4"/>
    <n v="37467.199999999997"/>
  </r>
  <r>
    <x v="807"/>
    <s v="M_0000_00000250324_000000000000001"/>
    <s v="VEH05"/>
    <s v="2025-01-15"/>
    <s v="CONT1;HFS2;B01;MC02;PR0302;ACPF6;SC0303;STAG1;SUBO2;DEFA2;FORB2;SSC4;PURP6;COLL4;TYVA01;FVAD3"/>
    <s v="51"/>
    <s v="REL01"/>
    <s v="SCOPE_1"/>
    <s v="CAAP4"/>
    <s v="SOUR2"/>
    <s v="DQS4"/>
    <n v="45884.33"/>
  </r>
  <r>
    <x v="808"/>
    <s v="M_0000_00000250327_000000000000001"/>
    <s v="VEH05"/>
    <s v="2024-12-15"/>
    <s v="CONT1;HFS2;B01;MC02;PR0302;ACPF6;SC0303;STAG2;POCI2;SUBO2;DEFA2;FORB2;SSC4;PURP6;COLL4;TYVA01;FVAD3"/>
    <s v="51"/>
    <s v="REL01"/>
    <s v="SCOPE_1"/>
    <s v="CAAP4"/>
    <s v="SOUR2"/>
    <s v="DQS4"/>
    <n v="47752.39"/>
  </r>
  <r>
    <x v="809"/>
    <s v="M_0000_00000250337_000000000000001"/>
    <s v="VEH05"/>
    <s v="2025-01-15"/>
    <s v="CONT1;HFS2;B01;MC02;PR0302;ACPF6;SC0303;STAG1;SUBO2;DEFA2;FORB2;SSC4;PURP6;COLL4;TYVA01;FVAD3"/>
    <s v="51"/>
    <s v="REL01"/>
    <s v="SCOPE_1"/>
    <s v="CAAP4"/>
    <s v="SOUR2"/>
    <s v="DQS4"/>
    <n v="48519.32"/>
  </r>
  <r>
    <x v="810"/>
    <s v="M_0000_00000250345_000000000000001"/>
    <s v="VEH05"/>
    <s v="2025-01-01"/>
    <s v="CONT1;HFS2;B01;MC02;PR0302;ACPF6;SC0303;STAG1;SUBO2;DEFA2;FORB2;SSC4;PURP6;COLL4;TYVA01;FVAD3"/>
    <s v="51"/>
    <s v="REL01"/>
    <s v="SCOPE_1"/>
    <s v="CAAP4"/>
    <s v="SOUR2"/>
    <s v="DQS4"/>
    <n v="45972.77"/>
  </r>
  <r>
    <x v="811"/>
    <s v="M_0000_00000250346_000000000000003"/>
    <s v="VEH05"/>
    <s v="2025-01-15"/>
    <s v="CONT1;HFS2;B01;MC02;PR0302;ACPF6;SC0303;STAG1;SUBO2;DEFA2;FORB2;SSC4;PURP6;COLL4;TYVA01;FVAD3"/>
    <s v="51"/>
    <s v="REL01"/>
    <s v="SCOPE_1"/>
    <s v="CAAP4"/>
    <s v="SOUR2"/>
    <s v="DQS4"/>
    <n v="45959.38"/>
  </r>
  <r>
    <x v="811"/>
    <s v="M_0000_00000250346_000000000000001"/>
    <s v="VEH05"/>
    <s v="2025-01-15"/>
    <s v="CONT1;HFS2;B01;MC02;PR0302;ACPF6;SC0303;STAG1;SUBO2;DEFA2;FORB2;SSC4;PURP6;COLL4;TYVA01;FVAD3"/>
    <s v="51"/>
    <s v="REL01"/>
    <s v="SCOPE_1"/>
    <s v="CAAP4"/>
    <s v="SOUR2"/>
    <s v="DQS4"/>
    <n v="45959.38"/>
  </r>
  <r>
    <x v="811"/>
    <s v="M_0000_00000250346_000000000000002"/>
    <s v="VEH05"/>
    <s v="2025-01-15"/>
    <s v="CONT1;HFS2;B01;MC02;PR0302;ACPF6;SC0303;STAG1;SUBO2;DEFA2;FORB2;SSC4;PURP6;COLL4;TYVA01;FVAD3"/>
    <s v="51"/>
    <s v="REL01"/>
    <s v="SCOPE_1"/>
    <s v="CAAP4"/>
    <s v="SOUR2"/>
    <s v="DQS4"/>
    <n v="45959.38"/>
  </r>
  <r>
    <x v="812"/>
    <s v="M_0000_00000250351_000000000000001"/>
    <s v="VEH03"/>
    <s v="2024-12-15"/>
    <s v="CONT1;HFS2;B01;MC02;PR0302;ACPF6;SC0303;STAG1;SUBO2;DEFA2;FORB2;SSC4;PURP6;COLL4;TYVA01;FVAD3"/>
    <s v="51"/>
    <s v="REL01"/>
    <s v="SCOPE_1"/>
    <s v="CAAP4"/>
    <s v="SOUR2"/>
    <s v="DQS4"/>
    <n v="47054.82"/>
  </r>
  <r>
    <x v="813"/>
    <s v="M_0000_00000250368_000000000000001"/>
    <s v="VEH04"/>
    <s v="2025-01-01"/>
    <s v="CONT1;HFS2;B01;MC02;PR0302;ACPF6;SC0303;STAG1;SUBO2;DEFA2;FORB2;SSC4;PURP6;COLL4;TYVA01;FVAD3"/>
    <s v="51"/>
    <s v="REL01"/>
    <s v="SCOPE_1"/>
    <s v="CAAP4"/>
    <s v="SOUR2"/>
    <s v="DQS4"/>
    <n v="1756.75"/>
  </r>
  <r>
    <x v="814"/>
    <s v="M_0000_00000250373_000000000000001"/>
    <s v="VEH04"/>
    <s v="2025-01-01"/>
    <s v="CONT1;HFS2;B01;MC02;PR0302;ACPF6;SC0303;STAG1;SUBO2;DEFA2;FORB2;SSC4;PURP6;COLL4;TYVA01;FVAD3"/>
    <s v="51"/>
    <s v="REL01"/>
    <s v="SCOPE_1"/>
    <s v="CAAP4"/>
    <s v="SOUR2"/>
    <s v="DQS4"/>
    <n v="1838.57"/>
  </r>
  <r>
    <x v="815"/>
    <s v="M_0000_00000250399_000000000000001"/>
    <s v="VEH01"/>
    <s v="2024-12-15"/>
    <s v="CONT1;HFS2;B01;MC02;PR0302;ACPF6;SC0303;STAG2;POCI2;SUBO2;DEFA2;FORB2;SSC4;PURP6;COLL4;TYVA01;FVAD3"/>
    <s v="51"/>
    <s v="REL01"/>
    <s v="SCOPE_1"/>
    <s v="CAAP4"/>
    <s v="SOUR2"/>
    <s v="DQS4"/>
    <n v="694.27"/>
  </r>
  <r>
    <x v="815"/>
    <s v="M_0000_00000250399_000000000000001"/>
    <s v="VEH01"/>
    <s v="2024-12-15"/>
    <s v="CONT1;HFS2;B01;MC02;PR0302;ACPF6;SC0303;STAG2;POCI2;SUBO2;DEFA2;FORB2;SSC4;PURP6;COLL4;TYVA01;FVAD3"/>
    <s v="51"/>
    <s v="REL01"/>
    <s v="SCOPE_2"/>
    <s v="CAAP4"/>
    <s v="SOUR2"/>
    <s v="DQS4"/>
    <n v="589.73"/>
  </r>
  <r>
    <x v="816"/>
    <s v="M_0000_00000250402_000000000000001"/>
    <s v="VEH04"/>
    <s v="2024-12-01"/>
    <s v="CONT1;HFS2;B01;MC02;PR0302;ACPF6;SC0303;STAG1;SUBO2;DEFA2;FORB2;SSC4;PURP6;COLL4;TYVA01;FVAD3"/>
    <s v="51"/>
    <s v="REL01"/>
    <s v="SCOPE_1"/>
    <s v="CAAP4"/>
    <s v="SOUR2"/>
    <s v="DQS4"/>
    <n v="1754.84"/>
  </r>
  <r>
    <x v="817"/>
    <s v="M_0000_00000250403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45182.76"/>
  </r>
  <r>
    <x v="818"/>
    <s v="M_0000_00000250410_000000000000001"/>
    <s v="VEH16"/>
    <s v="2024-12-15"/>
    <s v="CONT1;HFS2;B01;MC02;PR0302;ACPF6;SC0303;STAG1;SUBO2;DEFA2;FORB2;SSC3;PURP6;COLL4;TYVA01;FVAD3"/>
    <s v="51"/>
    <s v="REL01"/>
    <s v="SCOPE_1"/>
    <s v="CAAP4"/>
    <s v="SOUR2"/>
    <s v="DQS4"/>
    <n v="50525.18"/>
  </r>
  <r>
    <x v="819"/>
    <s v="M_0000_00000250422_000000000000001"/>
    <s v="VEH04"/>
    <s v="2025-01-01"/>
    <s v="CONT1;HFS2;B01;MC02;PR0302;ACPF6;SC0303;STAG1;SUBO2;DEFA2;FORB2;SSC4;PURP6;COLL4;TYVA01;FVAD3"/>
    <s v="51"/>
    <s v="REL01"/>
    <s v="SCOPE_1"/>
    <s v="CAAP4"/>
    <s v="SOUR2"/>
    <s v="DQS4"/>
    <n v="1756.75"/>
  </r>
  <r>
    <x v="820"/>
    <s v="M_0000_00000250440_000000000000001"/>
    <s v="VEH04"/>
    <s v="2025-01-01"/>
    <s v="CONT1;HFS2;B01;MC02;PR0302;ACPF6;SC0303;STAG1;SUBO2;DEFA2;FORB2;SSC4;PURP6;COLL4;TYVA01;FVAD3"/>
    <s v="51"/>
    <s v="REL01"/>
    <s v="SCOPE_1"/>
    <s v="CAAP4"/>
    <s v="SOUR2"/>
    <s v="DQS4"/>
    <n v="1756.75"/>
  </r>
  <r>
    <x v="821"/>
    <s v="M_0000_00000250450_000000000000001"/>
    <s v="VEH05"/>
    <s v="2025-01-15"/>
    <s v="CONT1;HFS2;B01;MC02;PR0302;ACPF6;SC0303;STAG1;SUBO2;DEFA2;FORB2;SSC4;PURP6;COLL4;TYVA01;FVAD3"/>
    <s v="51"/>
    <s v="REL01"/>
    <s v="SCOPE_1"/>
    <s v="CAAP4"/>
    <s v="SOUR2"/>
    <s v="DQS4"/>
    <n v="39372.03"/>
  </r>
  <r>
    <x v="822"/>
    <s v="M_0000_00000250475_000000000000001"/>
    <s v="VEH16"/>
    <s v="2025-01-01"/>
    <s v="CONT1;HFS2;B01;MC02;PR0302;ACPF6;SC0303;STAG1;SUBO2;DEFA2;FORB2;SSC4;PURP6;COLL4;TYVA01;FVAD3"/>
    <s v="51"/>
    <s v="REL01"/>
    <s v="SCOPE_1"/>
    <s v="CAAP4"/>
    <s v="SOUR2"/>
    <s v="DQS4"/>
    <n v="45972.76"/>
  </r>
  <r>
    <x v="823"/>
    <s v="M_0000_00000250477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49315.13"/>
  </r>
  <r>
    <x v="824"/>
    <s v="M_0000_00000250480_000000000000001"/>
    <s v="VEH04"/>
    <s v="2025-05-20"/>
    <s v="CONT1;HFS2;B01;MC02;PR0302;ACPF6;SC0303;STAG1;SUBO2;DEFA2;FORB2;SSC4;PURP6;COLL4;TYVA01;FVAD3"/>
    <s v="51"/>
    <s v="REL01"/>
    <s v="SCOPE_1"/>
    <s v="CAAP4"/>
    <s v="SOUR2"/>
    <s v="DQS4"/>
    <n v="1869.14"/>
  </r>
  <r>
    <x v="825"/>
    <s v="M_0000_00000250510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40364.18"/>
  </r>
  <r>
    <x v="826"/>
    <s v="M_0000_00000250536_000000000000001"/>
    <s v="VEH05"/>
    <s v="2024-12-15"/>
    <s v="CONT1;HFS2;B01;MC02;PR0302;ACPF6;SC0303;STAG2;POCI2;SUBO2;DEFA2;FORB2;SSC4;PURP6;COLL4;TYVA01;FVAD3"/>
    <s v="51"/>
    <s v="REL01"/>
    <s v="SCOPE_1"/>
    <s v="CAAP4"/>
    <s v="SOUR2"/>
    <s v="DQS4"/>
    <n v="37746.35"/>
  </r>
  <r>
    <x v="827"/>
    <s v="M_0000_00000250538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51267.72"/>
  </r>
  <r>
    <x v="828"/>
    <s v="M_0000_00000250539_000000000000001"/>
    <s v="VEH05"/>
    <s v="2025-01-01"/>
    <s v="CONT1;HFS2;B01;MC02;PR0302;ACPF6;SC0303;STAG2;POCI2;SUBO2;DEFA2;FORB2;SSC4;PURP6;COLL4;TYVA01;FVAD3"/>
    <s v="51"/>
    <s v="REL01"/>
    <s v="SCOPE_1"/>
    <s v="CAAP4"/>
    <s v="SOUR2"/>
    <s v="DQS4"/>
    <n v="45386.79"/>
  </r>
  <r>
    <x v="829"/>
    <s v="M_0000_00000250582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50058.15"/>
  </r>
  <r>
    <x v="830"/>
    <s v="M_0000_00000250622_000000000000001"/>
    <s v="VEH05"/>
    <s v="2025-02-01"/>
    <s v="CONT1;HFS2;B01;MC02;PR0302;ACPF6;SC0303;STAG1;SUBO2;DEFA2;FORB2;SSC4;PURP6;COLL4;TYVA01;FVAD3"/>
    <s v="51"/>
    <s v="REL01"/>
    <s v="SCOPE_1"/>
    <s v="CAAP4"/>
    <s v="SOUR2"/>
    <s v="DQS4"/>
    <n v="46259.97"/>
  </r>
  <r>
    <x v="831"/>
    <s v="M_0000_00000250623_000000000000001"/>
    <s v="VEH16"/>
    <s v="2025-02-01"/>
    <s v="CONT1;HFS2;B01;MC02;PR0302;ACPF6;SC0303;STAG1;SUBO2;DEFA2;FORB2;SSC4;PURP6;COLL4;TYVA01;FVAD3"/>
    <s v="51"/>
    <s v="REL01"/>
    <s v="SCOPE_1"/>
    <s v="CAAP4"/>
    <s v="SOUR2"/>
    <s v="DQS4"/>
    <n v="46260.01"/>
  </r>
  <r>
    <x v="832"/>
    <s v="M_0000_00000250662_000000000000001"/>
    <s v="VEH05"/>
    <s v="2025-04-01"/>
    <s v="CONT1;HFS2;B01;MC02;PR0302;ACPF6;SC0303;STAG1;SUBO2;DEFA2;FORB2;SSC4;PURP6;COLL4;TYVA01;FVAD3"/>
    <s v="51"/>
    <s v="REL01"/>
    <s v="SCOPE_1"/>
    <s v="CAAP4"/>
    <s v="SOUR2"/>
    <s v="DQS4"/>
    <n v="50988.57"/>
  </r>
  <r>
    <x v="833"/>
    <s v="M_0000_00000250666_000000000000001"/>
    <s v="VEH05"/>
    <s v="2024-12-15"/>
    <s v="CONT1;HFS2;B01;MC02;PR0302;ACPF6;SC0303;STAG1;SUBO2;DEFA2;FORB2;SSC4;PURP6;COLL4;TYVA01;FVAD3"/>
    <s v="51"/>
    <s v="REL01"/>
    <s v="SCOPE_1"/>
    <s v="CAAP4"/>
    <s v="SOUR2"/>
    <s v="DQS4"/>
    <n v="47866.67"/>
  </r>
  <r>
    <x v="834"/>
    <s v="M_0000_00000250677_000000000000001"/>
    <s v="VEH05"/>
    <s v="2025-02-15"/>
    <s v="CONT1;HFS2;B01;MC02;PR0302;ACPF6;SC0303;STAG1;SUBO2;DEFA2;FORB2;SSC4;PURP6;COLL4;TYVA01;FVAD3"/>
    <s v="51"/>
    <s v="REL01"/>
    <s v="SCOPE_1"/>
    <s v="CAAP4"/>
    <s v="SOUR2"/>
    <s v="DQS4"/>
    <n v="44370.47"/>
  </r>
  <r>
    <x v="835"/>
    <s v="M_0000_00000250726_000000000000001"/>
    <s v="VEH16"/>
    <s v="2025-02-01"/>
    <s v="CONT1;HFS2;B01;MC02;PR0302;ACPF6;SC0303;STAG1;SUBO2;DEFA2;FORB2;SSC3;PURP6;COLL4;TYVA01;FVAD3"/>
    <s v="51"/>
    <s v="REL01"/>
    <s v="SCOPE_1"/>
    <s v="CAAP4"/>
    <s v="SOUR2"/>
    <s v="DQS4"/>
    <n v="53167.95"/>
  </r>
  <r>
    <x v="836"/>
    <s v="M_0000_00000250728_000000000000002"/>
    <s v="VEH04"/>
    <s v="2025-02-15"/>
    <s v="CONT1;HFS2;B01;MC02;PR0302;ACPF6;SC0303;STAG1;SUBO2;DEFA2;FORB2;SSC4;PURP6;COLL4;TYVA01;FVAD3"/>
    <s v="51"/>
    <s v="REL01"/>
    <s v="SCOPE_2"/>
    <s v="CAAP4"/>
    <s v="SOUR2"/>
    <s v="DQS4"/>
    <n v="460.24"/>
  </r>
  <r>
    <x v="836"/>
    <s v="M_0000_00000250728_000000000000001"/>
    <s v="VEH04"/>
    <s v="2025-02-15"/>
    <s v="CONT1;HFS2;B01;MC02;PR0302;ACPF6;SC0303;STAG1;SUBO2;DEFA2;FORB2;SSC4;PURP6;COLL4;TYVA01;FVAD3"/>
    <s v="51"/>
    <s v="REL01"/>
    <s v="SCOPE_2"/>
    <s v="CAAP4"/>
    <s v="SOUR2"/>
    <s v="DQS4"/>
    <n v="460.24"/>
  </r>
  <r>
    <x v="837"/>
    <s v="M_0000_00000250735_000000000000001"/>
    <s v="VEH05"/>
    <s v="2025-03-01"/>
    <s v="CONT1;HFS2;B01;MC02;PR0302;ACPF6;SC0303;STAG2;POCI2;SUBO2;DEFA2;FORB2;SSC4;PURP6;COLL4;TYVA01;FVAD3"/>
    <s v="51"/>
    <s v="REL01"/>
    <s v="SCOPE_1"/>
    <s v="CAAP4"/>
    <s v="SOUR2"/>
    <s v="DQS4"/>
    <n v="49528.37"/>
  </r>
  <r>
    <x v="838"/>
    <s v="M_0000_00000250750_000000000000001"/>
    <s v="VEH05"/>
    <s v="2025-02-01"/>
    <s v="CONT1;HFS2;B01;MC02;PR0302;ACPF6;SC0303;STAG1;SUBO2;DEFA2;FORB2;SSC4;PURP6;COLL4;TYVA01;FVAD3"/>
    <s v="51"/>
    <s v="REL01"/>
    <s v="SCOPE_1"/>
    <s v="CAAP4"/>
    <s v="SOUR2"/>
    <s v="DQS4"/>
    <n v="45886.2"/>
  </r>
  <r>
    <x v="839"/>
    <s v="M_0000_00000250790_000000000000004"/>
    <s v="VEH16"/>
    <s v="2025-02-01"/>
    <s v="CONT1;HFS2;B01;MC02;PR0302;ACPF6;SC0303;STAG1;SUBO2;DEFA2;FORB2;SSC3;PURP6;COLL4;TYVA01;FVAD3"/>
    <s v="51"/>
    <s v="REL01"/>
    <s v="SCOPE_1"/>
    <s v="CAAP4"/>
    <s v="SOUR2"/>
    <s v="DQS4"/>
    <n v="53167.95"/>
  </r>
  <r>
    <x v="839"/>
    <s v="M_0000_00000250790_000000000000003"/>
    <s v="VEH16"/>
    <s v="2025-02-01"/>
    <s v="CONT1;HFS2;B01;MC02;PR0302;ACPF6;SC0303;STAG1;SUBO2;DEFA2;FORB2;SSC3;PURP6;COLL4;TYVA01;FVAD3"/>
    <s v="51"/>
    <s v="REL01"/>
    <s v="SCOPE_1"/>
    <s v="CAAP4"/>
    <s v="SOUR2"/>
    <s v="DQS4"/>
    <n v="53167.95"/>
  </r>
  <r>
    <x v="839"/>
    <s v="M_0000_00000250790_000000000000002"/>
    <s v="VEH16"/>
    <s v="2025-02-01"/>
    <s v="CONT1;HFS2;B01;MC02;PR0302;ACPF6;SC0303;STAG1;SUBO2;DEFA2;FORB2;SSC3;PURP6;COLL4;TYVA01;FVAD3"/>
    <s v="51"/>
    <s v="REL01"/>
    <s v="SCOPE_1"/>
    <s v="CAAP4"/>
    <s v="SOUR2"/>
    <s v="DQS4"/>
    <n v="53167.95"/>
  </r>
  <r>
    <x v="839"/>
    <s v="M_0000_00000250790_000000000000001"/>
    <s v="VEH16"/>
    <s v="2025-02-01"/>
    <s v="CONT1;HFS2;B01;MC02;PR0302;ACPF6;SC0303;STAG1;SUBO2;DEFA2;FORB2;SSC3;PURP6;COLL4;TYVA01;FVAD3"/>
    <s v="51"/>
    <s v="REL01"/>
    <s v="SCOPE_1"/>
    <s v="CAAP4"/>
    <s v="SOUR2"/>
    <s v="DQS4"/>
    <n v="53167.95"/>
  </r>
  <r>
    <x v="840"/>
    <s v="M_0000_00000250794_000000000000001"/>
    <s v="VEH05"/>
    <s v="2025-03-01"/>
    <s v="CONT1;HFS2;B01;MC02;PR0302;ACPF6;SC0303;STAG2;POCI2;SUBO2;DEFA2;FORB2;SSC4;PURP6;COLL4;TYVA01;FVAD3"/>
    <s v="51"/>
    <s v="REL01"/>
    <s v="SCOPE_1"/>
    <s v="CAAP4"/>
    <s v="SOUR2"/>
    <s v="DQS4"/>
    <n v="46971.21"/>
  </r>
  <r>
    <x v="841"/>
    <s v="M_0000_00000250809_000000000000001"/>
    <s v="VEH04"/>
    <s v="2025-02-15"/>
    <s v="CONT1;HFS2;B01;MC02;PR0302;ACPF6;SC0303;STAG2;POCI2;SUBO2;DEFA2;FORB2;SSC4;PURP6;COLL4;TYVA01;FVAD3"/>
    <s v="51"/>
    <s v="REL01"/>
    <s v="SCOPE_1"/>
    <s v="CAAP4"/>
    <s v="SOUR2"/>
    <s v="DQS4"/>
    <n v="1875.77"/>
  </r>
  <r>
    <x v="842"/>
    <s v="M_0000_00000250826_000000000000001"/>
    <s v="VEH05"/>
    <s v="2025-02-15"/>
    <s v="CONT1;HFS2;B01;MC02;PR0302;ACPF6;SC0303;STAG1;SUBO2;DEFA2;FORB2;SSC4;PURP6;COLL4;TYVA01;FVAD3"/>
    <s v="51"/>
    <s v="REL01"/>
    <s v="SCOPE_1"/>
    <s v="CAAP4"/>
    <s v="SOUR2"/>
    <s v="DQS4"/>
    <n v="44304.160000000003"/>
  </r>
  <r>
    <x v="843"/>
    <s v="M_0000_00000250840_000000000000001"/>
    <s v="VEH04"/>
    <s v="2025-01-15"/>
    <s v="CONT1;HFS2;B01;MC02;PR0302;ACPF6;SC0303;STAG1;SUBO2;DEFA2;FORB2;SSC4;PURP6;COLL4;TYVA01;FVAD3"/>
    <s v="51"/>
    <s v="REL01"/>
    <s v="SCOPE_1"/>
    <s v="CAAP4"/>
    <s v="SOUR2"/>
    <s v="DQS4"/>
    <n v="1855.37"/>
  </r>
  <r>
    <x v="844"/>
    <s v="M_0000_00000250891_000000000000001"/>
    <s v="VEH04"/>
    <s v="2025-02-01"/>
    <s v="CONT1;HFS2;B01;MC02;PR0302;ACPF6;SC0303;STAG1;SUBO2;DEFA2;FORB2;SSC4;PURP6;COLL4;TYVA01;FVAD3"/>
    <s v="51"/>
    <s v="REL01"/>
    <s v="SCOPE_1"/>
    <s v="CAAP4"/>
    <s v="SOUR2"/>
    <s v="DQS4"/>
    <n v="1887.59"/>
  </r>
  <r>
    <x v="845"/>
    <s v="M_0000_00000250934_000000000000001"/>
    <s v="VEH05"/>
    <s v="2025-03-15"/>
    <s v="CONT1;HFS2;B01;MC02;PR0302;ACPF6;SC0303;STAG1;SUBO2;DEFA2;FORB2;SSC4;PURP6;COLL4;TYVA01;FVAD3"/>
    <s v="51"/>
    <s v="REL01"/>
    <s v="SCOPE_1"/>
    <s v="CAAP4"/>
    <s v="SOUR2"/>
    <s v="DQS4"/>
    <n v="44940.63"/>
  </r>
  <r>
    <x v="846"/>
    <s v="M_0000_00000250980_000000000000001"/>
    <s v="VEH04"/>
    <s v="2025-03-15"/>
    <s v="CONT1;HFS2;B01;MC02;PR0302;ACPF6;SC0303;STAG1;SUBO2;DEFA2;FORB2;SSC4;PURP6;COLL4;TYVA01;FVAD3"/>
    <s v="51"/>
    <s v="REL01"/>
    <s v="SCOPE_1"/>
    <s v="CAAP4"/>
    <s v="SOUR2"/>
    <s v="DQS4"/>
    <n v="1820.14"/>
  </r>
  <r>
    <x v="847"/>
    <s v="M_0000_00000250998_000000000000001"/>
    <s v="VEH05"/>
    <s v="2025-03-15"/>
    <s v="CONT1;HFS2;B01;MC02;PR0302;ACPF6;SC0303;STAG2;POCI2;SUBO2;DEFA2;FORB2;SSC4;PURP6;COLL4;TYVA01;FVAD3"/>
    <s v="51"/>
    <s v="REL01"/>
    <s v="SCOPE_1"/>
    <s v="CAAP4"/>
    <s v="SOUR2"/>
    <s v="DQS4"/>
    <n v="46771.99"/>
  </r>
  <r>
    <x v="848"/>
    <s v="M_0000_00000251011_000000000000001"/>
    <s v="VEH04"/>
    <s v="2025-02-15"/>
    <s v="CONT1;HFS2;B01;MC02;PR0302;ACPF6;SC0303;STAG1;SUBO2;DEFA2;FORB2;SSC4;PURP6;COLL4;TYVA01;FVAD3"/>
    <s v="51"/>
    <s v="REL01"/>
    <s v="SCOPE_1"/>
    <s v="CAAP4"/>
    <s v="SOUR2"/>
    <s v="DQS4"/>
    <n v="1754"/>
  </r>
  <r>
    <x v="849"/>
    <s v="M_0000_00000251013_000000000000001"/>
    <s v="VEH05"/>
    <s v="2025-04-16"/>
    <s v="CONT1;HFS2;B01;MC02;PR0302;ACPF6;SC0303;STAG1;SUBO2;DEFA2;FORB2;SSC4;PURP6;COLL4;TYVA01;FVAD3"/>
    <s v="51"/>
    <s v="REL01"/>
    <s v="SCOPE_1"/>
    <s v="CAAP4"/>
    <s v="SOUR2"/>
    <s v="DQS4"/>
    <n v="54881.919999999998"/>
  </r>
  <r>
    <x v="850"/>
    <s v="M_0000_00000251015_000000000000001"/>
    <s v="VEH04"/>
    <s v="2025-03-01"/>
    <s v="CONT1;HFS2;B01;MC02;PR0302;ACPF6;SC0303;STAG1;SUBO2;DEFA2;FORB2;SSC4;PURP6;COLL4;TYVA01;FVAD3"/>
    <s v="51"/>
    <s v="REL01"/>
    <s v="SCOPE_1"/>
    <s v="CAAP4"/>
    <s v="SOUR2"/>
    <s v="DQS4"/>
    <n v="1147.03"/>
  </r>
  <r>
    <x v="851"/>
    <s v="M_0000_00000251019_000000000000001"/>
    <s v="VEH05"/>
    <s v="2025-04-16"/>
    <s v="CONT1;HFS2;B01;MC02;PR0302;ACPF6;SC0303;STAG1;SUBO2;DEFA2;FORB2;SSC4;PURP6;COLL4;TYVA01;FVAD3"/>
    <s v="51"/>
    <s v="REL01"/>
    <s v="SCOPE_1"/>
    <s v="CAAP4"/>
    <s v="SOUR2"/>
    <s v="DQS4"/>
    <n v="54881.919999999998"/>
  </r>
  <r>
    <x v="852"/>
    <s v="M_0000_00000251021_000000000000001"/>
    <s v="VEH05"/>
    <s v="2025-04-16"/>
    <s v="CONT1;HFS2;B01;MC02;PR0302;ACPF6;SC0303;STAG1;SUBO2;DEFA2;FORB2;SSC4;PURP6;COLL4;TYVA01;FVAD3"/>
    <s v="51"/>
    <s v="REL01"/>
    <s v="SCOPE_1"/>
    <s v="CAAP4"/>
    <s v="SOUR2"/>
    <s v="DQS4"/>
    <n v="54881.919999999998"/>
  </r>
  <r>
    <x v="853"/>
    <s v="M_0000_00000251022_000000000000001"/>
    <s v="VEH05"/>
    <s v="2025-04-16"/>
    <s v="CONT1;HFS2;B01;MC02;PR0302;ACPF6;SC0303;STAG1;SUBO2;DEFA2;FORB2;SSC4;PURP6;COLL4;TYVA01;FVAD3"/>
    <s v="51"/>
    <s v="REL01"/>
    <s v="SCOPE_1"/>
    <s v="CAAP4"/>
    <s v="SOUR2"/>
    <s v="DQS4"/>
    <n v="54881.919999999998"/>
  </r>
  <r>
    <x v="854"/>
    <s v="M_0000_00000251051_000000000000001"/>
    <s v="VEH05"/>
    <s v="2025-02-15"/>
    <s v="CONT1;HFS2;B01;MC02;PR0302;ACPF6;SC0303;STAG1;SUBO2;DEFA2;FORB2;SSC4;PURP6;COLL4;TYVA01;FVAD3"/>
    <s v="51"/>
    <s v="REL01"/>
    <s v="SCOPE_1"/>
    <s v="CAAP4"/>
    <s v="SOUR2"/>
    <s v="DQS4"/>
    <n v="51075.19"/>
  </r>
  <r>
    <x v="855"/>
    <s v="M_0000_00000251052_000000000000001"/>
    <s v="VEH05"/>
    <s v="2025-02-15"/>
    <s v="CONT1;HFS2;B01;MC02;PR0302;ACPF6;SC0303;STAG1;SUBO2;DEFA2;FORB2;SSC4;PURP6;COLL4;TYVA01;FVAD3"/>
    <s v="51"/>
    <s v="REL01"/>
    <s v="SCOPE_1"/>
    <s v="CAAP4"/>
    <s v="SOUR2"/>
    <s v="DQS4"/>
    <n v="51075.19"/>
  </r>
  <r>
    <x v="856"/>
    <s v="M_0000_00000251066_000000000000001"/>
    <s v="VEH05"/>
    <s v="2025-03-15"/>
    <s v="CONT1;HFS2;B01;MC02;PR0302;ACPF6;SC0303;STAG1;SUBO2;DEFA2;FORB2;SSC4;PURP6;COLL4;TYVA01;FVAD3"/>
    <s v="51"/>
    <s v="REL01"/>
    <s v="SCOPE_1"/>
    <s v="CAAP4"/>
    <s v="SOUR2"/>
    <s v="DQS4"/>
    <n v="47468.6"/>
  </r>
  <r>
    <x v="857"/>
    <s v="M_0000_00000251085_000000000000001"/>
    <s v="VEH05"/>
    <s v="2025-03-15"/>
    <s v="CONT1;HFS2;B01;MC02;PR0302;ACPF6;SC0303;STAG1;SUBO2;DEFA2;FORB2;SSC4;PURP6;COLL4;TYVA01;FVAD3"/>
    <s v="51"/>
    <s v="REL01"/>
    <s v="SCOPE_1"/>
    <s v="CAAP4"/>
    <s v="SOUR2"/>
    <s v="DQS4"/>
    <n v="50011.53"/>
  </r>
  <r>
    <x v="858"/>
    <s v="M_0000_00000251101_000000000000001"/>
    <s v="VEH05"/>
    <s v="2025-03-01"/>
    <s v="CONT1;HFS2;B01;MC02;PR0302;ACPF6;SC0303;STAG1;SUBO2;DEFA2;FORB2;SSC4;PURP6;COLL4;TYVA01;FVAD3"/>
    <s v="51"/>
    <s v="REL01"/>
    <s v="SCOPE_1"/>
    <s v="CAAP4"/>
    <s v="SOUR2"/>
    <s v="DQS4"/>
    <n v="48000.54"/>
  </r>
  <r>
    <x v="859"/>
    <s v="M_0000_00000251108_000000000000002"/>
    <s v="VEH04"/>
    <s v="2025-03-15"/>
    <s v="CONT1;HFS2;B01;MC02;PR0302;ACPF6;SC0303;STAG1;SUBO2;DEFA2;FORB2;SSC4;PURP6;COLL4;TYVA01;FVAD3"/>
    <s v="51"/>
    <s v="REL01"/>
    <s v="SCOPE_1"/>
    <s v="CAAP4"/>
    <s v="SOUR2"/>
    <s v="DQS4"/>
    <n v="1916.95"/>
  </r>
  <r>
    <x v="859"/>
    <s v="M_0000_00000251108_000000000000001"/>
    <s v="VEH04"/>
    <s v="2025-03-15"/>
    <s v="CONT1;HFS2;B01;MC02;PR0302;ACPF6;SC0303;STAG1;SUBO2;DEFA2;FORB2;SSC4;PURP6;COLL4;TYVA01;FVAD3"/>
    <s v="51"/>
    <s v="REL01"/>
    <s v="SCOPE_1"/>
    <s v="CAAP4"/>
    <s v="SOUR2"/>
    <s v="DQS4"/>
    <n v="1916.95"/>
  </r>
  <r>
    <x v="859"/>
    <s v="M_0000_00000251108_000000000000003"/>
    <s v="VEH04"/>
    <s v="2025-03-15"/>
    <s v="CONT1;HFS2;B01;MC02;PR0302;ACPF6;SC0303;STAG1;SUBO2;DEFA2;FORB2;SSC4;PURP6;COLL4;TYVA01;FVAD3"/>
    <s v="51"/>
    <s v="REL01"/>
    <s v="SCOPE_1"/>
    <s v="CAAP4"/>
    <s v="SOUR2"/>
    <s v="DQS4"/>
    <n v="1916.95"/>
  </r>
  <r>
    <x v="860"/>
    <s v="M_0000_00000251193_000000000000001"/>
    <s v="VEH04"/>
    <s v="2025-03-15"/>
    <s v="CONT1;HFS2;B01;MC02;PR0302;ACPF6;SC0303;STAG1;SUBO2;DEFA2;FORB2;SSC4;PURP6;COLL4;TYVA01;FVAD3"/>
    <s v="51"/>
    <s v="REL01"/>
    <s v="SCOPE_1"/>
    <s v="CAAP4"/>
    <s v="SOUR2"/>
    <s v="DQS4"/>
    <n v="1769.21"/>
  </r>
  <r>
    <x v="861"/>
    <s v="M_0000_00000251203_000000000000001"/>
    <s v="VEH04"/>
    <s v="2025-03-15"/>
    <s v="CONT1;HFS2;B01;MC02;PR0302;ACPF6;SC0303;STAG1;SUBO2;DEFA2;FORB2;SSC4;PURP6;COLL4;TYVA01;FVAD3"/>
    <s v="51"/>
    <s v="REL01"/>
    <s v="SCOPE_1"/>
    <s v="CAAP4"/>
    <s v="SOUR2"/>
    <s v="DQS4"/>
    <n v="1981.39"/>
  </r>
  <r>
    <x v="862"/>
    <s v="M_0000_00000251214_000000000000002"/>
    <s v="VEH16"/>
    <s v="2025-05-30"/>
    <s v="CONT1;HFS2;B01;MC02;PR0302;ACPF6;SC0303;STAG1;SUBO2;DEFA2;FORB2;SSC4;PURP6;COLL4;TYVA01;FVAD3"/>
    <s v="51"/>
    <s v="REL01"/>
    <s v="SCOPE_1"/>
    <s v="CAAP4"/>
    <s v="SOUR2"/>
    <s v="DQS4"/>
    <n v="52820.71"/>
  </r>
  <r>
    <x v="862"/>
    <s v="M_0000_00000251214_000000000000001"/>
    <s v="VEH05"/>
    <s v="2025-05-30"/>
    <s v="CONT1;HFS2;B01;MC02;PR0302;ACPF6;SC0303;STAG1;SUBO2;DEFA2;FORB2;SSC4;PURP6;COLL4;TYVA01;FVAD3"/>
    <s v="51"/>
    <s v="REL01"/>
    <s v="SCOPE_1"/>
    <s v="CAAP4"/>
    <s v="SOUR2"/>
    <s v="DQS4"/>
    <n v="52820.71"/>
  </r>
  <r>
    <x v="862"/>
    <s v="M_0000_00000251214_000000000000001"/>
    <s v="VEH05"/>
    <s v="2025-05-30"/>
    <s v="CONT1;HFS2;B01;MC02;PR0302;ACPF6;SC0303;STAG1;SUBO2;DEFA2;FORB2;SSC4;PURP6;COLL4;TYVA01;FVAD3"/>
    <s v="51"/>
    <s v="REL01"/>
    <s v="SCOPE_1"/>
    <s v="CAAP4"/>
    <s v="SOUR2"/>
    <s v="DQS4"/>
    <n v="52820.7"/>
  </r>
  <r>
    <x v="862"/>
    <s v="M_0000_00000251214_000000000000002"/>
    <s v="VEH16"/>
    <s v="2025-05-30"/>
    <s v="CONT1;HFS2;B01;MC02;PR0302;ACPF6;SC0303;STAG1;SUBO2;DEFA2;FORB2;SSC4;PURP6;COLL4;TYVA01;FVAD3"/>
    <s v="51"/>
    <s v="REL01"/>
    <s v="SCOPE_1"/>
    <s v="CAAP4"/>
    <s v="SOUR2"/>
    <s v="DQS4"/>
    <n v="52820.7"/>
  </r>
  <r>
    <x v="863"/>
    <s v="M_0000_00000251248_000000000000001"/>
    <s v="VEH01"/>
    <s v="2025-04-01"/>
    <s v="CONT1;HFS2;B01;MC02;PR0302;ACPF6;SC0303;STAG1;SUBO2;DEFA2;FORB2;SSC4;PURP6;COLL4;TYVA01;FVAD3"/>
    <s v="51"/>
    <s v="REL01"/>
    <s v="SCOPE_2"/>
    <s v="CAAP4"/>
    <s v="SOUR2"/>
    <s v="DQS4"/>
    <n v="745.9"/>
  </r>
  <r>
    <x v="864"/>
    <s v="M_0000_00000251262_000000000000001"/>
    <s v="VEH05"/>
    <s v="2025-04-01"/>
    <s v="CONT1;HFS2;B01;MC02;PR0302;ACPF6;SC0303;STAG1;SUBO2;DEFA2;FORB2;SSC4;PURP6;COLL4;TYVA01;FVAD3"/>
    <s v="51"/>
    <s v="REL01"/>
    <s v="SCOPE_1"/>
    <s v="CAAP4"/>
    <s v="SOUR2"/>
    <s v="DQS4"/>
    <n v="46297.42"/>
  </r>
  <r>
    <x v="865"/>
    <s v="M_0000_00000251280_000000000000001"/>
    <s v="VEH05"/>
    <s v="2025-05-07"/>
    <s v="CONT1;HFS2;B01;MC02;PR0302;ACPF6;SC0303;STAG1;SUBO2;DEFA2;FORB2;SSC4;PURP6;COLL4;TYVA01;FVAD3"/>
    <s v="51"/>
    <s v="REL01"/>
    <s v="SCOPE_1"/>
    <s v="CAAP4"/>
    <s v="SOUR2"/>
    <s v="DQS4"/>
    <n v="38243.949999999997"/>
  </r>
  <r>
    <x v="866"/>
    <s v="M_0000_00000251319_000000000000001"/>
    <s v="VEH05"/>
    <s v="2025-04-30"/>
    <s v="CONT1;HFS2;B01;MC02;PR0302;ACPF6;SC0303;STAG1;SUBO2;DEFA2;FORB2;SSC4;PURP6;COLL4;TYVA01;FVAD3"/>
    <s v="51"/>
    <s v="REL01"/>
    <s v="SCOPE_1"/>
    <s v="CAAP4"/>
    <s v="SOUR2"/>
    <s v="DQS4"/>
    <n v="43816.4"/>
  </r>
  <r>
    <x v="867"/>
    <s v="M_0000_00000251350_000000000000001"/>
    <s v="VEH04"/>
    <s v="2025-04-22"/>
    <s v="CONT1;HFS2;B01;MC02;PR0302;ACPF6;SC0303;STAG1;SUBO2;DEFA2;FORB2;SSC4;PURP6;COLL4;TYVA01;FVAD3"/>
    <s v="51"/>
    <s v="REL01"/>
    <s v="SCOPE_1"/>
    <s v="CAAP4"/>
    <s v="SOUR2"/>
    <s v="DQS4"/>
    <n v="1756.15"/>
  </r>
  <r>
    <x v="868"/>
    <s v="M_0000_00000251354_000000000000001"/>
    <s v="VEH05"/>
    <s v="2025-05-19"/>
    <s v="CONT1;HFS2;B01;MC02;PR0302;ACPF6;SC0303;STAG1;SUBO2;DEFA2;FORB2;SSC4;PURP6;COLL4;TYVA01;FVAD3"/>
    <s v="51"/>
    <s v="REL01"/>
    <s v="SCOPE_1"/>
    <s v="CAAP4"/>
    <s v="SOUR2"/>
    <s v="DQS4"/>
    <n v="41925.01"/>
  </r>
  <r>
    <x v="869"/>
    <s v="M_0000_00000251356_000000000000001"/>
    <s v="VEH05"/>
    <s v="2025-05-19"/>
    <s v="CONT1;HFS2;B01;MC02;PR0302;ACPF6;SC0303;STAG1;SUBO2;DEFA2;FORB2;SSC4;PURP6;COLL4;TYVA01;FVAD3"/>
    <s v="51"/>
    <s v="REL01"/>
    <s v="SCOPE_1"/>
    <s v="CAAP4"/>
    <s v="SOUR2"/>
    <s v="DQS4"/>
    <n v="47342.11"/>
  </r>
  <r>
    <x v="870"/>
    <s v="M_0000_00000251378_000000000000002"/>
    <s v="VEH16"/>
    <s v="2025-05-13"/>
    <s v="CONT1;HFS2;B01;MC02;PR0302;ACPF6;SC0303;STAG1;SUBO2;DEFA2;FORB2;SSC3;PURP6;COLL4;TYVA01;FVAD3"/>
    <s v="51"/>
    <s v="REL01"/>
    <s v="SCOPE_1"/>
    <s v="CAAP4"/>
    <s v="SOUR2"/>
    <s v="DQS4"/>
    <n v="55437.87"/>
  </r>
  <r>
    <x v="870"/>
    <s v="M_0000_00000251378_000000000000004"/>
    <s v="VEH16"/>
    <s v="2025-05-13"/>
    <s v="CONT1;HFS2;B01;MC02;PR0302;ACPF6;SC0303;STAG1;SUBO2;DEFA2;FORB2;SSC3;PURP6;COLL4;TYVA01;FVAD3"/>
    <s v="51"/>
    <s v="REL01"/>
    <s v="SCOPE_1"/>
    <s v="CAAP4"/>
    <s v="SOUR2"/>
    <s v="DQS4"/>
    <n v="55437.87"/>
  </r>
  <r>
    <x v="870"/>
    <s v="M_0000_00000251378_000000000000001"/>
    <s v="VEH16"/>
    <s v="2025-05-13"/>
    <s v="CONT1;HFS2;B01;MC02;PR0302;ACPF6;SC0303;STAG1;SUBO2;DEFA2;FORB2;SSC3;PURP6;COLL4;TYVA01;FVAD3"/>
    <s v="51"/>
    <s v="REL01"/>
    <s v="SCOPE_1"/>
    <s v="CAAP4"/>
    <s v="SOUR2"/>
    <s v="DQS4"/>
    <n v="55437.87"/>
  </r>
  <r>
    <x v="870"/>
    <s v="M_0000_00000251378_000000000000003"/>
    <s v="VEH16"/>
    <s v="2025-05-13"/>
    <s v="CONT1;HFS2;B01;MC02;PR0302;ACPF6;SC0303;STAG1;SUBO2;DEFA2;FORB2;SSC3;PURP6;COLL4;TYVA01;FVAD3"/>
    <s v="51"/>
    <s v="REL01"/>
    <s v="SCOPE_1"/>
    <s v="CAAP4"/>
    <s v="SOUR2"/>
    <s v="DQS4"/>
    <n v="55437.87"/>
  </r>
  <r>
    <x v="871"/>
    <s v="M_0000_00000251386_000000000000001"/>
    <s v="VEH04"/>
    <s v="2025-06-25"/>
    <s v="CONT1;HFS2;B01;MC02;PR0302;ACPF6;SC0303;STAG1;SUBO2;DEFA2;FORB2;SSC4;PURP6;COLL4;TYVA01;FVAD3"/>
    <s v="51"/>
    <s v="REL01"/>
    <s v="SCOPE_1"/>
    <s v="CAAP4"/>
    <s v="SOUR2"/>
    <s v="DQS4"/>
    <n v="1750.94"/>
  </r>
  <r>
    <x v="872"/>
    <s v="M_0000_00000251388_000000000000002"/>
    <s v="VEH16"/>
    <s v="2025-06-18"/>
    <s v="CONT1;HFS2;B01;MC02;PR0302;ACPF6;SC0303;STAG1;SUBO2;DEFA2;FORB2;SSC4;PURP6;COLL4;TYVA01;FVAD3"/>
    <s v="51"/>
    <s v="REL01"/>
    <s v="SCOPE_1"/>
    <s v="CAAP4"/>
    <s v="SOUR2"/>
    <s v="DQS4"/>
    <n v="52500.73"/>
  </r>
  <r>
    <x v="872"/>
    <s v="M_0000_00000251388_000000000000001"/>
    <s v="VEH16"/>
    <s v="2025-06-18"/>
    <s v="CONT1;HFS2;B01;MC02;PR0302;ACPF6;SC0303;STAG1;SUBO2;DEFA2;FORB2;SSC4;PURP6;COLL4;TYVA01;FVAD3"/>
    <s v="51"/>
    <s v="REL01"/>
    <s v="SCOPE_1"/>
    <s v="CAAP4"/>
    <s v="SOUR2"/>
    <s v="DQS4"/>
    <n v="52500.73"/>
  </r>
  <r>
    <x v="873"/>
    <s v="M_0000_00000251390_000000000000001"/>
    <s v="VEH01"/>
    <s v="2025-04-01"/>
    <s v="CONT1;HFS2;B01;MC02;PR0302;ACPF6;SC0303;STAG1;SUBO2;DEFA2;FORB2;SSC4;PURP6;COLL4;TYVA01;FVAD3"/>
    <s v="51"/>
    <s v="REL01"/>
    <s v="SCOPE_2"/>
    <s v="CAAP4"/>
    <s v="SOUR2"/>
    <s v="DQS4"/>
    <n v="677.24"/>
  </r>
  <r>
    <x v="874"/>
    <s v="M_0000_00000251400_000000000000001"/>
    <s v="VEH05"/>
    <s v="2025-04-29"/>
    <s v="CONT1;HFS2;B01;MC02;PR0302;ACPF6;SC0303;STAG1;SUBO2;DEFA2;FORB2;SSC4;PURP6;COLL4;TYVA01;FVAD3"/>
    <s v="51"/>
    <s v="REL01"/>
    <s v="SCOPE_1"/>
    <s v="CAAP4"/>
    <s v="SOUR2"/>
    <s v="DQS4"/>
    <n v="50877.04"/>
  </r>
  <r>
    <x v="875"/>
    <s v="M_0000_00000251410_000000000000001"/>
    <s v="VEH05"/>
    <s v="2025-04-30"/>
    <s v="CONT1;HFS2;B01;MC02;PR0302;ACPF6;SC0303;STAG1;SUBO2;DEFA2;FORB2;SSC4;PURP6;COLL4;TYVA01;FVAD3"/>
    <s v="51"/>
    <s v="REL01"/>
    <s v="SCOPE_1"/>
    <s v="CAAP4"/>
    <s v="SOUR2"/>
    <s v="DQS4"/>
    <n v="49345.4"/>
  </r>
  <r>
    <x v="876"/>
    <s v="M_0000_00000251448_000000000000001"/>
    <s v="VEH04"/>
    <s v="2025-05-14"/>
    <s v="CONT1;HFS2;B01;MC02;PR0302;ACPF6;SC0303;STAG1;SUBO2;DEFA2;FORB2;SSC4;PURP6;COLL4;TYVA01;FVAD3"/>
    <s v="51"/>
    <s v="REL01"/>
    <s v="SCOPE_1"/>
    <s v="CAAP4"/>
    <s v="SOUR2"/>
    <s v="DQS4"/>
    <n v="1570.62"/>
  </r>
  <r>
    <x v="877"/>
    <s v="M_0000_00000251508_000000000000001"/>
    <s v="VEH05"/>
    <s v="2025-05-16"/>
    <s v="CONT1;HFS2;B01;MC02;PR0302;ACPF6;SC0303;STAG1;SUBO2;DEFA2;FORB2;SSC4;PURP6;COLL4;TYVA01;FVAD3"/>
    <s v="51"/>
    <s v="REL01"/>
    <s v="SCOPE_1"/>
    <s v="CAAP4"/>
    <s v="SOUR2"/>
    <s v="DQS4"/>
    <n v="49082.17"/>
  </r>
  <r>
    <x v="878"/>
    <s v="M_0000_00000251522_000000000000001"/>
    <s v="VEH05"/>
    <s v="2025-05-27"/>
    <s v="CONT1;HFS2;B01;MC02;PR0302;ACPF6;SC0303;STAG1;SUBO2;DEFA2;FORB2;SSC4;PURP6;COLL4;TYVA01;FVAD3"/>
    <s v="51"/>
    <s v="REL01"/>
    <s v="SCOPE_1"/>
    <s v="CAAP4"/>
    <s v="SOUR2"/>
    <s v="DQS4"/>
    <n v="38391.769999999997"/>
  </r>
  <r>
    <x v="879"/>
    <s v="M_0000_00000251561_000000000000001"/>
    <s v="VEH05"/>
    <s v="2025-05-30"/>
    <s v="CONT1;HFS2;B01;MC02;PR0302;ACPF6;SC0303;STAG1;SUBO2;DEFA2;FORB2;SSC4;PURP6;COLL4;TYVA01;FVAD3"/>
    <s v="51"/>
    <s v="REL01"/>
    <s v="SCOPE_1"/>
    <s v="CAAP4"/>
    <s v="SOUR2"/>
    <s v="DQS4"/>
    <n v="46789.56"/>
  </r>
  <r>
    <x v="880"/>
    <s v="M_0000_00000251573_000000000000001"/>
    <s v="VEH05"/>
    <s v="2025-05-29"/>
    <s v="CONT1;HFS2;B01;MC02;PR0302;ACPF6;SC0303;STAG1;SUBO2;DEFA2;FORB2;SSC4;PURP6;COLL4;TYVA01;FVAD3"/>
    <s v="51"/>
    <s v="REL01"/>
    <s v="SCOPE_1"/>
    <s v="CAAP4"/>
    <s v="SOUR2"/>
    <s v="DQS4"/>
    <n v="48738.05"/>
  </r>
  <r>
    <x v="881"/>
    <s v="M_0000_00000251583_000000000000001"/>
    <s v="VEH01"/>
    <s v="2025-05-20"/>
    <s v="CONT1;HFS2;B01;MC02;PR0302;ACPF6;SC0303;STAG1;SUBO2;DEFA2;FORB2;SSC4;PURP6;COLL4;TYVA01;FVAD3"/>
    <s v="51"/>
    <s v="REL01"/>
    <s v="SCOPE_1"/>
    <s v="CAAP4"/>
    <s v="SOUR2"/>
    <s v="DQS4"/>
    <n v="2147.81"/>
  </r>
  <r>
    <x v="882"/>
    <s v="M_0000_00000251585_000000000000001"/>
    <s v="VEH01"/>
    <s v="2025-06-03"/>
    <s v="CONT1;HFS2;B01;MC02;PR0302;ACPF6;SC0303;STAG1;SUBO2;DEFA2;FORB2;SSC4;PURP6;COLL4;TYVA01;FVAD3"/>
    <s v="51"/>
    <s v="REL01"/>
    <s v="SCOPE_1"/>
    <s v="CAAP4"/>
    <s v="SOUR2"/>
    <s v="DQS4"/>
    <n v="878.34"/>
  </r>
  <r>
    <x v="882"/>
    <s v="M_0000_00000251585_000000000000001"/>
    <s v="VEH01"/>
    <s v="2025-06-03"/>
    <s v="CONT1;HFS2;B01;MC02;PR0302;ACPF6;SC0303;STAG1;SUBO2;DEFA2;FORB2;SSC4;PURP6;COLL4;TYVA01;FVAD3"/>
    <s v="51"/>
    <s v="REL01"/>
    <s v="SCOPE_2"/>
    <s v="CAAP4"/>
    <s v="SOUR2"/>
    <s v="DQS4"/>
    <n v="746.09"/>
  </r>
  <r>
    <x v="883"/>
    <s v="M_0000_00000251596_000000000000001"/>
    <s v="VEH04"/>
    <s v="2025-06-11"/>
    <s v="CONT1;HFS2;B01;MC02;PR0302;ACPF6;SC0303;STAG1;SUBO2;DEFA2;FORB2;SSC4;PURP6;COLL4;TYVA01;FVAD3"/>
    <s v="51"/>
    <s v="REL01"/>
    <s v="SCOPE_2"/>
    <s v="CAAP4"/>
    <s v="SOUR2"/>
    <s v="DQS4"/>
    <n v="498.96"/>
  </r>
  <r>
    <x v="884"/>
    <s v="M_0000_00000251597_000000000000001"/>
    <s v="VEH04"/>
    <s v="2025-06-11"/>
    <s v="CONT1;HFS2;B01;MC02;PR0302;ACPF6;SC0303;STAG1;SUBO2;DEFA2;FORB2;SSC4;PURP6;COLL4;TYVA01;FVAD3"/>
    <s v="51"/>
    <s v="REL01"/>
    <s v="SCOPE_2"/>
    <s v="CAAP4"/>
    <s v="SOUR2"/>
    <s v="DQS4"/>
    <n v="498.96"/>
  </r>
  <r>
    <x v="885"/>
    <s v="M_0000_00000251598_000000000000001"/>
    <s v="VEH04"/>
    <s v="2025-06-11"/>
    <s v="CONT1;HFS2;B01;MC02;PR0302;ACPF6;SC0303;STAG1;SUBO2;DEFA2;FORB2;SSC4;PURP6;COLL4;TYVA01;FVAD3"/>
    <s v="51"/>
    <s v="REL01"/>
    <s v="SCOPE_2"/>
    <s v="CAAP4"/>
    <s v="SOUR2"/>
    <s v="DQS4"/>
    <n v="498.96"/>
  </r>
  <r>
    <x v="886"/>
    <s v="M_0000_00000251599_000000000000001"/>
    <s v="VEH04"/>
    <s v="2025-06-09"/>
    <s v="CONT1;HFS2;B01;MC02;PR0302;ACPF6;SC0303;STAG1;SUBO2;DEFA2;FORB2;SSC4;PURP6;COLL4;TYVA01;FVAD3"/>
    <s v="51"/>
    <s v="REL01"/>
    <s v="SCOPE_2"/>
    <s v="CAAP4"/>
    <s v="SOUR2"/>
    <s v="DQS4"/>
    <n v="499.06"/>
  </r>
  <r>
    <x v="887"/>
    <s v="M_0000_00000251600_000000000000001"/>
    <s v="VEH04"/>
    <s v="2025-06-09"/>
    <s v="CONT1;HFS2;B01;MC02;PR0302;ACPF6;SC0303;STAG1;SUBO2;DEFA2;FORB2;SSC4;PURP6;COLL4;TYVA01;FVAD3"/>
    <s v="51"/>
    <s v="REL01"/>
    <s v="SCOPE_2"/>
    <s v="CAAP4"/>
    <s v="SOUR2"/>
    <s v="DQS4"/>
    <n v="499.06"/>
  </r>
  <r>
    <x v="888"/>
    <s v="M_0000_00000251647_000000000000001"/>
    <s v="VEH05"/>
    <s v="2025-06-17"/>
    <s v="CONT1;HFS2;B01;MC02;PR0302;ACPF6;SC0303;STAG1;SUBO2;DEFA2;FORB2;SSC4;PURP6;COLL4;TYVA01;FVAD3"/>
    <s v="51"/>
    <s v="REL01"/>
    <s v="SCOPE_1"/>
    <s v="CAAP4"/>
    <s v="SOUR2"/>
    <s v="DQS4"/>
    <n v="52497.27"/>
  </r>
  <r>
    <x v="889"/>
    <s v="M_0000_00000251679_000000000000001"/>
    <s v="VEH01"/>
    <s v="2025-06-03"/>
    <s v="CONT1;HFS2;B01;MC02;PR0302;ACPF6;SC0303;STAG1;SUBO2;DEFA2;FORB2;SSC4;PURP6;COLL4;TYVA01;FVAD3"/>
    <s v="51"/>
    <s v="REL01"/>
    <s v="SCOPE_2"/>
    <s v="CAAP4"/>
    <s v="SOUR2"/>
    <s v="DQS4"/>
    <n v="626.5"/>
  </r>
  <r>
    <x v="890"/>
    <s v="M_0000_00000251718_000000000000001"/>
    <s v="VEH16"/>
    <s v="2025-06-05"/>
    <s v="CONT1;HFS2;B01;MC02;PR0302;ACPF6;SC0303;STAG1;SUBO2;DEFA2;FORB2;SSC4;PURP6;COLL4;TYVA01;FVAD3"/>
    <s v="51"/>
    <s v="REL01"/>
    <s v="SCOPE_1"/>
    <s v="CAAP4"/>
    <s v="SOUR2"/>
    <s v="DQS4"/>
    <n v="52546.76"/>
  </r>
  <r>
    <x v="891"/>
    <s v="M_0000_00000251773_000000000000001"/>
    <s v="VEH01"/>
    <s v="2025-06-09"/>
    <s v="CONT1;HFS2;B01;MC02;PR0302;ACPF6;SC0303;STAG1;SUBO2;DEFA2;FORB2;SSC4;PURP6;COLL4;TYVA01;FVAD3"/>
    <s v="51"/>
    <s v="REL01"/>
    <s v="SCOPE_2"/>
    <s v="CAAP4"/>
    <s v="SOUR2"/>
    <s v="DQS4"/>
    <n v="743.73"/>
  </r>
  <r>
    <x v="892"/>
    <s v="M_0000_00000251883_000000000000001"/>
    <s v="VEH05"/>
    <s v="2025-06-26"/>
    <s v="CONT1;HFS2;B01;MC02;PR0302;ACPF6;SC0303;STAG1;SUBO2;DEFA2;FORB2;SSC4;PURP6;COLL4;TYVA01;FVAD3"/>
    <s v="51"/>
    <s v="REL01"/>
    <s v="SCOPE_1"/>
    <s v="CAAP4"/>
    <s v="SOUR2"/>
    <s v="DQS4"/>
    <n v="57150.64"/>
  </r>
  <r>
    <x v="893"/>
    <s v="M_0000_00000251948_000000000000001"/>
    <s v="VEH05"/>
    <s v="2025-06-25"/>
    <s v="CONT1;HFS2;B01;MC02;PR0302;ACPF6;SC0303;STAG1;SUBO2;DEFA2;FORB2;SSC4;PURP6;COLL4;TYVA01;FVAD3"/>
    <s v="51"/>
    <s v="REL01"/>
    <s v="SCOPE_1"/>
    <s v="CAAP4"/>
    <s v="SOUR2"/>
    <s v="DQS4"/>
    <n v="30944.71"/>
  </r>
  <r>
    <x v="894"/>
    <s v="M_0000_00005103485_000000000000001"/>
    <s v="VEH01"/>
    <s v="2019-11-01"/>
    <s v="CONT1;HFS2;B01;MC02;PR0302;ACPF6;SC0303;STAG1;SUBO2;DEFA2;FORB2;SSC4;PURP6;COLL4;TYVA01;FVAD3"/>
    <s v="51"/>
    <s v="REL01"/>
    <s v="SCOPE_1"/>
    <s v="CAAP4"/>
    <s v="SOUR2"/>
    <s v="DQS4"/>
    <n v="515.77"/>
  </r>
  <r>
    <x v="895"/>
    <s v="M_0000_00005105881_000000000000001"/>
    <s v="VEH01"/>
    <s v="2020-09-15"/>
    <s v="CONT1;HFS2;B01;MC02;PR0302;ACPF6;SC0303;STAG1;SUBO2;DEFA2;FORB2;SSC4;PURP6;COLL4;TYVA01;FVAD3"/>
    <s v="51"/>
    <s v="REL01"/>
    <s v="SCOPE_1"/>
    <s v="CAAP4"/>
    <s v="SOUR2"/>
    <s v="DQS4"/>
    <n v="478.09"/>
  </r>
  <r>
    <x v="896"/>
    <s v="M_0000_00005108833_000000000000001"/>
    <s v="VEH19"/>
    <s v="2021-11-01"/>
    <s v="CONT1;HFS2;B01;MC02;PR0302;ACPF6;SC0303;STAG1;SUBO2;DEFA2;FORB2;SSC4;PURP6;COLL4;TYVA01;FVAD3"/>
    <s v="51"/>
    <s v="REL01"/>
    <s v="SCOPE_2"/>
    <s v="CAAP4"/>
    <s v="SOUR2"/>
    <s v="DQS4"/>
    <n v="332.05"/>
  </r>
  <r>
    <x v="897"/>
    <s v="M_0000_00005109053_000000000000001"/>
    <s v="VEH01"/>
    <s v="2021-12-15"/>
    <s v="CONT1;HFS2;B01;MC02;PR0302;ACPF6;SC0303;STAG1;SUBO2;DEFA2;FORB2;SSC4;PURP6;COLL4;TYVA01;FVAD3"/>
    <s v="51"/>
    <s v="REL01"/>
    <s v="SCOPE_2"/>
    <s v="CAAP4"/>
    <s v="SOUR2"/>
    <s v="DQS4"/>
    <n v="273.88"/>
  </r>
  <r>
    <x v="898"/>
    <s v="M_0000_00005110494_000000000000001"/>
    <s v="VEH04"/>
    <s v="2022-06-15"/>
    <s v="CONT1;HFS2;B01;MC02;PR0302;ACPF6;SC0303;STAG2;POCI2;SUBO2;DEFA2;FORB2;SSC4;PURP6;COLL4;TYVA01;FVAD3"/>
    <s v="51"/>
    <s v="REL01"/>
    <s v="SCOPE_1"/>
    <s v="CAAP4"/>
    <s v="SOUR2"/>
    <s v="DQS4"/>
    <n v="493.53"/>
  </r>
  <r>
    <x v="899"/>
    <s v="M_0000_00005111681_000000000000001"/>
    <s v="VEH04"/>
    <s v="2022-11-15"/>
    <s v="CONT1;HFS2;B01;MC02;PR0302;ACPF6;SC0303;STAG2;POCI2;SUBO2;DEFA2;FORB2;SSC4;PURP6;COLL4;TYVA01;FVAD3"/>
    <s v="51"/>
    <s v="REL01"/>
    <s v="SCOPE_1"/>
    <s v="CAAP4"/>
    <s v="SOUR2"/>
    <s v="DQS4"/>
    <n v="769.87"/>
  </r>
  <r>
    <x v="900"/>
    <s v="M_0000_00005111711_000000000000001"/>
    <s v="VEH04"/>
    <s v="2022-12-15"/>
    <s v="CONT1;HFS2;B01;MC02;PR0302;ACPF6;SC0303;STAG1;SUBO2;DEFA2;FORB2;SSC4;PURP6;COLL4;TYVA01;FVAD3"/>
    <s v="51"/>
    <s v="REL01"/>
    <s v="SCOPE_1"/>
    <s v="CAAP4"/>
    <s v="SOUR2"/>
    <s v="DQS4"/>
    <n v="951.36"/>
  </r>
  <r>
    <x v="901"/>
    <s v="M_0000_00005112287_000000000000001"/>
    <s v="VEH04"/>
    <s v="2023-06-15"/>
    <s v="CONT1;HFS2;B01;MC02;PR0302;ACPF6;SC0303;STAG1;SUBO2;DEFA2;FORB2;SSC4;PURP6;COLL4;TYVA01;FVAD3"/>
    <s v="51"/>
    <s v="REL01"/>
    <s v="SCOPE_1"/>
    <s v="CAAP4"/>
    <s v="SOUR2"/>
    <s v="DQS4"/>
    <n v="1211"/>
  </r>
  <r>
    <x v="902"/>
    <s v="M_0000_00005112444_000000000000001"/>
    <s v="VEH04"/>
    <s v="2023-06-15"/>
    <s v="CONT1;HFS2;B01;MC02;PR0302;ACPF6;SC0303;STAG1;SUBO2;DEFA2;FORB2;SSC4;PURP6;COLL4;TYVA01;FVAD3"/>
    <s v="51"/>
    <s v="REL01"/>
    <s v="SCOPE_1"/>
    <s v="CAAP4"/>
    <s v="SOUR2"/>
    <s v="DQS4"/>
    <n v="1181.1600000000001"/>
  </r>
  <r>
    <x v="903"/>
    <s v="M_0000_00005112968_000000000000001"/>
    <s v="VEH04"/>
    <s v="2024-06-15"/>
    <s v="CONT1;HFS2;B01;MC02;PR0302;ACPF6;SC0303;STAG1;SUBO2;DEFA2;FORB2;SSC4;PURP6;COLL4;TYVA01;FVAD3"/>
    <s v="51"/>
    <s v="REL01"/>
    <s v="SCOPE_1"/>
    <s v="CAAP4"/>
    <s v="SOUR2"/>
    <s v="DQS4"/>
    <n v="1667.31"/>
  </r>
  <r>
    <x v="904"/>
    <s v="M_0000_00005112972_000000000000001"/>
    <s v="VEH04"/>
    <s v="2023-11-15"/>
    <s v="CONT1;HFS2;B01;MC02;PR0302;ACPF6;SC0303;STAG1;SUBO2;DEFA2;FORB2;SSC4;PURP6;COLL4;TYVA01;FVAD3"/>
    <s v="51"/>
    <s v="REL01"/>
    <s v="SCOPE_1"/>
    <s v="CAAP4"/>
    <s v="SOUR2"/>
    <s v="DQS4"/>
    <n v="1195.75"/>
  </r>
  <r>
    <x v="905"/>
    <s v="M_0000_00005112983_000000000000001"/>
    <s v="VEH19"/>
    <s v="2023-12-15"/>
    <s v="CONT1;HFS2;B01;MC02;PR0302;ACPF6;SC0303;STAG1;SUBO2;DEFA2;FORB2;SSC4;PURP6;COLL4;TYVA01;FVAD3"/>
    <s v="51"/>
    <s v="REL01"/>
    <s v="SCOPE_1"/>
    <s v="CAAP4"/>
    <s v="SOUR2"/>
    <s v="DQS4"/>
    <n v="1399.78"/>
  </r>
  <r>
    <x v="906"/>
    <s v="M_0000_00005117994_000000000000001"/>
    <s v="VEH04"/>
    <s v="2024-10-01"/>
    <s v="CONT1;HFS2;B01;MC02;PR0302;ACPF6;SC0303;STAG1;SUBO2;DEFA2;FORB2;SSC4;PURP6;COLL4;TYVA01;FVAD3"/>
    <s v="51"/>
    <s v="REL01"/>
    <s v="SCOPE_1"/>
    <s v="CAAP4"/>
    <s v="SOUR2"/>
    <s v="DQS4"/>
    <n v="1605.3"/>
  </r>
  <r>
    <x v="907"/>
    <s v="M_0000_00008040651_000000000000001"/>
    <s v="VEH01"/>
    <s v="2020-03-01"/>
    <s v="CONT1;HFS2;B01;MC02;PR0302;ACPF6;SC0303;STAG1;SUBO2;DEFA2;FORB2;SSC4;PURP6;COLL4;TYVA01;FVAD3"/>
    <s v="51"/>
    <s v="REL01"/>
    <s v="SCOPE_1"/>
    <s v="CAAP4"/>
    <s v="SOUR2"/>
    <s v="DQS4"/>
    <n v="1360.31"/>
  </r>
  <r>
    <x v="908"/>
    <s v="M_0000_00008041979_000000000000001"/>
    <s v="VEH01"/>
    <s v="2020-12-01"/>
    <s v="CONT1;HFS2;B01;MC02;PR0302;ACPF6;SC0303;STAG2;POCI2;SUBO2;DEFA2;FORB2;SSC4;PURP6;COLL4;TYVA01;FVAD3"/>
    <s v="51"/>
    <s v="REL01"/>
    <s v="SCOPE_1"/>
    <s v="CAAP4"/>
    <s v="SOUR2"/>
    <s v="DQS4"/>
    <n v="372.67"/>
  </r>
  <r>
    <x v="909"/>
    <s v="M_0000_00008042332_000000000000001"/>
    <s v="VEH04"/>
    <s v="2021-03-01"/>
    <s v="CONT1;HFS2;B01;MC02;PR0302;ACPF6;SC0303;STAG2;POCI2;SUBO2;DEFA2;FORB2;SSC4;PURP6;COLL4;TYVA01;FVAD3"/>
    <s v="51"/>
    <s v="REL01"/>
    <s v="SCOPE_1"/>
    <s v="CAAP4"/>
    <s v="SOUR2"/>
    <s v="DQS4"/>
    <n v="426.25"/>
  </r>
  <r>
    <x v="910"/>
    <s v="M_0000_00008043033_000000000000001"/>
    <s v="VEH04"/>
    <s v="2021-06-01"/>
    <s v="CONT1;HFS2;B01;MC02;PR0302;ACPF6;SC0303;STAG3;POCI2;SUBO2;DEFA1;FORB2;SSC4;PURP6;COLL4;TYVA01;FVAD3"/>
    <s v="51"/>
    <s v="REL01"/>
    <s v="SCOPE_1"/>
    <s v="CAAP4"/>
    <s v="SOUR2"/>
    <s v="DQS4"/>
    <n v="893.28"/>
  </r>
  <r>
    <x v="911"/>
    <s v="M_0000_00008043496_000000000000001"/>
    <s v="VEH04"/>
    <s v="2021-08-01"/>
    <s v="CONT1;HFS2;B01;MC02;PR0302;ACPF6;SC0303;STAG3;POCI2;SUBO2;DEFA1;FORB2;SSC4;PURP6;COLL4;TYVA01;FVAD3"/>
    <s v="51"/>
    <s v="REL01"/>
    <s v="SCOPE_1"/>
    <s v="CAAP4"/>
    <s v="SOUR2"/>
    <s v="DQS4"/>
    <n v="696.94"/>
  </r>
  <r>
    <x v="912"/>
    <s v="M_0000_00008043505_000000000000001"/>
    <s v="VEH04"/>
    <s v="2021-08-01"/>
    <s v="CONT1;HFS2;B01;MC02;PR0302;ACPF6;SC0303;STAG3;POCI2;SUBO2;DEFA1;FORB2;SSC4;PURP6;COLL4;TYVA01;FVAD3"/>
    <s v="51"/>
    <s v="REL01"/>
    <s v="SCOPE_1"/>
    <s v="CAAP4"/>
    <s v="SOUR2"/>
    <s v="DQS4"/>
    <n v="659.14"/>
  </r>
  <r>
    <x v="913"/>
    <s v="M_0000_00008043783_000000000000001"/>
    <s v="VEH04"/>
    <s v="2021-11-01"/>
    <s v="CONT1;HFS2;B01;MC02;PR0302;ACPF6;SC0303;STAG2;POCI2;SUBO2;DEFA2;FORB2;SSC4;PURP6;COLL4;TYVA01;FVAD3"/>
    <s v="51"/>
    <s v="REL01"/>
    <s v="SCOPE_1"/>
    <s v="CAAP4"/>
    <s v="SOUR2"/>
    <s v="DQS4"/>
    <n v="785.54"/>
  </r>
  <r>
    <x v="914"/>
    <s v="M_0000_00008043956_000000000000001"/>
    <s v="VEH04"/>
    <s v="2022-01-01"/>
    <s v="CONT1;HFS2;B01;MC02;PR0302;ACPF6;SC0303;STAG3;POCI2;SUBO2;DEFA1;FORB2;SSC4;PURP6;COLL4;TYVA01;FVAD3"/>
    <s v="51"/>
    <s v="REL01"/>
    <s v="SCOPE_1"/>
    <s v="CAAP4"/>
    <s v="SOUR2"/>
    <s v="DQS4"/>
    <n v="916.02"/>
  </r>
  <r>
    <x v="915"/>
    <s v="M_0000_00008043978_000000000000001"/>
    <s v="VEH04"/>
    <s v="2022-02-01"/>
    <s v="CONT1;HFS2;B01;MC02;PR0302;ACPF6;SC0303;STAG1;SUBO2;DEFA2;FORB2;SSC4;PURP6;COLL4;TYVA01;FVAD3"/>
    <s v="51"/>
    <s v="REL01"/>
    <s v="SCOPE_1"/>
    <s v="CAAP4"/>
    <s v="SOUR2"/>
    <s v="DQS4"/>
    <n v="460.57"/>
  </r>
  <r>
    <x v="916"/>
    <s v="M_0000_00008043991_000000000000001"/>
    <s v="VEH01"/>
    <s v="2022-01-15"/>
    <s v="CONT1;HFS2;B01;MC02;PR0302;ACPF6;SC0303;STAG1;SUBO2;DEFA2;FORB2;SSC4;PURP6;COLL4;TYVA01;FVAD3"/>
    <s v="51"/>
    <s v="REL01"/>
    <s v="SCOPE_1"/>
    <s v="CAAP4"/>
    <s v="SOUR2"/>
    <s v="DQS4"/>
    <n v="1544.35"/>
  </r>
  <r>
    <x v="917"/>
    <s v="M_0000_00008044279_000000000000001"/>
    <s v="VEH04"/>
    <s v="2022-05-01"/>
    <s v="CONT1;HFS2;B01;MC02;PR0302;ACPF6;SC0303;STAG1;SUBO2;DEFA2;FORB2;SSC4;PURP6;COLL4;TYVA01;FVAD3"/>
    <s v="51"/>
    <s v="REL01"/>
    <s v="SCOPE_1"/>
    <s v="CAAP4"/>
    <s v="SOUR2"/>
    <s v="DQS4"/>
    <n v="1346.7"/>
  </r>
  <r>
    <x v="918"/>
    <s v="M_0000_00008044516_000000000000001"/>
    <s v="VEH04"/>
    <s v="2022-11-01"/>
    <s v="CONT1;HFS2;B01;MC02;PR0302;ACPF6;SC0303;STAG2;POCI2;SUBO2;DEFA2;FORB2;SSC4;PURP6;COLL4;TYVA01;FVAD3"/>
    <s v="51"/>
    <s v="REL01"/>
    <s v="SCOPE_1"/>
    <s v="CAAP4"/>
    <s v="SOUR2"/>
    <s v="DQS4"/>
    <n v="989.82"/>
  </r>
  <r>
    <x v="919"/>
    <s v="M_0000_00008044578_000000000000001"/>
    <s v="VEH19"/>
    <s v="2022-10-15"/>
    <s v="CONT1;HFS2;B01;MC02;PR0302;ACPF6;SC0303;STAG1;SUBO2;DEFA2;FORB2;SSC3;PURP6;COLL4;TYVA01;FVAD3"/>
    <s v="51"/>
    <s v="REL01"/>
    <s v="SCOPE_1"/>
    <s v="CAAP4"/>
    <s v="SOUR2"/>
    <s v="DQS4"/>
    <n v="1667.43"/>
  </r>
  <r>
    <x v="920"/>
    <s v="M_0000_00008044769_000000000000001"/>
    <s v="VEH04"/>
    <s v="2023-01-15"/>
    <s v="CONT1;HFS2;B01;MC02;PR0302;ACPF6;SC0303;STAG2;POCI2;SUBO2;DEFA2;FORB2;SSC4;PURP6;COLL4;TYVA01;FVAD3"/>
    <s v="51"/>
    <s v="REL01"/>
    <s v="SCOPE_1"/>
    <s v="CAAP4"/>
    <s v="SOUR2"/>
    <s v="DQS4"/>
    <n v="1113.6500000000001"/>
  </r>
  <r>
    <x v="921"/>
    <s v="M_0000_00008044909_000000000000001"/>
    <s v="VEH19"/>
    <s v="2023-05-15"/>
    <s v="CONT1;HFS2;B01;MC02;PR0302;ACPF6;SC0303;STAG1;SUBO2;DEFA2;FORB2;SSC4;PURP6;COLL4;TYVA01;FVAD3"/>
    <s v="51"/>
    <s v="REL01"/>
    <s v="SCOPE_2"/>
    <s v="CAAP4"/>
    <s v="SOUR2"/>
    <s v="DQS4"/>
    <n v="484.44"/>
  </r>
  <r>
    <x v="922"/>
    <s v="M_0000_00008045119_000000000000001"/>
    <s v="VEH01"/>
    <s v="2023-08-01"/>
    <s v="CONT1;HFS2;B01;MC02;PR0302;ACPF6;SC0303;STAG1;SUBO2;DEFA2;FORB2;SSC4;PURP6;COLL4;TYVA01;FVAD3"/>
    <s v="51"/>
    <s v="REL01"/>
    <s v="SCOPE_1"/>
    <s v="CAAP4"/>
    <s v="SOUR2"/>
    <s v="DQS4"/>
    <n v="2267.52"/>
  </r>
  <r>
    <x v="923"/>
    <s v="M_0000_00008045146_000000000000001"/>
    <s v="VEH01"/>
    <s v="2023-07-01"/>
    <s v="CONT1;HFS2;B01;MC02;PR0302;ACPF6;SC0303;STAG2;POCI2;SUBO2;DEFA2;FORB2;SSC4;PURP6;COLL4;TYVA01;FVAD3"/>
    <s v="51"/>
    <s v="REL01"/>
    <s v="SCOPE_1"/>
    <s v="CAAP4"/>
    <s v="SOUR2"/>
    <s v="DQS4"/>
    <n v="1306.3699999999999"/>
  </r>
  <r>
    <x v="924"/>
    <s v="M_0000_00008045150_000000000000001"/>
    <s v="VEH01"/>
    <s v="2023-07-15"/>
    <s v="CONT1;HFS2;B01;MC02;PR0302;ACPF6;SC0303;STAG2;POCI2;SUBO2;DEFA2;FORB2;SSC4;PURP6;COLL4;TYVA01;FVAD3"/>
    <s v="51"/>
    <s v="REL01"/>
    <s v="SCOPE_2"/>
    <s v="CAAP4"/>
    <s v="SOUR2"/>
    <s v="DQS4"/>
    <n v="736.77"/>
  </r>
  <r>
    <x v="925"/>
    <s v="M_0000_00008045246_000000000000001"/>
    <s v="VEH01"/>
    <s v="2023-11-01"/>
    <s v="CONT1;HFS2;B01;MC02;PR0302;ACPF6;SC0303;STAG2;POCI2;SUBO2;DEFA2;FORB2;SSC4;PURP6;COLL4;TYVA01;FVAD3"/>
    <s v="51"/>
    <s v="REL01"/>
    <s v="SCOPE_1"/>
    <s v="CAAP4"/>
    <s v="SOUR2"/>
    <s v="DQS4"/>
    <n v="2692.84"/>
  </r>
  <r>
    <x v="926"/>
    <s v="M_0000_00008045381_000000000000001"/>
    <s v="VEH01"/>
    <s v="2023-12-15"/>
    <s v="CONT1;HFS2;B01;MC02;PR0302;ACPF6;SC0303;STAG1;SUBO2;DEFA2;FORB2;SSC4;PURP6;COLL4;TYVA01;FVAD3"/>
    <s v="51"/>
    <s v="REL01"/>
    <s v="SCOPE_1"/>
    <s v="CAAP4"/>
    <s v="SOUR2"/>
    <s v="DQS4"/>
    <n v="727.03"/>
  </r>
  <r>
    <x v="926"/>
    <s v="M_0000_00008045381_000000000000001"/>
    <s v="VEH01"/>
    <s v="2023-12-15"/>
    <s v="CONT1;HFS2;B01;MC02;PR0302;ACPF6;SC0303;STAG1;SUBO2;DEFA2;FORB2;SSC4;PURP6;COLL4;TYVA01;FVAD3"/>
    <s v="51"/>
    <s v="REL01"/>
    <s v="SCOPE_2"/>
    <s v="CAAP4"/>
    <s v="SOUR2"/>
    <s v="DQS4"/>
    <n v="617.55999999999995"/>
  </r>
  <r>
    <x v="927"/>
    <s v="M_0000_00008045510_000000000000001"/>
    <s v="VEH01"/>
    <s v="2023-12-15"/>
    <s v="CONT1;HFS2;B01;MC02;PR0302;ACPF6;SC0303;STAG2;POCI2;SUBO2;DEFA2;FORB2;SSC4;PURP6;COLL4;TYVA01;FVAD3"/>
    <s v="51"/>
    <s v="REL01"/>
    <s v="SCOPE_2"/>
    <s v="CAAP4"/>
    <s v="SOUR2"/>
    <s v="DQS4"/>
    <n v="785.91"/>
  </r>
  <r>
    <x v="928"/>
    <s v="M_0000_00008045534_000000000000001"/>
    <s v="VEH19"/>
    <s v="2024-01-01"/>
    <s v="CONT1;HFS2;B01;MC02;PR0302;ACPF6;SC0303;STAG1;SUBO2;DEFA2;FORB2;SSC4;PURP6;COLL4;TYVA01;FVAD3"/>
    <s v="51"/>
    <s v="REL01"/>
    <s v="SCOPE_2"/>
    <s v="CAAP4"/>
    <s v="SOUR2"/>
    <s v="DQS4"/>
    <n v="641.04"/>
  </r>
  <r>
    <x v="929"/>
    <s v="M_0000_00008045746_000000000000001"/>
    <s v="VEH01"/>
    <s v="2024-04-01"/>
    <s v="CONT1;HFS2;B01;MC02;PR0302;ACPF6;SC0303;STAG1;SUBO2;DEFA2;FORB2;SSC4;PURP6;COLL4;TYVA01;FVAD3"/>
    <s v="51"/>
    <s v="REL01"/>
    <s v="SCOPE_1"/>
    <s v="CAAP4"/>
    <s v="SOUR2"/>
    <s v="DQS4"/>
    <n v="884.45"/>
  </r>
  <r>
    <x v="929"/>
    <s v="M_0000_00008045746_000000000000001"/>
    <s v="VEH01"/>
    <s v="2024-04-01"/>
    <s v="CONT1;HFS2;B01;MC02;PR0302;ACPF6;SC0303;STAG1;SUBO2;DEFA2;FORB2;SSC4;PURP6;COLL4;TYVA01;FVAD3"/>
    <s v="51"/>
    <s v="REL01"/>
    <s v="SCOPE_2"/>
    <s v="CAAP4"/>
    <s v="SOUR2"/>
    <s v="DQS4"/>
    <n v="751.28"/>
  </r>
  <r>
    <x v="930"/>
    <s v="M_0000_00008045930_000000000000001"/>
    <s v="VEH01"/>
    <s v="2024-05-01"/>
    <s v="CONT1;HFS2;B01;MC02;PR0302;ACPF6;SC0303;STAG1;SUBO2;DEFA2;FORB2;SSC4;PURP6;COLL4;TYVA01;FVAD3"/>
    <s v="51"/>
    <s v="REL01"/>
    <s v="SCOPE_1"/>
    <s v="CAAP4"/>
    <s v="SOUR2"/>
    <s v="DQS4"/>
    <n v="849.28"/>
  </r>
  <r>
    <x v="930"/>
    <s v="M_0000_00008045930_000000000000001"/>
    <s v="VEH01"/>
    <s v="2024-05-01"/>
    <s v="CONT1;HFS2;B01;MC02;PR0302;ACPF6;SC0303;STAG1;SUBO2;DEFA2;FORB2;SSC4;PURP6;COLL4;TYVA01;FVAD3"/>
    <s v="51"/>
    <s v="REL01"/>
    <s v="SCOPE_2"/>
    <s v="CAAP4"/>
    <s v="SOUR2"/>
    <s v="DQS4"/>
    <n v="721.41"/>
  </r>
  <r>
    <x v="931"/>
    <s v="M_0000_00008045944_000000000000001"/>
    <s v="VEH04"/>
    <s v="2024-05-15"/>
    <s v="CONT1;HFS2;B01;MC02;PR0302;ACPF6;SC0303;STAG2;POCI2;SUBO2;DEFA2;FORB2;SSC4;PURP6;COLL4;TYVA01;FVAD3"/>
    <s v="51"/>
    <s v="REL01"/>
    <s v="SCOPE_1"/>
    <s v="CAAP4"/>
    <s v="SOUR2"/>
    <s v="DQS4"/>
    <n v="2095.25"/>
  </r>
  <r>
    <x v="932"/>
    <s v="M_0000_00008046033_000000000000001"/>
    <s v="VEH04"/>
    <s v="2024-11-15"/>
    <s v="CONT1;HFS2;B01;MC02;PR0302;ACPF6;SC0303;STAG1;SUBO2;DEFA2;FORB2;SSC4;PURP6;COLL4;TYVA01;FVAD3"/>
    <s v="51"/>
    <s v="REL01"/>
    <s v="SCOPE_1"/>
    <s v="CAAP4"/>
    <s v="SOUR2"/>
    <s v="DQS4"/>
    <n v="2323.08"/>
  </r>
  <r>
    <x v="933"/>
    <s v="M_0000_00008046130_000000000000001"/>
    <s v="VEH04"/>
    <s v="2024-07-15"/>
    <s v="CONT1;HFS2;B01;MC02;PR0302;ACPF6;SC0303;STAG1;SUBO2;DEFA2;FORB2;SSC4;PURP6;COLL4;TYVA01;FVAD3"/>
    <s v="51"/>
    <s v="REL01"/>
    <s v="SCOPE_1"/>
    <s v="CAAP4"/>
    <s v="SOUR2"/>
    <s v="DQS4"/>
    <n v="2249.2800000000002"/>
  </r>
  <r>
    <x v="934"/>
    <s v="M_0000_00008046190_000000000000001"/>
    <s v="VEH01"/>
    <s v="2024-08-01"/>
    <s v="CONT1;HFS2;B01;MC02;PR0302;ACPF6;SC0303;STAG1;SUBO2;DEFA2;FORB2;SSC4;PURP6;COLL4;TYVA01;FVAD3"/>
    <s v="51"/>
    <s v="REL01"/>
    <s v="SCOPE_2"/>
    <s v="CAAP4"/>
    <s v="SOUR2"/>
    <s v="DQS4"/>
    <n v="868.36"/>
  </r>
  <r>
    <x v="935"/>
    <s v="M_0000_00008046214_000000000000001"/>
    <s v="VEH01"/>
    <s v="2024-08-01"/>
    <s v="CONT1;HFS2;B01;MC02;PR0302;ACPF6;SC0303;STAG1;SUBO2;DEFA2;FORB2;SSC4;PURP6;COLL4;TYVA01;FVAD3"/>
    <s v="51"/>
    <s v="REL01"/>
    <s v="SCOPE_2"/>
    <s v="CAAP4"/>
    <s v="SOUR2"/>
    <s v="DQS4"/>
    <n v="818.41"/>
  </r>
  <r>
    <x v="936"/>
    <s v="M_0000_00008046232_000000000000001"/>
    <s v="VEH01"/>
    <s v="2024-10-01"/>
    <s v="CONT1;HFS2;B01;MC02;PR0302;ACPF6;SC0303;STAG2;POCI2;SUBO2;DEFA2;FORB2;SSC4;PURP6;COLL4;TYVA01;FVAD3"/>
    <s v="51"/>
    <s v="REL01"/>
    <s v="SCOPE_1"/>
    <s v="CAAP4"/>
    <s v="SOUR2"/>
    <s v="DQS4"/>
    <n v="3115.96"/>
  </r>
  <r>
    <x v="937"/>
    <s v="M_0000_00008046254_000000000000001"/>
    <s v="VEH04"/>
    <s v="2024-10-01"/>
    <s v="CONT1;HFS2;B01;MC02;PR0302;ACPF6;SC0303;STAG1;SUBO2;DEFA2;FORB2;SSC4;PURP6;COLL4;TYVA01;FVAD3"/>
    <s v="51"/>
    <s v="REL01"/>
    <s v="SCOPE_1"/>
    <s v="CAAP4"/>
    <s v="SOUR2"/>
    <s v="DQS4"/>
    <n v="2281.81"/>
  </r>
  <r>
    <x v="938"/>
    <s v="M_0000_00008046280_000000000000001"/>
    <s v="VEH01"/>
    <s v="2024-09-15"/>
    <s v="CONT1;HFS2;B01;MC02;PR0302;ACPF6;SC0303;STAG2;POCI2;SUBO2;DEFA2;FORB2;SSC4;PURP6;COLL4;TYVA01;FVAD3"/>
    <s v="51"/>
    <s v="REL01"/>
    <s v="SCOPE_1"/>
    <s v="CAAP4"/>
    <s v="SOUR2"/>
    <s v="DQS4"/>
    <n v="929.94"/>
  </r>
  <r>
    <x v="938"/>
    <s v="M_0000_00008046280_000000000000001"/>
    <s v="VEH01"/>
    <s v="2024-09-15"/>
    <s v="CONT1;HFS2;B01;MC02;PR0302;ACPF6;SC0303;STAG2;POCI2;SUBO2;DEFA2;FORB2;SSC4;PURP6;COLL4;TYVA01;FVAD3"/>
    <s v="51"/>
    <s v="REL01"/>
    <s v="SCOPE_2"/>
    <s v="CAAP4"/>
    <s v="SOUR2"/>
    <s v="DQS4"/>
    <n v="789.92"/>
  </r>
  <r>
    <x v="939"/>
    <s v="M_0000_00008046299_000000000000001"/>
    <s v="VEH01"/>
    <s v="2024-10-01"/>
    <s v="CONT1;HFS2;B01;MC02;PR0302;ACPF6;SC0303;STAG1;SUBO2;DEFA2;FORB2;SSC4;PURP6;COLL4;TYVA01;FVAD3"/>
    <s v="51"/>
    <s v="REL01"/>
    <s v="SCOPE_1"/>
    <s v="CAAP4"/>
    <s v="SOUR2"/>
    <s v="DQS4"/>
    <n v="2967.31"/>
  </r>
  <r>
    <x v="940"/>
    <s v="M_0000_00008046615_000000000000001"/>
    <s v="VEH01"/>
    <s v="2025-01-01"/>
    <s v="CONT1;HFS2;B01;MC02;PR0302;ACPF6;SC0303;STAG1;SUBO2;DEFA2;FORB2;SSC4;PURP6;COLL4;TYVA01;FVAD3"/>
    <s v="51"/>
    <s v="REL01"/>
    <s v="SCOPE_1"/>
    <s v="CAAP4"/>
    <s v="SOUR2"/>
    <s v="DQS4"/>
    <n v="1038.05"/>
  </r>
  <r>
    <x v="940"/>
    <s v="M_0000_00008046615_000000000000001"/>
    <s v="VEH01"/>
    <s v="2025-01-01"/>
    <s v="CONT1;HFS2;B01;MC02;PR0302;ACPF6;SC0303;STAG1;SUBO2;DEFA2;FORB2;SSC4;PURP6;COLL4;TYVA01;FVAD3"/>
    <s v="51"/>
    <s v="REL01"/>
    <s v="SCOPE_2"/>
    <s v="CAAP4"/>
    <s v="SOUR2"/>
    <s v="DQS4"/>
    <n v="881.75"/>
  </r>
  <r>
    <x v="941"/>
    <s v="M_0000_00008046656_000000000000001"/>
    <s v="VEH04"/>
    <s v="2025-02-01"/>
    <s v="CONT1;HFS2;B01;MC02;PR0302;ACPF6;SC0303;STAG2;POCI2;SUBO2;DEFA2;FORB2;SSC4;PURP6;COLL4;TYVA01;FVAD3"/>
    <s v="51"/>
    <s v="REL01"/>
    <s v="SCOPE_1"/>
    <s v="CAAP4"/>
    <s v="SOUR2"/>
    <s v="DQS4"/>
    <n v="2397.11"/>
  </r>
  <r>
    <x v="942"/>
    <s v="M_0000_00008046823_000000000000001"/>
    <s v="VEH04"/>
    <s v="2025-02-15"/>
    <s v="CONT1;HFS2;B01;MC02;PR0302;ACPF6;SC0303;STAG1;SUBO2;DEFA2;FORB2;SSC4;PURP6;COLL4;TYVA01;FVAD3"/>
    <s v="51"/>
    <s v="REL01"/>
    <s v="SCOPE_1"/>
    <s v="CAAP4"/>
    <s v="SOUR2"/>
    <s v="DQS4"/>
    <n v="2469.04"/>
  </r>
  <r>
    <x v="943"/>
    <s v="M_0000_00008046853_000000000000001"/>
    <s v="VEH04"/>
    <s v="2025-03-15"/>
    <s v="CONT1;HFS2;B01;MC02;PR0302;ACPF6;SC0303;STAG2;POCI2;SUBO2;DEFA2;FORB2;SSC4;PURP6;COLL4;TYVA01;FVAD3"/>
    <s v="51"/>
    <s v="REL01"/>
    <s v="SCOPE_1"/>
    <s v="CAAP4"/>
    <s v="SOUR2"/>
    <s v="DQS4"/>
    <n v="2397.02"/>
  </r>
  <r>
    <x v="944"/>
    <s v="M_0000_00008047033_000000000000001"/>
    <s v="VEH04"/>
    <s v="2025-06-06"/>
    <s v="CONT1;HFS2;B01;MC02;PR0302;ACPF6;SC0303;STAG1;SUBO2;DEFA2;FORB2;SSC4;PURP6;COLL4;TYVA01;FVAD3"/>
    <s v="51"/>
    <s v="REL01"/>
    <s v="SCOPE_1"/>
    <s v="CAAP4"/>
    <s v="SOUR2"/>
    <s v="DQS4"/>
    <n v="2590.92"/>
  </r>
  <r>
    <x v="945"/>
    <s v="M_0000_00008047036_000000000000001"/>
    <s v="VEH19"/>
    <s v="2025-05-27"/>
    <s v="CONT1;HFS2;B01;MC02;PR0302;ACPF6;SC0303;STAG1;SUBO2;DEFA2;FORB2;SSC4;PURP6;COLL4;TYVA01;FVAD3"/>
    <s v="51"/>
    <s v="REL01"/>
    <s v="SCOPE_1"/>
    <s v="CAAP4"/>
    <s v="SOUR2"/>
    <s v="DQS4"/>
    <n v="3312.21"/>
  </r>
  <r>
    <x v="946"/>
    <s v="M_0000_00008047037_000000000000001"/>
    <s v="VEH19"/>
    <s v="2025-05-27"/>
    <s v="CONT1;HFS2;B01;MC02;PR0302;ACPF6;SC0303;STAG1;SUBO2;DEFA2;FORB2;SSC4;PURP6;COLL4;TYVA01;FVAD3"/>
    <s v="51"/>
    <s v="REL01"/>
    <s v="SCOPE_1"/>
    <s v="CAAP4"/>
    <s v="SOUR2"/>
    <s v="DQS4"/>
    <n v="3312.21"/>
  </r>
  <r>
    <x v="947"/>
    <s v="M_0000_00008047123_000000000000001"/>
    <s v="VEH04"/>
    <s v="2025-06-27"/>
    <s v="CONT1;HFS2;B01;MC02;PR0302;ACPF6;SC0303;STAG1;SUBO2;DEFA2;FORB2;SSC4;PURP6;COLL4;TYVA01;FVAD3"/>
    <s v="51"/>
    <s v="REL01"/>
    <s v="SCOPE_1"/>
    <s v="CAAP4"/>
    <s v="SOUR2"/>
    <s v="DQS4"/>
    <n v="2590.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52" firstHeaderRow="1" firstDataRow="1" firstDataCol="1"/>
  <pivotFields count="12">
    <pivotField axis="axisRow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 t="grand">
      <x/>
    </i>
  </rowItems>
  <colItems count="1">
    <i/>
  </colItems>
  <dataFields count="1">
    <dataField name="Sum of GHG_FINANCED_EMISSION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9"/>
  <sheetViews>
    <sheetView tabSelected="1" workbookViewId="0">
      <selection activeCell="H4" sqref="H4"/>
    </sheetView>
  </sheetViews>
  <sheetFormatPr defaultColWidth="11.42578125" defaultRowHeight="15" x14ac:dyDescent="0.25"/>
  <cols>
    <col min="4" max="5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4">
        <f>+SUM(D2:D949)</f>
        <v>28110777.488414969</v>
      </c>
      <c r="E1" s="4">
        <f>+SUM(E2:E949)</f>
        <v>28838525.140000056</v>
      </c>
    </row>
    <row r="2" spans="1:8" x14ac:dyDescent="0.25">
      <c r="A2" s="5" t="s">
        <v>496</v>
      </c>
      <c r="B2" s="5">
        <v>326326.47576</v>
      </c>
      <c r="C2" s="5"/>
      <c r="D2" s="6">
        <f t="shared" ref="D2:D65" si="0">+B2+C2</f>
        <v>326326.47576</v>
      </c>
      <c r="E2" s="6">
        <f>+VLOOKUP(A2,Sheet3!A:B,2,FALSE)</f>
        <v>652653.35999999987</v>
      </c>
      <c r="F2" s="6">
        <f t="shared" ref="F2:F65" si="1">+ABS(E2-D2)</f>
        <v>326326.88423999987</v>
      </c>
      <c r="H2" t="s">
        <v>2541</v>
      </c>
    </row>
    <row r="3" spans="1:8" x14ac:dyDescent="0.25">
      <c r="A3" s="5" t="s">
        <v>339</v>
      </c>
      <c r="B3" s="5">
        <v>105641.304466</v>
      </c>
      <c r="C3" s="5"/>
      <c r="D3" s="6">
        <f t="shared" si="0"/>
        <v>105641.304466</v>
      </c>
      <c r="E3" s="6">
        <f>+VLOOKUP(A3,Sheet3!A:B,2,FALSE)</f>
        <v>211282.82</v>
      </c>
      <c r="F3" s="6">
        <f t="shared" si="1"/>
        <v>105641.51553400001</v>
      </c>
      <c r="H3" s="8" t="s">
        <v>2542</v>
      </c>
    </row>
    <row r="4" spans="1:8" x14ac:dyDescent="0.25">
      <c r="A4" s="5" t="s">
        <v>137</v>
      </c>
      <c r="B4" s="5">
        <v>77053.131550000006</v>
      </c>
      <c r="C4" s="5"/>
      <c r="D4" s="6">
        <f t="shared" si="0"/>
        <v>77053.131550000006</v>
      </c>
      <c r="E4" s="6">
        <f>+VLOOKUP(A4,Sheet3!A:B,2,FALSE)</f>
        <v>154107.10000000003</v>
      </c>
      <c r="F4" s="6">
        <f t="shared" si="1"/>
        <v>77053.968450000029</v>
      </c>
    </row>
    <row r="5" spans="1:8" x14ac:dyDescent="0.25">
      <c r="A5" s="5" t="s">
        <v>801</v>
      </c>
      <c r="B5" s="5">
        <v>73304.762308000005</v>
      </c>
      <c r="C5" s="5"/>
      <c r="D5" s="6">
        <f t="shared" si="0"/>
        <v>73304.762308000005</v>
      </c>
      <c r="E5" s="6">
        <f>+VLOOKUP(A5,Sheet3!A:B,2,FALSE)</f>
        <v>146609.54</v>
      </c>
      <c r="F5" s="6">
        <f t="shared" si="1"/>
        <v>73304.777692000003</v>
      </c>
    </row>
    <row r="6" spans="1:8" x14ac:dyDescent="0.25">
      <c r="A6" s="5" t="s">
        <v>488</v>
      </c>
      <c r="B6" s="5">
        <v>38735.955188</v>
      </c>
      <c r="C6" s="5"/>
      <c r="D6" s="6">
        <f t="shared" si="0"/>
        <v>38735.955188</v>
      </c>
      <c r="E6" s="6">
        <f>+VLOOKUP(A6,Sheet3!A:B,2,FALSE)</f>
        <v>77472.12000000001</v>
      </c>
      <c r="F6" s="6">
        <f t="shared" si="1"/>
        <v>38736.16481200001</v>
      </c>
    </row>
    <row r="7" spans="1:8" x14ac:dyDescent="0.25">
      <c r="A7" s="5" t="s">
        <v>54</v>
      </c>
      <c r="B7" s="5">
        <v>38282.142334999997</v>
      </c>
      <c r="C7" s="5"/>
      <c r="D7" s="6">
        <f t="shared" si="0"/>
        <v>38282.142334999997</v>
      </c>
      <c r="E7" s="6">
        <f>+VLOOKUP(A7,Sheet3!A:B,2,FALSE)</f>
        <v>76564.600000000006</v>
      </c>
      <c r="F7" s="6">
        <f t="shared" si="1"/>
        <v>38282.457665000009</v>
      </c>
    </row>
    <row r="8" spans="1:8" x14ac:dyDescent="0.25">
      <c r="A8" s="5" t="s">
        <v>854</v>
      </c>
      <c r="B8" s="5">
        <v>14591.332517999999</v>
      </c>
      <c r="C8" s="5"/>
      <c r="D8" s="6">
        <f t="shared" si="0"/>
        <v>14591.332517999999</v>
      </c>
      <c r="E8" s="6">
        <f>+VLOOKUP(A8,Sheet3!A:B,2,FALSE)</f>
        <v>29182.76</v>
      </c>
      <c r="F8" s="6">
        <f t="shared" si="1"/>
        <v>14591.427481999999</v>
      </c>
    </row>
    <row r="9" spans="1:8" x14ac:dyDescent="0.25">
      <c r="A9" s="5" t="s">
        <v>16</v>
      </c>
      <c r="B9" s="5">
        <v>14244.319127999999</v>
      </c>
      <c r="C9" s="5"/>
      <c r="D9" s="6">
        <f t="shared" si="0"/>
        <v>14244.319127999999</v>
      </c>
      <c r="E9" s="6">
        <f>+VLOOKUP(A9,Sheet3!A:B,2,FALSE)</f>
        <v>28488.739999999998</v>
      </c>
      <c r="F9" s="6">
        <f t="shared" si="1"/>
        <v>14244.420871999999</v>
      </c>
    </row>
    <row r="10" spans="1:8" x14ac:dyDescent="0.25">
      <c r="A10" s="5" t="s">
        <v>25</v>
      </c>
      <c r="B10" s="5">
        <v>10734.941693999999</v>
      </c>
      <c r="C10" s="5"/>
      <c r="D10" s="6">
        <f t="shared" si="0"/>
        <v>10734.941693999999</v>
      </c>
      <c r="E10" s="6">
        <f>+VLOOKUP(A10,Sheet3!A:B,2,FALSE)</f>
        <v>21470</v>
      </c>
      <c r="F10" s="6">
        <f t="shared" si="1"/>
        <v>10735.058306000001</v>
      </c>
    </row>
    <row r="11" spans="1:8" x14ac:dyDescent="0.25">
      <c r="A11" s="5" t="s">
        <v>275</v>
      </c>
      <c r="B11" s="5">
        <v>8673.0650380000006</v>
      </c>
      <c r="C11" s="5"/>
      <c r="D11" s="6">
        <f t="shared" si="0"/>
        <v>8673.0650380000006</v>
      </c>
      <c r="E11" s="6">
        <f>+VLOOKUP(A11,Sheet3!A:B,2,FALSE)</f>
        <v>16094.699999999997</v>
      </c>
      <c r="F11" s="6">
        <f t="shared" si="1"/>
        <v>7421.6349619999964</v>
      </c>
    </row>
    <row r="12" spans="1:8" x14ac:dyDescent="0.25">
      <c r="A12" s="5" t="s">
        <v>444</v>
      </c>
      <c r="B12" s="5">
        <v>47946.713048999998</v>
      </c>
      <c r="C12" s="5"/>
      <c r="D12" s="6">
        <f t="shared" si="0"/>
        <v>47946.713048999998</v>
      </c>
      <c r="E12" s="6">
        <f>+VLOOKUP(A12,Sheet3!A:B,2,FALSE)</f>
        <v>53274.400000000001</v>
      </c>
      <c r="F12" s="6">
        <f t="shared" si="1"/>
        <v>5327.6869510000033</v>
      </c>
    </row>
    <row r="13" spans="1:8" x14ac:dyDescent="0.25">
      <c r="A13" s="5" t="s">
        <v>11</v>
      </c>
      <c r="B13" s="5">
        <v>4103.190603</v>
      </c>
      <c r="C13" s="5"/>
      <c r="D13" s="6">
        <f t="shared" si="0"/>
        <v>4103.190603</v>
      </c>
      <c r="E13" s="6">
        <f>+VLOOKUP(A13,Sheet3!A:B,2,FALSE)</f>
        <v>8206.52</v>
      </c>
      <c r="F13" s="6">
        <f t="shared" si="1"/>
        <v>4103.3293970000004</v>
      </c>
    </row>
    <row r="14" spans="1:8" x14ac:dyDescent="0.25">
      <c r="A14" s="7" t="s">
        <v>763</v>
      </c>
      <c r="B14" s="5">
        <v>3122.3659379999999</v>
      </c>
      <c r="C14" s="5"/>
      <c r="D14" s="6">
        <f t="shared" si="0"/>
        <v>3122.3659379999999</v>
      </c>
      <c r="E14" s="6">
        <f>+VLOOKUP(A14,Sheet3!A:B,2,FALSE)</f>
        <v>6244.74</v>
      </c>
      <c r="F14" s="6">
        <f t="shared" si="1"/>
        <v>3122.3740619999999</v>
      </c>
    </row>
    <row r="15" spans="1:8" x14ac:dyDescent="0.25">
      <c r="A15" s="5" t="s">
        <v>308</v>
      </c>
      <c r="B15" s="5">
        <v>2215.3590060000001</v>
      </c>
      <c r="C15" s="5"/>
      <c r="D15" s="6">
        <f t="shared" si="0"/>
        <v>2215.3590060000001</v>
      </c>
      <c r="E15" s="6">
        <f>+VLOOKUP(A15,Sheet3!A:B,2,FALSE)</f>
        <v>4430.84</v>
      </c>
      <c r="F15" s="6">
        <f t="shared" si="1"/>
        <v>2215.480994</v>
      </c>
    </row>
    <row r="16" spans="1:8" x14ac:dyDescent="0.25">
      <c r="A16" s="5" t="s">
        <v>908</v>
      </c>
      <c r="B16" s="5">
        <v>2215.3590060000001</v>
      </c>
      <c r="C16" s="5"/>
      <c r="D16" s="6">
        <f t="shared" si="0"/>
        <v>2215.3590060000001</v>
      </c>
      <c r="E16" s="6">
        <f>+VLOOKUP(A16,Sheet3!A:B,2,FALSE)</f>
        <v>4430.84</v>
      </c>
      <c r="F16" s="6">
        <f t="shared" si="1"/>
        <v>2215.480994</v>
      </c>
    </row>
    <row r="17" spans="1:6" x14ac:dyDescent="0.25">
      <c r="A17" s="5" t="s">
        <v>608</v>
      </c>
      <c r="B17" s="5">
        <v>2211.081596</v>
      </c>
      <c r="C17" s="5"/>
      <c r="D17" s="6">
        <f t="shared" si="0"/>
        <v>2211.081596</v>
      </c>
      <c r="E17" s="6">
        <f>+VLOOKUP(A17,Sheet3!A:B,2,FALSE)</f>
        <v>4422.24</v>
      </c>
      <c r="F17" s="6">
        <f t="shared" si="1"/>
        <v>2211.1584039999998</v>
      </c>
    </row>
    <row r="18" spans="1:6" x14ac:dyDescent="0.25">
      <c r="A18" s="5" t="s">
        <v>859</v>
      </c>
      <c r="B18" s="5">
        <v>2211.081596</v>
      </c>
      <c r="C18" s="5"/>
      <c r="D18" s="6">
        <f t="shared" si="0"/>
        <v>2211.081596</v>
      </c>
      <c r="E18" s="6">
        <f>+VLOOKUP(A18,Sheet3!A:B,2,FALSE)</f>
        <v>4422.2</v>
      </c>
      <c r="F18" s="6">
        <f t="shared" si="1"/>
        <v>2211.1184039999998</v>
      </c>
    </row>
    <row r="19" spans="1:6" x14ac:dyDescent="0.25">
      <c r="A19" s="5" t="s">
        <v>133</v>
      </c>
      <c r="B19" s="5">
        <v>2617.5650209999999</v>
      </c>
      <c r="C19" s="5"/>
      <c r="D19" s="6">
        <f t="shared" si="0"/>
        <v>2617.5650209999999</v>
      </c>
      <c r="E19" s="6">
        <f>+VLOOKUP(A19,Sheet3!A:B,2,FALSE)</f>
        <v>2590.92</v>
      </c>
      <c r="F19" s="6">
        <f t="shared" si="1"/>
        <v>26.645020999999815</v>
      </c>
    </row>
    <row r="20" spans="1:6" x14ac:dyDescent="0.25">
      <c r="A20" s="5" t="s">
        <v>142</v>
      </c>
      <c r="B20" s="5">
        <v>2597.3636179999999</v>
      </c>
      <c r="C20" s="5"/>
      <c r="D20" s="6">
        <f t="shared" si="0"/>
        <v>2597.3636179999999</v>
      </c>
      <c r="E20" s="6">
        <f>+VLOOKUP(A20,Sheet3!A:B,2,FALSE)</f>
        <v>2590.92</v>
      </c>
      <c r="F20" s="6">
        <f t="shared" si="1"/>
        <v>6.4436179999997876</v>
      </c>
    </row>
    <row r="21" spans="1:6" x14ac:dyDescent="0.25">
      <c r="A21" t="s">
        <v>668</v>
      </c>
      <c r="B21">
        <v>445563.5625</v>
      </c>
      <c r="D21" s="4">
        <f t="shared" si="0"/>
        <v>445563.5625</v>
      </c>
      <c r="E21" s="4">
        <f>+VLOOKUP(A21,Sheet3!A:B,2,FALSE)</f>
        <v>445564.1999999999</v>
      </c>
      <c r="F21" s="4">
        <f t="shared" si="1"/>
        <v>0.63749999989522621</v>
      </c>
    </row>
    <row r="22" spans="1:6" x14ac:dyDescent="0.25">
      <c r="A22" t="s">
        <v>22</v>
      </c>
      <c r="B22">
        <v>223246.04999199999</v>
      </c>
      <c r="D22" s="4">
        <f t="shared" si="0"/>
        <v>223246.04999199999</v>
      </c>
      <c r="E22" s="4">
        <f>+VLOOKUP(A22,Sheet3!A:B,2,FALSE)</f>
        <v>223246.56000000003</v>
      </c>
      <c r="F22" s="4">
        <f t="shared" si="1"/>
        <v>0.51000800004112534</v>
      </c>
    </row>
    <row r="23" spans="1:6" x14ac:dyDescent="0.25">
      <c r="A23" t="s">
        <v>79</v>
      </c>
      <c r="B23">
        <v>460289.3958</v>
      </c>
      <c r="D23" s="4">
        <f t="shared" si="0"/>
        <v>460289.3958</v>
      </c>
      <c r="E23" s="4">
        <f>+VLOOKUP(A23,Sheet3!A:B,2,FALSE)</f>
        <v>460289.89999999997</v>
      </c>
      <c r="F23" s="4">
        <f t="shared" si="1"/>
        <v>0.50419999996665865</v>
      </c>
    </row>
    <row r="24" spans="1:6" x14ac:dyDescent="0.25">
      <c r="A24" t="s">
        <v>858</v>
      </c>
      <c r="B24">
        <v>330082.31349999999</v>
      </c>
      <c r="D24" s="4">
        <f t="shared" si="0"/>
        <v>330082.31349999999</v>
      </c>
      <c r="E24" s="4">
        <f>+VLOOKUP(A24,Sheet3!A:B,2,FALSE)</f>
        <v>330082.80000000005</v>
      </c>
      <c r="F24" s="4">
        <f t="shared" si="1"/>
        <v>0.48650000005727634</v>
      </c>
    </row>
    <row r="25" spans="1:6" x14ac:dyDescent="0.25">
      <c r="A25" t="s">
        <v>755</v>
      </c>
      <c r="B25">
        <v>56852.552665000003</v>
      </c>
      <c r="D25" s="4">
        <f t="shared" si="0"/>
        <v>56852.552665000003</v>
      </c>
      <c r="E25" s="4">
        <f>+VLOOKUP(A25,Sheet3!A:B,2,FALSE)</f>
        <v>56852.9</v>
      </c>
      <c r="F25" s="4">
        <f t="shared" si="1"/>
        <v>0.34733499999856576</v>
      </c>
    </row>
    <row r="26" spans="1:6" x14ac:dyDescent="0.25">
      <c r="A26" t="s">
        <v>324</v>
      </c>
      <c r="B26">
        <v>6611.6540519999999</v>
      </c>
      <c r="D26" s="4">
        <f t="shared" si="0"/>
        <v>6611.6540519999999</v>
      </c>
      <c r="E26" s="4">
        <f>+VLOOKUP(A26,Sheet3!A:B,2,FALSE)</f>
        <v>6612</v>
      </c>
      <c r="F26" s="4">
        <f t="shared" si="1"/>
        <v>0.34594800000013493</v>
      </c>
    </row>
    <row r="27" spans="1:6" x14ac:dyDescent="0.25">
      <c r="A27" t="s">
        <v>248</v>
      </c>
      <c r="B27">
        <v>36765.359100000001</v>
      </c>
      <c r="D27" s="4">
        <f t="shared" si="0"/>
        <v>36765.359100000001</v>
      </c>
      <c r="E27" s="4">
        <f>+VLOOKUP(A27,Sheet3!A:B,2,FALSE)</f>
        <v>36765.700000000004</v>
      </c>
      <c r="F27" s="4">
        <f t="shared" si="1"/>
        <v>0.34090000000287546</v>
      </c>
    </row>
    <row r="28" spans="1:6" x14ac:dyDescent="0.25">
      <c r="A28" t="s">
        <v>665</v>
      </c>
      <c r="B28">
        <v>30277.274669999999</v>
      </c>
      <c r="D28" s="4">
        <f t="shared" si="0"/>
        <v>30277.274669999999</v>
      </c>
      <c r="E28" s="4">
        <f>+VLOOKUP(A28,Sheet3!A:B,2,FALSE)</f>
        <v>30277.600000000006</v>
      </c>
      <c r="F28" s="4">
        <f t="shared" si="1"/>
        <v>0.32533000000694301</v>
      </c>
    </row>
    <row r="29" spans="1:6" x14ac:dyDescent="0.25">
      <c r="A29" t="s">
        <v>249</v>
      </c>
      <c r="B29">
        <v>142939.235082</v>
      </c>
      <c r="D29" s="4">
        <f t="shared" si="0"/>
        <v>142939.235082</v>
      </c>
      <c r="E29" s="4">
        <f>+VLOOKUP(A29,Sheet3!A:B,2,FALSE)</f>
        <v>142939.56</v>
      </c>
      <c r="F29" s="4">
        <f t="shared" si="1"/>
        <v>0.32491799999843352</v>
      </c>
    </row>
    <row r="30" spans="1:6" x14ac:dyDescent="0.25">
      <c r="A30" t="s">
        <v>687</v>
      </c>
      <c r="B30">
        <v>100819.78053</v>
      </c>
      <c r="D30" s="4">
        <f t="shared" si="0"/>
        <v>100819.78053</v>
      </c>
      <c r="E30" s="4">
        <f>+VLOOKUP(A30,Sheet3!A:B,2,FALSE)</f>
        <v>100820.1</v>
      </c>
      <c r="F30" s="4">
        <f t="shared" si="1"/>
        <v>0.31947000000218395</v>
      </c>
    </row>
    <row r="31" spans="1:6" x14ac:dyDescent="0.25">
      <c r="A31" t="s">
        <v>395</v>
      </c>
      <c r="B31">
        <v>62810.034540000001</v>
      </c>
      <c r="D31" s="4">
        <f t="shared" si="0"/>
        <v>62810.034540000001</v>
      </c>
      <c r="E31" s="4">
        <f>+VLOOKUP(A31,Sheet3!A:B,2,FALSE)</f>
        <v>62810.35</v>
      </c>
      <c r="F31" s="4">
        <f t="shared" si="1"/>
        <v>0.31545999999798369</v>
      </c>
    </row>
    <row r="32" spans="1:6" x14ac:dyDescent="0.25">
      <c r="A32" t="s">
        <v>6</v>
      </c>
      <c r="B32">
        <v>261832.906884</v>
      </c>
      <c r="D32" s="4">
        <f t="shared" si="0"/>
        <v>261832.906884</v>
      </c>
      <c r="E32" s="4">
        <f>+VLOOKUP(A32,Sheet3!A:B,2,FALSE)</f>
        <v>261833.22</v>
      </c>
      <c r="F32" s="4">
        <f t="shared" si="1"/>
        <v>0.31311600000481121</v>
      </c>
    </row>
    <row r="33" spans="1:6" x14ac:dyDescent="0.25">
      <c r="A33" t="s">
        <v>519</v>
      </c>
      <c r="B33">
        <v>201776.641875</v>
      </c>
      <c r="D33" s="4">
        <f t="shared" si="0"/>
        <v>201776.641875</v>
      </c>
      <c r="E33" s="4">
        <f>+VLOOKUP(A33,Sheet3!A:B,2,FALSE)</f>
        <v>201776.95</v>
      </c>
      <c r="F33" s="4">
        <f t="shared" si="1"/>
        <v>0.30812500001047738</v>
      </c>
    </row>
    <row r="34" spans="1:6" x14ac:dyDescent="0.25">
      <c r="A34" t="s">
        <v>158</v>
      </c>
      <c r="B34">
        <v>276173.63747999998</v>
      </c>
      <c r="D34" s="4">
        <f t="shared" si="0"/>
        <v>276173.63747999998</v>
      </c>
      <c r="E34" s="4">
        <f>+VLOOKUP(A34,Sheet3!A:B,2,FALSE)</f>
        <v>276173.94</v>
      </c>
      <c r="F34" s="4">
        <f t="shared" si="1"/>
        <v>0.30252000002656132</v>
      </c>
    </row>
    <row r="35" spans="1:6" x14ac:dyDescent="0.25">
      <c r="A35" t="s">
        <v>260</v>
      </c>
      <c r="B35">
        <v>42441.754014999999</v>
      </c>
      <c r="D35" s="4">
        <f t="shared" si="0"/>
        <v>42441.754014999999</v>
      </c>
      <c r="E35" s="4">
        <f>+VLOOKUP(A35,Sheet3!A:B,2,FALSE)</f>
        <v>42442.05</v>
      </c>
      <c r="F35" s="4">
        <f t="shared" si="1"/>
        <v>0.2959850000042934</v>
      </c>
    </row>
    <row r="36" spans="1:6" x14ac:dyDescent="0.25">
      <c r="A36" t="s">
        <v>76</v>
      </c>
      <c r="B36">
        <v>430586.108832</v>
      </c>
      <c r="D36" s="4">
        <f t="shared" si="0"/>
        <v>430586.108832</v>
      </c>
      <c r="E36" s="4">
        <f>+VLOOKUP(A36,Sheet3!A:B,2,FALSE)</f>
        <v>430586.40000000008</v>
      </c>
      <c r="F36" s="4">
        <f t="shared" si="1"/>
        <v>0.2911680000834167</v>
      </c>
    </row>
    <row r="37" spans="1:6" x14ac:dyDescent="0.25">
      <c r="A37" t="s">
        <v>183</v>
      </c>
      <c r="B37">
        <v>56674.870404000001</v>
      </c>
      <c r="D37" s="4">
        <f t="shared" si="0"/>
        <v>56674.870404000001</v>
      </c>
      <c r="E37" s="4">
        <f>+VLOOKUP(A37,Sheet3!A:B,2,FALSE)</f>
        <v>56675.16</v>
      </c>
      <c r="F37" s="4">
        <f t="shared" si="1"/>
        <v>0.28959600000234786</v>
      </c>
    </row>
    <row r="38" spans="1:6" x14ac:dyDescent="0.25">
      <c r="A38" t="s">
        <v>370</v>
      </c>
      <c r="B38">
        <v>93731.229187999998</v>
      </c>
      <c r="D38" s="4">
        <f t="shared" si="0"/>
        <v>93731.229187999998</v>
      </c>
      <c r="E38" s="4">
        <f>+VLOOKUP(A38,Sheet3!A:B,2,FALSE)</f>
        <v>93731.48</v>
      </c>
      <c r="F38" s="4">
        <f t="shared" si="1"/>
        <v>0.25081199999840464</v>
      </c>
    </row>
    <row r="39" spans="1:6" x14ac:dyDescent="0.25">
      <c r="A39" t="s">
        <v>691</v>
      </c>
      <c r="B39">
        <v>62106.909776</v>
      </c>
      <c r="D39" s="4">
        <f t="shared" si="0"/>
        <v>62106.909776</v>
      </c>
      <c r="E39" s="4">
        <f>+VLOOKUP(A39,Sheet3!A:B,2,FALSE)</f>
        <v>62107.16</v>
      </c>
      <c r="F39" s="4">
        <f t="shared" si="1"/>
        <v>0.25022400000307243</v>
      </c>
    </row>
    <row r="40" spans="1:6" x14ac:dyDescent="0.25">
      <c r="A40" t="s">
        <v>666</v>
      </c>
      <c r="B40">
        <v>250927.27615200001</v>
      </c>
      <c r="D40" s="4">
        <f t="shared" si="0"/>
        <v>250927.27615200001</v>
      </c>
      <c r="E40" s="4">
        <f>+VLOOKUP(A40,Sheet3!A:B,2,FALSE)</f>
        <v>250927.52</v>
      </c>
      <c r="F40" s="4">
        <f t="shared" si="1"/>
        <v>0.24384799998369999</v>
      </c>
    </row>
    <row r="41" spans="1:6" x14ac:dyDescent="0.25">
      <c r="A41" t="s">
        <v>438</v>
      </c>
      <c r="B41">
        <v>47229.058669999999</v>
      </c>
      <c r="D41" s="4">
        <f t="shared" si="0"/>
        <v>47229.058669999999</v>
      </c>
      <c r="E41" s="4">
        <f>+VLOOKUP(A41,Sheet3!A:B,2,FALSE)</f>
        <v>47229.3</v>
      </c>
      <c r="F41" s="4">
        <f t="shared" si="1"/>
        <v>0.24133000000438187</v>
      </c>
    </row>
    <row r="42" spans="1:6" x14ac:dyDescent="0.25">
      <c r="A42" t="s">
        <v>239</v>
      </c>
      <c r="B42">
        <v>42107.640751999999</v>
      </c>
      <c r="D42" s="4">
        <f t="shared" si="0"/>
        <v>42107.640751999999</v>
      </c>
      <c r="E42" s="4">
        <f>+VLOOKUP(A42,Sheet3!A:B,2,FALSE)</f>
        <v>42107.88</v>
      </c>
      <c r="F42" s="4">
        <f t="shared" si="1"/>
        <v>0.23924799999804236</v>
      </c>
    </row>
    <row r="43" spans="1:6" x14ac:dyDescent="0.25">
      <c r="A43" t="s">
        <v>885</v>
      </c>
      <c r="B43">
        <v>15639.569595999999</v>
      </c>
      <c r="D43" s="4">
        <f t="shared" si="0"/>
        <v>15639.569595999999</v>
      </c>
      <c r="E43" s="4">
        <f>+VLOOKUP(A43,Sheet3!A:B,2,FALSE)</f>
        <v>15639.8</v>
      </c>
      <c r="F43" s="4">
        <f t="shared" si="1"/>
        <v>0.23040399999990768</v>
      </c>
    </row>
    <row r="44" spans="1:6" x14ac:dyDescent="0.25">
      <c r="A44" t="s">
        <v>112</v>
      </c>
      <c r="B44">
        <v>400550.27020000003</v>
      </c>
      <c r="D44" s="4">
        <f t="shared" si="0"/>
        <v>400550.27020000003</v>
      </c>
      <c r="E44" s="4">
        <f>+VLOOKUP(A44,Sheet3!A:B,2,FALSE)</f>
        <v>400550.49999999994</v>
      </c>
      <c r="F44" s="4">
        <f t="shared" si="1"/>
        <v>0.2297999999136664</v>
      </c>
    </row>
    <row r="45" spans="1:6" x14ac:dyDescent="0.25">
      <c r="A45" t="s">
        <v>827</v>
      </c>
      <c r="B45">
        <v>104711.81644</v>
      </c>
      <c r="D45" s="4">
        <f t="shared" si="0"/>
        <v>104711.81644</v>
      </c>
      <c r="E45" s="4">
        <f>+VLOOKUP(A45,Sheet3!A:B,2,FALSE)</f>
        <v>104712.04</v>
      </c>
      <c r="F45" s="4">
        <f t="shared" si="1"/>
        <v>0.22355999999854248</v>
      </c>
    </row>
    <row r="46" spans="1:6" x14ac:dyDescent="0.25">
      <c r="A46" t="s">
        <v>903</v>
      </c>
      <c r="B46">
        <v>18908.529419999999</v>
      </c>
      <c r="D46" s="4">
        <f t="shared" si="0"/>
        <v>18908.529419999999</v>
      </c>
      <c r="E46" s="4">
        <f>+VLOOKUP(A46,Sheet3!A:B,2,FALSE)</f>
        <v>18908.75</v>
      </c>
      <c r="F46" s="4">
        <f t="shared" si="1"/>
        <v>0.22058000000106404</v>
      </c>
    </row>
    <row r="47" spans="1:6" x14ac:dyDescent="0.25">
      <c r="A47" t="s">
        <v>637</v>
      </c>
      <c r="B47">
        <v>221751.264868</v>
      </c>
      <c r="D47" s="4">
        <f t="shared" si="0"/>
        <v>221751.264868</v>
      </c>
      <c r="E47" s="4">
        <f>+VLOOKUP(A47,Sheet3!A:B,2,FALSE)</f>
        <v>221751.48</v>
      </c>
      <c r="F47" s="4">
        <f t="shared" si="1"/>
        <v>0.21513200001209043</v>
      </c>
    </row>
    <row r="48" spans="1:6" x14ac:dyDescent="0.25">
      <c r="A48" t="s">
        <v>753</v>
      </c>
      <c r="B48">
        <v>66746.066667999999</v>
      </c>
      <c r="D48" s="4">
        <f t="shared" si="0"/>
        <v>66746.066667999999</v>
      </c>
      <c r="E48" s="4">
        <f>+VLOOKUP(A48,Sheet3!A:B,2,FALSE)</f>
        <v>66746.28</v>
      </c>
      <c r="F48" s="4">
        <f t="shared" si="1"/>
        <v>0.21333199999935459</v>
      </c>
    </row>
    <row r="49" spans="1:6" x14ac:dyDescent="0.25">
      <c r="A49" t="s">
        <v>520</v>
      </c>
      <c r="B49">
        <v>15138.637334999999</v>
      </c>
      <c r="D49" s="4">
        <f t="shared" si="0"/>
        <v>15138.637334999999</v>
      </c>
      <c r="E49" s="4">
        <f>+VLOOKUP(A49,Sheet3!A:B,2,FALSE)</f>
        <v>15138.85</v>
      </c>
      <c r="F49" s="4">
        <f t="shared" si="1"/>
        <v>0.21266500000092492</v>
      </c>
    </row>
    <row r="50" spans="1:6" x14ac:dyDescent="0.25">
      <c r="A50" t="s">
        <v>767</v>
      </c>
      <c r="B50">
        <v>95714.589611999996</v>
      </c>
      <c r="D50" s="4">
        <f t="shared" si="0"/>
        <v>95714.589611999996</v>
      </c>
      <c r="E50" s="4">
        <f>+VLOOKUP(A50,Sheet3!A:B,2,FALSE)</f>
        <v>95714.8</v>
      </c>
      <c r="F50" s="4">
        <f t="shared" si="1"/>
        <v>0.21038800000678748</v>
      </c>
    </row>
    <row r="51" spans="1:6" x14ac:dyDescent="0.25">
      <c r="A51" t="s">
        <v>422</v>
      </c>
      <c r="B51">
        <v>241124.74199000001</v>
      </c>
      <c r="D51" s="4">
        <f t="shared" si="0"/>
        <v>241124.74199000001</v>
      </c>
      <c r="E51" s="4">
        <f>+VLOOKUP(A51,Sheet3!A:B,2,FALSE)</f>
        <v>241124.94999999998</v>
      </c>
      <c r="F51" s="4">
        <f t="shared" si="1"/>
        <v>0.20800999997300096</v>
      </c>
    </row>
    <row r="52" spans="1:6" x14ac:dyDescent="0.25">
      <c r="A52" t="s">
        <v>752</v>
      </c>
      <c r="B52">
        <v>156829.54759500001</v>
      </c>
      <c r="D52" s="4">
        <f t="shared" si="0"/>
        <v>156829.54759500001</v>
      </c>
      <c r="E52" s="4">
        <f>+VLOOKUP(A52,Sheet3!A:B,2,FALSE)</f>
        <v>156829.75</v>
      </c>
      <c r="F52" s="4">
        <f t="shared" si="1"/>
        <v>0.2024049999890849</v>
      </c>
    </row>
    <row r="53" spans="1:6" x14ac:dyDescent="0.25">
      <c r="A53" t="s">
        <v>396</v>
      </c>
      <c r="B53">
        <v>156829.54759500001</v>
      </c>
      <c r="D53" s="4">
        <f t="shared" si="0"/>
        <v>156829.54759500001</v>
      </c>
      <c r="E53" s="4">
        <f>+VLOOKUP(A53,Sheet3!A:B,2,FALSE)</f>
        <v>156829.75</v>
      </c>
      <c r="F53" s="4">
        <f t="shared" si="1"/>
        <v>0.2024049999890849</v>
      </c>
    </row>
    <row r="54" spans="1:6" x14ac:dyDescent="0.25">
      <c r="A54" t="s">
        <v>626</v>
      </c>
      <c r="B54">
        <v>287057.40588799998</v>
      </c>
      <c r="D54" s="4">
        <f t="shared" si="0"/>
        <v>287057.40588799998</v>
      </c>
      <c r="E54" s="4">
        <f>+VLOOKUP(A54,Sheet3!A:B,2,FALSE)</f>
        <v>287057.60000000003</v>
      </c>
      <c r="F54" s="4">
        <f t="shared" si="1"/>
        <v>0.19411200005561113</v>
      </c>
    </row>
    <row r="55" spans="1:6" x14ac:dyDescent="0.25">
      <c r="A55" t="s">
        <v>254</v>
      </c>
      <c r="B55">
        <v>151470.56367500001</v>
      </c>
      <c r="D55" s="4">
        <f t="shared" si="0"/>
        <v>151470.56367500001</v>
      </c>
      <c r="E55" s="4">
        <f>+VLOOKUP(A55,Sheet3!A:B,2,FALSE)</f>
        <v>151470.75</v>
      </c>
      <c r="F55" s="4">
        <f t="shared" si="1"/>
        <v>0.18632499998784624</v>
      </c>
    </row>
    <row r="56" spans="1:6" x14ac:dyDescent="0.25">
      <c r="A56" t="s">
        <v>380</v>
      </c>
      <c r="B56">
        <v>138266.87734199999</v>
      </c>
      <c r="D56" s="4">
        <f t="shared" si="0"/>
        <v>138266.87734199999</v>
      </c>
      <c r="E56" s="4">
        <f>+VLOOKUP(A56,Sheet3!A:B,2,FALSE)</f>
        <v>138267.06</v>
      </c>
      <c r="F56" s="4">
        <f t="shared" si="1"/>
        <v>0.18265800000517629</v>
      </c>
    </row>
    <row r="57" spans="1:6" x14ac:dyDescent="0.25">
      <c r="A57" t="s">
        <v>432</v>
      </c>
      <c r="B57">
        <v>68415.818239999993</v>
      </c>
      <c r="D57" s="4">
        <f t="shared" si="0"/>
        <v>68415.818239999993</v>
      </c>
      <c r="E57" s="4">
        <f>+VLOOKUP(A57,Sheet3!A:B,2,FALSE)</f>
        <v>68416</v>
      </c>
      <c r="F57" s="4">
        <f t="shared" si="1"/>
        <v>0.1817600000067614</v>
      </c>
    </row>
    <row r="58" spans="1:6" x14ac:dyDescent="0.25">
      <c r="A58" t="s">
        <v>407</v>
      </c>
      <c r="B58">
        <v>217070.42019999999</v>
      </c>
      <c r="D58" s="4">
        <f t="shared" si="0"/>
        <v>217070.42019999999</v>
      </c>
      <c r="E58" s="4">
        <f>+VLOOKUP(A58,Sheet3!A:B,2,FALSE)</f>
        <v>217070.6</v>
      </c>
      <c r="F58" s="4">
        <f t="shared" si="1"/>
        <v>0.17980000001261942</v>
      </c>
    </row>
    <row r="59" spans="1:6" x14ac:dyDescent="0.25">
      <c r="A59" t="s">
        <v>259</v>
      </c>
      <c r="B59">
        <v>217070.42019999999</v>
      </c>
      <c r="D59" s="4">
        <f t="shared" si="0"/>
        <v>217070.42019999999</v>
      </c>
      <c r="E59" s="4">
        <f>+VLOOKUP(A59,Sheet3!A:B,2,FALSE)</f>
        <v>217070.6</v>
      </c>
      <c r="F59" s="4">
        <f t="shared" si="1"/>
        <v>0.17980000001261942</v>
      </c>
    </row>
    <row r="60" spans="1:6" x14ac:dyDescent="0.25">
      <c r="A60" t="s">
        <v>270</v>
      </c>
      <c r="B60">
        <v>130633.12593900001</v>
      </c>
      <c r="D60" s="4">
        <f t="shared" si="0"/>
        <v>130633.12593900001</v>
      </c>
      <c r="E60" s="4">
        <f>+VLOOKUP(A60,Sheet3!A:B,2,FALSE)</f>
        <v>130633.29000000001</v>
      </c>
      <c r="F60" s="4">
        <f t="shared" si="1"/>
        <v>0.16406100000313018</v>
      </c>
    </row>
    <row r="61" spans="1:6" x14ac:dyDescent="0.25">
      <c r="A61" t="s">
        <v>855</v>
      </c>
      <c r="B61">
        <v>345772.80464799999</v>
      </c>
      <c r="D61" s="4">
        <f t="shared" si="0"/>
        <v>345772.80464799999</v>
      </c>
      <c r="E61" s="4">
        <f>+VLOOKUP(A61,Sheet3!A:B,2,FALSE)</f>
        <v>345772.96</v>
      </c>
      <c r="F61" s="4">
        <f t="shared" si="1"/>
        <v>0.15535200003068894</v>
      </c>
    </row>
    <row r="62" spans="1:6" x14ac:dyDescent="0.25">
      <c r="A62" t="s">
        <v>890</v>
      </c>
      <c r="B62">
        <v>164584.96755599999</v>
      </c>
      <c r="D62" s="4">
        <f t="shared" si="0"/>
        <v>164584.96755599999</v>
      </c>
      <c r="E62" s="4">
        <f>+VLOOKUP(A62,Sheet3!A:B,2,FALSE)</f>
        <v>164585.12</v>
      </c>
      <c r="F62" s="4">
        <f t="shared" si="1"/>
        <v>0.15244400000665337</v>
      </c>
    </row>
    <row r="63" spans="1:6" x14ac:dyDescent="0.25">
      <c r="A63" t="s">
        <v>82</v>
      </c>
      <c r="B63">
        <v>31898.888408999999</v>
      </c>
      <c r="D63" s="4">
        <f t="shared" si="0"/>
        <v>31898.888408999999</v>
      </c>
      <c r="E63" s="4">
        <f>+VLOOKUP(A63,Sheet3!A:B,2,FALSE)</f>
        <v>31899.03</v>
      </c>
      <c r="F63" s="4">
        <f t="shared" si="1"/>
        <v>0.14159099999960745</v>
      </c>
    </row>
    <row r="64" spans="1:6" x14ac:dyDescent="0.25">
      <c r="A64" t="s">
        <v>61</v>
      </c>
      <c r="B64">
        <v>97525.359930000006</v>
      </c>
      <c r="D64" s="4">
        <f t="shared" si="0"/>
        <v>97525.359930000006</v>
      </c>
      <c r="E64" s="4">
        <f>+VLOOKUP(A64,Sheet3!A:B,2,FALSE)</f>
        <v>97525.5</v>
      </c>
      <c r="F64" s="4">
        <f t="shared" si="1"/>
        <v>0.1400699999940116</v>
      </c>
    </row>
    <row r="65" spans="1:6" x14ac:dyDescent="0.25">
      <c r="A65" t="s">
        <v>841</v>
      </c>
      <c r="B65">
        <v>184416.942316</v>
      </c>
      <c r="D65" s="4">
        <f t="shared" si="0"/>
        <v>184416.942316</v>
      </c>
      <c r="E65" s="4">
        <f>+VLOOKUP(A65,Sheet3!A:B,2,FALSE)</f>
        <v>184417.08</v>
      </c>
      <c r="F65" s="4">
        <f t="shared" si="1"/>
        <v>0.13768399998662062</v>
      </c>
    </row>
    <row r="66" spans="1:6" x14ac:dyDescent="0.25">
      <c r="A66" t="s">
        <v>696</v>
      </c>
      <c r="B66">
        <v>105001.322426</v>
      </c>
      <c r="D66" s="4">
        <f t="shared" ref="D66:D129" si="2">+B66+C66</f>
        <v>105001.322426</v>
      </c>
      <c r="E66" s="4">
        <f>+VLOOKUP(A66,Sheet3!A:B,2,FALSE)</f>
        <v>105001.46</v>
      </c>
      <c r="F66" s="4">
        <f t="shared" ref="F66:F129" si="3">+ABS(E66-D66)</f>
        <v>0.13757400000758935</v>
      </c>
    </row>
    <row r="67" spans="1:6" x14ac:dyDescent="0.25">
      <c r="A67" t="s">
        <v>499</v>
      </c>
      <c r="B67">
        <v>7603.0626819999998</v>
      </c>
      <c r="D67" s="4">
        <f t="shared" si="2"/>
        <v>7603.0626819999998</v>
      </c>
      <c r="E67" s="4">
        <f>+VLOOKUP(A67,Sheet3!A:B,2,FALSE)</f>
        <v>7603.2</v>
      </c>
      <c r="F67" s="4">
        <f t="shared" si="3"/>
        <v>0.13731800000005023</v>
      </c>
    </row>
    <row r="68" spans="1:6" x14ac:dyDescent="0.25">
      <c r="A68" t="s">
        <v>184</v>
      </c>
      <c r="B68">
        <v>80900.084916000007</v>
      </c>
      <c r="D68" s="4">
        <f t="shared" si="2"/>
        <v>80900.084916000007</v>
      </c>
      <c r="E68" s="4">
        <f>+VLOOKUP(A68,Sheet3!A:B,2,FALSE)</f>
        <v>80900.22</v>
      </c>
      <c r="F68" s="4">
        <f t="shared" si="3"/>
        <v>0.13508399999409448</v>
      </c>
    </row>
    <row r="69" spans="1:6" x14ac:dyDescent="0.25">
      <c r="A69" t="s">
        <v>719</v>
      </c>
      <c r="B69">
        <v>82312.852398000003</v>
      </c>
      <c r="D69" s="4">
        <f t="shared" si="2"/>
        <v>82312.852398000003</v>
      </c>
      <c r="E69" s="4">
        <f>+VLOOKUP(A69,Sheet3!A:B,2,FALSE)</f>
        <v>82312.98</v>
      </c>
      <c r="F69" s="4">
        <f t="shared" si="3"/>
        <v>0.12760199999320321</v>
      </c>
    </row>
    <row r="70" spans="1:6" x14ac:dyDescent="0.25">
      <c r="A70" t="s">
        <v>19</v>
      </c>
      <c r="B70">
        <v>144674.84519399999</v>
      </c>
      <c r="D70" s="4">
        <f t="shared" si="2"/>
        <v>144674.84519399999</v>
      </c>
      <c r="E70" s="4">
        <f>+VLOOKUP(A70,Sheet3!A:B,2,FALSE)</f>
        <v>144674.97</v>
      </c>
      <c r="F70" s="4">
        <f t="shared" si="3"/>
        <v>0.12480600000708364</v>
      </c>
    </row>
    <row r="71" spans="1:6" x14ac:dyDescent="0.25">
      <c r="A71" t="s">
        <v>826</v>
      </c>
      <c r="B71">
        <v>97620.956653999994</v>
      </c>
      <c r="D71" s="4">
        <f t="shared" si="2"/>
        <v>97620.956653999994</v>
      </c>
      <c r="E71" s="4">
        <f>+VLOOKUP(A71,Sheet3!A:B,2,FALSE)</f>
        <v>97621.08</v>
      </c>
      <c r="F71" s="4">
        <f t="shared" si="3"/>
        <v>0.12334600000758655</v>
      </c>
    </row>
    <row r="72" spans="1:6" x14ac:dyDescent="0.25">
      <c r="A72" t="s">
        <v>494</v>
      </c>
      <c r="B72">
        <v>40195.977870000002</v>
      </c>
      <c r="D72" s="4">
        <f t="shared" si="2"/>
        <v>40195.977870000002</v>
      </c>
      <c r="E72" s="4">
        <f>+VLOOKUP(A72,Sheet3!A:B,2,FALSE)</f>
        <v>40196.1</v>
      </c>
      <c r="F72" s="4">
        <f t="shared" si="3"/>
        <v>0.12212999999610474</v>
      </c>
    </row>
    <row r="73" spans="1:6" x14ac:dyDescent="0.25">
      <c r="A73" t="s">
        <v>281</v>
      </c>
      <c r="B73">
        <v>92057.879159999997</v>
      </c>
      <c r="D73" s="4">
        <f t="shared" si="2"/>
        <v>92057.879159999997</v>
      </c>
      <c r="E73" s="4">
        <f>+VLOOKUP(A73,Sheet3!A:B,2,FALSE)</f>
        <v>92058</v>
      </c>
      <c r="F73" s="4">
        <f t="shared" si="3"/>
        <v>0.12084000000322703</v>
      </c>
    </row>
    <row r="74" spans="1:6" x14ac:dyDescent="0.25">
      <c r="A74" t="s">
        <v>236</v>
      </c>
      <c r="B74">
        <v>2204.6994279999999</v>
      </c>
      <c r="D74" s="4">
        <f t="shared" si="2"/>
        <v>2204.6994279999999</v>
      </c>
      <c r="E74" s="4">
        <f>+VLOOKUP(A74,Sheet3!A:B,2,FALSE)</f>
        <v>2204.8200000000002</v>
      </c>
      <c r="F74" s="4">
        <f t="shared" si="3"/>
        <v>0.12057200000026569</v>
      </c>
    </row>
    <row r="75" spans="1:6" x14ac:dyDescent="0.25">
      <c r="A75" t="s">
        <v>937</v>
      </c>
      <c r="B75">
        <v>19042.079674000001</v>
      </c>
      <c r="D75" s="4">
        <f t="shared" si="2"/>
        <v>19042.079674000001</v>
      </c>
      <c r="E75" s="4">
        <f>+VLOOKUP(A75,Sheet3!A:B,2,FALSE)</f>
        <v>19042.2</v>
      </c>
      <c r="F75" s="4">
        <f t="shared" si="3"/>
        <v>0.12032600000020466</v>
      </c>
    </row>
    <row r="76" spans="1:6" x14ac:dyDescent="0.25">
      <c r="A76" t="s">
        <v>754</v>
      </c>
      <c r="B76">
        <v>74775.240881999998</v>
      </c>
      <c r="D76" s="4">
        <f t="shared" si="2"/>
        <v>74775.240881999998</v>
      </c>
      <c r="E76" s="4">
        <f>+VLOOKUP(A76,Sheet3!A:B,2,FALSE)</f>
        <v>74775.360000000001</v>
      </c>
      <c r="F76" s="4">
        <f t="shared" si="3"/>
        <v>0.11911800000234507</v>
      </c>
    </row>
    <row r="77" spans="1:6" x14ac:dyDescent="0.25">
      <c r="A77" t="s">
        <v>274</v>
      </c>
      <c r="B77">
        <v>24949.522637999999</v>
      </c>
      <c r="D77" s="4">
        <f t="shared" si="2"/>
        <v>24949.522637999999</v>
      </c>
      <c r="E77" s="4">
        <f>+VLOOKUP(A77,Sheet3!A:B,2,FALSE)</f>
        <v>24949.64</v>
      </c>
      <c r="F77" s="4">
        <f t="shared" si="3"/>
        <v>0.11736200000086683</v>
      </c>
    </row>
    <row r="78" spans="1:6" x14ac:dyDescent="0.25">
      <c r="A78" t="s">
        <v>533</v>
      </c>
      <c r="B78">
        <v>9474.1241160000009</v>
      </c>
      <c r="D78" s="4">
        <f t="shared" si="2"/>
        <v>9474.1241160000009</v>
      </c>
      <c r="E78" s="4">
        <f>+VLOOKUP(A78,Sheet3!A:B,2,FALSE)</f>
        <v>9474.24</v>
      </c>
      <c r="F78" s="4">
        <f t="shared" si="3"/>
        <v>0.11588399999891408</v>
      </c>
    </row>
    <row r="79" spans="1:6" x14ac:dyDescent="0.25">
      <c r="A79" t="s">
        <v>549</v>
      </c>
      <c r="B79">
        <v>114453.516327</v>
      </c>
      <c r="D79" s="4">
        <f t="shared" si="2"/>
        <v>114453.516327</v>
      </c>
      <c r="E79" s="4">
        <f>+VLOOKUP(A79,Sheet3!A:B,2,FALSE)</f>
        <v>114453.63</v>
      </c>
      <c r="F79" s="4">
        <f t="shared" si="3"/>
        <v>0.11367299999983516</v>
      </c>
    </row>
    <row r="80" spans="1:6" x14ac:dyDescent="0.25">
      <c r="A80" t="s">
        <v>375</v>
      </c>
      <c r="B80">
        <v>38338.088144000001</v>
      </c>
      <c r="D80" s="4">
        <f t="shared" si="2"/>
        <v>38338.088144000001</v>
      </c>
      <c r="E80" s="4">
        <f>+VLOOKUP(A80,Sheet3!A:B,2,FALSE)</f>
        <v>38338.199999999997</v>
      </c>
      <c r="F80" s="4">
        <f t="shared" si="3"/>
        <v>0.11185599999589613</v>
      </c>
    </row>
    <row r="81" spans="1:6" x14ac:dyDescent="0.25">
      <c r="A81" t="s">
        <v>860</v>
      </c>
      <c r="B81">
        <v>4709.6323160000002</v>
      </c>
      <c r="D81" s="4">
        <f t="shared" si="2"/>
        <v>4709.6323160000002</v>
      </c>
      <c r="E81" s="4">
        <f>+VLOOKUP(A81,Sheet3!A:B,2,FALSE)</f>
        <v>4709.74</v>
      </c>
      <c r="F81" s="4">
        <f t="shared" si="3"/>
        <v>0.1076839999996082</v>
      </c>
    </row>
    <row r="82" spans="1:6" x14ac:dyDescent="0.25">
      <c r="A82" t="s">
        <v>875</v>
      </c>
      <c r="B82">
        <v>137878.040385</v>
      </c>
      <c r="D82" s="4">
        <f t="shared" si="2"/>
        <v>137878.040385</v>
      </c>
      <c r="E82" s="4">
        <f>+VLOOKUP(A82,Sheet3!A:B,2,FALSE)</f>
        <v>137878.13999999998</v>
      </c>
      <c r="F82" s="4">
        <f t="shared" si="3"/>
        <v>9.9614999984623864E-2</v>
      </c>
    </row>
    <row r="83" spans="1:6" x14ac:dyDescent="0.25">
      <c r="A83" t="s">
        <v>688</v>
      </c>
      <c r="B83">
        <v>21793.201282000002</v>
      </c>
      <c r="D83" s="4">
        <f t="shared" si="2"/>
        <v>21793.201282000002</v>
      </c>
      <c r="E83" s="4">
        <f>+VLOOKUP(A83,Sheet3!A:B,2,FALSE)</f>
        <v>21793.3</v>
      </c>
      <c r="F83" s="4">
        <f t="shared" si="3"/>
        <v>9.8717999997461447E-2</v>
      </c>
    </row>
    <row r="84" spans="1:6" x14ac:dyDescent="0.25">
      <c r="A84" t="s">
        <v>557</v>
      </c>
      <c r="B84">
        <v>31765.541843999999</v>
      </c>
      <c r="D84" s="4">
        <f t="shared" si="2"/>
        <v>31765.541843999999</v>
      </c>
      <c r="E84" s="4">
        <f>+VLOOKUP(A84,Sheet3!A:B,2,FALSE)</f>
        <v>31765.64</v>
      </c>
      <c r="F84" s="4">
        <f t="shared" si="3"/>
        <v>9.8156000000017229E-2</v>
      </c>
    </row>
    <row r="85" spans="1:6" x14ac:dyDescent="0.25">
      <c r="A85" t="s">
        <v>352</v>
      </c>
      <c r="B85">
        <v>6078.2677880000001</v>
      </c>
      <c r="D85" s="4">
        <f t="shared" si="2"/>
        <v>6078.2677880000001</v>
      </c>
      <c r="E85" s="4">
        <f>+VLOOKUP(A85,Sheet3!A:B,2,FALSE)</f>
        <v>6078.36</v>
      </c>
      <c r="F85" s="4">
        <f t="shared" si="3"/>
        <v>9.2211999999562977E-2</v>
      </c>
    </row>
    <row r="86" spans="1:6" x14ac:dyDescent="0.25">
      <c r="A86" t="s">
        <v>906</v>
      </c>
      <c r="B86">
        <v>86828.168080000003</v>
      </c>
      <c r="D86" s="4">
        <f t="shared" si="2"/>
        <v>86828.168080000003</v>
      </c>
      <c r="E86" s="4">
        <f>+VLOOKUP(A86,Sheet3!A:B,2,FALSE)</f>
        <v>86828.26</v>
      </c>
      <c r="F86" s="4">
        <f t="shared" si="3"/>
        <v>9.1919999991660006E-2</v>
      </c>
    </row>
    <row r="87" spans="1:6" x14ac:dyDescent="0.25">
      <c r="A87" t="s">
        <v>747</v>
      </c>
      <c r="B87">
        <v>14507.889072</v>
      </c>
      <c r="D87" s="4">
        <f t="shared" si="2"/>
        <v>14507.889072</v>
      </c>
      <c r="E87" s="4">
        <f>+VLOOKUP(A87,Sheet3!A:B,2,FALSE)</f>
        <v>14507.98</v>
      </c>
      <c r="F87" s="4">
        <f t="shared" si="3"/>
        <v>9.0927999999621534E-2</v>
      </c>
    </row>
    <row r="88" spans="1:6" x14ac:dyDescent="0.25">
      <c r="A88" t="s">
        <v>109</v>
      </c>
      <c r="B88">
        <v>87100.292843999996</v>
      </c>
      <c r="D88" s="4">
        <f t="shared" si="2"/>
        <v>87100.292843999996</v>
      </c>
      <c r="E88" s="4">
        <f>+VLOOKUP(A88,Sheet3!A:B,2,FALSE)</f>
        <v>87100.38</v>
      </c>
      <c r="F88" s="4">
        <f t="shared" si="3"/>
        <v>8.7156000008690171E-2</v>
      </c>
    </row>
    <row r="89" spans="1:6" x14ac:dyDescent="0.25">
      <c r="A89" t="s">
        <v>443</v>
      </c>
      <c r="B89">
        <v>61693.019418000003</v>
      </c>
      <c r="D89" s="4">
        <f t="shared" si="2"/>
        <v>61693.019418000003</v>
      </c>
      <c r="E89" s="4">
        <f>+VLOOKUP(A89,Sheet3!A:B,2,FALSE)</f>
        <v>61693.1</v>
      </c>
      <c r="F89" s="4">
        <f t="shared" si="3"/>
        <v>8.0581999995047227E-2</v>
      </c>
    </row>
    <row r="90" spans="1:6" x14ac:dyDescent="0.25">
      <c r="A90" t="s">
        <v>537</v>
      </c>
      <c r="B90">
        <v>9454.8418220000003</v>
      </c>
      <c r="D90" s="4">
        <f t="shared" si="2"/>
        <v>9454.8418220000003</v>
      </c>
      <c r="E90" s="4">
        <f>+VLOOKUP(A90,Sheet3!A:B,2,FALSE)</f>
        <v>9454.92</v>
      </c>
      <c r="F90" s="4">
        <f t="shared" si="3"/>
        <v>7.8177999999752501E-2</v>
      </c>
    </row>
    <row r="91" spans="1:6" x14ac:dyDescent="0.25">
      <c r="A91" t="s">
        <v>744</v>
      </c>
      <c r="B91">
        <v>37084.60327</v>
      </c>
      <c r="D91" s="4">
        <f t="shared" si="2"/>
        <v>37084.60327</v>
      </c>
      <c r="E91" s="4">
        <f>+VLOOKUP(A91,Sheet3!A:B,2,FALSE)</f>
        <v>37084.68</v>
      </c>
      <c r="F91" s="4">
        <f t="shared" si="3"/>
        <v>7.6730000000679865E-2</v>
      </c>
    </row>
    <row r="92" spans="1:6" x14ac:dyDescent="0.25">
      <c r="A92" t="s">
        <v>464</v>
      </c>
      <c r="B92">
        <v>394240.88647199998</v>
      </c>
      <c r="D92" s="4">
        <f t="shared" si="2"/>
        <v>394240.88647199998</v>
      </c>
      <c r="E92" s="4">
        <f>+VLOOKUP(A92,Sheet3!A:B,2,FALSE)</f>
        <v>394240.96</v>
      </c>
      <c r="F92" s="4">
        <f t="shared" si="3"/>
        <v>7.3528000037185848E-2</v>
      </c>
    </row>
    <row r="93" spans="1:6" x14ac:dyDescent="0.25">
      <c r="A93" t="s">
        <v>803</v>
      </c>
      <c r="B93">
        <v>67090.567928000004</v>
      </c>
      <c r="D93" s="4">
        <f t="shared" si="2"/>
        <v>67090.567928000004</v>
      </c>
      <c r="E93" s="4">
        <f>+VLOOKUP(A93,Sheet3!A:B,2,FALSE)</f>
        <v>67090.64</v>
      </c>
      <c r="F93" s="4">
        <f t="shared" si="3"/>
        <v>7.2071999995387159E-2</v>
      </c>
    </row>
    <row r="94" spans="1:6" x14ac:dyDescent="0.25">
      <c r="A94" t="s">
        <v>116</v>
      </c>
      <c r="B94">
        <v>46771.918941999997</v>
      </c>
      <c r="D94" s="4">
        <f t="shared" si="2"/>
        <v>46771.918941999997</v>
      </c>
      <c r="E94" s="4">
        <f>+VLOOKUP(A94,Sheet3!A:B,2,FALSE)</f>
        <v>46771.99</v>
      </c>
      <c r="F94" s="4">
        <f t="shared" si="3"/>
        <v>7.1058000001357868E-2</v>
      </c>
    </row>
    <row r="95" spans="1:6" x14ac:dyDescent="0.25">
      <c r="A95" t="s">
        <v>276</v>
      </c>
      <c r="B95">
        <v>44406.239520000003</v>
      </c>
      <c r="D95" s="4">
        <f t="shared" si="2"/>
        <v>44406.239520000003</v>
      </c>
      <c r="E95" s="4">
        <f>+VLOOKUP(A95,Sheet3!A:B,2,FALSE)</f>
        <v>44406.31</v>
      </c>
      <c r="F95" s="4">
        <f t="shared" si="3"/>
        <v>7.0479999994859099E-2</v>
      </c>
    </row>
    <row r="96" spans="1:6" x14ac:dyDescent="0.25">
      <c r="A96" t="s">
        <v>871</v>
      </c>
      <c r="B96">
        <v>7127.3196150000003</v>
      </c>
      <c r="D96" s="4">
        <f t="shared" si="2"/>
        <v>7127.3196150000003</v>
      </c>
      <c r="E96" s="4">
        <f>+VLOOKUP(A96,Sheet3!A:B,2,FALSE)</f>
        <v>7127.39</v>
      </c>
      <c r="F96" s="4">
        <f t="shared" si="3"/>
        <v>7.0384999999987485E-2</v>
      </c>
    </row>
    <row r="97" spans="1:6" x14ac:dyDescent="0.25">
      <c r="A97" t="s">
        <v>674</v>
      </c>
      <c r="B97">
        <v>27508.500263999998</v>
      </c>
      <c r="D97" s="4">
        <f t="shared" si="2"/>
        <v>27508.500263999998</v>
      </c>
      <c r="E97" s="4">
        <f>+VLOOKUP(A97,Sheet3!A:B,2,FALSE)</f>
        <v>27508.57</v>
      </c>
      <c r="F97" s="4">
        <f t="shared" si="3"/>
        <v>6.9736000001284992E-2</v>
      </c>
    </row>
    <row r="98" spans="1:6" x14ac:dyDescent="0.25">
      <c r="A98" t="s">
        <v>681</v>
      </c>
      <c r="B98">
        <v>27508.500263999998</v>
      </c>
      <c r="D98" s="4">
        <f t="shared" si="2"/>
        <v>27508.500263999998</v>
      </c>
      <c r="E98" s="4">
        <f>+VLOOKUP(A98,Sheet3!A:B,2,FALSE)</f>
        <v>27508.57</v>
      </c>
      <c r="F98" s="4">
        <f t="shared" si="3"/>
        <v>6.9736000001284992E-2</v>
      </c>
    </row>
    <row r="99" spans="1:6" x14ac:dyDescent="0.25">
      <c r="A99" t="s">
        <v>330</v>
      </c>
      <c r="B99">
        <v>27508.500263999998</v>
      </c>
      <c r="D99" s="4">
        <f t="shared" si="2"/>
        <v>27508.500263999998</v>
      </c>
      <c r="E99" s="4">
        <f>+VLOOKUP(A99,Sheet3!A:B,2,FALSE)</f>
        <v>27508.57</v>
      </c>
      <c r="F99" s="4">
        <f t="shared" si="3"/>
        <v>6.9736000001284992E-2</v>
      </c>
    </row>
    <row r="100" spans="1:6" x14ac:dyDescent="0.25">
      <c r="A100" t="s">
        <v>582</v>
      </c>
      <c r="B100">
        <v>27508.500263999998</v>
      </c>
      <c r="D100" s="4">
        <f t="shared" si="2"/>
        <v>27508.500263999998</v>
      </c>
      <c r="E100" s="4">
        <f>+VLOOKUP(A100,Sheet3!A:B,2,FALSE)</f>
        <v>27508.57</v>
      </c>
      <c r="F100" s="4">
        <f t="shared" si="3"/>
        <v>6.9736000001284992E-2</v>
      </c>
    </row>
    <row r="101" spans="1:6" x14ac:dyDescent="0.25">
      <c r="A101" t="s">
        <v>889</v>
      </c>
      <c r="B101">
        <v>96968.210279999999</v>
      </c>
      <c r="D101" s="4">
        <f t="shared" si="2"/>
        <v>96968.210279999999</v>
      </c>
      <c r="E101" s="4">
        <f>+VLOOKUP(A101,Sheet3!A:B,2,FALSE)</f>
        <v>96968.28</v>
      </c>
      <c r="F101" s="4">
        <f t="shared" si="3"/>
        <v>6.9719999999506399E-2</v>
      </c>
    </row>
    <row r="102" spans="1:6" x14ac:dyDescent="0.25">
      <c r="A102" t="s">
        <v>329</v>
      </c>
      <c r="B102">
        <v>24357.271063</v>
      </c>
      <c r="D102" s="4">
        <f t="shared" si="2"/>
        <v>24357.271063</v>
      </c>
      <c r="E102" s="4">
        <f>+VLOOKUP(A102,Sheet3!A:B,2,FALSE)</f>
        <v>24357.34</v>
      </c>
      <c r="F102" s="4">
        <f t="shared" si="3"/>
        <v>6.8937000000005355E-2</v>
      </c>
    </row>
    <row r="103" spans="1:6" x14ac:dyDescent="0.25">
      <c r="A103" t="s">
        <v>840</v>
      </c>
      <c r="B103">
        <v>6804.3411969999997</v>
      </c>
      <c r="D103" s="4">
        <f t="shared" si="2"/>
        <v>6804.3411969999997</v>
      </c>
      <c r="E103" s="4">
        <f>+VLOOKUP(A103,Sheet3!A:B,2,FALSE)</f>
        <v>6804.41</v>
      </c>
      <c r="F103" s="4">
        <f t="shared" si="3"/>
        <v>6.8803000000116299E-2</v>
      </c>
    </row>
    <row r="104" spans="1:6" x14ac:dyDescent="0.25">
      <c r="A104" t="s">
        <v>905</v>
      </c>
      <c r="B104">
        <v>8760.6113569999998</v>
      </c>
      <c r="D104" s="4">
        <f t="shared" si="2"/>
        <v>8760.6113569999998</v>
      </c>
      <c r="E104" s="4">
        <f>+VLOOKUP(A104,Sheet3!A:B,2,FALSE)</f>
        <v>8760.68</v>
      </c>
      <c r="F104" s="4">
        <f t="shared" si="3"/>
        <v>6.864300000052026E-2</v>
      </c>
    </row>
    <row r="105" spans="1:6" x14ac:dyDescent="0.25">
      <c r="A105" t="s">
        <v>358</v>
      </c>
      <c r="B105">
        <v>8760.6113569999998</v>
      </c>
      <c r="D105" s="4">
        <f t="shared" si="2"/>
        <v>8760.6113569999998</v>
      </c>
      <c r="E105" s="4">
        <f>+VLOOKUP(A105,Sheet3!A:B,2,FALSE)</f>
        <v>8760.68</v>
      </c>
      <c r="F105" s="4">
        <f t="shared" si="3"/>
        <v>6.864300000052026E-2</v>
      </c>
    </row>
    <row r="106" spans="1:6" x14ac:dyDescent="0.25">
      <c r="A106" t="s">
        <v>214</v>
      </c>
      <c r="B106">
        <v>13937.771398000001</v>
      </c>
      <c r="D106" s="4">
        <f t="shared" si="2"/>
        <v>13937.771398000001</v>
      </c>
      <c r="E106" s="4">
        <f>+VLOOKUP(A106,Sheet3!A:B,2,FALSE)</f>
        <v>13937.84</v>
      </c>
      <c r="F106" s="4">
        <f t="shared" si="3"/>
        <v>6.860199999937322E-2</v>
      </c>
    </row>
    <row r="107" spans="1:6" x14ac:dyDescent="0.25">
      <c r="A107" t="s">
        <v>267</v>
      </c>
      <c r="B107">
        <v>10148.121751000001</v>
      </c>
      <c r="D107" s="4">
        <f t="shared" si="2"/>
        <v>10148.121751000001</v>
      </c>
      <c r="E107" s="4">
        <f>+VLOOKUP(A107,Sheet3!A:B,2,FALSE)</f>
        <v>10148.19</v>
      </c>
      <c r="F107" s="4">
        <f t="shared" si="3"/>
        <v>6.8248999999923399E-2</v>
      </c>
    </row>
    <row r="108" spans="1:6" x14ac:dyDescent="0.25">
      <c r="A108" t="s">
        <v>280</v>
      </c>
      <c r="B108">
        <v>5543.2520370000002</v>
      </c>
      <c r="D108" s="4">
        <f t="shared" si="2"/>
        <v>5543.2520370000002</v>
      </c>
      <c r="E108" s="4">
        <f>+VLOOKUP(A108,Sheet3!A:B,2,FALSE)</f>
        <v>5543.32</v>
      </c>
      <c r="F108" s="4">
        <f t="shared" si="3"/>
        <v>6.7962999999508611E-2</v>
      </c>
    </row>
    <row r="109" spans="1:6" x14ac:dyDescent="0.25">
      <c r="A109" t="s">
        <v>785</v>
      </c>
      <c r="B109">
        <v>43384.142168999999</v>
      </c>
      <c r="D109" s="4">
        <f t="shared" si="2"/>
        <v>43384.142168999999</v>
      </c>
      <c r="E109" s="4">
        <f>+VLOOKUP(A109,Sheet3!A:B,2,FALSE)</f>
        <v>43384.21</v>
      </c>
      <c r="F109" s="4">
        <f t="shared" si="3"/>
        <v>6.7831000000296626E-2</v>
      </c>
    </row>
    <row r="110" spans="1:6" x14ac:dyDescent="0.25">
      <c r="A110" t="s">
        <v>829</v>
      </c>
      <c r="B110">
        <v>23665.892204</v>
      </c>
      <c r="D110" s="4">
        <f t="shared" si="2"/>
        <v>23665.892204</v>
      </c>
      <c r="E110" s="4">
        <f>+VLOOKUP(A110,Sheet3!A:B,2,FALSE)</f>
        <v>23665.96</v>
      </c>
      <c r="F110" s="4">
        <f t="shared" si="3"/>
        <v>6.7795999999361811E-2</v>
      </c>
    </row>
    <row r="111" spans="1:6" x14ac:dyDescent="0.25">
      <c r="A111" t="s">
        <v>503</v>
      </c>
      <c r="B111">
        <v>104065.452232</v>
      </c>
      <c r="D111" s="4">
        <f t="shared" si="2"/>
        <v>104065.452232</v>
      </c>
      <c r="E111" s="4">
        <f>+VLOOKUP(A111,Sheet3!A:B,2,FALSE)</f>
        <v>104065.52</v>
      </c>
      <c r="F111" s="4">
        <f t="shared" si="3"/>
        <v>6.7768000008072704E-2</v>
      </c>
    </row>
    <row r="112" spans="1:6" x14ac:dyDescent="0.25">
      <c r="A112" t="s">
        <v>147</v>
      </c>
      <c r="B112">
        <v>57569.052819999997</v>
      </c>
      <c r="D112" s="4">
        <f t="shared" si="2"/>
        <v>57569.052819999997</v>
      </c>
      <c r="E112" s="4">
        <f>+VLOOKUP(A112,Sheet3!A:B,2,FALSE)</f>
        <v>57569.120000000003</v>
      </c>
      <c r="F112" s="4">
        <f t="shared" si="3"/>
        <v>6.7180000005464535E-2</v>
      </c>
    </row>
    <row r="113" spans="1:6" x14ac:dyDescent="0.25">
      <c r="A113" t="s">
        <v>203</v>
      </c>
      <c r="B113">
        <v>46188.833247000002</v>
      </c>
      <c r="D113" s="4">
        <f t="shared" si="2"/>
        <v>46188.833247000002</v>
      </c>
      <c r="E113" s="4">
        <f>+VLOOKUP(A113,Sheet3!A:B,2,FALSE)</f>
        <v>46188.9</v>
      </c>
      <c r="F113" s="4">
        <f t="shared" si="3"/>
        <v>6.6752999999152962E-2</v>
      </c>
    </row>
    <row r="114" spans="1:6" x14ac:dyDescent="0.25">
      <c r="A114" t="s">
        <v>853</v>
      </c>
      <c r="B114">
        <v>1768.4035879999999</v>
      </c>
      <c r="D114" s="4">
        <f t="shared" si="2"/>
        <v>1768.4035879999999</v>
      </c>
      <c r="E114" s="4">
        <f>+VLOOKUP(A114,Sheet3!A:B,2,FALSE)</f>
        <v>1768.47</v>
      </c>
      <c r="F114" s="4">
        <f t="shared" si="3"/>
        <v>6.6412000000127591E-2</v>
      </c>
    </row>
    <row r="115" spans="1:6" x14ac:dyDescent="0.25">
      <c r="A115" t="s">
        <v>163</v>
      </c>
      <c r="B115">
        <v>44903.233848000003</v>
      </c>
      <c r="D115" s="4">
        <f t="shared" si="2"/>
        <v>44903.233848000003</v>
      </c>
      <c r="E115" s="4">
        <f>+VLOOKUP(A115,Sheet3!A:B,2,FALSE)</f>
        <v>44903.3</v>
      </c>
      <c r="F115" s="4">
        <f t="shared" si="3"/>
        <v>6.6151999999419786E-2</v>
      </c>
    </row>
    <row r="116" spans="1:6" x14ac:dyDescent="0.25">
      <c r="A116" t="s">
        <v>502</v>
      </c>
      <c r="B116">
        <v>40114.163913999997</v>
      </c>
      <c r="D116" s="4">
        <f t="shared" si="2"/>
        <v>40114.163913999997</v>
      </c>
      <c r="E116" s="4">
        <f>+VLOOKUP(A116,Sheet3!A:B,2,FALSE)</f>
        <v>40114.230000000003</v>
      </c>
      <c r="F116" s="4">
        <f t="shared" si="3"/>
        <v>6.6086000006180257E-2</v>
      </c>
    </row>
    <row r="117" spans="1:6" x14ac:dyDescent="0.25">
      <c r="A117" t="s">
        <v>644</v>
      </c>
      <c r="B117">
        <v>7325.5741829999997</v>
      </c>
      <c r="D117" s="4">
        <f t="shared" si="2"/>
        <v>7325.5741829999997</v>
      </c>
      <c r="E117" s="4">
        <f>+VLOOKUP(A117,Sheet3!A:B,2,FALSE)</f>
        <v>7325.64</v>
      </c>
      <c r="F117" s="4">
        <f t="shared" si="3"/>
        <v>6.581700000060664E-2</v>
      </c>
    </row>
    <row r="118" spans="1:6" x14ac:dyDescent="0.25">
      <c r="A118" t="s">
        <v>825</v>
      </c>
      <c r="B118">
        <v>48065.394207999998</v>
      </c>
      <c r="D118" s="4">
        <f t="shared" si="2"/>
        <v>48065.394207999998</v>
      </c>
      <c r="E118" s="4">
        <f>+VLOOKUP(A118,Sheet3!A:B,2,FALSE)</f>
        <v>48065.46</v>
      </c>
      <c r="F118" s="4">
        <f t="shared" si="3"/>
        <v>6.5792000001238193E-2</v>
      </c>
    </row>
    <row r="119" spans="1:6" x14ac:dyDescent="0.25">
      <c r="A119" t="s">
        <v>593</v>
      </c>
      <c r="B119">
        <v>10944.87427</v>
      </c>
      <c r="D119" s="4">
        <f t="shared" si="2"/>
        <v>10944.87427</v>
      </c>
      <c r="E119" s="4">
        <f>+VLOOKUP(A119,Sheet3!A:B,2,FALSE)</f>
        <v>10944.94</v>
      </c>
      <c r="F119" s="4">
        <f t="shared" si="3"/>
        <v>6.573000000025786E-2</v>
      </c>
    </row>
    <row r="120" spans="1:6" x14ac:dyDescent="0.25">
      <c r="A120" t="s">
        <v>304</v>
      </c>
      <c r="B120">
        <v>52546.694294000001</v>
      </c>
      <c r="D120" s="4">
        <f t="shared" si="2"/>
        <v>52546.694294000001</v>
      </c>
      <c r="E120" s="4">
        <f>+VLOOKUP(A120,Sheet3!A:B,2,FALSE)</f>
        <v>52546.76</v>
      </c>
      <c r="F120" s="4">
        <f t="shared" si="3"/>
        <v>6.5706000001227949E-2</v>
      </c>
    </row>
    <row r="121" spans="1:6" x14ac:dyDescent="0.25">
      <c r="A121" t="s">
        <v>570</v>
      </c>
      <c r="B121">
        <v>13977.354413999999</v>
      </c>
      <c r="D121" s="4">
        <f t="shared" si="2"/>
        <v>13977.354413999999</v>
      </c>
      <c r="E121" s="4">
        <f>+VLOOKUP(A121,Sheet3!A:B,2,FALSE)</f>
        <v>13977.420000000002</v>
      </c>
      <c r="F121" s="4">
        <f t="shared" si="3"/>
        <v>6.5586000002440414E-2</v>
      </c>
    </row>
    <row r="122" spans="1:6" x14ac:dyDescent="0.25">
      <c r="A122" t="s">
        <v>273</v>
      </c>
      <c r="B122">
        <v>23626.784455000001</v>
      </c>
      <c r="D122" s="4">
        <f t="shared" si="2"/>
        <v>23626.784455000001</v>
      </c>
      <c r="E122" s="4">
        <f>+VLOOKUP(A122,Sheet3!A:B,2,FALSE)</f>
        <v>23626.85</v>
      </c>
      <c r="F122" s="4">
        <f t="shared" si="3"/>
        <v>6.5544999997655395E-2</v>
      </c>
    </row>
    <row r="123" spans="1:6" x14ac:dyDescent="0.25">
      <c r="A123" t="s">
        <v>376</v>
      </c>
      <c r="B123">
        <v>40509.654619000001</v>
      </c>
      <c r="D123" s="4">
        <f t="shared" si="2"/>
        <v>40509.654619000001</v>
      </c>
      <c r="E123" s="4">
        <f>+VLOOKUP(A123,Sheet3!A:B,2,FALSE)</f>
        <v>40509.72</v>
      </c>
      <c r="F123" s="4">
        <f t="shared" si="3"/>
        <v>6.5381000000343192E-2</v>
      </c>
    </row>
    <row r="124" spans="1:6" x14ac:dyDescent="0.25">
      <c r="A124" t="s">
        <v>553</v>
      </c>
      <c r="B124">
        <v>40509.654619000001</v>
      </c>
      <c r="D124" s="4">
        <f t="shared" si="2"/>
        <v>40509.654619000001</v>
      </c>
      <c r="E124" s="4">
        <f>+VLOOKUP(A124,Sheet3!A:B,2,FALSE)</f>
        <v>40509.72</v>
      </c>
      <c r="F124" s="4">
        <f t="shared" si="3"/>
        <v>6.5381000000343192E-2</v>
      </c>
    </row>
    <row r="125" spans="1:6" x14ac:dyDescent="0.25">
      <c r="A125" t="s">
        <v>642</v>
      </c>
      <c r="B125">
        <v>98286.874737999999</v>
      </c>
      <c r="D125" s="4">
        <f t="shared" si="2"/>
        <v>98286.874737999999</v>
      </c>
      <c r="E125" s="4">
        <f>+VLOOKUP(A125,Sheet3!A:B,2,FALSE)</f>
        <v>98286.94</v>
      </c>
      <c r="F125" s="4">
        <f t="shared" si="3"/>
        <v>6.5262000003713183E-2</v>
      </c>
    </row>
    <row r="126" spans="1:6" x14ac:dyDescent="0.25">
      <c r="A126" t="s">
        <v>935</v>
      </c>
      <c r="B126">
        <v>1777.705258</v>
      </c>
      <c r="D126" s="4">
        <f t="shared" si="2"/>
        <v>1777.705258</v>
      </c>
      <c r="E126" s="4">
        <f>+VLOOKUP(A126,Sheet3!A:B,2,FALSE)</f>
        <v>1777.77</v>
      </c>
      <c r="F126" s="4">
        <f t="shared" si="3"/>
        <v>6.4742000000023836E-2</v>
      </c>
    </row>
    <row r="127" spans="1:6" x14ac:dyDescent="0.25">
      <c r="A127" t="s">
        <v>489</v>
      </c>
      <c r="B127">
        <v>30775.355329999999</v>
      </c>
      <c r="D127" s="4">
        <f t="shared" si="2"/>
        <v>30775.355329999999</v>
      </c>
      <c r="E127" s="4">
        <f>+VLOOKUP(A127,Sheet3!A:B,2,FALSE)</f>
        <v>30775.42</v>
      </c>
      <c r="F127" s="4">
        <f t="shared" si="3"/>
        <v>6.4669999999750871E-2</v>
      </c>
    </row>
    <row r="128" spans="1:6" x14ac:dyDescent="0.25">
      <c r="A128" t="s">
        <v>305</v>
      </c>
      <c r="B128">
        <v>14672.535415</v>
      </c>
      <c r="D128" s="4">
        <f t="shared" si="2"/>
        <v>14672.535415</v>
      </c>
      <c r="E128" s="4">
        <f>+VLOOKUP(A128,Sheet3!A:B,2,FALSE)</f>
        <v>14672.6</v>
      </c>
      <c r="F128" s="4">
        <f t="shared" si="3"/>
        <v>6.4585000000079162E-2</v>
      </c>
    </row>
    <row r="129" spans="1:6" x14ac:dyDescent="0.25">
      <c r="A129" t="s">
        <v>230</v>
      </c>
      <c r="B129">
        <v>344960.77566300001</v>
      </c>
      <c r="D129" s="4">
        <f t="shared" si="2"/>
        <v>344960.77566300001</v>
      </c>
      <c r="E129" s="4">
        <f>+VLOOKUP(A129,Sheet3!A:B,2,FALSE)</f>
        <v>344960.84</v>
      </c>
      <c r="F129" s="4">
        <f t="shared" si="3"/>
        <v>6.4337000017985702E-2</v>
      </c>
    </row>
    <row r="130" spans="1:6" x14ac:dyDescent="0.25">
      <c r="A130" t="s">
        <v>301</v>
      </c>
      <c r="B130">
        <v>3491.0456770000001</v>
      </c>
      <c r="D130" s="4">
        <f t="shared" ref="D130:D193" si="4">+B130+C130</f>
        <v>3491.0456770000001</v>
      </c>
      <c r="E130" s="4">
        <f>+VLOOKUP(A130,Sheet3!A:B,2,FALSE)</f>
        <v>3491.11</v>
      </c>
      <c r="F130" s="4">
        <f t="shared" ref="F130:F193" si="5">+ABS(E130-D130)</f>
        <v>6.4323000000058528E-2</v>
      </c>
    </row>
    <row r="131" spans="1:6" x14ac:dyDescent="0.25">
      <c r="A131" t="s">
        <v>602</v>
      </c>
      <c r="B131">
        <v>10453.175783999999</v>
      </c>
      <c r="D131" s="4">
        <f t="shared" si="4"/>
        <v>10453.175783999999</v>
      </c>
      <c r="E131" s="4">
        <f>+VLOOKUP(A131,Sheet3!A:B,2,FALSE)</f>
        <v>10453.24</v>
      </c>
      <c r="F131" s="4">
        <f t="shared" si="5"/>
        <v>6.4216000000669737E-2</v>
      </c>
    </row>
    <row r="132" spans="1:6" x14ac:dyDescent="0.25">
      <c r="A132" t="s">
        <v>309</v>
      </c>
      <c r="B132">
        <v>10794.485959</v>
      </c>
      <c r="D132" s="4">
        <f t="shared" si="4"/>
        <v>10794.485959</v>
      </c>
      <c r="E132" s="4">
        <f>+VLOOKUP(A132,Sheet3!A:B,2,FALSE)</f>
        <v>10794.55</v>
      </c>
      <c r="F132" s="4">
        <f t="shared" si="5"/>
        <v>6.4040999999633641E-2</v>
      </c>
    </row>
    <row r="133" spans="1:6" x14ac:dyDescent="0.25">
      <c r="A133" t="s">
        <v>607</v>
      </c>
      <c r="B133">
        <v>15918.416007</v>
      </c>
      <c r="D133" s="4">
        <f t="shared" si="4"/>
        <v>15918.416007</v>
      </c>
      <c r="E133" s="4">
        <f>+VLOOKUP(A133,Sheet3!A:B,2,FALSE)</f>
        <v>15918.48</v>
      </c>
      <c r="F133" s="4">
        <f t="shared" si="5"/>
        <v>6.3992999999754829E-2</v>
      </c>
    </row>
    <row r="134" spans="1:6" x14ac:dyDescent="0.25">
      <c r="A134" t="s">
        <v>141</v>
      </c>
      <c r="B134">
        <v>45295.126097</v>
      </c>
      <c r="D134" s="4">
        <f t="shared" si="4"/>
        <v>45295.126097</v>
      </c>
      <c r="E134" s="4">
        <f>+VLOOKUP(A134,Sheet3!A:B,2,FALSE)</f>
        <v>45295.19</v>
      </c>
      <c r="F134" s="4">
        <f t="shared" si="5"/>
        <v>6.3903000002028421E-2</v>
      </c>
    </row>
    <row r="135" spans="1:6" x14ac:dyDescent="0.25">
      <c r="A135" t="s">
        <v>629</v>
      </c>
      <c r="B135">
        <v>17548.856142000001</v>
      </c>
      <c r="D135" s="4">
        <f t="shared" si="4"/>
        <v>17548.856142000001</v>
      </c>
      <c r="E135" s="4">
        <f>+VLOOKUP(A135,Sheet3!A:B,2,FALSE)</f>
        <v>17548.919999999998</v>
      </c>
      <c r="F135" s="4">
        <f t="shared" si="5"/>
        <v>6.3857999997708248E-2</v>
      </c>
    </row>
    <row r="136" spans="1:6" x14ac:dyDescent="0.25">
      <c r="A136" t="s">
        <v>916</v>
      </c>
      <c r="B136">
        <v>40369.586409000003</v>
      </c>
      <c r="D136" s="4">
        <f t="shared" si="4"/>
        <v>40369.586409000003</v>
      </c>
      <c r="E136" s="4">
        <f>+VLOOKUP(A136,Sheet3!A:B,2,FALSE)</f>
        <v>40369.65</v>
      </c>
      <c r="F136" s="4">
        <f t="shared" si="5"/>
        <v>6.3590999998268671E-2</v>
      </c>
    </row>
    <row r="137" spans="1:6" x14ac:dyDescent="0.25">
      <c r="A137" t="s">
        <v>342</v>
      </c>
      <c r="B137">
        <v>37568.086413999998</v>
      </c>
      <c r="D137" s="4">
        <f t="shared" si="4"/>
        <v>37568.086413999998</v>
      </c>
      <c r="E137" s="4">
        <f>+VLOOKUP(A137,Sheet3!A:B,2,FALSE)</f>
        <v>37568.15</v>
      </c>
      <c r="F137" s="4">
        <f t="shared" si="5"/>
        <v>6.358600000385195E-2</v>
      </c>
    </row>
    <row r="138" spans="1:6" x14ac:dyDescent="0.25">
      <c r="A138" t="s">
        <v>52</v>
      </c>
      <c r="B138">
        <v>42267.466525000003</v>
      </c>
      <c r="D138" s="4">
        <f t="shared" si="4"/>
        <v>42267.466525000003</v>
      </c>
      <c r="E138" s="4">
        <f>+VLOOKUP(A138,Sheet3!A:B,2,FALSE)</f>
        <v>42267.53</v>
      </c>
      <c r="F138" s="4">
        <f t="shared" si="5"/>
        <v>6.3474999995378312E-2</v>
      </c>
    </row>
    <row r="139" spans="1:6" x14ac:dyDescent="0.25">
      <c r="A139" t="s">
        <v>72</v>
      </c>
      <c r="B139">
        <v>11935.196575</v>
      </c>
      <c r="D139" s="4">
        <f t="shared" si="4"/>
        <v>11935.196575</v>
      </c>
      <c r="E139" s="4">
        <f>+VLOOKUP(A139,Sheet3!A:B,2,FALSE)</f>
        <v>11935.26</v>
      </c>
      <c r="F139" s="4">
        <f t="shared" si="5"/>
        <v>6.3425000000279397E-2</v>
      </c>
    </row>
    <row r="140" spans="1:6" x14ac:dyDescent="0.25">
      <c r="A140" t="s">
        <v>3</v>
      </c>
      <c r="B140">
        <v>22321.766971000001</v>
      </c>
      <c r="D140" s="4">
        <f t="shared" si="4"/>
        <v>22321.766971000001</v>
      </c>
      <c r="E140" s="4">
        <f>+VLOOKUP(A140,Sheet3!A:B,2,FALSE)</f>
        <v>22321.83</v>
      </c>
      <c r="F140" s="4">
        <f t="shared" si="5"/>
        <v>6.3029000000824453E-2</v>
      </c>
    </row>
    <row r="141" spans="1:6" x14ac:dyDescent="0.25">
      <c r="A141" t="s">
        <v>344</v>
      </c>
      <c r="B141">
        <v>22321.766971000001</v>
      </c>
      <c r="D141" s="4">
        <f t="shared" si="4"/>
        <v>22321.766971000001</v>
      </c>
      <c r="E141" s="4">
        <f>+VLOOKUP(A141,Sheet3!A:B,2,FALSE)</f>
        <v>22321.83</v>
      </c>
      <c r="F141" s="4">
        <f t="shared" si="5"/>
        <v>6.3029000000824453E-2</v>
      </c>
    </row>
    <row r="142" spans="1:6" x14ac:dyDescent="0.25">
      <c r="A142" t="s">
        <v>387</v>
      </c>
      <c r="B142">
        <v>22321.766971000001</v>
      </c>
      <c r="D142" s="4">
        <f t="shared" si="4"/>
        <v>22321.766971000001</v>
      </c>
      <c r="E142" s="4">
        <f>+VLOOKUP(A142,Sheet3!A:B,2,FALSE)</f>
        <v>22321.83</v>
      </c>
      <c r="F142" s="4">
        <f t="shared" si="5"/>
        <v>6.3029000000824453E-2</v>
      </c>
    </row>
    <row r="143" spans="1:6" x14ac:dyDescent="0.25">
      <c r="A143" t="s">
        <v>153</v>
      </c>
      <c r="B143">
        <v>22321.766971000001</v>
      </c>
      <c r="D143" s="4">
        <f t="shared" si="4"/>
        <v>22321.766971000001</v>
      </c>
      <c r="E143" s="4">
        <f>+VLOOKUP(A143,Sheet3!A:B,2,FALSE)</f>
        <v>22321.83</v>
      </c>
      <c r="F143" s="4">
        <f t="shared" si="5"/>
        <v>6.3029000000824453E-2</v>
      </c>
    </row>
    <row r="144" spans="1:6" x14ac:dyDescent="0.25">
      <c r="A144" t="s">
        <v>419</v>
      </c>
      <c r="B144">
        <v>22321.766971000001</v>
      </c>
      <c r="D144" s="4">
        <f t="shared" si="4"/>
        <v>22321.766971000001</v>
      </c>
      <c r="E144" s="4">
        <f>+VLOOKUP(A144,Sheet3!A:B,2,FALSE)</f>
        <v>22321.83</v>
      </c>
      <c r="F144" s="4">
        <f t="shared" si="5"/>
        <v>6.3029000000824453E-2</v>
      </c>
    </row>
    <row r="145" spans="1:6" x14ac:dyDescent="0.25">
      <c r="A145" t="s">
        <v>470</v>
      </c>
      <c r="B145">
        <v>28630.947015999998</v>
      </c>
      <c r="D145" s="4">
        <f t="shared" si="4"/>
        <v>28630.947015999998</v>
      </c>
      <c r="E145" s="4">
        <f>+VLOOKUP(A145,Sheet3!A:B,2,FALSE)</f>
        <v>28631.01</v>
      </c>
      <c r="F145" s="4">
        <f t="shared" si="5"/>
        <v>6.298400000014226E-2</v>
      </c>
    </row>
    <row r="146" spans="1:6" x14ac:dyDescent="0.25">
      <c r="A146" t="s">
        <v>129</v>
      </c>
      <c r="B146">
        <v>28630.947015999998</v>
      </c>
      <c r="D146" s="4">
        <f t="shared" si="4"/>
        <v>28630.947015999998</v>
      </c>
      <c r="E146" s="4">
        <f>+VLOOKUP(A146,Sheet3!A:B,2,FALSE)</f>
        <v>28631.01</v>
      </c>
      <c r="F146" s="4">
        <f t="shared" si="5"/>
        <v>6.298400000014226E-2</v>
      </c>
    </row>
    <row r="147" spans="1:6" x14ac:dyDescent="0.25">
      <c r="A147" t="s">
        <v>288</v>
      </c>
      <c r="B147">
        <v>7039.3271759999998</v>
      </c>
      <c r="D147" s="4">
        <f t="shared" si="4"/>
        <v>7039.3271759999998</v>
      </c>
      <c r="E147" s="4">
        <f>+VLOOKUP(A147,Sheet3!A:B,2,FALSE)</f>
        <v>7039.39</v>
      </c>
      <c r="F147" s="4">
        <f t="shared" si="5"/>
        <v>6.2824000000546221E-2</v>
      </c>
    </row>
    <row r="148" spans="1:6" x14ac:dyDescent="0.25">
      <c r="A148" t="s">
        <v>714</v>
      </c>
      <c r="B148">
        <v>22023.027211000001</v>
      </c>
      <c r="D148" s="4">
        <f t="shared" si="4"/>
        <v>22023.027211000001</v>
      </c>
      <c r="E148" s="4">
        <f>+VLOOKUP(A148,Sheet3!A:B,2,FALSE)</f>
        <v>22023.09</v>
      </c>
      <c r="F148" s="4">
        <f t="shared" si="5"/>
        <v>6.2788999999611406E-2</v>
      </c>
    </row>
    <row r="149" spans="1:6" x14ac:dyDescent="0.25">
      <c r="A149" t="s">
        <v>641</v>
      </c>
      <c r="B149">
        <v>44656.977231999997</v>
      </c>
      <c r="D149" s="4">
        <f t="shared" si="4"/>
        <v>44656.977231999997</v>
      </c>
      <c r="E149" s="4">
        <f>+VLOOKUP(A149,Sheet3!A:B,2,FALSE)</f>
        <v>44657.04</v>
      </c>
      <c r="F149" s="4">
        <f t="shared" si="5"/>
        <v>6.2768000003416091E-2</v>
      </c>
    </row>
    <row r="150" spans="1:6" x14ac:dyDescent="0.25">
      <c r="A150" t="s">
        <v>510</v>
      </c>
      <c r="B150">
        <v>16910.707278000002</v>
      </c>
      <c r="D150" s="4">
        <f t="shared" si="4"/>
        <v>16910.707278000002</v>
      </c>
      <c r="E150" s="4">
        <f>+VLOOKUP(A150,Sheet3!A:B,2,FALSE)</f>
        <v>16910.77</v>
      </c>
      <c r="F150" s="4">
        <f t="shared" si="5"/>
        <v>6.2721999998757383E-2</v>
      </c>
    </row>
    <row r="151" spans="1:6" x14ac:dyDescent="0.25">
      <c r="A151" t="s">
        <v>404</v>
      </c>
      <c r="B151">
        <v>15808.018086</v>
      </c>
      <c r="D151" s="4">
        <f t="shared" si="4"/>
        <v>15808.018086</v>
      </c>
      <c r="E151" s="4">
        <f>+VLOOKUP(A151,Sheet3!A:B,2,FALSE)</f>
        <v>15808.08</v>
      </c>
      <c r="F151" s="4">
        <f t="shared" si="5"/>
        <v>6.1913999999887892E-2</v>
      </c>
    </row>
    <row r="152" spans="1:6" x14ac:dyDescent="0.25">
      <c r="A152" t="s">
        <v>237</v>
      </c>
      <c r="B152">
        <v>14656.308416</v>
      </c>
      <c r="D152" s="4">
        <f t="shared" si="4"/>
        <v>14656.308416</v>
      </c>
      <c r="E152" s="4">
        <f>+VLOOKUP(A152,Sheet3!A:B,2,FALSE)</f>
        <v>14656.37</v>
      </c>
      <c r="F152" s="4">
        <f t="shared" si="5"/>
        <v>6.1584000000948436E-2</v>
      </c>
    </row>
    <row r="153" spans="1:6" x14ac:dyDescent="0.25">
      <c r="A153" t="s">
        <v>207</v>
      </c>
      <c r="B153">
        <v>47752.328518000002</v>
      </c>
      <c r="D153" s="4">
        <f t="shared" si="4"/>
        <v>47752.328518000002</v>
      </c>
      <c r="E153" s="4">
        <f>+VLOOKUP(A153,Sheet3!A:B,2,FALSE)</f>
        <v>47752.39</v>
      </c>
      <c r="F153" s="4">
        <f t="shared" si="5"/>
        <v>6.1481999997340608E-2</v>
      </c>
    </row>
    <row r="154" spans="1:6" x14ac:dyDescent="0.25">
      <c r="A154" t="s">
        <v>482</v>
      </c>
      <c r="B154">
        <v>24053.778624999999</v>
      </c>
      <c r="D154" s="4">
        <f t="shared" si="4"/>
        <v>24053.778624999999</v>
      </c>
      <c r="E154" s="4">
        <f>+VLOOKUP(A154,Sheet3!A:B,2,FALSE)</f>
        <v>24053.84</v>
      </c>
      <c r="F154" s="4">
        <f t="shared" si="5"/>
        <v>6.1375000001135049E-2</v>
      </c>
    </row>
    <row r="155" spans="1:6" x14ac:dyDescent="0.25">
      <c r="A155" t="s">
        <v>695</v>
      </c>
      <c r="B155">
        <v>1101.7386550000001</v>
      </c>
      <c r="D155" s="4">
        <f t="shared" si="4"/>
        <v>1101.7386550000001</v>
      </c>
      <c r="E155" s="4">
        <f>+VLOOKUP(A155,Sheet3!A:B,2,FALSE)</f>
        <v>1101.8</v>
      </c>
      <c r="F155" s="4">
        <f t="shared" si="5"/>
        <v>6.134499999984655E-2</v>
      </c>
    </row>
    <row r="156" spans="1:6" x14ac:dyDescent="0.25">
      <c r="A156" t="s">
        <v>10</v>
      </c>
      <c r="B156">
        <v>39996.569081000001</v>
      </c>
      <c r="D156" s="4">
        <f t="shared" si="4"/>
        <v>39996.569081000001</v>
      </c>
      <c r="E156" s="4">
        <f>+VLOOKUP(A156,Sheet3!A:B,2,FALSE)</f>
        <v>39996.629999999997</v>
      </c>
      <c r="F156" s="4">
        <f t="shared" si="5"/>
        <v>6.0918999995919876E-2</v>
      </c>
    </row>
    <row r="157" spans="1:6" x14ac:dyDescent="0.25">
      <c r="A157" t="s">
        <v>531</v>
      </c>
      <c r="B157">
        <v>39996.569081000001</v>
      </c>
      <c r="D157" s="4">
        <f t="shared" si="4"/>
        <v>39996.569081000001</v>
      </c>
      <c r="E157" s="4">
        <f>+VLOOKUP(A157,Sheet3!A:B,2,FALSE)</f>
        <v>39996.629999999997</v>
      </c>
      <c r="F157" s="4">
        <f t="shared" si="5"/>
        <v>6.0918999995919876E-2</v>
      </c>
    </row>
    <row r="158" spans="1:6" x14ac:dyDescent="0.25">
      <c r="A158" t="s">
        <v>353</v>
      </c>
      <c r="B158">
        <v>40619.509376000002</v>
      </c>
      <c r="D158" s="4">
        <f t="shared" si="4"/>
        <v>40619.509376000002</v>
      </c>
      <c r="E158" s="4">
        <f>+VLOOKUP(A158,Sheet3!A:B,2,FALSE)</f>
        <v>40619.57</v>
      </c>
      <c r="F158" s="4">
        <f t="shared" si="5"/>
        <v>6.0623999997915234E-2</v>
      </c>
    </row>
    <row r="159" spans="1:6" x14ac:dyDescent="0.25">
      <c r="A159" t="s">
        <v>457</v>
      </c>
      <c r="B159">
        <v>51075.129394000003</v>
      </c>
      <c r="D159" s="4">
        <f t="shared" si="4"/>
        <v>51075.129394000003</v>
      </c>
      <c r="E159" s="4">
        <f>+VLOOKUP(A159,Sheet3!A:B,2,FALSE)</f>
        <v>51075.19</v>
      </c>
      <c r="F159" s="4">
        <f t="shared" si="5"/>
        <v>6.0605999999097548E-2</v>
      </c>
    </row>
    <row r="160" spans="1:6" x14ac:dyDescent="0.25">
      <c r="A160" t="s">
        <v>880</v>
      </c>
      <c r="B160">
        <v>51075.129394000003</v>
      </c>
      <c r="D160" s="4">
        <f t="shared" si="4"/>
        <v>51075.129394000003</v>
      </c>
      <c r="E160" s="4">
        <f>+VLOOKUP(A160,Sheet3!A:B,2,FALSE)</f>
        <v>51075.19</v>
      </c>
      <c r="F160" s="4">
        <f t="shared" si="5"/>
        <v>6.0605999999097548E-2</v>
      </c>
    </row>
    <row r="161" spans="1:6" x14ac:dyDescent="0.25">
      <c r="A161" t="s">
        <v>579</v>
      </c>
      <c r="B161">
        <v>45157.909494</v>
      </c>
      <c r="D161" s="4">
        <f t="shared" si="4"/>
        <v>45157.909494</v>
      </c>
      <c r="E161" s="4">
        <f>+VLOOKUP(A161,Sheet3!A:B,2,FALSE)</f>
        <v>45157.97</v>
      </c>
      <c r="F161" s="4">
        <f t="shared" si="5"/>
        <v>6.0506000001623761E-2</v>
      </c>
    </row>
    <row r="162" spans="1:6" x14ac:dyDescent="0.25">
      <c r="A162" t="s">
        <v>914</v>
      </c>
      <c r="B162">
        <v>6689.8695520000001</v>
      </c>
      <c r="D162" s="4">
        <f t="shared" si="4"/>
        <v>6689.8695520000001</v>
      </c>
      <c r="E162" s="4">
        <f>+VLOOKUP(A162,Sheet3!A:B,2,FALSE)</f>
        <v>6689.93</v>
      </c>
      <c r="F162" s="4">
        <f t="shared" si="5"/>
        <v>6.0448000000178581E-2</v>
      </c>
    </row>
    <row r="163" spans="1:6" x14ac:dyDescent="0.25">
      <c r="A163" t="s">
        <v>475</v>
      </c>
      <c r="B163">
        <v>19038.209637</v>
      </c>
      <c r="D163" s="4">
        <f t="shared" si="4"/>
        <v>19038.209637</v>
      </c>
      <c r="E163" s="4">
        <f>+VLOOKUP(A163,Sheet3!A:B,2,FALSE)</f>
        <v>19038.27</v>
      </c>
      <c r="F163" s="4">
        <f t="shared" si="5"/>
        <v>6.0363000000506872E-2</v>
      </c>
    </row>
    <row r="164" spans="1:6" x14ac:dyDescent="0.25">
      <c r="A164" t="s">
        <v>476</v>
      </c>
      <c r="B164">
        <v>7981.2400600000001</v>
      </c>
      <c r="D164" s="4">
        <f t="shared" si="4"/>
        <v>7981.2400600000001</v>
      </c>
      <c r="E164" s="4">
        <f>+VLOOKUP(A164,Sheet3!A:B,2,FALSE)</f>
        <v>7981.3</v>
      </c>
      <c r="F164" s="4">
        <f t="shared" si="5"/>
        <v>5.9940000000096916E-2</v>
      </c>
    </row>
    <row r="165" spans="1:6" x14ac:dyDescent="0.25">
      <c r="A165" t="s">
        <v>863</v>
      </c>
      <c r="B165">
        <v>5905.2703099999999</v>
      </c>
      <c r="D165" s="4">
        <f t="shared" si="4"/>
        <v>5905.2703099999999</v>
      </c>
      <c r="E165" s="4">
        <f>+VLOOKUP(A165,Sheet3!A:B,2,FALSE)</f>
        <v>5905.33</v>
      </c>
      <c r="F165" s="4">
        <f t="shared" si="5"/>
        <v>5.9690000000045984E-2</v>
      </c>
    </row>
    <row r="166" spans="1:6" x14ac:dyDescent="0.25">
      <c r="A166" t="s">
        <v>440</v>
      </c>
      <c r="B166">
        <v>7065.6705910000001</v>
      </c>
      <c r="D166" s="4">
        <f t="shared" si="4"/>
        <v>7065.6705910000001</v>
      </c>
      <c r="E166" s="4">
        <f>+VLOOKUP(A166,Sheet3!A:B,2,FALSE)</f>
        <v>7065.73</v>
      </c>
      <c r="F166" s="4">
        <f t="shared" si="5"/>
        <v>5.9408999999504886E-2</v>
      </c>
    </row>
    <row r="167" spans="1:6" x14ac:dyDescent="0.25">
      <c r="A167" t="s">
        <v>546</v>
      </c>
      <c r="B167">
        <v>23452.700648999999</v>
      </c>
      <c r="D167" s="4">
        <f t="shared" si="4"/>
        <v>23452.700648999999</v>
      </c>
      <c r="E167" s="4">
        <f>+VLOOKUP(A167,Sheet3!A:B,2,FALSE)</f>
        <v>23452.76</v>
      </c>
      <c r="F167" s="4">
        <f t="shared" si="5"/>
        <v>5.9350999999878695E-2</v>
      </c>
    </row>
    <row r="168" spans="1:6" x14ac:dyDescent="0.25">
      <c r="A168" t="s">
        <v>4</v>
      </c>
      <c r="B168">
        <v>4647.1006530000004</v>
      </c>
      <c r="D168" s="4">
        <f t="shared" si="4"/>
        <v>4647.1006530000004</v>
      </c>
      <c r="E168" s="4">
        <f>+VLOOKUP(A168,Sheet3!A:B,2,FALSE)</f>
        <v>4647.16</v>
      </c>
      <c r="F168" s="4">
        <f t="shared" si="5"/>
        <v>5.9346999999434047E-2</v>
      </c>
    </row>
    <row r="169" spans="1:6" x14ac:dyDescent="0.25">
      <c r="A169" t="s">
        <v>340</v>
      </c>
      <c r="B169">
        <v>28366.290746999999</v>
      </c>
      <c r="D169" s="4">
        <f t="shared" si="4"/>
        <v>28366.290746999999</v>
      </c>
      <c r="E169" s="4">
        <f>+VLOOKUP(A169,Sheet3!A:B,2,FALSE)</f>
        <v>28366.35</v>
      </c>
      <c r="F169" s="4">
        <f t="shared" si="5"/>
        <v>5.9252999999444E-2</v>
      </c>
    </row>
    <row r="170" spans="1:6" x14ac:dyDescent="0.25">
      <c r="A170" t="s">
        <v>463</v>
      </c>
      <c r="B170">
        <v>28366.290746999999</v>
      </c>
      <c r="D170" s="4">
        <f t="shared" si="4"/>
        <v>28366.290746999999</v>
      </c>
      <c r="E170" s="4">
        <f>+VLOOKUP(A170,Sheet3!A:B,2,FALSE)</f>
        <v>28366.35</v>
      </c>
      <c r="F170" s="4">
        <f t="shared" si="5"/>
        <v>5.9252999999444E-2</v>
      </c>
    </row>
    <row r="171" spans="1:6" x14ac:dyDescent="0.25">
      <c r="A171" t="s">
        <v>182</v>
      </c>
      <c r="B171">
        <v>44201.331203000002</v>
      </c>
      <c r="D171" s="4">
        <f t="shared" si="4"/>
        <v>44201.331203000002</v>
      </c>
      <c r="E171" s="4">
        <f>+VLOOKUP(A171,Sheet3!A:B,2,FALSE)</f>
        <v>44201.39</v>
      </c>
      <c r="F171" s="4">
        <f t="shared" si="5"/>
        <v>5.8796999997866806E-2</v>
      </c>
    </row>
    <row r="172" spans="1:6" x14ac:dyDescent="0.25">
      <c r="A172" t="s">
        <v>804</v>
      </c>
      <c r="B172">
        <v>21793.201282000002</v>
      </c>
      <c r="D172" s="4">
        <f t="shared" si="4"/>
        <v>21793.201282000002</v>
      </c>
      <c r="E172" s="4">
        <f>+VLOOKUP(A172,Sheet3!A:B,2,FALSE)</f>
        <v>21793.26</v>
      </c>
      <c r="F172" s="4">
        <f t="shared" si="5"/>
        <v>5.8717999996588333E-2</v>
      </c>
    </row>
    <row r="173" spans="1:6" x14ac:dyDescent="0.25">
      <c r="A173" t="s">
        <v>617</v>
      </c>
      <c r="B173">
        <v>38660.591294999998</v>
      </c>
      <c r="D173" s="4">
        <f t="shared" si="4"/>
        <v>38660.591294999998</v>
      </c>
      <c r="E173" s="4">
        <f>+VLOOKUP(A173,Sheet3!A:B,2,FALSE)</f>
        <v>38660.65</v>
      </c>
      <c r="F173" s="4">
        <f t="shared" si="5"/>
        <v>5.8705000003101304E-2</v>
      </c>
    </row>
    <row r="174" spans="1:6" x14ac:dyDescent="0.25">
      <c r="A174" t="s">
        <v>18</v>
      </c>
      <c r="B174">
        <v>25245.071314000001</v>
      </c>
      <c r="D174" s="4">
        <f t="shared" si="4"/>
        <v>25245.071314000001</v>
      </c>
      <c r="E174" s="4">
        <f>+VLOOKUP(A174,Sheet3!A:B,2,FALSE)</f>
        <v>25245.13</v>
      </c>
      <c r="F174" s="4">
        <f t="shared" si="5"/>
        <v>5.8686000000307104E-2</v>
      </c>
    </row>
    <row r="175" spans="1:6" x14ac:dyDescent="0.25">
      <c r="A175" t="s">
        <v>335</v>
      </c>
      <c r="B175">
        <v>5272.2814959999996</v>
      </c>
      <c r="D175" s="4">
        <f t="shared" si="4"/>
        <v>5272.2814959999996</v>
      </c>
      <c r="E175" s="4">
        <f>+VLOOKUP(A175,Sheet3!A:B,2,FALSE)</f>
        <v>5272.34</v>
      </c>
      <c r="F175" s="4">
        <f t="shared" si="5"/>
        <v>5.8504000000539236E-2</v>
      </c>
    </row>
    <row r="176" spans="1:6" x14ac:dyDescent="0.25">
      <c r="A176" t="s">
        <v>727</v>
      </c>
      <c r="B176">
        <v>32451.081697000001</v>
      </c>
      <c r="D176" s="4">
        <f t="shared" si="4"/>
        <v>32451.081697000001</v>
      </c>
      <c r="E176" s="4">
        <f>+VLOOKUP(A176,Sheet3!A:B,2,FALSE)</f>
        <v>32451.14</v>
      </c>
      <c r="F176" s="4">
        <f t="shared" si="5"/>
        <v>5.8302999997977167E-2</v>
      </c>
    </row>
    <row r="177" spans="1:6" x14ac:dyDescent="0.25">
      <c r="A177" t="s">
        <v>844</v>
      </c>
      <c r="B177">
        <v>29327.621716000001</v>
      </c>
      <c r="D177" s="4">
        <f t="shared" si="4"/>
        <v>29327.621716000001</v>
      </c>
      <c r="E177" s="4">
        <f>+VLOOKUP(A177,Sheet3!A:B,2,FALSE)</f>
        <v>29327.68</v>
      </c>
      <c r="F177" s="4">
        <f t="shared" si="5"/>
        <v>5.8283999998820946E-2</v>
      </c>
    </row>
    <row r="178" spans="1:6" x14ac:dyDescent="0.25">
      <c r="A178" t="s">
        <v>427</v>
      </c>
      <c r="B178">
        <v>18535.512094999998</v>
      </c>
      <c r="D178" s="4">
        <f t="shared" si="4"/>
        <v>18535.512094999998</v>
      </c>
      <c r="E178" s="4">
        <f>+VLOOKUP(A178,Sheet3!A:B,2,FALSE)</f>
        <v>18535.57</v>
      </c>
      <c r="F178" s="4">
        <f t="shared" si="5"/>
        <v>5.7905000001483131E-2</v>
      </c>
    </row>
    <row r="179" spans="1:6" x14ac:dyDescent="0.25">
      <c r="A179" t="s">
        <v>929</v>
      </c>
      <c r="B179">
        <v>19209.102358</v>
      </c>
      <c r="D179" s="4">
        <f t="shared" si="4"/>
        <v>19209.102358</v>
      </c>
      <c r="E179" s="4">
        <f>+VLOOKUP(A179,Sheet3!A:B,2,FALSE)</f>
        <v>19209.16</v>
      </c>
      <c r="F179" s="4">
        <f t="shared" si="5"/>
        <v>5.7641999999759719E-2</v>
      </c>
    </row>
    <row r="180" spans="1:6" x14ac:dyDescent="0.25">
      <c r="A180" t="s">
        <v>517</v>
      </c>
      <c r="B180">
        <v>19209.102358</v>
      </c>
      <c r="D180" s="4">
        <f t="shared" si="4"/>
        <v>19209.102358</v>
      </c>
      <c r="E180" s="4">
        <f>+VLOOKUP(A180,Sheet3!A:B,2,FALSE)</f>
        <v>19209.16</v>
      </c>
      <c r="F180" s="4">
        <f t="shared" si="5"/>
        <v>5.7641999999759719E-2</v>
      </c>
    </row>
    <row r="181" spans="1:6" x14ac:dyDescent="0.25">
      <c r="A181" t="s">
        <v>97</v>
      </c>
      <c r="B181">
        <v>27008.382745999999</v>
      </c>
      <c r="D181" s="4">
        <f t="shared" si="4"/>
        <v>27008.382745999999</v>
      </c>
      <c r="E181" s="4">
        <f>+VLOOKUP(A181,Sheet3!A:B,2,FALSE)</f>
        <v>27008.44</v>
      </c>
      <c r="F181" s="4">
        <f t="shared" si="5"/>
        <v>5.7253999999375083E-2</v>
      </c>
    </row>
    <row r="182" spans="1:6" x14ac:dyDescent="0.25">
      <c r="A182" t="s">
        <v>172</v>
      </c>
      <c r="B182">
        <v>2669.7829179999999</v>
      </c>
      <c r="D182" s="4">
        <f t="shared" si="4"/>
        <v>2669.7829179999999</v>
      </c>
      <c r="E182" s="4">
        <f>+VLOOKUP(A182,Sheet3!A:B,2,FALSE)</f>
        <v>2669.84</v>
      </c>
      <c r="F182" s="4">
        <f t="shared" si="5"/>
        <v>5.7082000000264088E-2</v>
      </c>
    </row>
    <row r="183" spans="1:6" x14ac:dyDescent="0.25">
      <c r="A183" t="s">
        <v>333</v>
      </c>
      <c r="B183">
        <v>43953.512992999997</v>
      </c>
      <c r="D183" s="4">
        <f t="shared" si="4"/>
        <v>43953.512992999997</v>
      </c>
      <c r="E183" s="4">
        <f>+VLOOKUP(A183,Sheet3!A:B,2,FALSE)</f>
        <v>43953.57</v>
      </c>
      <c r="F183" s="4">
        <f t="shared" si="5"/>
        <v>5.7007000003068242E-2</v>
      </c>
    </row>
    <row r="184" spans="1:6" x14ac:dyDescent="0.25">
      <c r="A184" t="s">
        <v>792</v>
      </c>
      <c r="B184">
        <v>88147.783074000006</v>
      </c>
      <c r="D184" s="4">
        <f t="shared" si="4"/>
        <v>88147.783074000006</v>
      </c>
      <c r="E184" s="4">
        <f>+VLOOKUP(A184,Sheet3!A:B,2,FALSE)</f>
        <v>88147.839999999997</v>
      </c>
      <c r="F184" s="4">
        <f t="shared" si="5"/>
        <v>5.6925999990198761E-2</v>
      </c>
    </row>
    <row r="185" spans="1:6" x14ac:dyDescent="0.25">
      <c r="A185" t="s">
        <v>917</v>
      </c>
      <c r="B185">
        <v>27213.223169000001</v>
      </c>
      <c r="D185" s="4">
        <f t="shared" si="4"/>
        <v>27213.223169000001</v>
      </c>
      <c r="E185" s="4">
        <f>+VLOOKUP(A185,Sheet3!A:B,2,FALSE)</f>
        <v>27213.279999999999</v>
      </c>
      <c r="F185" s="4">
        <f t="shared" si="5"/>
        <v>5.6830999998055631E-2</v>
      </c>
    </row>
    <row r="186" spans="1:6" x14ac:dyDescent="0.25">
      <c r="A186" t="s">
        <v>661</v>
      </c>
      <c r="B186">
        <v>3998.903268</v>
      </c>
      <c r="D186" s="4">
        <f t="shared" si="4"/>
        <v>3998.903268</v>
      </c>
      <c r="E186" s="4">
        <f>+VLOOKUP(A186,Sheet3!A:B,2,FALSE)</f>
        <v>3998.96</v>
      </c>
      <c r="F186" s="4">
        <f t="shared" si="5"/>
        <v>5.6732000000010885E-2</v>
      </c>
    </row>
    <row r="187" spans="1:6" x14ac:dyDescent="0.25">
      <c r="A187" t="s">
        <v>24</v>
      </c>
      <c r="B187">
        <v>5619.0233040000003</v>
      </c>
      <c r="D187" s="4">
        <f t="shared" si="4"/>
        <v>5619.0233040000003</v>
      </c>
      <c r="E187" s="4">
        <f>+VLOOKUP(A187,Sheet3!A:B,2,FALSE)</f>
        <v>5619.08</v>
      </c>
      <c r="F187" s="4">
        <f t="shared" si="5"/>
        <v>5.6695999999647029E-2</v>
      </c>
    </row>
    <row r="188" spans="1:6" x14ac:dyDescent="0.25">
      <c r="A188" t="s">
        <v>672</v>
      </c>
      <c r="B188">
        <v>5619.0233040000003</v>
      </c>
      <c r="D188" s="4">
        <f t="shared" si="4"/>
        <v>5619.0233040000003</v>
      </c>
      <c r="E188" s="4">
        <f>+VLOOKUP(A188,Sheet3!A:B,2,FALSE)</f>
        <v>5619.08</v>
      </c>
      <c r="F188" s="4">
        <f t="shared" si="5"/>
        <v>5.6695999999647029E-2</v>
      </c>
    </row>
    <row r="189" spans="1:6" x14ac:dyDescent="0.25">
      <c r="A189" t="s">
        <v>708</v>
      </c>
      <c r="B189">
        <v>3305.6233390000002</v>
      </c>
      <c r="D189" s="4">
        <f t="shared" si="4"/>
        <v>3305.6233390000002</v>
      </c>
      <c r="E189" s="4">
        <f>+VLOOKUP(A189,Sheet3!A:B,2,FALSE)</f>
        <v>3305.68</v>
      </c>
      <c r="F189" s="4">
        <f t="shared" si="5"/>
        <v>5.6660999999621708E-2</v>
      </c>
    </row>
    <row r="190" spans="1:6" x14ac:dyDescent="0.25">
      <c r="A190" t="s">
        <v>166</v>
      </c>
      <c r="B190">
        <v>4707.6633490000004</v>
      </c>
      <c r="D190" s="4">
        <f t="shared" si="4"/>
        <v>4707.6633490000004</v>
      </c>
      <c r="E190" s="4">
        <f>+VLOOKUP(A190,Sheet3!A:B,2,FALSE)</f>
        <v>4707.72</v>
      </c>
      <c r="F190" s="4">
        <f t="shared" si="5"/>
        <v>5.665099999987433E-2</v>
      </c>
    </row>
    <row r="191" spans="1:6" x14ac:dyDescent="0.25">
      <c r="A191" t="s">
        <v>73</v>
      </c>
      <c r="B191">
        <v>28534.603444</v>
      </c>
      <c r="D191" s="4">
        <f t="shared" si="4"/>
        <v>28534.603444</v>
      </c>
      <c r="E191" s="4">
        <f>+VLOOKUP(A191,Sheet3!A:B,2,FALSE)</f>
        <v>28534.66</v>
      </c>
      <c r="F191" s="4">
        <f t="shared" si="5"/>
        <v>5.6555999999545747E-2</v>
      </c>
    </row>
    <row r="192" spans="1:6" x14ac:dyDescent="0.25">
      <c r="A192" t="s">
        <v>196</v>
      </c>
      <c r="B192">
        <v>25095.633537999998</v>
      </c>
      <c r="D192" s="4">
        <f t="shared" si="4"/>
        <v>25095.633537999998</v>
      </c>
      <c r="E192" s="4">
        <f>+VLOOKUP(A192,Sheet3!A:B,2,FALSE)</f>
        <v>25095.69</v>
      </c>
      <c r="F192" s="4">
        <f t="shared" si="5"/>
        <v>5.6462000000465196E-2</v>
      </c>
    </row>
    <row r="193" spans="1:6" x14ac:dyDescent="0.25">
      <c r="A193" t="s">
        <v>569</v>
      </c>
      <c r="B193">
        <v>4594.4138220000004</v>
      </c>
      <c r="D193" s="4">
        <f t="shared" si="4"/>
        <v>4594.4138220000004</v>
      </c>
      <c r="E193" s="4">
        <f>+VLOOKUP(A193,Sheet3!A:B,2,FALSE)</f>
        <v>4594.47</v>
      </c>
      <c r="F193" s="4">
        <f t="shared" si="5"/>
        <v>5.6177999999817985E-2</v>
      </c>
    </row>
    <row r="194" spans="1:6" x14ac:dyDescent="0.25">
      <c r="A194" t="s">
        <v>164</v>
      </c>
      <c r="B194">
        <v>46789.503851000001</v>
      </c>
      <c r="D194" s="4">
        <f t="shared" ref="D194:D257" si="6">+B194+C194</f>
        <v>46789.503851000001</v>
      </c>
      <c r="E194" s="4">
        <f>+VLOOKUP(A194,Sheet3!A:B,2,FALSE)</f>
        <v>46789.56</v>
      </c>
      <c r="F194" s="4">
        <f t="shared" ref="F194:F257" si="7">+ABS(E194-D194)</f>
        <v>5.6148999996366911E-2</v>
      </c>
    </row>
    <row r="195" spans="1:6" x14ac:dyDescent="0.25">
      <c r="A195" t="s">
        <v>750</v>
      </c>
      <c r="B195">
        <v>25133.043903999998</v>
      </c>
      <c r="D195" s="4">
        <f t="shared" si="6"/>
        <v>25133.043903999998</v>
      </c>
      <c r="E195" s="4">
        <f>+VLOOKUP(A195,Sheet3!A:B,2,FALSE)</f>
        <v>25133.1</v>
      </c>
      <c r="F195" s="4">
        <f t="shared" si="7"/>
        <v>5.6096000000252388E-2</v>
      </c>
    </row>
    <row r="196" spans="1:6" x14ac:dyDescent="0.25">
      <c r="A196" t="s">
        <v>36</v>
      </c>
      <c r="B196">
        <v>28321.343991999998</v>
      </c>
      <c r="D196" s="4">
        <f t="shared" si="6"/>
        <v>28321.343991999998</v>
      </c>
      <c r="E196" s="4">
        <f>+VLOOKUP(A196,Sheet3!A:B,2,FALSE)</f>
        <v>28321.4</v>
      </c>
      <c r="F196" s="4">
        <f t="shared" si="7"/>
        <v>5.6008000003203051E-2</v>
      </c>
    </row>
    <row r="197" spans="1:6" x14ac:dyDescent="0.25">
      <c r="A197" t="s">
        <v>836</v>
      </c>
      <c r="B197">
        <v>11243.614030000001</v>
      </c>
      <c r="D197" s="4">
        <f t="shared" si="6"/>
        <v>11243.614030000001</v>
      </c>
      <c r="E197" s="4">
        <f>+VLOOKUP(A197,Sheet3!A:B,2,FALSE)</f>
        <v>11243.67</v>
      </c>
      <c r="F197" s="4">
        <f t="shared" si="7"/>
        <v>5.5969999999433639E-2</v>
      </c>
    </row>
    <row r="198" spans="1:6" x14ac:dyDescent="0.25">
      <c r="A198" t="s">
        <v>600</v>
      </c>
      <c r="B198">
        <v>33714.004032999997</v>
      </c>
      <c r="D198" s="4">
        <f t="shared" si="6"/>
        <v>33714.004032999997</v>
      </c>
      <c r="E198" s="4">
        <f>+VLOOKUP(A198,Sheet3!A:B,2,FALSE)</f>
        <v>33714.06</v>
      </c>
      <c r="F198" s="4">
        <f t="shared" si="7"/>
        <v>5.5967000000237022E-2</v>
      </c>
    </row>
    <row r="199" spans="1:6" x14ac:dyDescent="0.25">
      <c r="A199" t="s">
        <v>473</v>
      </c>
      <c r="B199">
        <v>17769.584088</v>
      </c>
      <c r="D199" s="4">
        <f t="shared" si="6"/>
        <v>17769.584088</v>
      </c>
      <c r="E199" s="4">
        <f>+VLOOKUP(A199,Sheet3!A:B,2,FALSE)</f>
        <v>17769.64</v>
      </c>
      <c r="F199" s="4">
        <f t="shared" si="7"/>
        <v>5.5911999999807449E-2</v>
      </c>
    </row>
    <row r="200" spans="1:6" x14ac:dyDescent="0.25">
      <c r="A200" t="s">
        <v>874</v>
      </c>
      <c r="B200">
        <v>20680.124094999999</v>
      </c>
      <c r="D200" s="4">
        <f t="shared" si="6"/>
        <v>20680.124094999999</v>
      </c>
      <c r="E200" s="4">
        <f>+VLOOKUP(A200,Sheet3!A:B,2,FALSE)</f>
        <v>20680.18</v>
      </c>
      <c r="F200" s="4">
        <f t="shared" si="7"/>
        <v>5.5905000001075678E-2</v>
      </c>
    </row>
    <row r="201" spans="1:6" x14ac:dyDescent="0.25">
      <c r="A201" t="s">
        <v>515</v>
      </c>
      <c r="B201">
        <v>39390.874217999997</v>
      </c>
      <c r="D201" s="4">
        <f t="shared" si="6"/>
        <v>39390.874217999997</v>
      </c>
      <c r="E201" s="4">
        <f>+VLOOKUP(A201,Sheet3!A:B,2,FALSE)</f>
        <v>39390.93</v>
      </c>
      <c r="F201" s="4">
        <f t="shared" si="7"/>
        <v>5.5782000003091525E-2</v>
      </c>
    </row>
    <row r="202" spans="1:6" x14ac:dyDescent="0.25">
      <c r="A202" t="s">
        <v>797</v>
      </c>
      <c r="B202">
        <v>38264.014263999998</v>
      </c>
      <c r="D202" s="4">
        <f t="shared" si="6"/>
        <v>38264.014263999998</v>
      </c>
      <c r="E202" s="4">
        <f>+VLOOKUP(A202,Sheet3!A:B,2,FALSE)</f>
        <v>38264.07</v>
      </c>
      <c r="F202" s="4">
        <f t="shared" si="7"/>
        <v>5.5736000002070796E-2</v>
      </c>
    </row>
    <row r="203" spans="1:6" x14ac:dyDescent="0.25">
      <c r="A203" t="s">
        <v>590</v>
      </c>
      <c r="B203">
        <v>10209.974461</v>
      </c>
      <c r="D203" s="4">
        <f t="shared" si="6"/>
        <v>10209.974461</v>
      </c>
      <c r="E203" s="4">
        <f>+VLOOKUP(A203,Sheet3!A:B,2,FALSE)</f>
        <v>10210.030000000001</v>
      </c>
      <c r="F203" s="4">
        <f t="shared" si="7"/>
        <v>5.553900000086287E-2</v>
      </c>
    </row>
    <row r="204" spans="1:6" x14ac:dyDescent="0.25">
      <c r="A204" t="s">
        <v>523</v>
      </c>
      <c r="B204">
        <v>478744.04447999998</v>
      </c>
      <c r="D204" s="4">
        <f t="shared" si="6"/>
        <v>478744.04447999998</v>
      </c>
      <c r="E204" s="4">
        <f>+VLOOKUP(A204,Sheet3!A:B,2,FALSE)</f>
        <v>478744.10000000009</v>
      </c>
      <c r="F204" s="4">
        <f t="shared" si="7"/>
        <v>5.5520000110846013E-2</v>
      </c>
    </row>
    <row r="205" spans="1:6" x14ac:dyDescent="0.25">
      <c r="A205" t="s">
        <v>53</v>
      </c>
      <c r="B205">
        <v>23137.054935</v>
      </c>
      <c r="D205" s="4">
        <f t="shared" si="6"/>
        <v>23137.054935</v>
      </c>
      <c r="E205" s="4">
        <f>+VLOOKUP(A205,Sheet3!A:B,2,FALSE)</f>
        <v>23137.11</v>
      </c>
      <c r="F205" s="4">
        <f t="shared" si="7"/>
        <v>5.506500000046799E-2</v>
      </c>
    </row>
    <row r="206" spans="1:6" x14ac:dyDescent="0.25">
      <c r="A206" t="s">
        <v>243</v>
      </c>
      <c r="B206">
        <v>44389.605147000002</v>
      </c>
      <c r="D206" s="4">
        <f t="shared" si="6"/>
        <v>44389.605147000002</v>
      </c>
      <c r="E206" s="4">
        <f>+VLOOKUP(A206,Sheet3!A:B,2,FALSE)</f>
        <v>44389.66</v>
      </c>
      <c r="F206" s="4">
        <f t="shared" si="7"/>
        <v>5.4853000001457985E-2</v>
      </c>
    </row>
    <row r="207" spans="1:6" x14ac:dyDescent="0.25">
      <c r="A207" t="s">
        <v>251</v>
      </c>
      <c r="B207">
        <v>18202.485158</v>
      </c>
      <c r="D207" s="4">
        <f t="shared" si="6"/>
        <v>18202.485158</v>
      </c>
      <c r="E207" s="4">
        <f>+VLOOKUP(A207,Sheet3!A:B,2,FALSE)</f>
        <v>18202.54</v>
      </c>
      <c r="F207" s="4">
        <f t="shared" si="7"/>
        <v>5.4842000001372071E-2</v>
      </c>
    </row>
    <row r="208" spans="1:6" x14ac:dyDescent="0.25">
      <c r="A208" t="s">
        <v>462</v>
      </c>
      <c r="B208">
        <v>38666.905567000002</v>
      </c>
      <c r="D208" s="4">
        <f t="shared" si="6"/>
        <v>38666.905567000002</v>
      </c>
      <c r="E208" s="4">
        <f>+VLOOKUP(A208,Sheet3!A:B,2,FALSE)</f>
        <v>38666.959999999999</v>
      </c>
      <c r="F208" s="4">
        <f t="shared" si="7"/>
        <v>5.4432999997516163E-2</v>
      </c>
    </row>
    <row r="209" spans="1:6" x14ac:dyDescent="0.25">
      <c r="A209" t="s">
        <v>562</v>
      </c>
      <c r="B209">
        <v>5204.7255729999997</v>
      </c>
      <c r="D209" s="4">
        <f t="shared" si="6"/>
        <v>5204.7255729999997</v>
      </c>
      <c r="E209" s="4">
        <f>+VLOOKUP(A209,Sheet3!A:B,2,FALSE)</f>
        <v>5204.78</v>
      </c>
      <c r="F209" s="4">
        <f t="shared" si="7"/>
        <v>5.4427000000032422E-2</v>
      </c>
    </row>
    <row r="210" spans="1:6" x14ac:dyDescent="0.25">
      <c r="A210" t="s">
        <v>704</v>
      </c>
      <c r="B210">
        <v>26026.275785999998</v>
      </c>
      <c r="D210" s="4">
        <f t="shared" si="6"/>
        <v>26026.275785999998</v>
      </c>
      <c r="E210" s="4">
        <f>+VLOOKUP(A210,Sheet3!A:B,2,FALSE)</f>
        <v>26026.33</v>
      </c>
      <c r="F210" s="4">
        <f t="shared" si="7"/>
        <v>5.4214000003412366E-2</v>
      </c>
    </row>
    <row r="211" spans="1:6" x14ac:dyDescent="0.25">
      <c r="A211" t="s">
        <v>670</v>
      </c>
      <c r="B211">
        <v>32128.985919999999</v>
      </c>
      <c r="D211" s="4">
        <f t="shared" si="6"/>
        <v>32128.985919999999</v>
      </c>
      <c r="E211" s="4">
        <f>+VLOOKUP(A211,Sheet3!A:B,2,FALSE)</f>
        <v>32129.040000000001</v>
      </c>
      <c r="F211" s="4">
        <f t="shared" si="7"/>
        <v>5.408000000170432E-2</v>
      </c>
    </row>
    <row r="212" spans="1:6" x14ac:dyDescent="0.25">
      <c r="A212" t="s">
        <v>493</v>
      </c>
      <c r="B212">
        <v>5519.8960200000001</v>
      </c>
      <c r="D212" s="4">
        <f t="shared" si="6"/>
        <v>5519.8960200000001</v>
      </c>
      <c r="E212" s="4">
        <f>+VLOOKUP(A212,Sheet3!A:B,2,FALSE)</f>
        <v>5519.95</v>
      </c>
      <c r="F212" s="4">
        <f t="shared" si="7"/>
        <v>5.3979999999683059E-2</v>
      </c>
    </row>
    <row r="213" spans="1:6" x14ac:dyDescent="0.25">
      <c r="A213" t="s">
        <v>48</v>
      </c>
      <c r="B213">
        <v>29883.006087999998</v>
      </c>
      <c r="D213" s="4">
        <f t="shared" si="6"/>
        <v>29883.006087999998</v>
      </c>
      <c r="E213" s="4">
        <f>+VLOOKUP(A213,Sheet3!A:B,2,FALSE)</f>
        <v>29883.06</v>
      </c>
      <c r="F213" s="4">
        <f t="shared" si="7"/>
        <v>5.3912000003037974E-2</v>
      </c>
    </row>
    <row r="214" spans="1:6" x14ac:dyDescent="0.25">
      <c r="A214" t="s">
        <v>938</v>
      </c>
      <c r="B214">
        <v>13018.196099999999</v>
      </c>
      <c r="D214" s="4">
        <f t="shared" si="6"/>
        <v>13018.196099999999</v>
      </c>
      <c r="E214" s="4">
        <f>+VLOOKUP(A214,Sheet3!A:B,2,FALSE)</f>
        <v>13018.25</v>
      </c>
      <c r="F214" s="4">
        <f t="shared" si="7"/>
        <v>5.3900000000794535E-2</v>
      </c>
    </row>
    <row r="215" spans="1:6" x14ac:dyDescent="0.25">
      <c r="A215" t="s">
        <v>390</v>
      </c>
      <c r="B215">
        <v>13018.196099999999</v>
      </c>
      <c r="D215" s="4">
        <f t="shared" si="6"/>
        <v>13018.196099999999</v>
      </c>
      <c r="E215" s="4">
        <f>+VLOOKUP(A215,Sheet3!A:B,2,FALSE)</f>
        <v>13018.25</v>
      </c>
      <c r="F215" s="4">
        <f t="shared" si="7"/>
        <v>5.3900000000794535E-2</v>
      </c>
    </row>
    <row r="216" spans="1:6" x14ac:dyDescent="0.25">
      <c r="A216" t="s">
        <v>134</v>
      </c>
      <c r="B216">
        <v>10759.316142</v>
      </c>
      <c r="D216" s="4">
        <f t="shared" si="6"/>
        <v>10759.316142</v>
      </c>
      <c r="E216" s="4">
        <f>+VLOOKUP(A216,Sheet3!A:B,2,FALSE)</f>
        <v>10759.37</v>
      </c>
      <c r="F216" s="4">
        <f t="shared" si="7"/>
        <v>5.3858000001127948E-2</v>
      </c>
    </row>
    <row r="217" spans="1:6" x14ac:dyDescent="0.25">
      <c r="A217" t="s">
        <v>348</v>
      </c>
      <c r="B217">
        <v>48000.486205000001</v>
      </c>
      <c r="D217" s="4">
        <f t="shared" si="6"/>
        <v>48000.486205000001</v>
      </c>
      <c r="E217" s="4">
        <f>+VLOOKUP(A217,Sheet3!A:B,2,FALSE)</f>
        <v>48000.54</v>
      </c>
      <c r="F217" s="4">
        <f t="shared" si="7"/>
        <v>5.3794999999809079E-2</v>
      </c>
    </row>
    <row r="218" spans="1:6" x14ac:dyDescent="0.25">
      <c r="A218" t="s">
        <v>121</v>
      </c>
      <c r="B218">
        <v>38306.856261000001</v>
      </c>
      <c r="D218" s="4">
        <f t="shared" si="6"/>
        <v>38306.856261000001</v>
      </c>
      <c r="E218" s="4">
        <f>+VLOOKUP(A218,Sheet3!A:B,2,FALSE)</f>
        <v>38306.910000000003</v>
      </c>
      <c r="F218" s="4">
        <f t="shared" si="7"/>
        <v>5.3739000002678949E-2</v>
      </c>
    </row>
    <row r="219" spans="1:6" x14ac:dyDescent="0.25">
      <c r="A219" t="s">
        <v>474</v>
      </c>
      <c r="B219">
        <v>44940.576317999999</v>
      </c>
      <c r="D219" s="4">
        <f t="shared" si="6"/>
        <v>44940.576317999999</v>
      </c>
      <c r="E219" s="4">
        <f>+VLOOKUP(A219,Sheet3!A:B,2,FALSE)</f>
        <v>44940.63</v>
      </c>
      <c r="F219" s="4">
        <f t="shared" si="7"/>
        <v>5.3681999997934327E-2</v>
      </c>
    </row>
    <row r="220" spans="1:6" x14ac:dyDescent="0.25">
      <c r="A220" t="s">
        <v>381</v>
      </c>
      <c r="B220">
        <v>41822.276386999998</v>
      </c>
      <c r="D220" s="4">
        <f t="shared" si="6"/>
        <v>41822.276386999998</v>
      </c>
      <c r="E220" s="4">
        <f>+VLOOKUP(A220,Sheet3!A:B,2,FALSE)</f>
        <v>41822.33</v>
      </c>
      <c r="F220" s="4">
        <f t="shared" si="7"/>
        <v>5.361300000367919E-2</v>
      </c>
    </row>
    <row r="221" spans="1:6" x14ac:dyDescent="0.25">
      <c r="A221" t="s">
        <v>764</v>
      </c>
      <c r="B221">
        <v>101646.74650199999</v>
      </c>
      <c r="D221" s="4">
        <f t="shared" si="6"/>
        <v>101646.74650199999</v>
      </c>
      <c r="E221" s="4">
        <f>+VLOOKUP(A221,Sheet3!A:B,2,FALSE)</f>
        <v>101646.8</v>
      </c>
      <c r="F221" s="4">
        <f t="shared" si="7"/>
        <v>5.3498000008403324E-2</v>
      </c>
    </row>
    <row r="222" spans="1:6" x14ac:dyDescent="0.25">
      <c r="A222" t="s">
        <v>93</v>
      </c>
      <c r="B222">
        <v>30747.246633999999</v>
      </c>
      <c r="D222" s="4">
        <f t="shared" si="6"/>
        <v>30747.246633999999</v>
      </c>
      <c r="E222" s="4">
        <f>+VLOOKUP(A222,Sheet3!A:B,2,FALSE)</f>
        <v>30747.3</v>
      </c>
      <c r="F222" s="4">
        <f t="shared" si="7"/>
        <v>5.3366000000096392E-2</v>
      </c>
    </row>
    <row r="223" spans="1:6" x14ac:dyDescent="0.25">
      <c r="A223" t="s">
        <v>799</v>
      </c>
      <c r="B223">
        <v>26034.626919999999</v>
      </c>
      <c r="D223" s="4">
        <f t="shared" si="6"/>
        <v>26034.626919999999</v>
      </c>
      <c r="E223" s="4">
        <f>+VLOOKUP(A223,Sheet3!A:B,2,FALSE)</f>
        <v>26034.68</v>
      </c>
      <c r="F223" s="4">
        <f t="shared" si="7"/>
        <v>5.3080000001500593E-2</v>
      </c>
    </row>
    <row r="224" spans="1:6" x14ac:dyDescent="0.25">
      <c r="A224" t="s">
        <v>620</v>
      </c>
      <c r="B224">
        <v>49315.076939999999</v>
      </c>
      <c r="D224" s="4">
        <f t="shared" si="6"/>
        <v>49315.076939999999</v>
      </c>
      <c r="E224" s="4">
        <f>+VLOOKUP(A224,Sheet3!A:B,2,FALSE)</f>
        <v>49315.13</v>
      </c>
      <c r="F224" s="4">
        <f t="shared" si="7"/>
        <v>5.3059999998367857E-2</v>
      </c>
    </row>
    <row r="225" spans="1:6" x14ac:dyDescent="0.25">
      <c r="A225" t="s">
        <v>71</v>
      </c>
      <c r="B225">
        <v>24049.637006000001</v>
      </c>
      <c r="D225" s="4">
        <f t="shared" si="6"/>
        <v>24049.637006000001</v>
      </c>
      <c r="E225" s="4">
        <f>+VLOOKUP(A225,Sheet3!A:B,2,FALSE)</f>
        <v>24049.69</v>
      </c>
      <c r="F225" s="4">
        <f t="shared" si="7"/>
        <v>5.299399999785237E-2</v>
      </c>
    </row>
    <row r="226" spans="1:6" x14ac:dyDescent="0.25">
      <c r="A226" t="s">
        <v>332</v>
      </c>
      <c r="B226">
        <v>3771.657365</v>
      </c>
      <c r="D226" s="4">
        <f t="shared" si="6"/>
        <v>3771.657365</v>
      </c>
      <c r="E226" s="4">
        <f>+VLOOKUP(A226,Sheet3!A:B,2,FALSE)</f>
        <v>3771.71</v>
      </c>
      <c r="F226" s="4">
        <f t="shared" si="7"/>
        <v>5.2635000000009313E-2</v>
      </c>
    </row>
    <row r="227" spans="1:6" x14ac:dyDescent="0.25">
      <c r="A227" t="s">
        <v>372</v>
      </c>
      <c r="B227">
        <v>11491.907508</v>
      </c>
      <c r="D227" s="4">
        <f t="shared" si="6"/>
        <v>11491.907508</v>
      </c>
      <c r="E227" s="4">
        <f>+VLOOKUP(A227,Sheet3!A:B,2,FALSE)</f>
        <v>11491.96</v>
      </c>
      <c r="F227" s="4">
        <f t="shared" si="7"/>
        <v>5.2491999998892425E-2</v>
      </c>
    </row>
    <row r="228" spans="1:6" x14ac:dyDescent="0.25">
      <c r="A228" t="s">
        <v>263</v>
      </c>
      <c r="B228">
        <v>31651.477572</v>
      </c>
      <c r="D228" s="4">
        <f t="shared" si="6"/>
        <v>31651.477572</v>
      </c>
      <c r="E228" s="4">
        <f>+VLOOKUP(A228,Sheet3!A:B,2,FALSE)</f>
        <v>31651.53</v>
      </c>
      <c r="F228" s="4">
        <f t="shared" si="7"/>
        <v>5.2427999999054009E-2</v>
      </c>
    </row>
    <row r="229" spans="1:6" x14ac:dyDescent="0.25">
      <c r="A229" t="s">
        <v>442</v>
      </c>
      <c r="B229">
        <v>20628.3878</v>
      </c>
      <c r="D229" s="4">
        <f t="shared" si="6"/>
        <v>20628.3878</v>
      </c>
      <c r="E229" s="4">
        <f>+VLOOKUP(A229,Sheet3!A:B,2,FALSE)</f>
        <v>20628.439999999999</v>
      </c>
      <c r="F229" s="4">
        <f t="shared" si="7"/>
        <v>5.2199999998265412E-2</v>
      </c>
    </row>
    <row r="230" spans="1:6" x14ac:dyDescent="0.25">
      <c r="A230" t="s">
        <v>633</v>
      </c>
      <c r="B230">
        <v>32975.437872000002</v>
      </c>
      <c r="D230" s="4">
        <f t="shared" si="6"/>
        <v>32975.437872000002</v>
      </c>
      <c r="E230" s="4">
        <f>+VLOOKUP(A230,Sheet3!A:B,2,FALSE)</f>
        <v>32975.49</v>
      </c>
      <c r="F230" s="4">
        <f t="shared" si="7"/>
        <v>5.212799999571871E-2</v>
      </c>
    </row>
    <row r="231" spans="1:6" x14ac:dyDescent="0.25">
      <c r="A231" t="s">
        <v>302</v>
      </c>
      <c r="B231">
        <v>13194.588349</v>
      </c>
      <c r="D231" s="4">
        <f t="shared" si="6"/>
        <v>13194.588349</v>
      </c>
      <c r="E231" s="4">
        <f>+VLOOKUP(A231,Sheet3!A:B,2,FALSE)</f>
        <v>13194.64</v>
      </c>
      <c r="F231" s="4">
        <f t="shared" si="7"/>
        <v>5.165099999976519E-2</v>
      </c>
    </row>
    <row r="232" spans="1:6" x14ac:dyDescent="0.25">
      <c r="A232" t="s">
        <v>181</v>
      </c>
      <c r="B232">
        <v>27809.548467000001</v>
      </c>
      <c r="D232" s="4">
        <f t="shared" si="6"/>
        <v>27809.548467000001</v>
      </c>
      <c r="E232" s="4">
        <f>+VLOOKUP(A232,Sheet3!A:B,2,FALSE)</f>
        <v>27809.599999999999</v>
      </c>
      <c r="F232" s="4">
        <f t="shared" si="7"/>
        <v>5.1532999998016749E-2</v>
      </c>
    </row>
    <row r="233" spans="1:6" x14ac:dyDescent="0.25">
      <c r="A233" t="s">
        <v>740</v>
      </c>
      <c r="B233">
        <v>27809.548467000001</v>
      </c>
      <c r="D233" s="4">
        <f t="shared" si="6"/>
        <v>27809.548467000001</v>
      </c>
      <c r="E233" s="4">
        <f>+VLOOKUP(A233,Sheet3!A:B,2,FALSE)</f>
        <v>27809.599999999999</v>
      </c>
      <c r="F233" s="4">
        <f t="shared" si="7"/>
        <v>5.1532999998016749E-2</v>
      </c>
    </row>
    <row r="234" spans="1:6" x14ac:dyDescent="0.25">
      <c r="A234" t="s">
        <v>508</v>
      </c>
      <c r="B234">
        <v>27809.548467000001</v>
      </c>
      <c r="D234" s="4">
        <f t="shared" si="6"/>
        <v>27809.548467000001</v>
      </c>
      <c r="E234" s="4">
        <f>+VLOOKUP(A234,Sheet3!A:B,2,FALSE)</f>
        <v>27809.599999999999</v>
      </c>
      <c r="F234" s="4">
        <f t="shared" si="7"/>
        <v>5.1532999998016749E-2</v>
      </c>
    </row>
    <row r="235" spans="1:6" x14ac:dyDescent="0.25">
      <c r="A235" t="s">
        <v>912</v>
      </c>
      <c r="B235">
        <v>38108.058530000002</v>
      </c>
      <c r="D235" s="4">
        <f t="shared" si="6"/>
        <v>38108.058530000002</v>
      </c>
      <c r="E235" s="4">
        <f>+VLOOKUP(A235,Sheet3!A:B,2,FALSE)</f>
        <v>38108.11</v>
      </c>
      <c r="F235" s="4">
        <f t="shared" si="7"/>
        <v>5.1469999998516869E-2</v>
      </c>
    </row>
    <row r="236" spans="1:6" x14ac:dyDescent="0.25">
      <c r="A236" t="s">
        <v>940</v>
      </c>
      <c r="B236">
        <v>5511.7485720000004</v>
      </c>
      <c r="D236" s="4">
        <f t="shared" si="6"/>
        <v>5511.7485720000004</v>
      </c>
      <c r="E236" s="4">
        <f>+VLOOKUP(A236,Sheet3!A:B,2,FALSE)</f>
        <v>5511.8</v>
      </c>
      <c r="F236" s="4">
        <f t="shared" si="7"/>
        <v>5.1427999999759777E-2</v>
      </c>
    </row>
    <row r="237" spans="1:6" x14ac:dyDescent="0.25">
      <c r="A237" t="s">
        <v>361</v>
      </c>
      <c r="B237">
        <v>4869.1186109999999</v>
      </c>
      <c r="D237" s="4">
        <f t="shared" si="6"/>
        <v>4869.1186109999999</v>
      </c>
      <c r="E237" s="4">
        <f>+VLOOKUP(A237,Sheet3!A:B,2,FALSE)</f>
        <v>4869.17</v>
      </c>
      <c r="F237" s="4">
        <f t="shared" si="7"/>
        <v>5.1389000000199303E-2</v>
      </c>
    </row>
    <row r="238" spans="1:6" x14ac:dyDescent="0.25">
      <c r="A238" t="s">
        <v>43</v>
      </c>
      <c r="B238">
        <v>31543.048618000001</v>
      </c>
      <c r="D238" s="4">
        <f t="shared" si="6"/>
        <v>31543.048618000001</v>
      </c>
      <c r="E238" s="4">
        <f>+VLOOKUP(A238,Sheet3!A:B,2,FALSE)</f>
        <v>31543.1</v>
      </c>
      <c r="F238" s="4">
        <f t="shared" si="7"/>
        <v>5.1381999997829553E-2</v>
      </c>
    </row>
    <row r="239" spans="1:6" x14ac:dyDescent="0.25">
      <c r="A239" t="s">
        <v>551</v>
      </c>
      <c r="B239">
        <v>7729.0086490000003</v>
      </c>
      <c r="D239" s="4">
        <f t="shared" si="6"/>
        <v>7729.0086490000003</v>
      </c>
      <c r="E239" s="4">
        <f>+VLOOKUP(A239,Sheet3!A:B,2,FALSE)</f>
        <v>7729.06</v>
      </c>
      <c r="F239" s="4">
        <f t="shared" si="7"/>
        <v>5.135100000006787E-2</v>
      </c>
    </row>
    <row r="240" spans="1:6" x14ac:dyDescent="0.25">
      <c r="A240" t="s">
        <v>449</v>
      </c>
      <c r="B240">
        <v>212671.74881600001</v>
      </c>
      <c r="D240" s="4">
        <f t="shared" si="6"/>
        <v>212671.74881600001</v>
      </c>
      <c r="E240" s="4">
        <f>+VLOOKUP(A240,Sheet3!A:B,2,FALSE)</f>
        <v>212671.8</v>
      </c>
      <c r="F240" s="4">
        <f t="shared" si="7"/>
        <v>5.1183999981731176E-2</v>
      </c>
    </row>
    <row r="241" spans="1:6" x14ac:dyDescent="0.25">
      <c r="A241" t="s">
        <v>850</v>
      </c>
      <c r="B241">
        <v>2203.7488920000001</v>
      </c>
      <c r="D241" s="4">
        <f t="shared" si="6"/>
        <v>2203.7488920000001</v>
      </c>
      <c r="E241" s="4">
        <f>+VLOOKUP(A241,Sheet3!A:B,2,FALSE)</f>
        <v>2203.8000000000002</v>
      </c>
      <c r="F241" s="4">
        <f t="shared" si="7"/>
        <v>5.1108000000112952E-2</v>
      </c>
    </row>
    <row r="242" spans="1:6" x14ac:dyDescent="0.25">
      <c r="A242" t="s">
        <v>592</v>
      </c>
      <c r="B242">
        <v>35782.708975000001</v>
      </c>
      <c r="D242" s="4">
        <f t="shared" si="6"/>
        <v>35782.708975000001</v>
      </c>
      <c r="E242" s="4">
        <f>+VLOOKUP(A242,Sheet3!A:B,2,FALSE)</f>
        <v>35782.76</v>
      </c>
      <c r="F242" s="4">
        <f t="shared" si="7"/>
        <v>5.1025000000663567E-2</v>
      </c>
    </row>
    <row r="243" spans="1:6" x14ac:dyDescent="0.25">
      <c r="A243" t="s">
        <v>669</v>
      </c>
      <c r="B243">
        <v>31100.099028000001</v>
      </c>
      <c r="D243" s="4">
        <f t="shared" si="6"/>
        <v>31100.099028000001</v>
      </c>
      <c r="E243" s="4">
        <f>+VLOOKUP(A243,Sheet3!A:B,2,FALSE)</f>
        <v>31100.15</v>
      </c>
      <c r="F243" s="4">
        <f t="shared" si="7"/>
        <v>5.0972000000911066E-2</v>
      </c>
    </row>
    <row r="244" spans="1:6" x14ac:dyDescent="0.25">
      <c r="A244" t="s">
        <v>117</v>
      </c>
      <c r="B244">
        <v>21319.359285999999</v>
      </c>
      <c r="D244" s="4">
        <f t="shared" si="6"/>
        <v>21319.359285999999</v>
      </c>
      <c r="E244" s="4">
        <f>+VLOOKUP(A244,Sheet3!A:B,2,FALSE)</f>
        <v>21319.41</v>
      </c>
      <c r="F244" s="4">
        <f t="shared" si="7"/>
        <v>5.0714000000880333E-2</v>
      </c>
    </row>
    <row r="245" spans="1:6" x14ac:dyDescent="0.25">
      <c r="A245" t="s">
        <v>291</v>
      </c>
      <c r="B245">
        <v>4750.3695559999996</v>
      </c>
      <c r="D245" s="4">
        <f t="shared" si="6"/>
        <v>4750.3695559999996</v>
      </c>
      <c r="E245" s="4">
        <f>+VLOOKUP(A245,Sheet3!A:B,2,FALSE)</f>
        <v>4750.42</v>
      </c>
      <c r="F245" s="4">
        <f t="shared" si="7"/>
        <v>5.0444000000425149E-2</v>
      </c>
    </row>
    <row r="246" spans="1:6" x14ac:dyDescent="0.25">
      <c r="A246" t="s">
        <v>820</v>
      </c>
      <c r="B246">
        <v>31968.209612999999</v>
      </c>
      <c r="D246" s="4">
        <f t="shared" si="6"/>
        <v>31968.209612999999</v>
      </c>
      <c r="E246" s="4">
        <f>+VLOOKUP(A246,Sheet3!A:B,2,FALSE)</f>
        <v>31968.26</v>
      </c>
      <c r="F246" s="4">
        <f t="shared" si="7"/>
        <v>5.0386999999318505E-2</v>
      </c>
    </row>
    <row r="247" spans="1:6" x14ac:dyDescent="0.25">
      <c r="A247" t="s">
        <v>125</v>
      </c>
      <c r="B247">
        <v>26150.999636</v>
      </c>
      <c r="D247" s="4">
        <f t="shared" si="6"/>
        <v>26150.999636</v>
      </c>
      <c r="E247" s="4">
        <f>+VLOOKUP(A247,Sheet3!A:B,2,FALSE)</f>
        <v>26151.05</v>
      </c>
      <c r="F247" s="4">
        <f t="shared" si="7"/>
        <v>5.036399999880814E-2</v>
      </c>
    </row>
    <row r="248" spans="1:6" x14ac:dyDescent="0.25">
      <c r="A248" t="s">
        <v>20</v>
      </c>
      <c r="B248">
        <v>46259.919731000002</v>
      </c>
      <c r="D248" s="4">
        <f t="shared" si="6"/>
        <v>46259.919731000002</v>
      </c>
      <c r="E248" s="4">
        <f>+VLOOKUP(A248,Sheet3!A:B,2,FALSE)</f>
        <v>46259.97</v>
      </c>
      <c r="F248" s="4">
        <f t="shared" si="7"/>
        <v>5.0268999999389052E-2</v>
      </c>
    </row>
    <row r="249" spans="1:6" x14ac:dyDescent="0.25">
      <c r="A249" t="s">
        <v>27</v>
      </c>
      <c r="B249">
        <v>10334.969891999999</v>
      </c>
      <c r="D249" s="4">
        <f t="shared" si="6"/>
        <v>10334.969891999999</v>
      </c>
      <c r="E249" s="4">
        <f>+VLOOKUP(A249,Sheet3!A:B,2,FALSE)</f>
        <v>10335.02</v>
      </c>
      <c r="F249" s="4">
        <f t="shared" si="7"/>
        <v>5.0108000001273467E-2</v>
      </c>
    </row>
    <row r="250" spans="1:6" x14ac:dyDescent="0.25">
      <c r="A250" t="s">
        <v>289</v>
      </c>
      <c r="B250">
        <v>3880.2900049999998</v>
      </c>
      <c r="D250" s="4">
        <f t="shared" si="6"/>
        <v>3880.2900049999998</v>
      </c>
      <c r="E250" s="4">
        <f>+VLOOKUP(A250,Sheet3!A:B,2,FALSE)</f>
        <v>3880.34</v>
      </c>
      <c r="F250" s="4">
        <f t="shared" si="7"/>
        <v>4.999500000030821E-2</v>
      </c>
    </row>
    <row r="251" spans="1:6" x14ac:dyDescent="0.25">
      <c r="A251" t="s">
        <v>779</v>
      </c>
      <c r="B251">
        <v>50011.480058000001</v>
      </c>
      <c r="D251" s="4">
        <f t="shared" si="6"/>
        <v>50011.480058000001</v>
      </c>
      <c r="E251" s="4">
        <f>+VLOOKUP(A251,Sheet3!A:B,2,FALSE)</f>
        <v>50011.53</v>
      </c>
      <c r="F251" s="4">
        <f t="shared" si="7"/>
        <v>4.9941999997827224E-2</v>
      </c>
    </row>
    <row r="252" spans="1:6" x14ac:dyDescent="0.25">
      <c r="A252" t="s">
        <v>892</v>
      </c>
      <c r="B252">
        <v>16715.440106999999</v>
      </c>
      <c r="D252" s="4">
        <f t="shared" si="6"/>
        <v>16715.440106999999</v>
      </c>
      <c r="E252" s="4">
        <f>+VLOOKUP(A252,Sheet3!A:B,2,FALSE)</f>
        <v>16715.490000000002</v>
      </c>
      <c r="F252" s="4">
        <f t="shared" si="7"/>
        <v>4.9893000003066845E-2</v>
      </c>
    </row>
    <row r="253" spans="1:6" x14ac:dyDescent="0.25">
      <c r="A253" t="s">
        <v>12</v>
      </c>
      <c r="B253">
        <v>25814.170557000001</v>
      </c>
      <c r="D253" s="4">
        <f t="shared" si="6"/>
        <v>25814.170557000001</v>
      </c>
      <c r="E253" s="4">
        <f>+VLOOKUP(A253,Sheet3!A:B,2,FALSE)</f>
        <v>25814.22</v>
      </c>
      <c r="F253" s="4">
        <f t="shared" si="7"/>
        <v>4.9442999999882886E-2</v>
      </c>
    </row>
    <row r="254" spans="1:6" x14ac:dyDescent="0.25">
      <c r="A254" t="s">
        <v>939</v>
      </c>
      <c r="B254">
        <v>25814.170557000001</v>
      </c>
      <c r="D254" s="4">
        <f t="shared" si="6"/>
        <v>25814.170557000001</v>
      </c>
      <c r="E254" s="4">
        <f>+VLOOKUP(A254,Sheet3!A:B,2,FALSE)</f>
        <v>25814.22</v>
      </c>
      <c r="F254" s="4">
        <f t="shared" si="7"/>
        <v>4.9442999999882886E-2</v>
      </c>
    </row>
    <row r="255" spans="1:6" x14ac:dyDescent="0.25">
      <c r="A255" t="s">
        <v>584</v>
      </c>
      <c r="B255">
        <v>29386.690714</v>
      </c>
      <c r="D255" s="4">
        <f t="shared" si="6"/>
        <v>29386.690714</v>
      </c>
      <c r="E255" s="4">
        <f>+VLOOKUP(A255,Sheet3!A:B,2,FALSE)</f>
        <v>29386.74</v>
      </c>
      <c r="F255" s="4">
        <f t="shared" si="7"/>
        <v>4.9286000001302455E-2</v>
      </c>
    </row>
    <row r="256" spans="1:6" x14ac:dyDescent="0.25">
      <c r="A256" t="s">
        <v>327</v>
      </c>
      <c r="B256">
        <v>38366.061049999997</v>
      </c>
      <c r="D256" s="4">
        <f t="shared" si="6"/>
        <v>38366.061049999997</v>
      </c>
      <c r="E256" s="4">
        <f>+VLOOKUP(A256,Sheet3!A:B,2,FALSE)</f>
        <v>38366.11</v>
      </c>
      <c r="F256" s="4">
        <f t="shared" si="7"/>
        <v>4.8950000003969762E-2</v>
      </c>
    </row>
    <row r="257" spans="1:6" x14ac:dyDescent="0.25">
      <c r="A257" t="s">
        <v>599</v>
      </c>
      <c r="B257">
        <v>47054.771179000003</v>
      </c>
      <c r="D257" s="4">
        <f t="shared" si="6"/>
        <v>47054.771179000003</v>
      </c>
      <c r="E257" s="4">
        <f>+VLOOKUP(A257,Sheet3!A:B,2,FALSE)</f>
        <v>47054.82</v>
      </c>
      <c r="F257" s="4">
        <f t="shared" si="7"/>
        <v>4.8820999996678438E-2</v>
      </c>
    </row>
    <row r="258" spans="1:6" x14ac:dyDescent="0.25">
      <c r="A258" t="s">
        <v>612</v>
      </c>
      <c r="B258">
        <v>27336.521215000001</v>
      </c>
      <c r="D258" s="4">
        <f t="shared" ref="D258:D321" si="8">+B258+C258</f>
        <v>27336.521215000001</v>
      </c>
      <c r="E258" s="4">
        <f>+VLOOKUP(A258,Sheet3!A:B,2,FALSE)</f>
        <v>27336.57</v>
      </c>
      <c r="F258" s="4">
        <f t="shared" ref="F258:F321" si="9">+ABS(E258-D258)</f>
        <v>4.8784999999043066E-2</v>
      </c>
    </row>
    <row r="259" spans="1:6" x14ac:dyDescent="0.25">
      <c r="A259" t="s">
        <v>730</v>
      </c>
      <c r="B259">
        <v>35377.441333000002</v>
      </c>
      <c r="D259" s="4">
        <f t="shared" si="8"/>
        <v>35377.441333000002</v>
      </c>
      <c r="E259" s="4">
        <f>+VLOOKUP(A259,Sheet3!A:B,2,FALSE)</f>
        <v>35377.49</v>
      </c>
      <c r="F259" s="4">
        <f t="shared" si="9"/>
        <v>4.8666999995475635E-2</v>
      </c>
    </row>
    <row r="260" spans="1:6" x14ac:dyDescent="0.25">
      <c r="A260" t="s">
        <v>904</v>
      </c>
      <c r="B260">
        <v>29666.691342999999</v>
      </c>
      <c r="D260" s="4">
        <f t="shared" si="8"/>
        <v>29666.691342999999</v>
      </c>
      <c r="E260" s="4">
        <f>+VLOOKUP(A260,Sheet3!A:B,2,FALSE)</f>
        <v>29666.74</v>
      </c>
      <c r="F260" s="4">
        <f t="shared" si="9"/>
        <v>4.8657000003004214E-2</v>
      </c>
    </row>
    <row r="261" spans="1:6" x14ac:dyDescent="0.25">
      <c r="A261" t="s">
        <v>105</v>
      </c>
      <c r="B261">
        <v>36036.841458000003</v>
      </c>
      <c r="D261" s="4">
        <f t="shared" si="8"/>
        <v>36036.841458000003</v>
      </c>
      <c r="E261" s="4">
        <f>+VLOOKUP(A261,Sheet3!A:B,2,FALSE)</f>
        <v>36036.89</v>
      </c>
      <c r="F261" s="4">
        <f t="shared" si="9"/>
        <v>4.8541999996814411E-2</v>
      </c>
    </row>
    <row r="262" spans="1:6" x14ac:dyDescent="0.25">
      <c r="A262" t="s">
        <v>868</v>
      </c>
      <c r="B262">
        <v>12403.131672</v>
      </c>
      <c r="D262" s="4">
        <f t="shared" si="8"/>
        <v>12403.131672</v>
      </c>
      <c r="E262" s="4">
        <f>+VLOOKUP(A262,Sheet3!A:B,2,FALSE)</f>
        <v>12403.18</v>
      </c>
      <c r="F262" s="4">
        <f t="shared" si="9"/>
        <v>4.8328000000765314E-2</v>
      </c>
    </row>
    <row r="263" spans="1:6" x14ac:dyDescent="0.25">
      <c r="A263" t="s">
        <v>556</v>
      </c>
      <c r="B263">
        <v>29929.921808999999</v>
      </c>
      <c r="D263" s="4">
        <f t="shared" si="8"/>
        <v>29929.921808999999</v>
      </c>
      <c r="E263" s="4">
        <f>+VLOOKUP(A263,Sheet3!A:B,2,FALSE)</f>
        <v>29929.97</v>
      </c>
      <c r="F263" s="4">
        <f t="shared" si="9"/>
        <v>4.819100000167964E-2</v>
      </c>
    </row>
    <row r="264" spans="1:6" x14ac:dyDescent="0.25">
      <c r="A264" t="s">
        <v>101</v>
      </c>
      <c r="B264">
        <v>32473.011912000002</v>
      </c>
      <c r="D264" s="4">
        <f t="shared" si="8"/>
        <v>32473.011912000002</v>
      </c>
      <c r="E264" s="4">
        <f>+VLOOKUP(A264,Sheet3!A:B,2,FALSE)</f>
        <v>32473.06</v>
      </c>
      <c r="F264" s="4">
        <f t="shared" si="9"/>
        <v>4.8087999999552267E-2</v>
      </c>
    </row>
    <row r="265" spans="1:6" x14ac:dyDescent="0.25">
      <c r="A265" t="s">
        <v>878</v>
      </c>
      <c r="B265">
        <v>43682.881929000003</v>
      </c>
      <c r="D265" s="4">
        <f t="shared" si="8"/>
        <v>43682.881929000003</v>
      </c>
      <c r="E265" s="4">
        <f>+VLOOKUP(A265,Sheet3!A:B,2,FALSE)</f>
        <v>43682.93</v>
      </c>
      <c r="F265" s="4">
        <f t="shared" si="9"/>
        <v>4.8070999997435138E-2</v>
      </c>
    </row>
    <row r="266" spans="1:6" x14ac:dyDescent="0.25">
      <c r="A266" t="s">
        <v>588</v>
      </c>
      <c r="B266">
        <v>41314.961958</v>
      </c>
      <c r="D266" s="4">
        <f t="shared" si="8"/>
        <v>41314.961958</v>
      </c>
      <c r="E266" s="4">
        <f>+VLOOKUP(A266,Sheet3!A:B,2,FALSE)</f>
        <v>41315.01</v>
      </c>
      <c r="F266" s="4">
        <f t="shared" si="9"/>
        <v>4.8042000002169516E-2</v>
      </c>
    </row>
    <row r="267" spans="1:6" x14ac:dyDescent="0.25">
      <c r="A267" t="s">
        <v>149</v>
      </c>
      <c r="B267">
        <v>10551.692009</v>
      </c>
      <c r="D267" s="4">
        <f t="shared" si="8"/>
        <v>10551.692009</v>
      </c>
      <c r="E267" s="4">
        <f>+VLOOKUP(A267,Sheet3!A:B,2,FALSE)</f>
        <v>10551.74</v>
      </c>
      <c r="F267" s="4">
        <f t="shared" si="9"/>
        <v>4.7990999999456108E-2</v>
      </c>
    </row>
    <row r="268" spans="1:6" x14ac:dyDescent="0.25">
      <c r="A268" t="s">
        <v>711</v>
      </c>
      <c r="B268">
        <v>30560.602180000002</v>
      </c>
      <c r="D268" s="4">
        <f t="shared" si="8"/>
        <v>30560.602180000002</v>
      </c>
      <c r="E268" s="4">
        <f>+VLOOKUP(A268,Sheet3!A:B,2,FALSE)</f>
        <v>30560.65</v>
      </c>
      <c r="F268" s="4">
        <f t="shared" si="9"/>
        <v>4.7819999999774154E-2</v>
      </c>
    </row>
    <row r="269" spans="1:6" x14ac:dyDescent="0.25">
      <c r="A269" t="s">
        <v>573</v>
      </c>
      <c r="B269">
        <v>45972.722189</v>
      </c>
      <c r="D269" s="4">
        <f t="shared" si="8"/>
        <v>45972.722189</v>
      </c>
      <c r="E269" s="4">
        <f>+VLOOKUP(A269,Sheet3!A:B,2,FALSE)</f>
        <v>45972.77</v>
      </c>
      <c r="F269" s="4">
        <f t="shared" si="9"/>
        <v>4.7810999996727332E-2</v>
      </c>
    </row>
    <row r="270" spans="1:6" x14ac:dyDescent="0.25">
      <c r="A270" t="s">
        <v>220</v>
      </c>
      <c r="B270">
        <v>8309.5822150000004</v>
      </c>
      <c r="D270" s="4">
        <f t="shared" si="8"/>
        <v>8309.5822150000004</v>
      </c>
      <c r="E270" s="4">
        <f>+VLOOKUP(A270,Sheet3!A:B,2,FALSE)</f>
        <v>8309.6299999999992</v>
      </c>
      <c r="F270" s="4">
        <f t="shared" si="9"/>
        <v>4.7784999998839339E-2</v>
      </c>
    </row>
    <row r="271" spans="1:6" x14ac:dyDescent="0.25">
      <c r="A271" t="s">
        <v>286</v>
      </c>
      <c r="B271">
        <v>1101.9423420000001</v>
      </c>
      <c r="D271" s="4">
        <f t="shared" si="8"/>
        <v>1101.9423420000001</v>
      </c>
      <c r="E271" s="4">
        <f>+VLOOKUP(A271,Sheet3!A:B,2,FALSE)</f>
        <v>1101.99</v>
      </c>
      <c r="F271" s="4">
        <f t="shared" si="9"/>
        <v>4.7657999999955791E-2</v>
      </c>
    </row>
    <row r="272" spans="1:6" x14ac:dyDescent="0.25">
      <c r="A272" t="s">
        <v>514</v>
      </c>
      <c r="B272">
        <v>75520.732373999999</v>
      </c>
      <c r="D272" s="4">
        <f t="shared" si="8"/>
        <v>75520.732373999999</v>
      </c>
      <c r="E272" s="4">
        <f>+VLOOKUP(A272,Sheet3!A:B,2,FALSE)</f>
        <v>75520.78</v>
      </c>
      <c r="F272" s="4">
        <f t="shared" si="9"/>
        <v>4.7625999999581836E-2</v>
      </c>
    </row>
    <row r="273" spans="1:6" x14ac:dyDescent="0.25">
      <c r="A273" t="s">
        <v>742</v>
      </c>
      <c r="B273">
        <v>3320.492432</v>
      </c>
      <c r="D273" s="4">
        <f t="shared" si="8"/>
        <v>3320.492432</v>
      </c>
      <c r="E273" s="4">
        <f>+VLOOKUP(A273,Sheet3!A:B,2,FALSE)</f>
        <v>3320.54</v>
      </c>
      <c r="F273" s="4">
        <f t="shared" si="9"/>
        <v>4.7567999999955646E-2</v>
      </c>
    </row>
    <row r="274" spans="1:6" x14ac:dyDescent="0.25">
      <c r="A274" t="s">
        <v>605</v>
      </c>
      <c r="B274">
        <v>35184.482605999998</v>
      </c>
      <c r="D274" s="4">
        <f t="shared" si="8"/>
        <v>35184.482605999998</v>
      </c>
      <c r="E274" s="4">
        <f>+VLOOKUP(A274,Sheet3!A:B,2,FALSE)</f>
        <v>35184.53</v>
      </c>
      <c r="F274" s="4">
        <f t="shared" si="9"/>
        <v>4.7394000001077075E-2</v>
      </c>
    </row>
    <row r="275" spans="1:6" x14ac:dyDescent="0.25">
      <c r="A275" t="s">
        <v>789</v>
      </c>
      <c r="B275">
        <v>31532.592725999999</v>
      </c>
      <c r="D275" s="4">
        <f t="shared" si="8"/>
        <v>31532.592725999999</v>
      </c>
      <c r="E275" s="4">
        <f>+VLOOKUP(A275,Sheet3!A:B,2,FALSE)</f>
        <v>31532.639999999999</v>
      </c>
      <c r="F275" s="4">
        <f t="shared" si="9"/>
        <v>4.7274000000470551E-2</v>
      </c>
    </row>
    <row r="276" spans="1:6" x14ac:dyDescent="0.25">
      <c r="A276" t="s">
        <v>902</v>
      </c>
      <c r="B276">
        <v>14642.933021999999</v>
      </c>
      <c r="D276" s="4">
        <f t="shared" si="8"/>
        <v>14642.933021999999</v>
      </c>
      <c r="E276" s="4">
        <f>+VLOOKUP(A276,Sheet3!A:B,2,FALSE)</f>
        <v>14642.98</v>
      </c>
      <c r="F276" s="4">
        <f t="shared" si="9"/>
        <v>4.6978000000308384E-2</v>
      </c>
    </row>
    <row r="277" spans="1:6" x14ac:dyDescent="0.25">
      <c r="A277" t="s">
        <v>529</v>
      </c>
      <c r="B277">
        <v>4787.0330720000002</v>
      </c>
      <c r="D277" s="4">
        <f t="shared" si="8"/>
        <v>4787.0330720000002</v>
      </c>
      <c r="E277" s="4">
        <f>+VLOOKUP(A277,Sheet3!A:B,2,FALSE)</f>
        <v>4787.08</v>
      </c>
      <c r="F277" s="4">
        <f t="shared" si="9"/>
        <v>4.6927999999752501E-2</v>
      </c>
    </row>
    <row r="278" spans="1:6" x14ac:dyDescent="0.25">
      <c r="A278" t="s">
        <v>660</v>
      </c>
      <c r="B278">
        <v>4787.0330720000002</v>
      </c>
      <c r="D278" s="4">
        <f t="shared" si="8"/>
        <v>4787.0330720000002</v>
      </c>
      <c r="E278" s="4">
        <f>+VLOOKUP(A278,Sheet3!A:B,2,FALSE)</f>
        <v>4787.08</v>
      </c>
      <c r="F278" s="4">
        <f t="shared" si="9"/>
        <v>4.6927999999752501E-2</v>
      </c>
    </row>
    <row r="279" spans="1:6" x14ac:dyDescent="0.25">
      <c r="A279" t="s">
        <v>812</v>
      </c>
      <c r="B279">
        <v>18983.893316999998</v>
      </c>
      <c r="D279" s="4">
        <f t="shared" si="8"/>
        <v>18983.893316999998</v>
      </c>
      <c r="E279" s="4">
        <f>+VLOOKUP(A279,Sheet3!A:B,2,FALSE)</f>
        <v>18983.939999999999</v>
      </c>
      <c r="F279" s="4">
        <f t="shared" si="9"/>
        <v>4.6683000000484753E-2</v>
      </c>
    </row>
    <row r="280" spans="1:6" x14ac:dyDescent="0.25">
      <c r="A280" t="s">
        <v>673</v>
      </c>
      <c r="B280">
        <v>4451.833482</v>
      </c>
      <c r="D280" s="4">
        <f t="shared" si="8"/>
        <v>4451.833482</v>
      </c>
      <c r="E280" s="4">
        <f>+VLOOKUP(A280,Sheet3!A:B,2,FALSE)</f>
        <v>4451.88</v>
      </c>
      <c r="F280" s="4">
        <f t="shared" si="9"/>
        <v>4.651800000010553E-2</v>
      </c>
    </row>
    <row r="281" spans="1:6" x14ac:dyDescent="0.25">
      <c r="A281" t="s">
        <v>368</v>
      </c>
      <c r="B281">
        <v>32387.463707999999</v>
      </c>
      <c r="D281" s="4">
        <f t="shared" si="8"/>
        <v>32387.463707999999</v>
      </c>
      <c r="E281" s="4">
        <f>+VLOOKUP(A281,Sheet3!A:B,2,FALSE)</f>
        <v>32387.51</v>
      </c>
      <c r="F281" s="4">
        <f t="shared" si="9"/>
        <v>4.629199999908451E-2</v>
      </c>
    </row>
    <row r="282" spans="1:6" x14ac:dyDescent="0.25">
      <c r="A282" t="s">
        <v>628</v>
      </c>
      <c r="B282">
        <v>49048.383808999999</v>
      </c>
      <c r="D282" s="4">
        <f t="shared" si="8"/>
        <v>49048.383808999999</v>
      </c>
      <c r="E282" s="4">
        <f>+VLOOKUP(A282,Sheet3!A:B,2,FALSE)</f>
        <v>49048.43</v>
      </c>
      <c r="F282" s="4">
        <f t="shared" si="9"/>
        <v>4.6191000001272187E-2</v>
      </c>
    </row>
    <row r="283" spans="1:6" x14ac:dyDescent="0.25">
      <c r="A283" t="s">
        <v>401</v>
      </c>
      <c r="B283">
        <v>34608.593822000003</v>
      </c>
      <c r="D283" s="4">
        <f t="shared" si="8"/>
        <v>34608.593822000003</v>
      </c>
      <c r="E283" s="4">
        <f>+VLOOKUP(A283,Sheet3!A:B,2,FALSE)</f>
        <v>34608.639999999999</v>
      </c>
      <c r="F283" s="4">
        <f t="shared" si="9"/>
        <v>4.6177999996871222E-2</v>
      </c>
    </row>
    <row r="284" spans="1:6" x14ac:dyDescent="0.25">
      <c r="A284" t="s">
        <v>746</v>
      </c>
      <c r="B284">
        <v>44440.934070000003</v>
      </c>
      <c r="D284" s="4">
        <f t="shared" si="8"/>
        <v>44440.934070000003</v>
      </c>
      <c r="E284" s="4">
        <f>+VLOOKUP(A284,Sheet3!A:B,2,FALSE)</f>
        <v>44440.98</v>
      </c>
      <c r="F284" s="4">
        <f t="shared" si="9"/>
        <v>4.5930000000225846E-2</v>
      </c>
    </row>
    <row r="285" spans="1:6" x14ac:dyDescent="0.25">
      <c r="A285" t="s">
        <v>171</v>
      </c>
      <c r="B285">
        <v>44440.934070000003</v>
      </c>
      <c r="D285" s="4">
        <f t="shared" si="8"/>
        <v>44440.934070000003</v>
      </c>
      <c r="E285" s="4">
        <f>+VLOOKUP(A285,Sheet3!A:B,2,FALSE)</f>
        <v>44440.98</v>
      </c>
      <c r="F285" s="4">
        <f t="shared" si="9"/>
        <v>4.5930000000225846E-2</v>
      </c>
    </row>
    <row r="286" spans="1:6" x14ac:dyDescent="0.25">
      <c r="A286" t="s">
        <v>535</v>
      </c>
      <c r="B286">
        <v>44440.934070000003</v>
      </c>
      <c r="D286" s="4">
        <f t="shared" si="8"/>
        <v>44440.934070000003</v>
      </c>
      <c r="E286" s="4">
        <f>+VLOOKUP(A286,Sheet3!A:B,2,FALSE)</f>
        <v>44440.98</v>
      </c>
      <c r="F286" s="4">
        <f t="shared" si="9"/>
        <v>4.5930000000225846E-2</v>
      </c>
    </row>
    <row r="287" spans="1:6" x14ac:dyDescent="0.25">
      <c r="A287" t="s">
        <v>575</v>
      </c>
      <c r="B287">
        <v>44440.934070000003</v>
      </c>
      <c r="D287" s="4">
        <f t="shared" si="8"/>
        <v>44440.934070000003</v>
      </c>
      <c r="E287" s="4">
        <f>+VLOOKUP(A287,Sheet3!A:B,2,FALSE)</f>
        <v>44440.98</v>
      </c>
      <c r="F287" s="4">
        <f t="shared" si="9"/>
        <v>4.5930000000225846E-2</v>
      </c>
    </row>
    <row r="288" spans="1:6" x14ac:dyDescent="0.25">
      <c r="A288" t="s">
        <v>357</v>
      </c>
      <c r="B288">
        <v>44440.934070000003</v>
      </c>
      <c r="D288" s="4">
        <f t="shared" si="8"/>
        <v>44440.934070000003</v>
      </c>
      <c r="E288" s="4">
        <f>+VLOOKUP(A288,Sheet3!A:B,2,FALSE)</f>
        <v>44440.98</v>
      </c>
      <c r="F288" s="4">
        <f t="shared" si="9"/>
        <v>4.5930000000225846E-2</v>
      </c>
    </row>
    <row r="289" spans="1:6" x14ac:dyDescent="0.25">
      <c r="A289" t="s">
        <v>676</v>
      </c>
      <c r="B289">
        <v>44440.934070000003</v>
      </c>
      <c r="D289" s="4">
        <f t="shared" si="8"/>
        <v>44440.934070000003</v>
      </c>
      <c r="E289" s="4">
        <f>+VLOOKUP(A289,Sheet3!A:B,2,FALSE)</f>
        <v>44440.98</v>
      </c>
      <c r="F289" s="4">
        <f t="shared" si="9"/>
        <v>4.5930000000225846E-2</v>
      </c>
    </row>
    <row r="290" spans="1:6" x14ac:dyDescent="0.25">
      <c r="A290" t="s">
        <v>722</v>
      </c>
      <c r="B290">
        <v>96108.654515000002</v>
      </c>
      <c r="D290" s="4">
        <f t="shared" si="8"/>
        <v>96108.654515000002</v>
      </c>
      <c r="E290" s="4">
        <f>+VLOOKUP(A290,Sheet3!A:B,2,FALSE)</f>
        <v>96108.700000000012</v>
      </c>
      <c r="F290" s="4">
        <f t="shared" si="9"/>
        <v>4.5485000009648502E-2</v>
      </c>
    </row>
    <row r="291" spans="1:6" x14ac:dyDescent="0.25">
      <c r="A291" t="s">
        <v>679</v>
      </c>
      <c r="B291">
        <v>40414.804745000001</v>
      </c>
      <c r="D291" s="4">
        <f t="shared" si="8"/>
        <v>40414.804745000001</v>
      </c>
      <c r="E291" s="4">
        <f>+VLOOKUP(A291,Sheet3!A:B,2,FALSE)</f>
        <v>40414.85</v>
      </c>
      <c r="F291" s="4">
        <f t="shared" si="9"/>
        <v>4.5254999997268897E-2</v>
      </c>
    </row>
    <row r="292" spans="1:6" x14ac:dyDescent="0.25">
      <c r="A292" t="s">
        <v>426</v>
      </c>
      <c r="B292">
        <v>34226.274826000001</v>
      </c>
      <c r="D292" s="4">
        <f t="shared" si="8"/>
        <v>34226.274826000001</v>
      </c>
      <c r="E292" s="4">
        <f>+VLOOKUP(A292,Sheet3!A:B,2,FALSE)</f>
        <v>34226.32</v>
      </c>
      <c r="F292" s="4">
        <f t="shared" si="9"/>
        <v>4.5173999998951331E-2</v>
      </c>
    </row>
    <row r="293" spans="1:6" x14ac:dyDescent="0.25">
      <c r="A293" t="s">
        <v>131</v>
      </c>
      <c r="B293">
        <v>5406.3749109999999</v>
      </c>
      <c r="D293" s="4">
        <f t="shared" si="8"/>
        <v>5406.3749109999999</v>
      </c>
      <c r="E293" s="4">
        <f>+VLOOKUP(A293,Sheet3!A:B,2,FALSE)</f>
        <v>5406.42</v>
      </c>
      <c r="F293" s="4">
        <f t="shared" si="9"/>
        <v>4.5089000000189117E-2</v>
      </c>
    </row>
    <row r="294" spans="1:6" x14ac:dyDescent="0.25">
      <c r="A294" t="s">
        <v>580</v>
      </c>
      <c r="B294">
        <v>2876.1849339999999</v>
      </c>
      <c r="D294" s="4">
        <f t="shared" si="8"/>
        <v>2876.1849339999999</v>
      </c>
      <c r="E294" s="4">
        <f>+VLOOKUP(A294,Sheet3!A:B,2,FALSE)</f>
        <v>2876.23</v>
      </c>
      <c r="F294" s="4">
        <f t="shared" si="9"/>
        <v>4.5066000000133499E-2</v>
      </c>
    </row>
    <row r="295" spans="1:6" x14ac:dyDescent="0.25">
      <c r="A295" t="s">
        <v>294</v>
      </c>
      <c r="B295">
        <v>48519.274957000001</v>
      </c>
      <c r="D295" s="4">
        <f t="shared" si="8"/>
        <v>48519.274957000001</v>
      </c>
      <c r="E295" s="4">
        <f>+VLOOKUP(A295,Sheet3!A:B,2,FALSE)</f>
        <v>48519.32</v>
      </c>
      <c r="F295" s="4">
        <f t="shared" si="9"/>
        <v>4.5042999998258892E-2</v>
      </c>
    </row>
    <row r="296" spans="1:6" x14ac:dyDescent="0.25">
      <c r="A296" t="s">
        <v>110</v>
      </c>
      <c r="B296">
        <v>23799.035085</v>
      </c>
      <c r="D296" s="4">
        <f t="shared" si="8"/>
        <v>23799.035085</v>
      </c>
      <c r="E296" s="4">
        <f>+VLOOKUP(A296,Sheet3!A:B,2,FALSE)</f>
        <v>23799.08</v>
      </c>
      <c r="F296" s="4">
        <f t="shared" si="9"/>
        <v>4.491500000222004E-2</v>
      </c>
    </row>
    <row r="297" spans="1:6" x14ac:dyDescent="0.25">
      <c r="A297" t="s">
        <v>547</v>
      </c>
      <c r="B297">
        <v>34584.355165000001</v>
      </c>
      <c r="D297" s="4">
        <f t="shared" si="8"/>
        <v>34584.355165000001</v>
      </c>
      <c r="E297" s="4">
        <f>+VLOOKUP(A297,Sheet3!A:B,2,FALSE)</f>
        <v>34584.400000000001</v>
      </c>
      <c r="F297" s="4">
        <f t="shared" si="9"/>
        <v>4.4835000000603031E-2</v>
      </c>
    </row>
    <row r="298" spans="1:6" x14ac:dyDescent="0.25">
      <c r="A298" t="s">
        <v>461</v>
      </c>
      <c r="B298">
        <v>41272.595228999999</v>
      </c>
      <c r="D298" s="4">
        <f t="shared" si="8"/>
        <v>41272.595228999999</v>
      </c>
      <c r="E298" s="4">
        <f>+VLOOKUP(A298,Sheet3!A:B,2,FALSE)</f>
        <v>41272.639999999999</v>
      </c>
      <c r="F298" s="4">
        <f t="shared" si="9"/>
        <v>4.4771000000764616E-2</v>
      </c>
    </row>
    <row r="299" spans="1:6" x14ac:dyDescent="0.25">
      <c r="A299" t="s">
        <v>222</v>
      </c>
      <c r="B299">
        <v>44560.905241</v>
      </c>
      <c r="D299" s="4">
        <f t="shared" si="8"/>
        <v>44560.905241</v>
      </c>
      <c r="E299" s="4">
        <f>+VLOOKUP(A299,Sheet3!A:B,2,FALSE)</f>
        <v>44560.95</v>
      </c>
      <c r="F299" s="4">
        <f t="shared" si="9"/>
        <v>4.4758999996702187E-2</v>
      </c>
    </row>
    <row r="300" spans="1:6" x14ac:dyDescent="0.25">
      <c r="A300" t="s">
        <v>622</v>
      </c>
      <c r="B300">
        <v>8638.5354279999992</v>
      </c>
      <c r="D300" s="4">
        <f t="shared" si="8"/>
        <v>8638.5354279999992</v>
      </c>
      <c r="E300" s="4">
        <f>+VLOOKUP(A300,Sheet3!A:B,2,FALSE)</f>
        <v>8638.58</v>
      </c>
      <c r="F300" s="4">
        <f t="shared" si="9"/>
        <v>4.4572000000698608E-2</v>
      </c>
    </row>
    <row r="301" spans="1:6" x14ac:dyDescent="0.25">
      <c r="A301" t="s">
        <v>923</v>
      </c>
      <c r="B301">
        <v>8638.5354279999992</v>
      </c>
      <c r="D301" s="4">
        <f t="shared" si="8"/>
        <v>8638.5354279999992</v>
      </c>
      <c r="E301" s="4">
        <f>+VLOOKUP(A301,Sheet3!A:B,2,FALSE)</f>
        <v>8638.58</v>
      </c>
      <c r="F301" s="4">
        <f t="shared" si="9"/>
        <v>4.4572000000698608E-2</v>
      </c>
    </row>
    <row r="302" spans="1:6" x14ac:dyDescent="0.25">
      <c r="A302" t="s">
        <v>741</v>
      </c>
      <c r="B302">
        <v>8638.5354279999992</v>
      </c>
      <c r="D302" s="4">
        <f t="shared" si="8"/>
        <v>8638.5354279999992</v>
      </c>
      <c r="E302" s="4">
        <f>+VLOOKUP(A302,Sheet3!A:B,2,FALSE)</f>
        <v>8638.58</v>
      </c>
      <c r="F302" s="4">
        <f t="shared" si="9"/>
        <v>4.4572000000698608E-2</v>
      </c>
    </row>
    <row r="303" spans="1:6" x14ac:dyDescent="0.25">
      <c r="A303" t="s">
        <v>85</v>
      </c>
      <c r="B303">
        <v>38391.725510999997</v>
      </c>
      <c r="D303" s="4">
        <f t="shared" si="8"/>
        <v>38391.725510999997</v>
      </c>
      <c r="E303" s="4">
        <f>+VLOOKUP(A303,Sheet3!A:B,2,FALSE)</f>
        <v>38391.769999999997</v>
      </c>
      <c r="F303" s="4">
        <f t="shared" si="9"/>
        <v>4.4488999999884982E-2</v>
      </c>
    </row>
    <row r="304" spans="1:6" x14ac:dyDescent="0.25">
      <c r="A304" t="s">
        <v>452</v>
      </c>
      <c r="B304">
        <v>45886.155553999997</v>
      </c>
      <c r="D304" s="4">
        <f t="shared" si="8"/>
        <v>45886.155553999997</v>
      </c>
      <c r="E304" s="4">
        <f>+VLOOKUP(A304,Sheet3!A:B,2,FALSE)</f>
        <v>45886.2</v>
      </c>
      <c r="F304" s="4">
        <f t="shared" si="9"/>
        <v>4.4445999999879859E-2</v>
      </c>
    </row>
    <row r="305" spans="1:6" x14ac:dyDescent="0.25">
      <c r="A305" t="s">
        <v>656</v>
      </c>
      <c r="B305">
        <v>21564.325889</v>
      </c>
      <c r="D305" s="4">
        <f t="shared" si="8"/>
        <v>21564.325889</v>
      </c>
      <c r="E305" s="4">
        <f>+VLOOKUP(A305,Sheet3!A:B,2,FALSE)</f>
        <v>21564.37</v>
      </c>
      <c r="F305" s="4">
        <f t="shared" si="9"/>
        <v>4.4110999999247724E-2</v>
      </c>
    </row>
    <row r="306" spans="1:6" x14ac:dyDescent="0.25">
      <c r="A306" t="s">
        <v>455</v>
      </c>
      <c r="B306">
        <v>38666.56609</v>
      </c>
      <c r="D306" s="4">
        <f t="shared" si="8"/>
        <v>38666.56609</v>
      </c>
      <c r="E306" s="4">
        <f>+VLOOKUP(A306,Sheet3!A:B,2,FALSE)</f>
        <v>38666.61</v>
      </c>
      <c r="F306" s="4">
        <f t="shared" si="9"/>
        <v>4.3910000000323635E-2</v>
      </c>
    </row>
    <row r="307" spans="1:6" x14ac:dyDescent="0.25">
      <c r="A307" t="s">
        <v>465</v>
      </c>
      <c r="B307">
        <v>9359.8561570000002</v>
      </c>
      <c r="D307" s="4">
        <f t="shared" si="8"/>
        <v>9359.8561570000002</v>
      </c>
      <c r="E307" s="4">
        <f>+VLOOKUP(A307,Sheet3!A:B,2,FALSE)</f>
        <v>9359.9</v>
      </c>
      <c r="F307" s="4">
        <f t="shared" si="9"/>
        <v>4.3842999999469612E-2</v>
      </c>
    </row>
    <row r="308" spans="1:6" x14ac:dyDescent="0.25">
      <c r="A308" t="s">
        <v>421</v>
      </c>
      <c r="B308">
        <v>35173.076179000003</v>
      </c>
      <c r="D308" s="4">
        <f t="shared" si="8"/>
        <v>35173.076179000003</v>
      </c>
      <c r="E308" s="4">
        <f>+VLOOKUP(A308,Sheet3!A:B,2,FALSE)</f>
        <v>35173.120000000003</v>
      </c>
      <c r="F308" s="4">
        <f t="shared" si="9"/>
        <v>4.3820999999297783E-2</v>
      </c>
    </row>
    <row r="309" spans="1:6" x14ac:dyDescent="0.25">
      <c r="A309" t="s">
        <v>598</v>
      </c>
      <c r="B309">
        <v>48544.396253999999</v>
      </c>
      <c r="D309" s="4">
        <f t="shared" si="8"/>
        <v>48544.396253999999</v>
      </c>
      <c r="E309" s="4">
        <f>+VLOOKUP(A309,Sheet3!A:B,2,FALSE)</f>
        <v>48544.44</v>
      </c>
      <c r="F309" s="4">
        <f t="shared" si="9"/>
        <v>4.3746000003011432E-2</v>
      </c>
    </row>
    <row r="310" spans="1:6" x14ac:dyDescent="0.25">
      <c r="A310" t="s">
        <v>408</v>
      </c>
      <c r="B310">
        <v>1773.156266</v>
      </c>
      <c r="D310" s="4">
        <f t="shared" si="8"/>
        <v>1773.156266</v>
      </c>
      <c r="E310" s="4">
        <f>+VLOOKUP(A310,Sheet3!A:B,2,FALSE)</f>
        <v>1773.2</v>
      </c>
      <c r="F310" s="4">
        <f t="shared" si="9"/>
        <v>4.3734000000085871E-2</v>
      </c>
    </row>
    <row r="311" spans="1:6" x14ac:dyDescent="0.25">
      <c r="A311" t="s">
        <v>791</v>
      </c>
      <c r="B311">
        <v>69938.236791999996</v>
      </c>
      <c r="D311" s="4">
        <f t="shared" si="8"/>
        <v>69938.236791999996</v>
      </c>
      <c r="E311" s="4">
        <f>+VLOOKUP(A311,Sheet3!A:B,2,FALSE)</f>
        <v>69938.28</v>
      </c>
      <c r="F311" s="4">
        <f t="shared" si="9"/>
        <v>4.3208000002778135E-2</v>
      </c>
    </row>
    <row r="312" spans="1:6" x14ac:dyDescent="0.25">
      <c r="A312" t="s">
        <v>561</v>
      </c>
      <c r="B312">
        <v>14276.976816</v>
      </c>
      <c r="D312" s="4">
        <f t="shared" si="8"/>
        <v>14276.976816</v>
      </c>
      <c r="E312" s="4">
        <f>+VLOOKUP(A312,Sheet3!A:B,2,FALSE)</f>
        <v>14277.02</v>
      </c>
      <c r="F312" s="4">
        <f t="shared" si="9"/>
        <v>4.3184000000110245E-2</v>
      </c>
    </row>
    <row r="313" spans="1:6" x14ac:dyDescent="0.25">
      <c r="A313" t="s">
        <v>910</v>
      </c>
      <c r="B313">
        <v>12883.966893999999</v>
      </c>
      <c r="D313" s="4">
        <f t="shared" si="8"/>
        <v>12883.966893999999</v>
      </c>
      <c r="E313" s="4">
        <f>+VLOOKUP(A313,Sheet3!A:B,2,FALSE)</f>
        <v>12884.01</v>
      </c>
      <c r="F313" s="4">
        <f t="shared" si="9"/>
        <v>4.3106000000989297E-2</v>
      </c>
    </row>
    <row r="314" spans="1:6" x14ac:dyDescent="0.25">
      <c r="A314" t="s">
        <v>852</v>
      </c>
      <c r="B314">
        <v>42738.456915000002</v>
      </c>
      <c r="D314" s="4">
        <f t="shared" si="8"/>
        <v>42738.456915000002</v>
      </c>
      <c r="E314" s="4">
        <f>+VLOOKUP(A314,Sheet3!A:B,2,FALSE)</f>
        <v>42738.5</v>
      </c>
      <c r="F314" s="4">
        <f t="shared" si="9"/>
        <v>4.3084999997518025E-2</v>
      </c>
    </row>
    <row r="315" spans="1:6" x14ac:dyDescent="0.25">
      <c r="A315" t="s">
        <v>81</v>
      </c>
      <c r="B315">
        <v>27819.596986</v>
      </c>
      <c r="D315" s="4">
        <f t="shared" si="8"/>
        <v>27819.596986</v>
      </c>
      <c r="E315" s="4">
        <f>+VLOOKUP(A315,Sheet3!A:B,2,FALSE)</f>
        <v>27819.64</v>
      </c>
      <c r="F315" s="4">
        <f t="shared" si="9"/>
        <v>4.3013999998947838E-2</v>
      </c>
    </row>
    <row r="316" spans="1:6" x14ac:dyDescent="0.25">
      <c r="A316" t="s">
        <v>373</v>
      </c>
      <c r="B316">
        <v>27819.596986</v>
      </c>
      <c r="D316" s="4">
        <f t="shared" si="8"/>
        <v>27819.596986</v>
      </c>
      <c r="E316" s="4">
        <f>+VLOOKUP(A316,Sheet3!A:B,2,FALSE)</f>
        <v>27819.64</v>
      </c>
      <c r="F316" s="4">
        <f t="shared" si="9"/>
        <v>4.3013999998947838E-2</v>
      </c>
    </row>
    <row r="317" spans="1:6" x14ac:dyDescent="0.25">
      <c r="A317" t="s">
        <v>760</v>
      </c>
      <c r="B317">
        <v>24383.207106000002</v>
      </c>
      <c r="D317" s="4">
        <f t="shared" si="8"/>
        <v>24383.207106000002</v>
      </c>
      <c r="E317" s="4">
        <f>+VLOOKUP(A317,Sheet3!A:B,2,FALSE)</f>
        <v>24383.25</v>
      </c>
      <c r="F317" s="4">
        <f t="shared" si="9"/>
        <v>4.2893999998341314E-2</v>
      </c>
    </row>
    <row r="318" spans="1:6" x14ac:dyDescent="0.25">
      <c r="A318" t="s">
        <v>846</v>
      </c>
      <c r="B318">
        <v>43640.447304000001</v>
      </c>
      <c r="D318" s="4">
        <f t="shared" si="8"/>
        <v>43640.447304000001</v>
      </c>
      <c r="E318" s="4">
        <f>+VLOOKUP(A318,Sheet3!A:B,2,FALSE)</f>
        <v>43640.49</v>
      </c>
      <c r="F318" s="4">
        <f t="shared" si="9"/>
        <v>4.2695999996794853E-2</v>
      </c>
    </row>
    <row r="319" spans="1:6" x14ac:dyDescent="0.25">
      <c r="A319" t="s">
        <v>877</v>
      </c>
      <c r="B319">
        <v>19201.837551000001</v>
      </c>
      <c r="D319" s="4">
        <f t="shared" si="8"/>
        <v>19201.837551000001</v>
      </c>
      <c r="E319" s="4">
        <f>+VLOOKUP(A319,Sheet3!A:B,2,FALSE)</f>
        <v>19201.88</v>
      </c>
      <c r="F319" s="4">
        <f t="shared" si="9"/>
        <v>4.2449000000488013E-2</v>
      </c>
    </row>
    <row r="320" spans="1:6" x14ac:dyDescent="0.25">
      <c r="A320" t="s">
        <v>363</v>
      </c>
      <c r="B320">
        <v>49082.127823000003</v>
      </c>
      <c r="D320" s="4">
        <f t="shared" si="8"/>
        <v>49082.127823000003</v>
      </c>
      <c r="E320" s="4">
        <f>+VLOOKUP(A320,Sheet3!A:B,2,FALSE)</f>
        <v>49082.17</v>
      </c>
      <c r="F320" s="4">
        <f t="shared" si="9"/>
        <v>4.2176999995717779E-2</v>
      </c>
    </row>
    <row r="321" spans="1:6" x14ac:dyDescent="0.25">
      <c r="A321" t="s">
        <v>888</v>
      </c>
      <c r="B321">
        <v>1992.797885</v>
      </c>
      <c r="D321" s="4">
        <f t="shared" si="8"/>
        <v>1992.797885</v>
      </c>
      <c r="E321" s="4">
        <f>+VLOOKUP(A321,Sheet3!A:B,2,FALSE)</f>
        <v>1992.84</v>
      </c>
      <c r="F321" s="4">
        <f t="shared" si="9"/>
        <v>4.211499999996704E-2</v>
      </c>
    </row>
    <row r="322" spans="1:6" x14ac:dyDescent="0.25">
      <c r="A322" t="s">
        <v>915</v>
      </c>
      <c r="B322">
        <v>40435.988109999998</v>
      </c>
      <c r="D322" s="4">
        <f t="shared" ref="D322:D385" si="10">+B322+C322</f>
        <v>40435.988109999998</v>
      </c>
      <c r="E322" s="4">
        <f>+VLOOKUP(A322,Sheet3!A:B,2,FALSE)</f>
        <v>40436.03</v>
      </c>
      <c r="F322" s="4">
        <f t="shared" ref="F322:F385" si="11">+ABS(E322-D322)</f>
        <v>4.1890000000421423E-2</v>
      </c>
    </row>
    <row r="323" spans="1:6" x14ac:dyDescent="0.25">
      <c r="A323" t="s">
        <v>310</v>
      </c>
      <c r="B323">
        <v>40435.988109999998</v>
      </c>
      <c r="D323" s="4">
        <f t="shared" si="10"/>
        <v>40435.988109999998</v>
      </c>
      <c r="E323" s="4">
        <f>+VLOOKUP(A323,Sheet3!A:B,2,FALSE)</f>
        <v>40436.03</v>
      </c>
      <c r="F323" s="4">
        <f t="shared" si="11"/>
        <v>4.1890000000421423E-2</v>
      </c>
    </row>
    <row r="324" spans="1:6" x14ac:dyDescent="0.25">
      <c r="A324" t="s">
        <v>189</v>
      </c>
      <c r="B324">
        <v>33713.868241999997</v>
      </c>
      <c r="D324" s="4">
        <f t="shared" si="10"/>
        <v>33713.868241999997</v>
      </c>
      <c r="E324" s="4">
        <f>+VLOOKUP(A324,Sheet3!A:B,2,FALSE)</f>
        <v>33713.910000000003</v>
      </c>
      <c r="F324" s="4">
        <f t="shared" si="11"/>
        <v>4.1758000006666407E-2</v>
      </c>
    </row>
    <row r="325" spans="1:6" x14ac:dyDescent="0.25">
      <c r="A325" t="s">
        <v>127</v>
      </c>
      <c r="B325">
        <v>49345.358289000003</v>
      </c>
      <c r="D325" s="4">
        <f t="shared" si="10"/>
        <v>49345.358289000003</v>
      </c>
      <c r="E325" s="4">
        <f>+VLOOKUP(A325,Sheet3!A:B,2,FALSE)</f>
        <v>49345.4</v>
      </c>
      <c r="F325" s="4">
        <f t="shared" si="11"/>
        <v>4.1710999998031184E-2</v>
      </c>
    </row>
    <row r="326" spans="1:6" x14ac:dyDescent="0.25">
      <c r="A326" t="s">
        <v>530</v>
      </c>
      <c r="B326">
        <v>9531.0883560000002</v>
      </c>
      <c r="D326" s="4">
        <f t="shared" si="10"/>
        <v>9531.0883560000002</v>
      </c>
      <c r="E326" s="4">
        <f>+VLOOKUP(A326,Sheet3!A:B,2,FALSE)</f>
        <v>9531.1299999999992</v>
      </c>
      <c r="F326" s="4">
        <f t="shared" si="11"/>
        <v>4.1643999998996151E-2</v>
      </c>
    </row>
    <row r="327" spans="1:6" x14ac:dyDescent="0.25">
      <c r="A327" t="s">
        <v>66</v>
      </c>
      <c r="B327">
        <v>9531.0883560000002</v>
      </c>
      <c r="D327" s="4">
        <f t="shared" si="10"/>
        <v>9531.0883560000002</v>
      </c>
      <c r="E327" s="4">
        <f>+VLOOKUP(A327,Sheet3!A:B,2,FALSE)</f>
        <v>9531.1299999999992</v>
      </c>
      <c r="F327" s="4">
        <f t="shared" si="11"/>
        <v>4.1643999998996151E-2</v>
      </c>
    </row>
    <row r="328" spans="1:6" x14ac:dyDescent="0.25">
      <c r="A328" t="s">
        <v>313</v>
      </c>
      <c r="B328">
        <v>9531.0883560000002</v>
      </c>
      <c r="D328" s="4">
        <f t="shared" si="10"/>
        <v>9531.0883560000002</v>
      </c>
      <c r="E328" s="4">
        <f>+VLOOKUP(A328,Sheet3!A:B,2,FALSE)</f>
        <v>9531.1299999999992</v>
      </c>
      <c r="F328" s="4">
        <f t="shared" si="11"/>
        <v>4.1643999998996151E-2</v>
      </c>
    </row>
    <row r="329" spans="1:6" x14ac:dyDescent="0.25">
      <c r="A329" t="s">
        <v>298</v>
      </c>
      <c r="B329">
        <v>9531.0883560000002</v>
      </c>
      <c r="D329" s="4">
        <f t="shared" si="10"/>
        <v>9531.0883560000002</v>
      </c>
      <c r="E329" s="4">
        <f>+VLOOKUP(A329,Sheet3!A:B,2,FALSE)</f>
        <v>9531.1299999999992</v>
      </c>
      <c r="F329" s="4">
        <f t="shared" si="11"/>
        <v>4.1643999998996151E-2</v>
      </c>
    </row>
    <row r="330" spans="1:6" x14ac:dyDescent="0.25">
      <c r="A330" t="s">
        <v>884</v>
      </c>
      <c r="B330">
        <v>9531.0883560000002</v>
      </c>
      <c r="D330" s="4">
        <f t="shared" si="10"/>
        <v>9531.0883560000002</v>
      </c>
      <c r="E330" s="4">
        <f>+VLOOKUP(A330,Sheet3!A:B,2,FALSE)</f>
        <v>9531.1299999999992</v>
      </c>
      <c r="F330" s="4">
        <f t="shared" si="11"/>
        <v>4.1643999998996151E-2</v>
      </c>
    </row>
    <row r="331" spans="1:6" x14ac:dyDescent="0.25">
      <c r="A331" t="s">
        <v>295</v>
      </c>
      <c r="B331">
        <v>9531.0883560000002</v>
      </c>
      <c r="D331" s="4">
        <f t="shared" si="10"/>
        <v>9531.0883560000002</v>
      </c>
      <c r="E331" s="4">
        <f>+VLOOKUP(A331,Sheet3!A:B,2,FALSE)</f>
        <v>9531.1299999999992</v>
      </c>
      <c r="F331" s="4">
        <f t="shared" si="11"/>
        <v>4.1643999998996151E-2</v>
      </c>
    </row>
    <row r="332" spans="1:6" x14ac:dyDescent="0.25">
      <c r="A332" t="s">
        <v>120</v>
      </c>
      <c r="B332">
        <v>6332.1286899999996</v>
      </c>
      <c r="D332" s="4">
        <f t="shared" si="10"/>
        <v>6332.1286899999996</v>
      </c>
      <c r="E332" s="4">
        <f>+VLOOKUP(A332,Sheet3!A:B,2,FALSE)</f>
        <v>6332.17</v>
      </c>
      <c r="F332" s="4">
        <f t="shared" si="11"/>
        <v>4.1310000000521541E-2</v>
      </c>
    </row>
    <row r="333" spans="1:6" x14ac:dyDescent="0.25">
      <c r="A333" t="s">
        <v>319</v>
      </c>
      <c r="B333">
        <v>20127.998702000001</v>
      </c>
      <c r="D333" s="4">
        <f t="shared" si="10"/>
        <v>20127.998702000001</v>
      </c>
      <c r="E333" s="4">
        <f>+VLOOKUP(A333,Sheet3!A:B,2,FALSE)</f>
        <v>20128.04</v>
      </c>
      <c r="F333" s="4">
        <f t="shared" si="11"/>
        <v>4.129800000009709E-2</v>
      </c>
    </row>
    <row r="334" spans="1:6" x14ac:dyDescent="0.25">
      <c r="A334" t="s">
        <v>705</v>
      </c>
      <c r="B334">
        <v>20127.998702000001</v>
      </c>
      <c r="D334" s="4">
        <f t="shared" si="10"/>
        <v>20127.998702000001</v>
      </c>
      <c r="E334" s="4">
        <f>+VLOOKUP(A334,Sheet3!A:B,2,FALSE)</f>
        <v>20128.04</v>
      </c>
      <c r="F334" s="4">
        <f t="shared" si="11"/>
        <v>4.129800000009709E-2</v>
      </c>
    </row>
    <row r="335" spans="1:6" x14ac:dyDescent="0.25">
      <c r="A335" t="s">
        <v>700</v>
      </c>
      <c r="B335">
        <v>20127.998702000001</v>
      </c>
      <c r="D335" s="4">
        <f t="shared" si="10"/>
        <v>20127.998702000001</v>
      </c>
      <c r="E335" s="4">
        <f>+VLOOKUP(A335,Sheet3!A:B,2,FALSE)</f>
        <v>20128.04</v>
      </c>
      <c r="F335" s="4">
        <f t="shared" si="11"/>
        <v>4.129800000009709E-2</v>
      </c>
    </row>
    <row r="336" spans="1:6" x14ac:dyDescent="0.25">
      <c r="A336" t="s">
        <v>614</v>
      </c>
      <c r="B336">
        <v>37980.618863999996</v>
      </c>
      <c r="D336" s="4">
        <f t="shared" si="10"/>
        <v>37980.618863999996</v>
      </c>
      <c r="E336" s="4">
        <f>+VLOOKUP(A336,Sheet3!A:B,2,FALSE)</f>
        <v>37980.660000000003</v>
      </c>
      <c r="F336" s="4">
        <f t="shared" si="11"/>
        <v>4.1136000007099938E-2</v>
      </c>
    </row>
    <row r="337" spans="1:6" x14ac:dyDescent="0.25">
      <c r="A337" t="s">
        <v>693</v>
      </c>
      <c r="B337">
        <v>17511.988939999999</v>
      </c>
      <c r="D337" s="4">
        <f t="shared" si="10"/>
        <v>17511.988939999999</v>
      </c>
      <c r="E337" s="4">
        <f>+VLOOKUP(A337,Sheet3!A:B,2,FALSE)</f>
        <v>17512.03</v>
      </c>
      <c r="F337" s="4">
        <f t="shared" si="11"/>
        <v>4.1059999999561114E-2</v>
      </c>
    </row>
    <row r="338" spans="1:6" x14ac:dyDescent="0.25">
      <c r="A338" t="s">
        <v>709</v>
      </c>
      <c r="B338">
        <v>17511.988939999999</v>
      </c>
      <c r="D338" s="4">
        <f t="shared" si="10"/>
        <v>17511.988939999999</v>
      </c>
      <c r="E338" s="4">
        <f>+VLOOKUP(A338,Sheet3!A:B,2,FALSE)</f>
        <v>17512.03</v>
      </c>
      <c r="F338" s="4">
        <f t="shared" si="11"/>
        <v>4.1059999999561114E-2</v>
      </c>
    </row>
    <row r="339" spans="1:6" x14ac:dyDescent="0.25">
      <c r="A339" t="s">
        <v>169</v>
      </c>
      <c r="B339">
        <v>17511.988939999999</v>
      </c>
      <c r="D339" s="4">
        <f t="shared" si="10"/>
        <v>17511.988939999999</v>
      </c>
      <c r="E339" s="4">
        <f>+VLOOKUP(A339,Sheet3!A:B,2,FALSE)</f>
        <v>17512.03</v>
      </c>
      <c r="F339" s="4">
        <f t="shared" si="11"/>
        <v>4.1059999999561114E-2</v>
      </c>
    </row>
    <row r="340" spans="1:6" x14ac:dyDescent="0.25">
      <c r="A340" t="s">
        <v>246</v>
      </c>
      <c r="B340">
        <v>2215.3590060000001</v>
      </c>
      <c r="D340" s="4">
        <f t="shared" si="10"/>
        <v>2215.3590060000001</v>
      </c>
      <c r="E340" s="4">
        <f>+VLOOKUP(A340,Sheet3!A:B,2,FALSE)</f>
        <v>2215.4</v>
      </c>
      <c r="F340" s="4">
        <f t="shared" si="11"/>
        <v>4.0993999999955122E-2</v>
      </c>
    </row>
    <row r="341" spans="1:6" x14ac:dyDescent="0.25">
      <c r="A341" t="s">
        <v>162</v>
      </c>
      <c r="B341">
        <v>43196.479283000001</v>
      </c>
      <c r="D341" s="4">
        <f t="shared" si="10"/>
        <v>43196.479283000001</v>
      </c>
      <c r="E341" s="4">
        <f>+VLOOKUP(A341,Sheet3!A:B,2,FALSE)</f>
        <v>43196.52</v>
      </c>
      <c r="F341" s="4">
        <f t="shared" si="11"/>
        <v>4.0716999996220693E-2</v>
      </c>
    </row>
    <row r="342" spans="1:6" x14ac:dyDescent="0.25">
      <c r="A342" t="s">
        <v>554</v>
      </c>
      <c r="B342">
        <v>41698.299386999999</v>
      </c>
      <c r="D342" s="4">
        <f t="shared" si="10"/>
        <v>41698.299386999999</v>
      </c>
      <c r="E342" s="4">
        <f>+VLOOKUP(A342,Sheet3!A:B,2,FALSE)</f>
        <v>41698.339999999997</v>
      </c>
      <c r="F342" s="4">
        <f t="shared" si="11"/>
        <v>4.0612999997392762E-2</v>
      </c>
    </row>
    <row r="343" spans="1:6" x14ac:dyDescent="0.25">
      <c r="A343" t="s">
        <v>58</v>
      </c>
      <c r="B343">
        <v>12444.819447</v>
      </c>
      <c r="D343" s="4">
        <f t="shared" si="10"/>
        <v>12444.819447</v>
      </c>
      <c r="E343" s="4">
        <f>+VLOOKUP(A343,Sheet3!A:B,2,FALSE)</f>
        <v>12444.86</v>
      </c>
      <c r="F343" s="4">
        <f t="shared" si="11"/>
        <v>4.0553000000727479E-2</v>
      </c>
    </row>
    <row r="344" spans="1:6" x14ac:dyDescent="0.25">
      <c r="A344" t="s">
        <v>67</v>
      </c>
      <c r="B344">
        <v>44817.549852999997</v>
      </c>
      <c r="D344" s="4">
        <f t="shared" si="10"/>
        <v>44817.549852999997</v>
      </c>
      <c r="E344" s="4">
        <f>+VLOOKUP(A344,Sheet3!A:B,2,FALSE)</f>
        <v>44817.59</v>
      </c>
      <c r="F344" s="4">
        <f t="shared" si="11"/>
        <v>4.0146999999706168E-2</v>
      </c>
    </row>
    <row r="345" spans="1:6" x14ac:dyDescent="0.25">
      <c r="A345" t="s">
        <v>277</v>
      </c>
      <c r="B345">
        <v>9376.8300070000005</v>
      </c>
      <c r="D345" s="4">
        <f t="shared" si="10"/>
        <v>9376.8300070000005</v>
      </c>
      <c r="E345" s="4">
        <f>+VLOOKUP(A345,Sheet3!A:B,2,FALSE)</f>
        <v>9376.8700000000008</v>
      </c>
      <c r="F345" s="4">
        <f t="shared" si="11"/>
        <v>3.9993000000322354E-2</v>
      </c>
    </row>
    <row r="346" spans="1:6" x14ac:dyDescent="0.25">
      <c r="A346" t="s">
        <v>833</v>
      </c>
      <c r="B346">
        <v>9376.8300070000005</v>
      </c>
      <c r="D346" s="4">
        <f t="shared" si="10"/>
        <v>9376.8300070000005</v>
      </c>
      <c r="E346" s="4">
        <f>+VLOOKUP(A346,Sheet3!A:B,2,FALSE)</f>
        <v>9376.8700000000008</v>
      </c>
      <c r="F346" s="4">
        <f t="shared" si="11"/>
        <v>3.9993000000322354E-2</v>
      </c>
    </row>
    <row r="347" spans="1:6" x14ac:dyDescent="0.25">
      <c r="A347" t="s">
        <v>439</v>
      </c>
      <c r="B347">
        <v>9376.8300070000005</v>
      </c>
      <c r="D347" s="4">
        <f t="shared" si="10"/>
        <v>9376.8300070000005</v>
      </c>
      <c r="E347" s="4">
        <f>+VLOOKUP(A347,Sheet3!A:B,2,FALSE)</f>
        <v>9376.8700000000008</v>
      </c>
      <c r="F347" s="4">
        <f t="shared" si="11"/>
        <v>3.9993000000322354E-2</v>
      </c>
    </row>
    <row r="348" spans="1:6" x14ac:dyDescent="0.25">
      <c r="A348" t="s">
        <v>148</v>
      </c>
      <c r="B348">
        <v>9376.8300070000005</v>
      </c>
      <c r="D348" s="4">
        <f t="shared" si="10"/>
        <v>9376.8300070000005</v>
      </c>
      <c r="E348" s="4">
        <f>+VLOOKUP(A348,Sheet3!A:B,2,FALSE)</f>
        <v>9376.8700000000008</v>
      </c>
      <c r="F348" s="4">
        <f t="shared" si="11"/>
        <v>3.9993000000322354E-2</v>
      </c>
    </row>
    <row r="349" spans="1:6" x14ac:dyDescent="0.25">
      <c r="A349" t="s">
        <v>213</v>
      </c>
      <c r="B349">
        <v>1862.7102990000001</v>
      </c>
      <c r="D349" s="4">
        <f t="shared" si="10"/>
        <v>1862.7102990000001</v>
      </c>
      <c r="E349" s="4">
        <f>+VLOOKUP(A349,Sheet3!A:B,2,FALSE)</f>
        <v>1862.75</v>
      </c>
      <c r="F349" s="4">
        <f t="shared" si="11"/>
        <v>3.9700999999922715E-2</v>
      </c>
    </row>
    <row r="350" spans="1:6" x14ac:dyDescent="0.25">
      <c r="A350" t="s">
        <v>145</v>
      </c>
      <c r="B350">
        <v>39291.950620000003</v>
      </c>
      <c r="D350" s="4">
        <f t="shared" si="10"/>
        <v>39291.950620000003</v>
      </c>
      <c r="E350" s="4">
        <f>+VLOOKUP(A350,Sheet3!A:B,2,FALSE)</f>
        <v>39291.99</v>
      </c>
      <c r="F350" s="4">
        <f t="shared" si="11"/>
        <v>3.9379999994707759E-2</v>
      </c>
    </row>
    <row r="351" spans="1:6" x14ac:dyDescent="0.25">
      <c r="A351" t="s">
        <v>477</v>
      </c>
      <c r="B351">
        <v>11273.080634</v>
      </c>
      <c r="D351" s="4">
        <f t="shared" si="10"/>
        <v>11273.080634</v>
      </c>
      <c r="E351" s="4">
        <f>+VLOOKUP(A351,Sheet3!A:B,2,FALSE)</f>
        <v>11273.12</v>
      </c>
      <c r="F351" s="4">
        <f t="shared" si="11"/>
        <v>3.9366000000882195E-2</v>
      </c>
    </row>
    <row r="352" spans="1:6" x14ac:dyDescent="0.25">
      <c r="A352" t="s">
        <v>807</v>
      </c>
      <c r="B352">
        <v>51267.680748999999</v>
      </c>
      <c r="D352" s="4">
        <f t="shared" si="10"/>
        <v>51267.680748999999</v>
      </c>
      <c r="E352" s="4">
        <f>+VLOOKUP(A352,Sheet3!A:B,2,FALSE)</f>
        <v>51267.72</v>
      </c>
      <c r="F352" s="4">
        <f t="shared" si="11"/>
        <v>3.925100000196835E-2</v>
      </c>
    </row>
    <row r="353" spans="1:6" x14ac:dyDescent="0.25">
      <c r="A353" t="s">
        <v>717</v>
      </c>
      <c r="B353">
        <v>26376.140781999999</v>
      </c>
      <c r="D353" s="4">
        <f t="shared" si="10"/>
        <v>26376.140781999999</v>
      </c>
      <c r="E353" s="4">
        <f>+VLOOKUP(A353,Sheet3!A:B,2,FALSE)</f>
        <v>26376.18</v>
      </c>
      <c r="F353" s="4">
        <f t="shared" si="11"/>
        <v>3.9218000001710607E-2</v>
      </c>
    </row>
    <row r="354" spans="1:6" x14ac:dyDescent="0.25">
      <c r="A354" t="s">
        <v>697</v>
      </c>
      <c r="B354">
        <v>26376.140781999999</v>
      </c>
      <c r="D354" s="4">
        <f t="shared" si="10"/>
        <v>26376.140781999999</v>
      </c>
      <c r="E354" s="4">
        <f>+VLOOKUP(A354,Sheet3!A:B,2,FALSE)</f>
        <v>26376.18</v>
      </c>
      <c r="F354" s="4">
        <f t="shared" si="11"/>
        <v>3.9218000001710607E-2</v>
      </c>
    </row>
    <row r="355" spans="1:6" x14ac:dyDescent="0.25">
      <c r="A355" t="s">
        <v>899</v>
      </c>
      <c r="B355">
        <v>31658.470797999998</v>
      </c>
      <c r="D355" s="4">
        <f t="shared" si="10"/>
        <v>31658.470797999998</v>
      </c>
      <c r="E355" s="4">
        <f>+VLOOKUP(A355,Sheet3!A:B,2,FALSE)</f>
        <v>31658.51</v>
      </c>
      <c r="F355" s="4">
        <f t="shared" si="11"/>
        <v>3.9201999999932013E-2</v>
      </c>
    </row>
    <row r="356" spans="1:6" x14ac:dyDescent="0.25">
      <c r="A356" t="s">
        <v>831</v>
      </c>
      <c r="B356">
        <v>21246.711208000001</v>
      </c>
      <c r="D356" s="4">
        <f t="shared" si="10"/>
        <v>21246.711208000001</v>
      </c>
      <c r="E356" s="4">
        <f>+VLOOKUP(A356,Sheet3!A:B,2,FALSE)</f>
        <v>21246.75</v>
      </c>
      <c r="F356" s="4">
        <f t="shared" si="11"/>
        <v>3.8791999999375548E-2</v>
      </c>
    </row>
    <row r="357" spans="1:6" x14ac:dyDescent="0.25">
      <c r="A357" t="s">
        <v>480</v>
      </c>
      <c r="B357">
        <v>42938.001494999997</v>
      </c>
      <c r="D357" s="4">
        <f t="shared" si="10"/>
        <v>42938.001494999997</v>
      </c>
      <c r="E357" s="4">
        <f>+VLOOKUP(A357,Sheet3!A:B,2,FALSE)</f>
        <v>42938.04</v>
      </c>
      <c r="F357" s="4">
        <f t="shared" si="11"/>
        <v>3.8505000004079193E-2</v>
      </c>
    </row>
    <row r="358" spans="1:6" x14ac:dyDescent="0.25">
      <c r="A358" t="s">
        <v>104</v>
      </c>
      <c r="B358">
        <v>37346.611619000003</v>
      </c>
      <c r="D358" s="4">
        <f t="shared" si="10"/>
        <v>37346.611619000003</v>
      </c>
      <c r="E358" s="4">
        <f>+VLOOKUP(A358,Sheet3!A:B,2,FALSE)</f>
        <v>37346.65</v>
      </c>
      <c r="F358" s="4">
        <f t="shared" si="11"/>
        <v>3.8380999998480547E-2</v>
      </c>
    </row>
    <row r="359" spans="1:6" x14ac:dyDescent="0.25">
      <c r="A359" t="s">
        <v>555</v>
      </c>
      <c r="B359">
        <v>18651.341647000001</v>
      </c>
      <c r="D359" s="4">
        <f t="shared" si="10"/>
        <v>18651.341647000001</v>
      </c>
      <c r="E359" s="4">
        <f>+VLOOKUP(A359,Sheet3!A:B,2,FALSE)</f>
        <v>18651.38</v>
      </c>
      <c r="F359" s="4">
        <f t="shared" si="11"/>
        <v>3.8352999999915482E-2</v>
      </c>
    </row>
    <row r="360" spans="1:6" x14ac:dyDescent="0.25">
      <c r="A360" t="s">
        <v>809</v>
      </c>
      <c r="B360">
        <v>1094.541743</v>
      </c>
      <c r="D360" s="4">
        <f t="shared" si="10"/>
        <v>1094.541743</v>
      </c>
      <c r="E360" s="4">
        <f>+VLOOKUP(A360,Sheet3!A:B,2,FALSE)</f>
        <v>1094.58</v>
      </c>
      <c r="F360" s="4">
        <f t="shared" si="11"/>
        <v>3.8256999999930486E-2</v>
      </c>
    </row>
    <row r="361" spans="1:6" x14ac:dyDescent="0.25">
      <c r="A361" t="s">
        <v>881</v>
      </c>
      <c r="B361">
        <v>1094.541743</v>
      </c>
      <c r="D361" s="4">
        <f t="shared" si="10"/>
        <v>1094.541743</v>
      </c>
      <c r="E361" s="4">
        <f>+VLOOKUP(A361,Sheet3!A:B,2,FALSE)</f>
        <v>1094.58</v>
      </c>
      <c r="F361" s="4">
        <f t="shared" si="11"/>
        <v>3.8256999999930486E-2</v>
      </c>
    </row>
    <row r="362" spans="1:6" x14ac:dyDescent="0.25">
      <c r="A362" t="s">
        <v>897</v>
      </c>
      <c r="B362">
        <v>30949.031762999999</v>
      </c>
      <c r="D362" s="4">
        <f t="shared" si="10"/>
        <v>30949.031762999999</v>
      </c>
      <c r="E362" s="4">
        <f>+VLOOKUP(A362,Sheet3!A:B,2,FALSE)</f>
        <v>30949.07</v>
      </c>
      <c r="F362" s="4">
        <f t="shared" si="11"/>
        <v>3.8237000000663102E-2</v>
      </c>
    </row>
    <row r="363" spans="1:6" x14ac:dyDescent="0.25">
      <c r="A363" t="s">
        <v>689</v>
      </c>
      <c r="B363">
        <v>37746.311839000002</v>
      </c>
      <c r="D363" s="4">
        <f t="shared" si="10"/>
        <v>37746.311839000002</v>
      </c>
      <c r="E363" s="4">
        <f>+VLOOKUP(A363,Sheet3!A:B,2,FALSE)</f>
        <v>37746.35</v>
      </c>
      <c r="F363" s="4">
        <f t="shared" si="11"/>
        <v>3.8160999996762257E-2</v>
      </c>
    </row>
    <row r="364" spans="1:6" x14ac:dyDescent="0.25">
      <c r="A364" t="s">
        <v>761</v>
      </c>
      <c r="B364">
        <v>14322.942002</v>
      </c>
      <c r="D364" s="4">
        <f t="shared" si="10"/>
        <v>14322.942002</v>
      </c>
      <c r="E364" s="4">
        <f>+VLOOKUP(A364,Sheet3!A:B,2,FALSE)</f>
        <v>14322.98</v>
      </c>
      <c r="F364" s="4">
        <f t="shared" si="11"/>
        <v>3.799799999978859E-2</v>
      </c>
    </row>
    <row r="365" spans="1:6" x14ac:dyDescent="0.25">
      <c r="A365" t="s">
        <v>941</v>
      </c>
      <c r="B365">
        <v>45972.722189</v>
      </c>
      <c r="D365" s="4">
        <f t="shared" si="10"/>
        <v>45972.722189</v>
      </c>
      <c r="E365" s="4">
        <f>+VLOOKUP(A365,Sheet3!A:B,2,FALSE)</f>
        <v>45972.76</v>
      </c>
      <c r="F365" s="4">
        <f t="shared" si="11"/>
        <v>3.7811000001966022E-2</v>
      </c>
    </row>
    <row r="366" spans="1:6" x14ac:dyDescent="0.25">
      <c r="A366" t="s">
        <v>227</v>
      </c>
      <c r="B366">
        <v>36058.432195000001</v>
      </c>
      <c r="D366" s="4">
        <f t="shared" si="10"/>
        <v>36058.432195000001</v>
      </c>
      <c r="E366" s="4">
        <f>+VLOOKUP(A366,Sheet3!A:B,2,FALSE)</f>
        <v>36058.47</v>
      </c>
      <c r="F366" s="4">
        <f t="shared" si="11"/>
        <v>3.7804999999934807E-2</v>
      </c>
    </row>
    <row r="367" spans="1:6" x14ac:dyDescent="0.25">
      <c r="A367" t="s">
        <v>619</v>
      </c>
      <c r="B367">
        <v>12693.452402000001</v>
      </c>
      <c r="D367" s="4">
        <f t="shared" si="10"/>
        <v>12693.452402000001</v>
      </c>
      <c r="E367" s="4">
        <f>+VLOOKUP(A367,Sheet3!A:B,2,FALSE)</f>
        <v>12693.49</v>
      </c>
      <c r="F367" s="4">
        <f t="shared" si="11"/>
        <v>3.7597999998979503E-2</v>
      </c>
    </row>
    <row r="368" spans="1:6" x14ac:dyDescent="0.25">
      <c r="A368" t="s">
        <v>392</v>
      </c>
      <c r="B368">
        <v>20834.382443999999</v>
      </c>
      <c r="D368" s="4">
        <f t="shared" si="10"/>
        <v>20834.382443999999</v>
      </c>
      <c r="E368" s="4">
        <f>+VLOOKUP(A368,Sheet3!A:B,2,FALSE)</f>
        <v>20834.419999999998</v>
      </c>
      <c r="F368" s="4">
        <f t="shared" si="11"/>
        <v>3.7555999999312917E-2</v>
      </c>
    </row>
    <row r="369" spans="1:6" x14ac:dyDescent="0.25">
      <c r="A369" t="s">
        <v>317</v>
      </c>
      <c r="B369">
        <v>20627.573055000001</v>
      </c>
      <c r="D369" s="4">
        <f t="shared" si="10"/>
        <v>20627.573055000001</v>
      </c>
      <c r="E369" s="4">
        <f>+VLOOKUP(A369,Sheet3!A:B,2,FALSE)</f>
        <v>20627.61</v>
      </c>
      <c r="F369" s="4">
        <f t="shared" si="11"/>
        <v>3.6944999999832362E-2</v>
      </c>
    </row>
    <row r="370" spans="1:6" x14ac:dyDescent="0.25">
      <c r="A370" t="s">
        <v>894</v>
      </c>
      <c r="B370">
        <v>11257.19311</v>
      </c>
      <c r="D370" s="4">
        <f t="shared" si="10"/>
        <v>11257.19311</v>
      </c>
      <c r="E370" s="4">
        <f>+VLOOKUP(A370,Sheet3!A:B,2,FALSE)</f>
        <v>11257.23</v>
      </c>
      <c r="F370" s="4">
        <f t="shared" si="11"/>
        <v>3.6889999999402789E-2</v>
      </c>
    </row>
    <row r="371" spans="1:6" x14ac:dyDescent="0.25">
      <c r="A371" t="s">
        <v>103</v>
      </c>
      <c r="B371">
        <v>36373.263164999997</v>
      </c>
      <c r="D371" s="4">
        <f t="shared" si="10"/>
        <v>36373.263164999997</v>
      </c>
      <c r="E371" s="4">
        <f>+VLOOKUP(A371,Sheet3!A:B,2,FALSE)</f>
        <v>36373.300000000003</v>
      </c>
      <c r="F371" s="4">
        <f t="shared" si="11"/>
        <v>3.6835000006249174E-2</v>
      </c>
    </row>
    <row r="372" spans="1:6" x14ac:dyDescent="0.25">
      <c r="A372" t="s">
        <v>876</v>
      </c>
      <c r="B372">
        <v>28674.943235999999</v>
      </c>
      <c r="D372" s="4">
        <f t="shared" si="10"/>
        <v>28674.943235999999</v>
      </c>
      <c r="E372" s="4">
        <f>+VLOOKUP(A372,Sheet3!A:B,2,FALSE)</f>
        <v>28674.98</v>
      </c>
      <c r="F372" s="4">
        <f t="shared" si="11"/>
        <v>3.676400000040303E-2</v>
      </c>
    </row>
    <row r="373" spans="1:6" x14ac:dyDescent="0.25">
      <c r="A373" t="s">
        <v>51</v>
      </c>
      <c r="B373">
        <v>37084.60327</v>
      </c>
      <c r="D373" s="4">
        <f t="shared" si="10"/>
        <v>37084.60327</v>
      </c>
      <c r="E373" s="4">
        <f>+VLOOKUP(A373,Sheet3!A:B,2,FALSE)</f>
        <v>37084.639999999999</v>
      </c>
      <c r="F373" s="4">
        <f t="shared" si="11"/>
        <v>3.6729999999806751E-2</v>
      </c>
    </row>
    <row r="374" spans="1:6" x14ac:dyDescent="0.25">
      <c r="A374" t="s">
        <v>253</v>
      </c>
      <c r="B374">
        <v>29083.673544000001</v>
      </c>
      <c r="D374" s="4">
        <f t="shared" si="10"/>
        <v>29083.673544000001</v>
      </c>
      <c r="E374" s="4">
        <f>+VLOOKUP(A374,Sheet3!A:B,2,FALSE)</f>
        <v>29083.71</v>
      </c>
      <c r="F374" s="4">
        <f t="shared" si="11"/>
        <v>3.6455999997997424E-2</v>
      </c>
    </row>
    <row r="375" spans="1:6" x14ac:dyDescent="0.25">
      <c r="A375" t="s">
        <v>786</v>
      </c>
      <c r="B375">
        <v>15466.843701</v>
      </c>
      <c r="D375" s="4">
        <f t="shared" si="10"/>
        <v>15466.843701</v>
      </c>
      <c r="E375" s="4">
        <f>+VLOOKUP(A375,Sheet3!A:B,2,FALSE)</f>
        <v>15466.88</v>
      </c>
      <c r="F375" s="4">
        <f t="shared" si="11"/>
        <v>3.6298999999416992E-2</v>
      </c>
    </row>
    <row r="376" spans="1:6" x14ac:dyDescent="0.25">
      <c r="A376" t="s">
        <v>837</v>
      </c>
      <c r="B376">
        <v>30557.003723999998</v>
      </c>
      <c r="D376" s="4">
        <f t="shared" si="10"/>
        <v>30557.003723999998</v>
      </c>
      <c r="E376" s="4">
        <f>+VLOOKUP(A376,Sheet3!A:B,2,FALSE)</f>
        <v>30557.040000000001</v>
      </c>
      <c r="F376" s="4">
        <f t="shared" si="11"/>
        <v>3.6276000002544606E-2</v>
      </c>
    </row>
    <row r="377" spans="1:6" x14ac:dyDescent="0.25">
      <c r="A377" t="s">
        <v>135</v>
      </c>
      <c r="B377">
        <v>42326.263940999997</v>
      </c>
      <c r="D377" s="4">
        <f t="shared" si="10"/>
        <v>42326.263940999997</v>
      </c>
      <c r="E377" s="4">
        <f>+VLOOKUP(A377,Sheet3!A:B,2,FALSE)</f>
        <v>42326.3</v>
      </c>
      <c r="F377" s="4">
        <f t="shared" si="11"/>
        <v>3.6059000005479902E-2</v>
      </c>
    </row>
    <row r="378" spans="1:6" x14ac:dyDescent="0.25">
      <c r="A378" t="s">
        <v>62</v>
      </c>
      <c r="B378">
        <v>33402.364146</v>
      </c>
      <c r="D378" s="4">
        <f t="shared" si="10"/>
        <v>33402.364146</v>
      </c>
      <c r="E378" s="4">
        <f>+VLOOKUP(A378,Sheet3!A:B,2,FALSE)</f>
        <v>33402.400000000001</v>
      </c>
      <c r="F378" s="4">
        <f t="shared" si="11"/>
        <v>3.5854000001563691E-2</v>
      </c>
    </row>
    <row r="379" spans="1:6" x14ac:dyDescent="0.25">
      <c r="A379" t="s">
        <v>638</v>
      </c>
      <c r="B379">
        <v>43816.364285000003</v>
      </c>
      <c r="D379" s="4">
        <f t="shared" si="10"/>
        <v>43816.364285000003</v>
      </c>
      <c r="E379" s="4">
        <f>+VLOOKUP(A379,Sheet3!A:B,2,FALSE)</f>
        <v>43816.4</v>
      </c>
      <c r="F379" s="4">
        <f t="shared" si="11"/>
        <v>3.5714999998162966E-2</v>
      </c>
    </row>
    <row r="380" spans="1:6" x14ac:dyDescent="0.25">
      <c r="A380" t="s">
        <v>702</v>
      </c>
      <c r="B380">
        <v>38936.314514999998</v>
      </c>
      <c r="D380" s="4">
        <f t="shared" si="10"/>
        <v>38936.314514999998</v>
      </c>
      <c r="E380" s="4">
        <f>+VLOOKUP(A380,Sheet3!A:B,2,FALSE)</f>
        <v>38936.35</v>
      </c>
      <c r="F380" s="4">
        <f t="shared" si="11"/>
        <v>3.5485000000335276E-2</v>
      </c>
    </row>
    <row r="381" spans="1:6" x14ac:dyDescent="0.25">
      <c r="A381" t="s">
        <v>595</v>
      </c>
      <c r="B381">
        <v>3757.8745990000002</v>
      </c>
      <c r="D381" s="4">
        <f t="shared" si="10"/>
        <v>3757.8745990000002</v>
      </c>
      <c r="E381" s="4">
        <f>+VLOOKUP(A381,Sheet3!A:B,2,FALSE)</f>
        <v>3757.91</v>
      </c>
      <c r="F381" s="4">
        <f t="shared" si="11"/>
        <v>3.5400999999637861E-2</v>
      </c>
    </row>
    <row r="382" spans="1:6" x14ac:dyDescent="0.25">
      <c r="A382" t="s">
        <v>204</v>
      </c>
      <c r="B382">
        <v>37120.044669000003</v>
      </c>
      <c r="D382" s="4">
        <f t="shared" si="10"/>
        <v>37120.044669000003</v>
      </c>
      <c r="E382" s="4">
        <f>+VLOOKUP(A382,Sheet3!A:B,2,FALSE)</f>
        <v>37120.080000000002</v>
      </c>
      <c r="F382" s="4">
        <f t="shared" si="11"/>
        <v>3.5330999999132473E-2</v>
      </c>
    </row>
    <row r="383" spans="1:6" x14ac:dyDescent="0.25">
      <c r="A383" t="s">
        <v>279</v>
      </c>
      <c r="B383">
        <v>44126.374681000001</v>
      </c>
      <c r="D383" s="4">
        <f t="shared" si="10"/>
        <v>44126.374681000001</v>
      </c>
      <c r="E383" s="4">
        <f>+VLOOKUP(A383,Sheet3!A:B,2,FALSE)</f>
        <v>44126.41</v>
      </c>
      <c r="F383" s="4">
        <f t="shared" si="11"/>
        <v>3.5319000002346002E-2</v>
      </c>
    </row>
    <row r="384" spans="1:6" x14ac:dyDescent="0.25">
      <c r="A384" t="s">
        <v>487</v>
      </c>
      <c r="B384">
        <v>37122.624693999998</v>
      </c>
      <c r="D384" s="4">
        <f t="shared" si="10"/>
        <v>37122.624693999998</v>
      </c>
      <c r="E384" s="4">
        <f>+VLOOKUP(A384,Sheet3!A:B,2,FALSE)</f>
        <v>37122.660000000003</v>
      </c>
      <c r="F384" s="4">
        <f t="shared" si="11"/>
        <v>3.5306000005220994E-2</v>
      </c>
    </row>
    <row r="385" spans="1:6" x14ac:dyDescent="0.25">
      <c r="A385" t="s">
        <v>543</v>
      </c>
      <c r="B385">
        <v>44304.124838999996</v>
      </c>
      <c r="D385" s="4">
        <f t="shared" si="10"/>
        <v>44304.124838999996</v>
      </c>
      <c r="E385" s="4">
        <f>+VLOOKUP(A385,Sheet3!A:B,2,FALSE)</f>
        <v>44304.160000000003</v>
      </c>
      <c r="F385" s="4">
        <f t="shared" si="11"/>
        <v>3.5161000007065013E-2</v>
      </c>
    </row>
    <row r="386" spans="1:6" x14ac:dyDescent="0.25">
      <c r="A386" t="s">
        <v>512</v>
      </c>
      <c r="B386">
        <v>8701.1349869999995</v>
      </c>
      <c r="D386" s="4">
        <f t="shared" ref="D386:D449" si="12">+B386+C386</f>
        <v>8701.1349869999995</v>
      </c>
      <c r="E386" s="4">
        <f>+VLOOKUP(A386,Sheet3!A:B,2,FALSE)</f>
        <v>8701.17</v>
      </c>
      <c r="F386" s="4">
        <f t="shared" ref="F386:F449" si="13">+ABS(E386-D386)</f>
        <v>3.5013000000617467E-2</v>
      </c>
    </row>
    <row r="387" spans="1:6" x14ac:dyDescent="0.25">
      <c r="A387" t="s">
        <v>865</v>
      </c>
      <c r="B387">
        <v>28107.405587000001</v>
      </c>
      <c r="D387" s="4">
        <f t="shared" si="12"/>
        <v>28107.405587000001</v>
      </c>
      <c r="E387" s="4">
        <f>+VLOOKUP(A387,Sheet3!A:B,2,FALSE)</f>
        <v>28107.439999999999</v>
      </c>
      <c r="F387" s="4">
        <f t="shared" si="13"/>
        <v>3.4412999997584848E-2</v>
      </c>
    </row>
    <row r="388" spans="1:6" x14ac:dyDescent="0.25">
      <c r="A388" t="s">
        <v>296</v>
      </c>
      <c r="B388">
        <v>28107.405587000001</v>
      </c>
      <c r="D388" s="4">
        <f t="shared" si="12"/>
        <v>28107.405587000001</v>
      </c>
      <c r="E388" s="4">
        <f>+VLOOKUP(A388,Sheet3!A:B,2,FALSE)</f>
        <v>28107.439999999999</v>
      </c>
      <c r="F388" s="4">
        <f t="shared" si="13"/>
        <v>3.4412999997584848E-2</v>
      </c>
    </row>
    <row r="389" spans="1:6" x14ac:dyDescent="0.25">
      <c r="A389" t="s">
        <v>431</v>
      </c>
      <c r="B389">
        <v>2037.0656859999999</v>
      </c>
      <c r="D389" s="4">
        <f t="shared" si="12"/>
        <v>2037.0656859999999</v>
      </c>
      <c r="E389" s="4">
        <f>+VLOOKUP(A389,Sheet3!A:B,2,FALSE)</f>
        <v>2037.1</v>
      </c>
      <c r="F389" s="4">
        <f t="shared" si="13"/>
        <v>3.4313999999994849E-2</v>
      </c>
    </row>
    <row r="390" spans="1:6" x14ac:dyDescent="0.25">
      <c r="A390" t="s">
        <v>44</v>
      </c>
      <c r="B390">
        <v>5974.455723</v>
      </c>
      <c r="D390" s="4">
        <f t="shared" si="12"/>
        <v>5974.455723</v>
      </c>
      <c r="E390" s="4">
        <f>+VLOOKUP(A390,Sheet3!A:B,2,FALSE)</f>
        <v>5974.49</v>
      </c>
      <c r="F390" s="4">
        <f t="shared" si="13"/>
        <v>3.4276999999747204E-2</v>
      </c>
    </row>
    <row r="391" spans="1:6" x14ac:dyDescent="0.25">
      <c r="A391" t="s">
        <v>354</v>
      </c>
      <c r="B391">
        <v>5490.2257300000001</v>
      </c>
      <c r="D391" s="4">
        <f t="shared" si="12"/>
        <v>5490.2257300000001</v>
      </c>
      <c r="E391" s="4">
        <f>+VLOOKUP(A391,Sheet3!A:B,2,FALSE)</f>
        <v>5490.26</v>
      </c>
      <c r="F391" s="4">
        <f t="shared" si="13"/>
        <v>3.4270000000105938E-2</v>
      </c>
    </row>
    <row r="392" spans="1:6" x14ac:dyDescent="0.25">
      <c r="A392" t="s">
        <v>192</v>
      </c>
      <c r="B392">
        <v>18769.275957000002</v>
      </c>
      <c r="D392" s="4">
        <f t="shared" si="12"/>
        <v>18769.275957000002</v>
      </c>
      <c r="E392" s="4">
        <f>+VLOOKUP(A392,Sheet3!A:B,2,FALSE)</f>
        <v>18769.310000000001</v>
      </c>
      <c r="F392" s="4">
        <f t="shared" si="13"/>
        <v>3.4042999999655876E-2</v>
      </c>
    </row>
    <row r="393" spans="1:6" x14ac:dyDescent="0.25">
      <c r="A393" t="s">
        <v>126</v>
      </c>
      <c r="B393">
        <v>15870.346063000001</v>
      </c>
      <c r="D393" s="4">
        <f t="shared" si="12"/>
        <v>15870.346063000001</v>
      </c>
      <c r="E393" s="4">
        <f>+VLOOKUP(A393,Sheet3!A:B,2,FALSE)</f>
        <v>15870.38</v>
      </c>
      <c r="F393" s="4">
        <f t="shared" si="13"/>
        <v>3.3936999998331885E-2</v>
      </c>
    </row>
    <row r="394" spans="1:6" x14ac:dyDescent="0.25">
      <c r="A394" t="s">
        <v>423</v>
      </c>
      <c r="B394">
        <v>4024.2961479999999</v>
      </c>
      <c r="D394" s="4">
        <f t="shared" si="12"/>
        <v>4024.2961479999999</v>
      </c>
      <c r="E394" s="4">
        <f>+VLOOKUP(A394,Sheet3!A:B,2,FALSE)</f>
        <v>4024.33</v>
      </c>
      <c r="F394" s="4">
        <f t="shared" si="13"/>
        <v>3.3852000000024418E-2</v>
      </c>
    </row>
    <row r="395" spans="1:6" x14ac:dyDescent="0.25">
      <c r="A395" t="s">
        <v>225</v>
      </c>
      <c r="B395">
        <v>4024.2961479999999</v>
      </c>
      <c r="D395" s="4">
        <f t="shared" si="12"/>
        <v>4024.2961479999999</v>
      </c>
      <c r="E395" s="4">
        <f>+VLOOKUP(A395,Sheet3!A:B,2,FALSE)</f>
        <v>4024.33</v>
      </c>
      <c r="F395" s="4">
        <f t="shared" si="13"/>
        <v>3.3852000000024418E-2</v>
      </c>
    </row>
    <row r="396" spans="1:6" x14ac:dyDescent="0.25">
      <c r="A396" t="s">
        <v>732</v>
      </c>
      <c r="B396">
        <v>13406.286206999999</v>
      </c>
      <c r="D396" s="4">
        <f t="shared" si="12"/>
        <v>13406.286206999999</v>
      </c>
      <c r="E396" s="4">
        <f>+VLOOKUP(A396,Sheet3!A:B,2,FALSE)</f>
        <v>13406.32</v>
      </c>
      <c r="F396" s="4">
        <f t="shared" si="13"/>
        <v>3.3793000000514439E-2</v>
      </c>
    </row>
    <row r="397" spans="1:6" x14ac:dyDescent="0.25">
      <c r="A397" t="s">
        <v>675</v>
      </c>
      <c r="B397">
        <v>14431.846224000001</v>
      </c>
      <c r="D397" s="4">
        <f t="shared" si="12"/>
        <v>14431.846224000001</v>
      </c>
      <c r="E397" s="4">
        <f>+VLOOKUP(A397,Sheet3!A:B,2,FALSE)</f>
        <v>14431.88</v>
      </c>
      <c r="F397" s="4">
        <f t="shared" si="13"/>
        <v>3.377599999839731E-2</v>
      </c>
    </row>
    <row r="398" spans="1:6" x14ac:dyDescent="0.25">
      <c r="A398" t="s">
        <v>391</v>
      </c>
      <c r="B398">
        <v>17457.876305999998</v>
      </c>
      <c r="D398" s="4">
        <f t="shared" si="12"/>
        <v>17457.876305999998</v>
      </c>
      <c r="E398" s="4">
        <f>+VLOOKUP(A398,Sheet3!A:B,2,FALSE)</f>
        <v>17457.91</v>
      </c>
      <c r="F398" s="4">
        <f t="shared" si="13"/>
        <v>3.3694000001560198E-2</v>
      </c>
    </row>
    <row r="399" spans="1:6" x14ac:dyDescent="0.25">
      <c r="A399" t="s">
        <v>943</v>
      </c>
      <c r="B399">
        <v>44617.326319</v>
      </c>
      <c r="D399" s="4">
        <f t="shared" si="12"/>
        <v>44617.326319</v>
      </c>
      <c r="E399" s="4">
        <f>+VLOOKUP(A399,Sheet3!A:B,2,FALSE)</f>
        <v>44617.36</v>
      </c>
      <c r="F399" s="4">
        <f t="shared" si="13"/>
        <v>3.3681000000797212E-2</v>
      </c>
    </row>
    <row r="400" spans="1:6" x14ac:dyDescent="0.25">
      <c r="A400" t="s">
        <v>471</v>
      </c>
      <c r="B400">
        <v>40525.406351999998</v>
      </c>
      <c r="D400" s="4">
        <f t="shared" si="12"/>
        <v>40525.406351999998</v>
      </c>
      <c r="E400" s="4">
        <f>+VLOOKUP(A400,Sheet3!A:B,2,FALSE)</f>
        <v>40525.440000000002</v>
      </c>
      <c r="F400" s="4">
        <f t="shared" si="13"/>
        <v>3.3648000004177447E-2</v>
      </c>
    </row>
    <row r="401" spans="1:6" x14ac:dyDescent="0.25">
      <c r="A401" t="s">
        <v>336</v>
      </c>
      <c r="B401">
        <v>35409.216379999998</v>
      </c>
      <c r="D401" s="4">
        <f t="shared" si="12"/>
        <v>35409.216379999998</v>
      </c>
      <c r="E401" s="4">
        <f>+VLOOKUP(A401,Sheet3!A:B,2,FALSE)</f>
        <v>35409.25</v>
      </c>
      <c r="F401" s="4">
        <f t="shared" si="13"/>
        <v>3.3620000001974404E-2</v>
      </c>
    </row>
    <row r="402" spans="1:6" x14ac:dyDescent="0.25">
      <c r="A402" t="s">
        <v>318</v>
      </c>
      <c r="B402">
        <v>49528.336391999997</v>
      </c>
      <c r="D402" s="4">
        <f t="shared" si="12"/>
        <v>49528.336391999997</v>
      </c>
      <c r="E402" s="4">
        <f>+VLOOKUP(A402,Sheet3!A:B,2,FALSE)</f>
        <v>49528.37</v>
      </c>
      <c r="F402" s="4">
        <f t="shared" si="13"/>
        <v>3.3608000005187932E-2</v>
      </c>
    </row>
    <row r="403" spans="1:6" x14ac:dyDescent="0.25">
      <c r="A403" t="s">
        <v>140</v>
      </c>
      <c r="B403">
        <v>11270.636399999999</v>
      </c>
      <c r="D403" s="4">
        <f t="shared" si="12"/>
        <v>11270.636399999999</v>
      </c>
      <c r="E403" s="4">
        <f>+VLOOKUP(A403,Sheet3!A:B,2,FALSE)</f>
        <v>11270.67</v>
      </c>
      <c r="F403" s="4">
        <f t="shared" si="13"/>
        <v>3.3600000000660657E-2</v>
      </c>
    </row>
    <row r="404" spans="1:6" x14ac:dyDescent="0.25">
      <c r="A404" t="s">
        <v>500</v>
      </c>
      <c r="B404">
        <v>36547.686447</v>
      </c>
      <c r="D404" s="4">
        <f t="shared" si="12"/>
        <v>36547.686447</v>
      </c>
      <c r="E404" s="4">
        <f>+VLOOKUP(A404,Sheet3!A:B,2,FALSE)</f>
        <v>36547.72</v>
      </c>
      <c r="F404" s="4">
        <f t="shared" si="13"/>
        <v>3.3553000001120381E-2</v>
      </c>
    </row>
    <row r="405" spans="1:6" x14ac:dyDescent="0.25">
      <c r="A405" t="s">
        <v>393</v>
      </c>
      <c r="B405">
        <v>36547.686447</v>
      </c>
      <c r="D405" s="4">
        <f t="shared" si="12"/>
        <v>36547.686447</v>
      </c>
      <c r="E405" s="4">
        <f>+VLOOKUP(A405,Sheet3!A:B,2,FALSE)</f>
        <v>36547.72</v>
      </c>
      <c r="F405" s="4">
        <f t="shared" si="13"/>
        <v>3.3553000001120381E-2</v>
      </c>
    </row>
    <row r="406" spans="1:6" x14ac:dyDescent="0.25">
      <c r="A406" t="s">
        <v>100</v>
      </c>
      <c r="B406">
        <v>34909.166759</v>
      </c>
      <c r="D406" s="4">
        <f t="shared" si="12"/>
        <v>34909.166759</v>
      </c>
      <c r="E406" s="4">
        <f>+VLOOKUP(A406,Sheet3!A:B,2,FALSE)</f>
        <v>34909.199999999997</v>
      </c>
      <c r="F406" s="4">
        <f t="shared" si="13"/>
        <v>3.3240999997360632E-2</v>
      </c>
    </row>
    <row r="407" spans="1:6" x14ac:dyDescent="0.25">
      <c r="A407" t="s">
        <v>56</v>
      </c>
      <c r="B407">
        <v>19506.076838000001</v>
      </c>
      <c r="D407" s="4">
        <f t="shared" si="12"/>
        <v>19506.076838000001</v>
      </c>
      <c r="E407" s="4">
        <f>+VLOOKUP(A407,Sheet3!A:B,2,FALSE)</f>
        <v>19506.11</v>
      </c>
      <c r="F407" s="4">
        <f t="shared" si="13"/>
        <v>3.3161999999720138E-2</v>
      </c>
    </row>
    <row r="408" spans="1:6" x14ac:dyDescent="0.25">
      <c r="A408" t="s">
        <v>645</v>
      </c>
      <c r="B408">
        <v>38243.917224999997</v>
      </c>
      <c r="D408" s="4">
        <f t="shared" si="12"/>
        <v>38243.917224999997</v>
      </c>
      <c r="E408" s="4">
        <f>+VLOOKUP(A408,Sheet3!A:B,2,FALSE)</f>
        <v>38243.949999999997</v>
      </c>
      <c r="F408" s="4">
        <f t="shared" si="13"/>
        <v>3.2774999999674037E-2</v>
      </c>
    </row>
    <row r="409" spans="1:6" x14ac:dyDescent="0.25">
      <c r="A409" t="s">
        <v>810</v>
      </c>
      <c r="B409">
        <v>23052.457266000001</v>
      </c>
      <c r="D409" s="4">
        <f t="shared" si="12"/>
        <v>23052.457266000001</v>
      </c>
      <c r="E409" s="4">
        <f>+VLOOKUP(A409,Sheet3!A:B,2,FALSE)</f>
        <v>23052.49</v>
      </c>
      <c r="F409" s="4">
        <f t="shared" si="13"/>
        <v>3.2734000000345986E-2</v>
      </c>
    </row>
    <row r="410" spans="1:6" x14ac:dyDescent="0.25">
      <c r="A410" t="s">
        <v>667</v>
      </c>
      <c r="B410">
        <v>6997.7072959999996</v>
      </c>
      <c r="D410" s="4">
        <f t="shared" si="12"/>
        <v>6997.7072959999996</v>
      </c>
      <c r="E410" s="4">
        <f>+VLOOKUP(A410,Sheet3!A:B,2,FALSE)</f>
        <v>6997.74</v>
      </c>
      <c r="F410" s="4">
        <f t="shared" si="13"/>
        <v>3.2704000000194355E-2</v>
      </c>
    </row>
    <row r="411" spans="1:6" x14ac:dyDescent="0.25">
      <c r="A411" t="s">
        <v>31</v>
      </c>
      <c r="B411">
        <v>2905.7873290000002</v>
      </c>
      <c r="D411" s="4">
        <f t="shared" si="12"/>
        <v>2905.7873290000002</v>
      </c>
      <c r="E411" s="4">
        <f>+VLOOKUP(A411,Sheet3!A:B,2,FALSE)</f>
        <v>2905.82</v>
      </c>
      <c r="F411" s="4">
        <f t="shared" si="13"/>
        <v>3.2670999999936612E-2</v>
      </c>
    </row>
    <row r="412" spans="1:6" x14ac:dyDescent="0.25">
      <c r="A412" t="s">
        <v>920</v>
      </c>
      <c r="B412">
        <v>14498.587401999999</v>
      </c>
      <c r="D412" s="4">
        <f t="shared" si="12"/>
        <v>14498.587401999999</v>
      </c>
      <c r="E412" s="4">
        <f>+VLOOKUP(A412,Sheet3!A:B,2,FALSE)</f>
        <v>14498.62</v>
      </c>
      <c r="F412" s="4">
        <f t="shared" si="13"/>
        <v>3.2598000001598848E-2</v>
      </c>
    </row>
    <row r="413" spans="1:6" x14ac:dyDescent="0.25">
      <c r="A413" t="s">
        <v>802</v>
      </c>
      <c r="B413">
        <v>41189.287573000001</v>
      </c>
      <c r="D413" s="4">
        <f t="shared" si="12"/>
        <v>41189.287573000001</v>
      </c>
      <c r="E413" s="4">
        <f>+VLOOKUP(A413,Sheet3!A:B,2,FALSE)</f>
        <v>41189.32</v>
      </c>
      <c r="F413" s="4">
        <f t="shared" si="13"/>
        <v>3.2426999998278916E-2</v>
      </c>
    </row>
    <row r="414" spans="1:6" x14ac:dyDescent="0.25">
      <c r="A414" t="s">
        <v>467</v>
      </c>
      <c r="B414">
        <v>35858.887613999999</v>
      </c>
      <c r="D414" s="4">
        <f t="shared" si="12"/>
        <v>35858.887613999999</v>
      </c>
      <c r="E414" s="4">
        <f>+VLOOKUP(A414,Sheet3!A:B,2,FALSE)</f>
        <v>35858.92</v>
      </c>
      <c r="F414" s="4">
        <f t="shared" si="13"/>
        <v>3.2385999998950865E-2</v>
      </c>
    </row>
    <row r="415" spans="1:6" x14ac:dyDescent="0.25">
      <c r="A415" t="s">
        <v>731</v>
      </c>
      <c r="B415">
        <v>15886.097796</v>
      </c>
      <c r="D415" s="4">
        <f t="shared" si="12"/>
        <v>15886.097796</v>
      </c>
      <c r="E415" s="4">
        <f>+VLOOKUP(A415,Sheet3!A:B,2,FALSE)</f>
        <v>15886.13</v>
      </c>
      <c r="F415" s="4">
        <f t="shared" si="13"/>
        <v>3.2203999999182997E-2</v>
      </c>
    </row>
    <row r="416" spans="1:6" x14ac:dyDescent="0.25">
      <c r="A416" t="s">
        <v>922</v>
      </c>
      <c r="B416">
        <v>5984.7079279999998</v>
      </c>
      <c r="D416" s="4">
        <f t="shared" si="12"/>
        <v>5984.7079279999998</v>
      </c>
      <c r="E416" s="4">
        <f>+VLOOKUP(A416,Sheet3!A:B,2,FALSE)</f>
        <v>5984.74</v>
      </c>
      <c r="F416" s="4">
        <f t="shared" si="13"/>
        <v>3.2071999999971013E-2</v>
      </c>
    </row>
    <row r="417" spans="1:6" x14ac:dyDescent="0.25">
      <c r="A417" t="s">
        <v>448</v>
      </c>
      <c r="B417">
        <v>21074.86795</v>
      </c>
      <c r="D417" s="4">
        <f t="shared" si="12"/>
        <v>21074.86795</v>
      </c>
      <c r="E417" s="4">
        <f>+VLOOKUP(A417,Sheet3!A:B,2,FALSE)</f>
        <v>21074.9</v>
      </c>
      <c r="F417" s="4">
        <f t="shared" si="13"/>
        <v>3.2050000001618173E-2</v>
      </c>
    </row>
    <row r="418" spans="1:6" x14ac:dyDescent="0.25">
      <c r="A418" t="s">
        <v>862</v>
      </c>
      <c r="B418">
        <v>5910.4982559999999</v>
      </c>
      <c r="D418" s="4">
        <f t="shared" si="12"/>
        <v>5910.4982559999999</v>
      </c>
      <c r="E418" s="4">
        <f>+VLOOKUP(A418,Sheet3!A:B,2,FALSE)</f>
        <v>5910.53</v>
      </c>
      <c r="F418" s="4">
        <f t="shared" si="13"/>
        <v>3.1743999999889638E-2</v>
      </c>
    </row>
    <row r="419" spans="1:6" x14ac:dyDescent="0.25">
      <c r="A419" t="s">
        <v>240</v>
      </c>
      <c r="B419">
        <v>5548.2084009999999</v>
      </c>
      <c r="D419" s="4">
        <f t="shared" si="12"/>
        <v>5548.2084009999999</v>
      </c>
      <c r="E419" s="4">
        <f>+VLOOKUP(A419,Sheet3!A:B,2,FALSE)</f>
        <v>5548.24</v>
      </c>
      <c r="F419" s="4">
        <f t="shared" si="13"/>
        <v>3.1598999999914668E-2</v>
      </c>
    </row>
    <row r="420" spans="1:6" x14ac:dyDescent="0.25">
      <c r="A420" t="s">
        <v>924</v>
      </c>
      <c r="B420">
        <v>54881.888681999997</v>
      </c>
      <c r="D420" s="4">
        <f t="shared" si="12"/>
        <v>54881.888681999997</v>
      </c>
      <c r="E420" s="4">
        <f>+VLOOKUP(A420,Sheet3!A:B,2,FALSE)</f>
        <v>54881.919999999998</v>
      </c>
      <c r="F420" s="4">
        <f t="shared" si="13"/>
        <v>3.1318000001192559E-2</v>
      </c>
    </row>
    <row r="421" spans="1:6" x14ac:dyDescent="0.25">
      <c r="A421" t="s">
        <v>568</v>
      </c>
      <c r="B421">
        <v>54881.888681999997</v>
      </c>
      <c r="D421" s="4">
        <f t="shared" si="12"/>
        <v>54881.888681999997</v>
      </c>
      <c r="E421" s="4">
        <f>+VLOOKUP(A421,Sheet3!A:B,2,FALSE)</f>
        <v>54881.919999999998</v>
      </c>
      <c r="F421" s="4">
        <f t="shared" si="13"/>
        <v>3.1318000001192559E-2</v>
      </c>
    </row>
    <row r="422" spans="1:6" x14ac:dyDescent="0.25">
      <c r="A422" t="s">
        <v>654</v>
      </c>
      <c r="B422">
        <v>54881.888681999997</v>
      </c>
      <c r="D422" s="4">
        <f t="shared" si="12"/>
        <v>54881.888681999997</v>
      </c>
      <c r="E422" s="4">
        <f>+VLOOKUP(A422,Sheet3!A:B,2,FALSE)</f>
        <v>54881.919999999998</v>
      </c>
      <c r="F422" s="4">
        <f t="shared" si="13"/>
        <v>3.1318000001192559E-2</v>
      </c>
    </row>
    <row r="423" spans="1:6" x14ac:dyDescent="0.25">
      <c r="A423" t="s">
        <v>603</v>
      </c>
      <c r="B423">
        <v>54881.888681999997</v>
      </c>
      <c r="D423" s="4">
        <f t="shared" si="12"/>
        <v>54881.888681999997</v>
      </c>
      <c r="E423" s="4">
        <f>+VLOOKUP(A423,Sheet3!A:B,2,FALSE)</f>
        <v>54881.919999999998</v>
      </c>
      <c r="F423" s="4">
        <f t="shared" si="13"/>
        <v>3.1318000001192559E-2</v>
      </c>
    </row>
    <row r="424" spans="1:6" x14ac:dyDescent="0.25">
      <c r="A424" t="s">
        <v>231</v>
      </c>
      <c r="B424">
        <v>31766.288692999999</v>
      </c>
      <c r="D424" s="4">
        <f t="shared" si="12"/>
        <v>31766.288692999999</v>
      </c>
      <c r="E424" s="4">
        <f>+VLOOKUP(A424,Sheet3!A:B,2,FALSE)</f>
        <v>31766.32</v>
      </c>
      <c r="F424" s="4">
        <f t="shared" si="13"/>
        <v>3.1307000001106644E-2</v>
      </c>
    </row>
    <row r="425" spans="1:6" x14ac:dyDescent="0.25">
      <c r="A425" t="s">
        <v>394</v>
      </c>
      <c r="B425">
        <v>16095.758791</v>
      </c>
      <c r="D425" s="4">
        <f t="shared" si="12"/>
        <v>16095.758791</v>
      </c>
      <c r="E425" s="4">
        <f>+VLOOKUP(A425,Sheet3!A:B,2,FALSE)</f>
        <v>16095.79</v>
      </c>
      <c r="F425" s="4">
        <f t="shared" si="13"/>
        <v>3.1209000000671949E-2</v>
      </c>
    </row>
    <row r="426" spans="1:6" x14ac:dyDescent="0.25">
      <c r="A426" t="s">
        <v>701</v>
      </c>
      <c r="B426">
        <v>13033.268878999999</v>
      </c>
      <c r="D426" s="4">
        <f t="shared" si="12"/>
        <v>13033.268878999999</v>
      </c>
      <c r="E426" s="4">
        <f>+VLOOKUP(A426,Sheet3!A:B,2,FALSE)</f>
        <v>13033.3</v>
      </c>
      <c r="F426" s="4">
        <f t="shared" si="13"/>
        <v>3.1120999999984633E-2</v>
      </c>
    </row>
    <row r="427" spans="1:6" x14ac:dyDescent="0.25">
      <c r="A427" t="s">
        <v>272</v>
      </c>
      <c r="B427">
        <v>40785.988897000003</v>
      </c>
      <c r="D427" s="4">
        <f t="shared" si="12"/>
        <v>40785.988897000003</v>
      </c>
      <c r="E427" s="4">
        <f>+VLOOKUP(A427,Sheet3!A:B,2,FALSE)</f>
        <v>40786.019999999997</v>
      </c>
      <c r="F427" s="4">
        <f t="shared" si="13"/>
        <v>3.110299999389099E-2</v>
      </c>
    </row>
    <row r="428" spans="1:6" x14ac:dyDescent="0.25">
      <c r="A428" t="s">
        <v>337</v>
      </c>
      <c r="B428">
        <v>7443.1690150000004</v>
      </c>
      <c r="D428" s="4">
        <f t="shared" si="12"/>
        <v>7443.1690150000004</v>
      </c>
      <c r="E428" s="4">
        <f>+VLOOKUP(A428,Sheet3!A:B,2,FALSE)</f>
        <v>7443.2</v>
      </c>
      <c r="F428" s="4">
        <f t="shared" si="13"/>
        <v>3.0984999999418505E-2</v>
      </c>
    </row>
    <row r="429" spans="1:6" x14ac:dyDescent="0.25">
      <c r="A429" t="s">
        <v>46</v>
      </c>
      <c r="B429">
        <v>22964.329037</v>
      </c>
      <c r="D429" s="4">
        <f t="shared" si="12"/>
        <v>22964.329037</v>
      </c>
      <c r="E429" s="4">
        <f>+VLOOKUP(A429,Sheet3!A:B,2,FALSE)</f>
        <v>22964.36</v>
      </c>
      <c r="F429" s="4">
        <f t="shared" si="13"/>
        <v>3.0963000001065666E-2</v>
      </c>
    </row>
    <row r="430" spans="1:6" x14ac:dyDescent="0.25">
      <c r="A430" t="s">
        <v>232</v>
      </c>
      <c r="B430">
        <v>43243.259213999998</v>
      </c>
      <c r="D430" s="4">
        <f t="shared" si="12"/>
        <v>43243.259213999998</v>
      </c>
      <c r="E430" s="4">
        <f>+VLOOKUP(A430,Sheet3!A:B,2,FALSE)</f>
        <v>43243.29</v>
      </c>
      <c r="F430" s="4">
        <f t="shared" si="13"/>
        <v>3.0786000002990477E-2</v>
      </c>
    </row>
    <row r="431" spans="1:6" x14ac:dyDescent="0.25">
      <c r="A431" t="s">
        <v>206</v>
      </c>
      <c r="B431">
        <v>39371.999296000002</v>
      </c>
      <c r="D431" s="4">
        <f t="shared" si="12"/>
        <v>39371.999296000002</v>
      </c>
      <c r="E431" s="4">
        <f>+VLOOKUP(A431,Sheet3!A:B,2,FALSE)</f>
        <v>39372.03</v>
      </c>
      <c r="F431" s="4">
        <f t="shared" si="13"/>
        <v>3.0703999997058418E-2</v>
      </c>
    </row>
    <row r="432" spans="1:6" x14ac:dyDescent="0.25">
      <c r="A432" t="s">
        <v>707</v>
      </c>
      <c r="B432">
        <v>37146.659666</v>
      </c>
      <c r="D432" s="4">
        <f t="shared" si="12"/>
        <v>37146.659666</v>
      </c>
      <c r="E432" s="4">
        <f>+VLOOKUP(A432,Sheet3!A:B,2,FALSE)</f>
        <v>37146.69</v>
      </c>
      <c r="F432" s="4">
        <f t="shared" si="13"/>
        <v>3.0334000002767425E-2</v>
      </c>
    </row>
    <row r="433" spans="1:6" x14ac:dyDescent="0.25">
      <c r="A433" t="s">
        <v>806</v>
      </c>
      <c r="B433">
        <v>11230.849695000001</v>
      </c>
      <c r="D433" s="4">
        <f t="shared" si="12"/>
        <v>11230.849695000001</v>
      </c>
      <c r="E433" s="4">
        <f>+VLOOKUP(A433,Sheet3!A:B,2,FALSE)</f>
        <v>11230.88</v>
      </c>
      <c r="F433" s="4">
        <f t="shared" si="13"/>
        <v>3.0304999998406856E-2</v>
      </c>
    </row>
    <row r="434" spans="1:6" x14ac:dyDescent="0.25">
      <c r="A434" t="s">
        <v>90</v>
      </c>
      <c r="B434">
        <v>38629.019934000004</v>
      </c>
      <c r="D434" s="4">
        <f t="shared" si="12"/>
        <v>38629.019934000004</v>
      </c>
      <c r="E434" s="4">
        <f>+VLOOKUP(A434,Sheet3!A:B,2,FALSE)</f>
        <v>38629.050000000003</v>
      </c>
      <c r="F434" s="4">
        <f t="shared" si="13"/>
        <v>3.0065999999351334E-2</v>
      </c>
    </row>
    <row r="435" spans="1:6" x14ac:dyDescent="0.25">
      <c r="A435" t="s">
        <v>303</v>
      </c>
      <c r="B435">
        <v>5509.4401280000002</v>
      </c>
      <c r="D435" s="4">
        <f t="shared" si="12"/>
        <v>5509.4401280000002</v>
      </c>
      <c r="E435" s="4">
        <f>+VLOOKUP(A435,Sheet3!A:B,2,FALSE)</f>
        <v>5509.47</v>
      </c>
      <c r="F435" s="4">
        <f t="shared" si="13"/>
        <v>2.987200000006851E-2</v>
      </c>
    </row>
    <row r="436" spans="1:6" x14ac:dyDescent="0.25">
      <c r="A436" t="s">
        <v>538</v>
      </c>
      <c r="B436">
        <v>50877.010617</v>
      </c>
      <c r="D436" s="4">
        <f t="shared" si="12"/>
        <v>50877.010617</v>
      </c>
      <c r="E436" s="4">
        <f>+VLOOKUP(A436,Sheet3!A:B,2,FALSE)</f>
        <v>50877.04</v>
      </c>
      <c r="F436" s="4">
        <f t="shared" si="13"/>
        <v>2.9383000000962056E-2</v>
      </c>
    </row>
    <row r="437" spans="1:6" x14ac:dyDescent="0.25">
      <c r="A437" t="s">
        <v>495</v>
      </c>
      <c r="B437">
        <v>40787.211014</v>
      </c>
      <c r="D437" s="4">
        <f t="shared" si="12"/>
        <v>40787.211014</v>
      </c>
      <c r="E437" s="4">
        <f>+VLOOKUP(A437,Sheet3!A:B,2,FALSE)</f>
        <v>40787.24</v>
      </c>
      <c r="F437" s="4">
        <f t="shared" si="13"/>
        <v>2.8985999997530598E-2</v>
      </c>
    </row>
    <row r="438" spans="1:6" x14ac:dyDescent="0.25">
      <c r="A438" t="s">
        <v>366</v>
      </c>
      <c r="B438">
        <v>28236.271056000001</v>
      </c>
      <c r="D438" s="4">
        <f t="shared" si="12"/>
        <v>28236.271056000001</v>
      </c>
      <c r="E438" s="4">
        <f>+VLOOKUP(A438,Sheet3!A:B,2,FALSE)</f>
        <v>28236.3</v>
      </c>
      <c r="F438" s="4">
        <f t="shared" si="13"/>
        <v>2.8943999997864012E-2</v>
      </c>
    </row>
    <row r="439" spans="1:6" x14ac:dyDescent="0.25">
      <c r="A439" t="s">
        <v>522</v>
      </c>
      <c r="B439">
        <v>28237.561068999999</v>
      </c>
      <c r="D439" s="4">
        <f t="shared" si="12"/>
        <v>28237.561068999999</v>
      </c>
      <c r="E439" s="4">
        <f>+VLOOKUP(A439,Sheet3!A:B,2,FALSE)</f>
        <v>28237.59</v>
      </c>
      <c r="F439" s="4">
        <f t="shared" si="13"/>
        <v>2.8931000000739004E-2</v>
      </c>
    </row>
    <row r="440" spans="1:6" x14ac:dyDescent="0.25">
      <c r="A440" t="s">
        <v>882</v>
      </c>
      <c r="B440">
        <v>28237.561068999999</v>
      </c>
      <c r="D440" s="4">
        <f t="shared" si="12"/>
        <v>28237.561068999999</v>
      </c>
      <c r="E440" s="4">
        <f>+VLOOKUP(A440,Sheet3!A:B,2,FALSE)</f>
        <v>28237.59</v>
      </c>
      <c r="F440" s="4">
        <f t="shared" si="13"/>
        <v>2.8931000000739004E-2</v>
      </c>
    </row>
    <row r="441" spans="1:6" x14ac:dyDescent="0.25">
      <c r="A441" t="s">
        <v>379</v>
      </c>
      <c r="B441">
        <v>28237.561068999999</v>
      </c>
      <c r="D441" s="4">
        <f t="shared" si="12"/>
        <v>28237.561068999999</v>
      </c>
      <c r="E441" s="4">
        <f>+VLOOKUP(A441,Sheet3!A:B,2,FALSE)</f>
        <v>28237.59</v>
      </c>
      <c r="F441" s="4">
        <f t="shared" si="13"/>
        <v>2.8931000000739004E-2</v>
      </c>
    </row>
    <row r="442" spans="1:6" x14ac:dyDescent="0.25">
      <c r="A442" t="s">
        <v>144</v>
      </c>
      <c r="B442">
        <v>10727.541095</v>
      </c>
      <c r="D442" s="4">
        <f t="shared" si="12"/>
        <v>10727.541095</v>
      </c>
      <c r="E442" s="4">
        <f>+VLOOKUP(A442,Sheet3!A:B,2,FALSE)</f>
        <v>10727.57</v>
      </c>
      <c r="F442" s="4">
        <f t="shared" si="13"/>
        <v>2.8904999999213032E-2</v>
      </c>
    </row>
    <row r="443" spans="1:6" x14ac:dyDescent="0.25">
      <c r="A443" t="s">
        <v>176</v>
      </c>
      <c r="B443">
        <v>5931.6816209999997</v>
      </c>
      <c r="D443" s="4">
        <f t="shared" si="12"/>
        <v>5931.6816209999997</v>
      </c>
      <c r="E443" s="4">
        <f>+VLOOKUP(A443,Sheet3!A:B,2,FALSE)</f>
        <v>5931.71</v>
      </c>
      <c r="F443" s="4">
        <f t="shared" si="13"/>
        <v>2.8379000000313681E-2</v>
      </c>
    </row>
    <row r="444" spans="1:6" x14ac:dyDescent="0.25">
      <c r="A444" t="s">
        <v>873</v>
      </c>
      <c r="B444">
        <v>8109.9018429999996</v>
      </c>
      <c r="D444" s="4">
        <f t="shared" si="12"/>
        <v>8109.9018429999996</v>
      </c>
      <c r="E444" s="4">
        <f>+VLOOKUP(A444,Sheet3!A:B,2,FALSE)</f>
        <v>8109.93</v>
      </c>
      <c r="F444" s="4">
        <f t="shared" si="13"/>
        <v>2.8157000000646804E-2</v>
      </c>
    </row>
    <row r="445" spans="1:6" x14ac:dyDescent="0.25">
      <c r="A445" t="s">
        <v>466</v>
      </c>
      <c r="B445">
        <v>11023.021876000001</v>
      </c>
      <c r="D445" s="4">
        <f t="shared" si="12"/>
        <v>11023.021876000001</v>
      </c>
      <c r="E445" s="4">
        <f>+VLOOKUP(A445,Sheet3!A:B,2,FALSE)</f>
        <v>11023.05</v>
      </c>
      <c r="F445" s="4">
        <f t="shared" si="13"/>
        <v>2.8123999998570071E-2</v>
      </c>
    </row>
    <row r="446" spans="1:6" x14ac:dyDescent="0.25">
      <c r="A446" t="s">
        <v>367</v>
      </c>
      <c r="B446">
        <v>11023.021876000001</v>
      </c>
      <c r="D446" s="4">
        <f t="shared" si="12"/>
        <v>11023.021876000001</v>
      </c>
      <c r="E446" s="4">
        <f>+VLOOKUP(A446,Sheet3!A:B,2,FALSE)</f>
        <v>11023.05</v>
      </c>
      <c r="F446" s="4">
        <f t="shared" si="13"/>
        <v>2.8123999998570071E-2</v>
      </c>
    </row>
    <row r="447" spans="1:6" x14ac:dyDescent="0.25">
      <c r="A447" t="s">
        <v>451</v>
      </c>
      <c r="B447">
        <v>26178.022004999999</v>
      </c>
      <c r="D447" s="4">
        <f t="shared" si="12"/>
        <v>26178.022004999999</v>
      </c>
      <c r="E447" s="4">
        <f>+VLOOKUP(A447,Sheet3!A:B,2,FALSE)</f>
        <v>26178.05</v>
      </c>
      <c r="F447" s="4">
        <f t="shared" si="13"/>
        <v>2.7995000000373693E-2</v>
      </c>
    </row>
    <row r="448" spans="1:6" x14ac:dyDescent="0.25">
      <c r="A448" t="s">
        <v>399</v>
      </c>
      <c r="B448">
        <v>42297.612082</v>
      </c>
      <c r="D448" s="4">
        <f t="shared" si="12"/>
        <v>42297.612082</v>
      </c>
      <c r="E448" s="4">
        <f>+VLOOKUP(A448,Sheet3!A:B,2,FALSE)</f>
        <v>42297.64</v>
      </c>
      <c r="F448" s="4">
        <f t="shared" si="13"/>
        <v>2.7917999999772292E-2</v>
      </c>
    </row>
    <row r="449" spans="1:6" x14ac:dyDescent="0.25">
      <c r="A449" t="s">
        <v>787</v>
      </c>
      <c r="B449">
        <v>5287.4221699999998</v>
      </c>
      <c r="D449" s="4">
        <f t="shared" si="12"/>
        <v>5287.4221699999998</v>
      </c>
      <c r="E449" s="4">
        <f>+VLOOKUP(A449,Sheet3!A:B,2,FALSE)</f>
        <v>5287.45</v>
      </c>
      <c r="F449" s="4">
        <f t="shared" si="13"/>
        <v>2.782999999999447E-2</v>
      </c>
    </row>
    <row r="450" spans="1:6" x14ac:dyDescent="0.25">
      <c r="A450" t="s">
        <v>478</v>
      </c>
      <c r="B450">
        <v>2066.5322890000002</v>
      </c>
      <c r="D450" s="4">
        <f t="shared" ref="D450:D513" si="14">+B450+C450</f>
        <v>2066.5322890000002</v>
      </c>
      <c r="E450" s="4">
        <f>+VLOOKUP(A450,Sheet3!A:B,2,FALSE)</f>
        <v>2066.56</v>
      </c>
      <c r="F450" s="4">
        <f t="shared" ref="F450:F513" si="15">+ABS(E450-D450)</f>
        <v>2.7710999999726482E-2</v>
      </c>
    </row>
    <row r="451" spans="1:6" x14ac:dyDescent="0.25">
      <c r="A451" t="s">
        <v>146</v>
      </c>
      <c r="B451">
        <v>33759.222369000003</v>
      </c>
      <c r="D451" s="4">
        <f t="shared" si="14"/>
        <v>33759.222369000003</v>
      </c>
      <c r="E451" s="4">
        <f>+VLOOKUP(A451,Sheet3!A:B,2,FALSE)</f>
        <v>33759.25</v>
      </c>
      <c r="F451" s="4">
        <f t="shared" si="15"/>
        <v>2.7630999997199979E-2</v>
      </c>
    </row>
    <row r="452" spans="1:6" x14ac:dyDescent="0.25">
      <c r="A452" t="s">
        <v>156</v>
      </c>
      <c r="B452">
        <v>27890.072412000001</v>
      </c>
      <c r="D452" s="4">
        <f t="shared" si="14"/>
        <v>27890.072412000001</v>
      </c>
      <c r="E452" s="4">
        <f>+VLOOKUP(A452,Sheet3!A:B,2,FALSE)</f>
        <v>27890.1</v>
      </c>
      <c r="F452" s="4">
        <f t="shared" si="15"/>
        <v>2.7587999997194856E-2</v>
      </c>
    </row>
    <row r="453" spans="1:6" x14ac:dyDescent="0.25">
      <c r="A453" t="s">
        <v>130</v>
      </c>
      <c r="B453">
        <v>31247.092569</v>
      </c>
      <c r="D453" s="4">
        <f t="shared" si="14"/>
        <v>31247.092569</v>
      </c>
      <c r="E453" s="4">
        <f>+VLOOKUP(A453,Sheet3!A:B,2,FALSE)</f>
        <v>31247.119999999999</v>
      </c>
      <c r="F453" s="4">
        <f t="shared" si="15"/>
        <v>2.7430999998614425E-2</v>
      </c>
    </row>
    <row r="454" spans="1:6" x14ac:dyDescent="0.25">
      <c r="A454" t="s">
        <v>40</v>
      </c>
      <c r="B454">
        <v>32919.152585000003</v>
      </c>
      <c r="D454" s="4">
        <f t="shared" si="14"/>
        <v>32919.152585000003</v>
      </c>
      <c r="E454" s="4">
        <f>+VLOOKUP(A454,Sheet3!A:B,2,FALSE)</f>
        <v>32919.18</v>
      </c>
      <c r="F454" s="4">
        <f t="shared" si="15"/>
        <v>2.7414999996835832E-2</v>
      </c>
    </row>
    <row r="455" spans="1:6" x14ac:dyDescent="0.25">
      <c r="A455" t="s">
        <v>947</v>
      </c>
      <c r="B455">
        <v>4144.7425880000001</v>
      </c>
      <c r="D455" s="4">
        <f t="shared" si="14"/>
        <v>4144.7425880000001</v>
      </c>
      <c r="E455" s="4">
        <f>+VLOOKUP(A455,Sheet3!A:B,2,FALSE)</f>
        <v>4144.7700000000004</v>
      </c>
      <c r="F455" s="4">
        <f t="shared" si="15"/>
        <v>2.7412000000367698E-2</v>
      </c>
    </row>
    <row r="456" spans="1:6" x14ac:dyDescent="0.25">
      <c r="A456" t="s">
        <v>411</v>
      </c>
      <c r="B456">
        <v>2867.2227419999999</v>
      </c>
      <c r="D456" s="4">
        <f t="shared" si="14"/>
        <v>2867.2227419999999</v>
      </c>
      <c r="E456" s="4">
        <f>+VLOOKUP(A456,Sheet3!A:B,2,FALSE)</f>
        <v>2867.25</v>
      </c>
      <c r="F456" s="4">
        <f t="shared" si="15"/>
        <v>2.7258000000074389E-2</v>
      </c>
    </row>
    <row r="457" spans="1:6" x14ac:dyDescent="0.25">
      <c r="A457" t="s">
        <v>397</v>
      </c>
      <c r="B457">
        <v>14787.142852000001</v>
      </c>
      <c r="D457" s="4">
        <f t="shared" si="14"/>
        <v>14787.142852000001</v>
      </c>
      <c r="E457" s="4">
        <f>+VLOOKUP(A457,Sheet3!A:B,2,FALSE)</f>
        <v>14787.17</v>
      </c>
      <c r="F457" s="4">
        <f t="shared" si="15"/>
        <v>2.7147999999215244E-2</v>
      </c>
    </row>
    <row r="458" spans="1:6" x14ac:dyDescent="0.25">
      <c r="A458" t="s">
        <v>774</v>
      </c>
      <c r="B458">
        <v>14787.142852000001</v>
      </c>
      <c r="D458" s="4">
        <f t="shared" si="14"/>
        <v>14787.142852000001</v>
      </c>
      <c r="E458" s="4">
        <f>+VLOOKUP(A458,Sheet3!A:B,2,FALSE)</f>
        <v>14787.17</v>
      </c>
      <c r="F458" s="4">
        <f t="shared" si="15"/>
        <v>2.7147999999215244E-2</v>
      </c>
    </row>
    <row r="459" spans="1:6" x14ac:dyDescent="0.25">
      <c r="A459" t="s">
        <v>5</v>
      </c>
      <c r="B459">
        <v>28266.212928000001</v>
      </c>
      <c r="D459" s="4">
        <f t="shared" si="14"/>
        <v>28266.212928000001</v>
      </c>
      <c r="E459" s="4">
        <f>+VLOOKUP(A459,Sheet3!A:B,2,FALSE)</f>
        <v>28266.240000000002</v>
      </c>
      <c r="F459" s="4">
        <f t="shared" si="15"/>
        <v>2.7072000000771368E-2</v>
      </c>
    </row>
    <row r="460" spans="1:6" x14ac:dyDescent="0.25">
      <c r="A460" t="s">
        <v>931</v>
      </c>
      <c r="B460">
        <v>37591.102954000002</v>
      </c>
      <c r="D460" s="4">
        <f t="shared" si="14"/>
        <v>37591.102954000002</v>
      </c>
      <c r="E460" s="4">
        <f>+VLOOKUP(A460,Sheet3!A:B,2,FALSE)</f>
        <v>37591.129999999997</v>
      </c>
      <c r="F460" s="4">
        <f t="shared" si="15"/>
        <v>2.7045999995607417E-2</v>
      </c>
    </row>
    <row r="461" spans="1:6" x14ac:dyDescent="0.25">
      <c r="A461" t="s">
        <v>77</v>
      </c>
      <c r="B461">
        <v>3597.9130359999999</v>
      </c>
      <c r="D461" s="4">
        <f t="shared" si="14"/>
        <v>3597.9130359999999</v>
      </c>
      <c r="E461" s="4">
        <f>+VLOOKUP(A461,Sheet3!A:B,2,FALSE)</f>
        <v>3597.94</v>
      </c>
      <c r="F461" s="4">
        <f t="shared" si="15"/>
        <v>2.6964000000134547E-2</v>
      </c>
    </row>
    <row r="462" spans="1:6" x14ac:dyDescent="0.25">
      <c r="A462" t="s">
        <v>526</v>
      </c>
      <c r="B462">
        <v>16897.603465</v>
      </c>
      <c r="D462" s="4">
        <f t="shared" si="14"/>
        <v>16897.603465</v>
      </c>
      <c r="E462" s="4">
        <f>+VLOOKUP(A462,Sheet3!A:B,2,FALSE)</f>
        <v>16897.63</v>
      </c>
      <c r="F462" s="4">
        <f t="shared" si="15"/>
        <v>2.6535000000876607E-2</v>
      </c>
    </row>
    <row r="463" spans="1:6" x14ac:dyDescent="0.25">
      <c r="A463" t="s">
        <v>934</v>
      </c>
      <c r="B463">
        <v>57150.613472999998</v>
      </c>
      <c r="D463" s="4">
        <f t="shared" si="14"/>
        <v>57150.613472999998</v>
      </c>
      <c r="E463" s="4">
        <f>+VLOOKUP(A463,Sheet3!A:B,2,FALSE)</f>
        <v>57150.64</v>
      </c>
      <c r="F463" s="4">
        <f t="shared" si="15"/>
        <v>2.65270000018063E-2</v>
      </c>
    </row>
    <row r="464" spans="1:6" x14ac:dyDescent="0.25">
      <c r="A464" t="s">
        <v>201</v>
      </c>
      <c r="B464">
        <v>37508.813730000002</v>
      </c>
      <c r="D464" s="4">
        <f t="shared" si="14"/>
        <v>37508.813730000002</v>
      </c>
      <c r="E464" s="4">
        <f>+VLOOKUP(A464,Sheet3!A:B,2,FALSE)</f>
        <v>37508.839999999997</v>
      </c>
      <c r="F464" s="4">
        <f t="shared" si="15"/>
        <v>2.6269999994838145E-2</v>
      </c>
    </row>
    <row r="465" spans="1:6" x14ac:dyDescent="0.25">
      <c r="A465" t="s">
        <v>684</v>
      </c>
      <c r="B465">
        <v>207487.32396499999</v>
      </c>
      <c r="D465" s="4">
        <f t="shared" si="14"/>
        <v>207487.32396499999</v>
      </c>
      <c r="E465" s="4">
        <f>+VLOOKUP(A465,Sheet3!A:B,2,FALSE)</f>
        <v>207487.35</v>
      </c>
      <c r="F465" s="4">
        <f t="shared" si="15"/>
        <v>2.6035000017145649E-2</v>
      </c>
    </row>
    <row r="466" spans="1:6" x14ac:dyDescent="0.25">
      <c r="A466" t="s">
        <v>321</v>
      </c>
      <c r="B466">
        <v>50058.124197999998</v>
      </c>
      <c r="D466" s="4">
        <f t="shared" si="14"/>
        <v>50058.124197999998</v>
      </c>
      <c r="E466" s="4">
        <f>+VLOOKUP(A466,Sheet3!A:B,2,FALSE)</f>
        <v>50058.15</v>
      </c>
      <c r="F466" s="4">
        <f t="shared" si="15"/>
        <v>2.5802000003750436E-2</v>
      </c>
    </row>
    <row r="467" spans="1:6" x14ac:dyDescent="0.25">
      <c r="A467" t="s">
        <v>794</v>
      </c>
      <c r="B467">
        <v>6097.4142920000004</v>
      </c>
      <c r="D467" s="4">
        <f t="shared" si="14"/>
        <v>6097.4142920000004</v>
      </c>
      <c r="E467" s="4">
        <f>+VLOOKUP(A467,Sheet3!A:B,2,FALSE)</f>
        <v>6097.44</v>
      </c>
      <c r="F467" s="4">
        <f t="shared" si="15"/>
        <v>2.5707999999212916E-2</v>
      </c>
    </row>
    <row r="468" spans="1:6" x14ac:dyDescent="0.25">
      <c r="A468" t="s">
        <v>950</v>
      </c>
      <c r="B468">
        <v>6097.4142920000004</v>
      </c>
      <c r="D468" s="4">
        <f t="shared" si="14"/>
        <v>6097.4142920000004</v>
      </c>
      <c r="E468" s="4">
        <f>+VLOOKUP(A468,Sheet3!A:B,2,FALSE)</f>
        <v>6097.44</v>
      </c>
      <c r="F468" s="4">
        <f t="shared" si="15"/>
        <v>2.5707999999212916E-2</v>
      </c>
    </row>
    <row r="469" spans="1:6" x14ac:dyDescent="0.25">
      <c r="A469" t="s">
        <v>405</v>
      </c>
      <c r="B469">
        <v>6097.4142920000004</v>
      </c>
      <c r="D469" s="4">
        <f t="shared" si="14"/>
        <v>6097.4142920000004</v>
      </c>
      <c r="E469" s="4">
        <f>+VLOOKUP(A469,Sheet3!A:B,2,FALSE)</f>
        <v>6097.44</v>
      </c>
      <c r="F469" s="4">
        <f t="shared" si="15"/>
        <v>2.5707999999212916E-2</v>
      </c>
    </row>
    <row r="470" spans="1:6" x14ac:dyDescent="0.25">
      <c r="A470" t="s">
        <v>188</v>
      </c>
      <c r="B470">
        <v>5405.4243749999996</v>
      </c>
      <c r="D470" s="4">
        <f t="shared" si="14"/>
        <v>5405.4243749999996</v>
      </c>
      <c r="E470" s="4">
        <f>+VLOOKUP(A470,Sheet3!A:B,2,FALSE)</f>
        <v>5405.45</v>
      </c>
      <c r="F470" s="4">
        <f t="shared" si="15"/>
        <v>2.5625000000218279E-2</v>
      </c>
    </row>
    <row r="471" spans="1:6" x14ac:dyDescent="0.25">
      <c r="A471" t="s">
        <v>238</v>
      </c>
      <c r="B471">
        <v>37007.134618999997</v>
      </c>
      <c r="D471" s="4">
        <f t="shared" si="14"/>
        <v>37007.134618999997</v>
      </c>
      <c r="E471" s="4">
        <f>+VLOOKUP(A471,Sheet3!A:B,2,FALSE)</f>
        <v>37007.160000000003</v>
      </c>
      <c r="F471" s="4">
        <f t="shared" si="15"/>
        <v>2.5381000006746035E-2</v>
      </c>
    </row>
    <row r="472" spans="1:6" x14ac:dyDescent="0.25">
      <c r="A472" t="s">
        <v>861</v>
      </c>
      <c r="B472">
        <v>33835.604694000001</v>
      </c>
      <c r="D472" s="4">
        <f t="shared" si="14"/>
        <v>33835.604694000001</v>
      </c>
      <c r="E472" s="4">
        <f>+VLOOKUP(A472,Sheet3!A:B,2,FALSE)</f>
        <v>33835.629999999997</v>
      </c>
      <c r="F472" s="4">
        <f t="shared" si="15"/>
        <v>2.5305999995907769E-2</v>
      </c>
    </row>
    <row r="473" spans="1:6" x14ac:dyDescent="0.25">
      <c r="A473" t="s">
        <v>769</v>
      </c>
      <c r="B473">
        <v>40364.154777000003</v>
      </c>
      <c r="D473" s="4">
        <f t="shared" si="14"/>
        <v>40364.154777000003</v>
      </c>
      <c r="E473" s="4">
        <f>+VLOOKUP(A473,Sheet3!A:B,2,FALSE)</f>
        <v>40364.18</v>
      </c>
      <c r="F473" s="4">
        <f t="shared" si="15"/>
        <v>2.5222999996913131E-2</v>
      </c>
    </row>
    <row r="474" spans="1:6" x14ac:dyDescent="0.25">
      <c r="A474" t="s">
        <v>218</v>
      </c>
      <c r="B474">
        <v>8327.2350189999997</v>
      </c>
      <c r="D474" s="4">
        <f t="shared" si="14"/>
        <v>8327.2350189999997</v>
      </c>
      <c r="E474" s="4">
        <f>+VLOOKUP(A474,Sheet3!A:B,2,FALSE)</f>
        <v>8327.26</v>
      </c>
      <c r="F474" s="4">
        <f t="shared" si="15"/>
        <v>2.498100000047998E-2</v>
      </c>
    </row>
    <row r="475" spans="1:6" x14ac:dyDescent="0.25">
      <c r="A475" t="s">
        <v>170</v>
      </c>
      <c r="B475">
        <v>16255.245086000001</v>
      </c>
      <c r="D475" s="4">
        <f t="shared" si="14"/>
        <v>16255.245086000001</v>
      </c>
      <c r="E475" s="4">
        <f>+VLOOKUP(A475,Sheet3!A:B,2,FALSE)</f>
        <v>16255.27</v>
      </c>
      <c r="F475" s="4">
        <f t="shared" si="15"/>
        <v>2.4913999999625958E-2</v>
      </c>
    </row>
    <row r="476" spans="1:6" x14ac:dyDescent="0.25">
      <c r="A476" t="s">
        <v>565</v>
      </c>
      <c r="B476">
        <v>14542.855202999999</v>
      </c>
      <c r="D476" s="4">
        <f t="shared" si="14"/>
        <v>14542.855202999999</v>
      </c>
      <c r="E476" s="4">
        <f>+VLOOKUP(A476,Sheet3!A:B,2,FALSE)</f>
        <v>14542.88</v>
      </c>
      <c r="F476" s="4">
        <f t="shared" si="15"/>
        <v>2.4797000000035041E-2</v>
      </c>
    </row>
    <row r="477" spans="1:6" x14ac:dyDescent="0.25">
      <c r="A477" t="s">
        <v>374</v>
      </c>
      <c r="B477">
        <v>101591.61543799999</v>
      </c>
      <c r="D477" s="4">
        <f t="shared" si="14"/>
        <v>101591.61543799999</v>
      </c>
      <c r="E477" s="4">
        <f>+VLOOKUP(A477,Sheet3!A:B,2,FALSE)</f>
        <v>101591.64</v>
      </c>
      <c r="F477" s="4">
        <f t="shared" si="15"/>
        <v>2.456200000597164E-2</v>
      </c>
    </row>
    <row r="478" spans="1:6" x14ac:dyDescent="0.25">
      <c r="A478" t="s">
        <v>736</v>
      </c>
      <c r="B478">
        <v>9558.9254700000001</v>
      </c>
      <c r="D478" s="4">
        <f t="shared" si="14"/>
        <v>9558.9254700000001</v>
      </c>
      <c r="E478" s="4">
        <f>+VLOOKUP(A478,Sheet3!A:B,2,FALSE)</f>
        <v>9558.9500000000007</v>
      </c>
      <c r="F478" s="4">
        <f t="shared" si="15"/>
        <v>2.4530000000595464E-2</v>
      </c>
    </row>
    <row r="479" spans="1:6" x14ac:dyDescent="0.25">
      <c r="A479" t="s">
        <v>849</v>
      </c>
      <c r="B479">
        <v>14305.085512</v>
      </c>
      <c r="D479" s="4">
        <f t="shared" si="14"/>
        <v>14305.085512</v>
      </c>
      <c r="E479" s="4">
        <f>+VLOOKUP(A479,Sheet3!A:B,2,FALSE)</f>
        <v>14305.11</v>
      </c>
      <c r="F479" s="4">
        <f t="shared" si="15"/>
        <v>2.4488000000928878E-2</v>
      </c>
    </row>
    <row r="480" spans="1:6" x14ac:dyDescent="0.25">
      <c r="A480" t="s">
        <v>528</v>
      </c>
      <c r="B480">
        <v>37826.835783000002</v>
      </c>
      <c r="D480" s="4">
        <f t="shared" si="14"/>
        <v>37826.835783000002</v>
      </c>
      <c r="E480" s="4">
        <f>+VLOOKUP(A480,Sheet3!A:B,2,FALSE)</f>
        <v>37826.86</v>
      </c>
      <c r="F480" s="4">
        <f t="shared" si="15"/>
        <v>2.4216999998316169E-2</v>
      </c>
    </row>
    <row r="481" spans="1:6" x14ac:dyDescent="0.25">
      <c r="A481" t="s">
        <v>228</v>
      </c>
      <c r="B481">
        <v>37517.775922000001</v>
      </c>
      <c r="D481" s="4">
        <f t="shared" si="14"/>
        <v>37517.775922000001</v>
      </c>
      <c r="E481" s="4">
        <f>+VLOOKUP(A481,Sheet3!A:B,2,FALSE)</f>
        <v>37517.800000000003</v>
      </c>
      <c r="F481" s="4">
        <f t="shared" si="15"/>
        <v>2.4078000002191402E-2</v>
      </c>
    </row>
    <row r="482" spans="1:6" x14ac:dyDescent="0.25">
      <c r="A482" t="s">
        <v>229</v>
      </c>
      <c r="B482">
        <v>38631.396271999998</v>
      </c>
      <c r="D482" s="4">
        <f t="shared" si="14"/>
        <v>38631.396271999998</v>
      </c>
      <c r="E482" s="4">
        <f>+VLOOKUP(A482,Sheet3!A:B,2,FALSE)</f>
        <v>38631.42</v>
      </c>
      <c r="F482" s="4">
        <f t="shared" si="15"/>
        <v>2.3728000000119209E-2</v>
      </c>
    </row>
    <row r="483" spans="1:6" x14ac:dyDescent="0.25">
      <c r="A483" t="s">
        <v>59</v>
      </c>
      <c r="B483">
        <v>38631.396271999998</v>
      </c>
      <c r="D483" s="4">
        <f t="shared" si="14"/>
        <v>38631.396271999998</v>
      </c>
      <c r="E483" s="4">
        <f>+VLOOKUP(A483,Sheet3!A:B,2,FALSE)</f>
        <v>38631.42</v>
      </c>
      <c r="F483" s="4">
        <f t="shared" si="15"/>
        <v>2.3728000000119209E-2</v>
      </c>
    </row>
    <row r="484" spans="1:6" x14ac:dyDescent="0.25">
      <c r="A484" t="s">
        <v>830</v>
      </c>
      <c r="B484">
        <v>38631.396271999998</v>
      </c>
      <c r="D484" s="4">
        <f t="shared" si="14"/>
        <v>38631.396271999998</v>
      </c>
      <c r="E484" s="4">
        <f>+VLOOKUP(A484,Sheet3!A:B,2,FALSE)</f>
        <v>38631.42</v>
      </c>
      <c r="F484" s="4">
        <f t="shared" si="15"/>
        <v>2.3728000000119209E-2</v>
      </c>
    </row>
    <row r="485" spans="1:6" x14ac:dyDescent="0.25">
      <c r="A485" t="s">
        <v>420</v>
      </c>
      <c r="B485">
        <v>38631.396271999998</v>
      </c>
      <c r="D485" s="4">
        <f t="shared" si="14"/>
        <v>38631.396271999998</v>
      </c>
      <c r="E485" s="4">
        <f>+VLOOKUP(A485,Sheet3!A:B,2,FALSE)</f>
        <v>38631.42</v>
      </c>
      <c r="F485" s="4">
        <f t="shared" si="15"/>
        <v>2.3728000000119209E-2</v>
      </c>
    </row>
    <row r="486" spans="1:6" x14ac:dyDescent="0.25">
      <c r="A486" t="s">
        <v>926</v>
      </c>
      <c r="B486">
        <v>38631.396271999998</v>
      </c>
      <c r="D486" s="4">
        <f t="shared" si="14"/>
        <v>38631.396271999998</v>
      </c>
      <c r="E486" s="4">
        <f>+VLOOKUP(A486,Sheet3!A:B,2,FALSE)</f>
        <v>38631.42</v>
      </c>
      <c r="F486" s="4">
        <f t="shared" si="15"/>
        <v>2.3728000000119209E-2</v>
      </c>
    </row>
    <row r="487" spans="1:6" x14ac:dyDescent="0.25">
      <c r="A487" t="s">
        <v>587</v>
      </c>
      <c r="B487">
        <v>15038.016355</v>
      </c>
      <c r="D487" s="4">
        <f t="shared" si="14"/>
        <v>15038.016355</v>
      </c>
      <c r="E487" s="4">
        <f>+VLOOKUP(A487,Sheet3!A:B,2,FALSE)</f>
        <v>15038.04</v>
      </c>
      <c r="F487" s="4">
        <f t="shared" si="15"/>
        <v>2.3645000001124572E-2</v>
      </c>
    </row>
    <row r="488" spans="1:6" x14ac:dyDescent="0.25">
      <c r="A488" t="s">
        <v>716</v>
      </c>
      <c r="B488">
        <v>44087.606408</v>
      </c>
      <c r="D488" s="4">
        <f t="shared" si="14"/>
        <v>44087.606408</v>
      </c>
      <c r="E488" s="4">
        <f>+VLOOKUP(A488,Sheet3!A:B,2,FALSE)</f>
        <v>44087.63</v>
      </c>
      <c r="F488" s="4">
        <f t="shared" si="15"/>
        <v>2.3591999997734092E-2</v>
      </c>
    </row>
    <row r="489" spans="1:6" x14ac:dyDescent="0.25">
      <c r="A489" t="s">
        <v>241</v>
      </c>
      <c r="B489">
        <v>30944.686458</v>
      </c>
      <c r="D489" s="4">
        <f t="shared" si="14"/>
        <v>30944.686458</v>
      </c>
      <c r="E489" s="4">
        <f>+VLOOKUP(A489,Sheet3!A:B,2,FALSE)</f>
        <v>30944.71</v>
      </c>
      <c r="F489" s="4">
        <f t="shared" si="15"/>
        <v>2.3541999998997198E-2</v>
      </c>
    </row>
    <row r="490" spans="1:6" x14ac:dyDescent="0.25">
      <c r="A490" t="s">
        <v>365</v>
      </c>
      <c r="B490">
        <v>45018.316551000004</v>
      </c>
      <c r="D490" s="4">
        <f t="shared" si="14"/>
        <v>45018.316551000004</v>
      </c>
      <c r="E490" s="4">
        <f>+VLOOKUP(A490,Sheet3!A:B,2,FALSE)</f>
        <v>45018.34</v>
      </c>
      <c r="F490" s="4">
        <f t="shared" si="15"/>
        <v>2.3448999992979225E-2</v>
      </c>
    </row>
    <row r="491" spans="1:6" x14ac:dyDescent="0.25">
      <c r="A491" t="s">
        <v>729</v>
      </c>
      <c r="B491">
        <v>45018.316551000004</v>
      </c>
      <c r="D491" s="4">
        <f t="shared" si="14"/>
        <v>45018.316551000004</v>
      </c>
      <c r="E491" s="4">
        <f>+VLOOKUP(A491,Sheet3!A:B,2,FALSE)</f>
        <v>45018.34</v>
      </c>
      <c r="F491" s="4">
        <f t="shared" si="15"/>
        <v>2.3448999992979225E-2</v>
      </c>
    </row>
    <row r="492" spans="1:6" x14ac:dyDescent="0.25">
      <c r="A492" t="s">
        <v>265</v>
      </c>
      <c r="B492">
        <v>7040.956666</v>
      </c>
      <c r="D492" s="4">
        <f t="shared" si="14"/>
        <v>7040.956666</v>
      </c>
      <c r="E492" s="4">
        <f>+VLOOKUP(A492,Sheet3!A:B,2,FALSE)</f>
        <v>7040.98</v>
      </c>
      <c r="F492" s="4">
        <f t="shared" si="15"/>
        <v>2.3333999999522348E-2</v>
      </c>
    </row>
    <row r="493" spans="1:6" x14ac:dyDescent="0.25">
      <c r="A493" t="s">
        <v>813</v>
      </c>
      <c r="B493">
        <v>53235.696812000002</v>
      </c>
      <c r="D493" s="4">
        <f t="shared" si="14"/>
        <v>53235.696812000002</v>
      </c>
      <c r="E493" s="4">
        <f>+VLOOKUP(A493,Sheet3!A:B,2,FALSE)</f>
        <v>53235.72</v>
      </c>
      <c r="F493" s="4">
        <f t="shared" si="15"/>
        <v>2.3187999999208841E-2</v>
      </c>
    </row>
    <row r="494" spans="1:6" x14ac:dyDescent="0.25">
      <c r="A494" t="s">
        <v>944</v>
      </c>
      <c r="B494">
        <v>25864.616838000002</v>
      </c>
      <c r="D494" s="4">
        <f t="shared" si="14"/>
        <v>25864.616838000002</v>
      </c>
      <c r="E494" s="4">
        <f>+VLOOKUP(A494,Sheet3!A:B,2,FALSE)</f>
        <v>25864.639999999999</v>
      </c>
      <c r="F494" s="4">
        <f t="shared" si="15"/>
        <v>2.3161999997682869E-2</v>
      </c>
    </row>
    <row r="495" spans="1:6" x14ac:dyDescent="0.25">
      <c r="A495" t="s">
        <v>649</v>
      </c>
      <c r="B495">
        <v>2215.4269020000002</v>
      </c>
      <c r="D495" s="4">
        <f t="shared" si="14"/>
        <v>2215.4269020000002</v>
      </c>
      <c r="E495" s="4">
        <f>+VLOOKUP(A495,Sheet3!A:B,2,FALSE)</f>
        <v>2215.4499999999998</v>
      </c>
      <c r="F495" s="4">
        <f t="shared" si="15"/>
        <v>2.3097999999663443E-2</v>
      </c>
    </row>
    <row r="496" spans="1:6" x14ac:dyDescent="0.25">
      <c r="A496" t="s">
        <v>887</v>
      </c>
      <c r="B496">
        <v>2215.4269020000002</v>
      </c>
      <c r="D496" s="4">
        <f t="shared" si="14"/>
        <v>2215.4269020000002</v>
      </c>
      <c r="E496" s="4">
        <f>+VLOOKUP(A496,Sheet3!A:B,2,FALSE)</f>
        <v>2215.4499999999998</v>
      </c>
      <c r="F496" s="4">
        <f t="shared" si="15"/>
        <v>2.3097999999663443E-2</v>
      </c>
    </row>
    <row r="497" spans="1:6" x14ac:dyDescent="0.25">
      <c r="A497" t="s">
        <v>359</v>
      </c>
      <c r="B497">
        <v>2215.4269020000002</v>
      </c>
      <c r="D497" s="4">
        <f t="shared" si="14"/>
        <v>2215.4269020000002</v>
      </c>
      <c r="E497" s="4">
        <f>+VLOOKUP(A497,Sheet3!A:B,2,FALSE)</f>
        <v>2215.4499999999998</v>
      </c>
      <c r="F497" s="4">
        <f t="shared" si="15"/>
        <v>2.3097999999663443E-2</v>
      </c>
    </row>
    <row r="498" spans="1:6" x14ac:dyDescent="0.25">
      <c r="A498" t="s">
        <v>643</v>
      </c>
      <c r="B498">
        <v>25288.116997000001</v>
      </c>
      <c r="D498" s="4">
        <f t="shared" si="14"/>
        <v>25288.116997000001</v>
      </c>
      <c r="E498" s="4">
        <f>+VLOOKUP(A498,Sheet3!A:B,2,FALSE)</f>
        <v>25288.14</v>
      </c>
      <c r="F498" s="4">
        <f t="shared" si="15"/>
        <v>2.3002999998425366E-2</v>
      </c>
    </row>
    <row r="499" spans="1:6" x14ac:dyDescent="0.25">
      <c r="A499" t="s">
        <v>360</v>
      </c>
      <c r="B499">
        <v>10728.627420999999</v>
      </c>
      <c r="D499" s="4">
        <f t="shared" si="14"/>
        <v>10728.627420999999</v>
      </c>
      <c r="E499" s="4">
        <f>+VLOOKUP(A499,Sheet3!A:B,2,FALSE)</f>
        <v>10728.65</v>
      </c>
      <c r="F499" s="4">
        <f t="shared" si="15"/>
        <v>2.2579000000405358E-2</v>
      </c>
    </row>
    <row r="500" spans="1:6" x14ac:dyDescent="0.25">
      <c r="A500" t="s">
        <v>838</v>
      </c>
      <c r="B500">
        <v>36336.667544000004</v>
      </c>
      <c r="D500" s="4">
        <f t="shared" si="14"/>
        <v>36336.667544000004</v>
      </c>
      <c r="E500" s="4">
        <f>+VLOOKUP(A500,Sheet3!A:B,2,FALSE)</f>
        <v>36336.69</v>
      </c>
      <c r="F500" s="4">
        <f t="shared" si="15"/>
        <v>2.2455999998783227E-2</v>
      </c>
    </row>
    <row r="501" spans="1:6" x14ac:dyDescent="0.25">
      <c r="A501" t="s">
        <v>106</v>
      </c>
      <c r="B501">
        <v>46259.987626000002</v>
      </c>
      <c r="D501" s="4">
        <f t="shared" si="14"/>
        <v>46259.987626000002</v>
      </c>
      <c r="E501" s="4">
        <f>+VLOOKUP(A501,Sheet3!A:B,2,FALSE)</f>
        <v>46260.01</v>
      </c>
      <c r="F501" s="4">
        <f t="shared" si="15"/>
        <v>2.2374000000127126E-2</v>
      </c>
    </row>
    <row r="502" spans="1:6" x14ac:dyDescent="0.25">
      <c r="A502" t="s">
        <v>483</v>
      </c>
      <c r="B502">
        <v>22338.197658000001</v>
      </c>
      <c r="D502" s="4">
        <f t="shared" si="14"/>
        <v>22338.197658000001</v>
      </c>
      <c r="E502" s="4">
        <f>+VLOOKUP(A502,Sheet3!A:B,2,FALSE)</f>
        <v>22338.22</v>
      </c>
      <c r="F502" s="4">
        <f t="shared" si="15"/>
        <v>2.2342000000207918E-2</v>
      </c>
    </row>
    <row r="503" spans="1:6" x14ac:dyDescent="0.25">
      <c r="A503" t="s">
        <v>896</v>
      </c>
      <c r="B503">
        <v>45566.707696999998</v>
      </c>
      <c r="D503" s="4">
        <f t="shared" si="14"/>
        <v>45566.707696999998</v>
      </c>
      <c r="E503" s="4">
        <f>+VLOOKUP(A503,Sheet3!A:B,2,FALSE)</f>
        <v>45566.73</v>
      </c>
      <c r="F503" s="4">
        <f t="shared" si="15"/>
        <v>2.2303000005194917E-2</v>
      </c>
    </row>
    <row r="504" spans="1:6" x14ac:dyDescent="0.25">
      <c r="A504" t="s">
        <v>949</v>
      </c>
      <c r="B504">
        <v>7418.0477170000004</v>
      </c>
      <c r="D504" s="4">
        <f t="shared" si="14"/>
        <v>7418.0477170000004</v>
      </c>
      <c r="E504" s="4">
        <f>+VLOOKUP(A504,Sheet3!A:B,2,FALSE)</f>
        <v>7418.07</v>
      </c>
      <c r="F504" s="4">
        <f t="shared" si="15"/>
        <v>2.2282999999333697E-2</v>
      </c>
    </row>
    <row r="505" spans="1:6" x14ac:dyDescent="0.25">
      <c r="A505" t="s">
        <v>284</v>
      </c>
      <c r="B505">
        <v>7859.3678170000003</v>
      </c>
      <c r="D505" s="4">
        <f t="shared" si="14"/>
        <v>7859.3678170000003</v>
      </c>
      <c r="E505" s="4">
        <f>+VLOOKUP(A505,Sheet3!A:B,2,FALSE)</f>
        <v>7859.39</v>
      </c>
      <c r="F505" s="4">
        <f t="shared" si="15"/>
        <v>2.218300000004092E-2</v>
      </c>
    </row>
    <row r="506" spans="1:6" x14ac:dyDescent="0.25">
      <c r="A506" t="s">
        <v>252</v>
      </c>
      <c r="B506">
        <v>7859.3678170000003</v>
      </c>
      <c r="D506" s="4">
        <f t="shared" si="14"/>
        <v>7859.3678170000003</v>
      </c>
      <c r="E506" s="4">
        <f>+VLOOKUP(A506,Sheet3!A:B,2,FALSE)</f>
        <v>7859.39</v>
      </c>
      <c r="F506" s="4">
        <f t="shared" si="15"/>
        <v>2.218300000004092E-2</v>
      </c>
    </row>
    <row r="507" spans="1:6" x14ac:dyDescent="0.25">
      <c r="A507" t="s">
        <v>715</v>
      </c>
      <c r="B507">
        <v>7859.3678170000003</v>
      </c>
      <c r="D507" s="4">
        <f t="shared" si="14"/>
        <v>7859.3678170000003</v>
      </c>
      <c r="E507" s="4">
        <f>+VLOOKUP(A507,Sheet3!A:B,2,FALSE)</f>
        <v>7859.39</v>
      </c>
      <c r="F507" s="4">
        <f t="shared" si="15"/>
        <v>2.218300000004092E-2</v>
      </c>
    </row>
    <row r="508" spans="1:6" x14ac:dyDescent="0.25">
      <c r="A508" t="s">
        <v>328</v>
      </c>
      <c r="B508">
        <v>7859.3678170000003</v>
      </c>
      <c r="D508" s="4">
        <f t="shared" si="14"/>
        <v>7859.3678170000003</v>
      </c>
      <c r="E508" s="4">
        <f>+VLOOKUP(A508,Sheet3!A:B,2,FALSE)</f>
        <v>7859.39</v>
      </c>
      <c r="F508" s="4">
        <f t="shared" si="15"/>
        <v>2.218300000004092E-2</v>
      </c>
    </row>
    <row r="509" spans="1:6" x14ac:dyDescent="0.25">
      <c r="A509" t="s">
        <v>108</v>
      </c>
      <c r="B509">
        <v>7859.3678170000003</v>
      </c>
      <c r="D509" s="4">
        <f t="shared" si="14"/>
        <v>7859.3678170000003</v>
      </c>
      <c r="E509" s="4">
        <f>+VLOOKUP(A509,Sheet3!A:B,2,FALSE)</f>
        <v>7859.39</v>
      </c>
      <c r="F509" s="4">
        <f t="shared" si="15"/>
        <v>2.218300000004092E-2</v>
      </c>
    </row>
    <row r="510" spans="1:6" x14ac:dyDescent="0.25">
      <c r="A510" t="s">
        <v>78</v>
      </c>
      <c r="B510">
        <v>7859.3678170000003</v>
      </c>
      <c r="D510" s="4">
        <f t="shared" si="14"/>
        <v>7859.3678170000003</v>
      </c>
      <c r="E510" s="4">
        <f>+VLOOKUP(A510,Sheet3!A:B,2,FALSE)</f>
        <v>7859.39</v>
      </c>
      <c r="F510" s="4">
        <f t="shared" si="15"/>
        <v>2.218300000004092E-2</v>
      </c>
    </row>
    <row r="511" spans="1:6" x14ac:dyDescent="0.25">
      <c r="A511" t="s">
        <v>155</v>
      </c>
      <c r="B511">
        <v>7859.3678170000003</v>
      </c>
      <c r="D511" s="4">
        <f t="shared" si="14"/>
        <v>7859.3678170000003</v>
      </c>
      <c r="E511" s="4">
        <f>+VLOOKUP(A511,Sheet3!A:B,2,FALSE)</f>
        <v>7859.39</v>
      </c>
      <c r="F511" s="4">
        <f t="shared" si="15"/>
        <v>2.218300000004092E-2</v>
      </c>
    </row>
    <row r="512" spans="1:6" x14ac:dyDescent="0.25">
      <c r="A512" t="s">
        <v>490</v>
      </c>
      <c r="B512">
        <v>46297.397991999998</v>
      </c>
      <c r="D512" s="4">
        <f t="shared" si="14"/>
        <v>46297.397991999998</v>
      </c>
      <c r="E512" s="4">
        <f>+VLOOKUP(A512,Sheet3!A:B,2,FALSE)</f>
        <v>46297.42</v>
      </c>
      <c r="F512" s="4">
        <f t="shared" si="15"/>
        <v>2.2007999999914318E-2</v>
      </c>
    </row>
    <row r="513" spans="1:6" x14ac:dyDescent="0.25">
      <c r="A513" t="s">
        <v>456</v>
      </c>
      <c r="B513">
        <v>32971.228357</v>
      </c>
      <c r="D513" s="4">
        <f t="shared" si="14"/>
        <v>32971.228357</v>
      </c>
      <c r="E513" s="4">
        <f>+VLOOKUP(A513,Sheet3!A:B,2,FALSE)</f>
        <v>32971.25</v>
      </c>
      <c r="F513" s="4">
        <f t="shared" si="15"/>
        <v>2.1643000000040047E-2</v>
      </c>
    </row>
    <row r="514" spans="1:6" x14ac:dyDescent="0.25">
      <c r="A514" t="s">
        <v>115</v>
      </c>
      <c r="B514">
        <v>2207.958408</v>
      </c>
      <c r="D514" s="4">
        <f t="shared" ref="D514:D577" si="16">+B514+C514</f>
        <v>2207.958408</v>
      </c>
      <c r="E514" s="4">
        <f>+VLOOKUP(A514,Sheet3!A:B,2,FALSE)</f>
        <v>2207.98</v>
      </c>
      <c r="F514" s="4">
        <f t="shared" ref="F514:F577" si="17">+ABS(E514-D514)</f>
        <v>2.1592000000055123E-2</v>
      </c>
    </row>
    <row r="515" spans="1:6" x14ac:dyDescent="0.25">
      <c r="A515" t="s">
        <v>635</v>
      </c>
      <c r="B515">
        <v>2207.958408</v>
      </c>
      <c r="D515" s="4">
        <f t="shared" si="16"/>
        <v>2207.958408</v>
      </c>
      <c r="E515" s="4">
        <f>+VLOOKUP(A515,Sheet3!A:B,2,FALSE)</f>
        <v>2207.98</v>
      </c>
      <c r="F515" s="4">
        <f t="shared" si="17"/>
        <v>2.1592000000055123E-2</v>
      </c>
    </row>
    <row r="516" spans="1:6" x14ac:dyDescent="0.25">
      <c r="A516" t="s">
        <v>632</v>
      </c>
      <c r="B516">
        <v>37040.878632</v>
      </c>
      <c r="D516" s="4">
        <f t="shared" si="16"/>
        <v>37040.878632</v>
      </c>
      <c r="E516" s="4">
        <f>+VLOOKUP(A516,Sheet3!A:B,2,FALSE)</f>
        <v>37040.9</v>
      </c>
      <c r="F516" s="4">
        <f t="shared" si="17"/>
        <v>2.1368000001530163E-2</v>
      </c>
    </row>
    <row r="517" spans="1:6" x14ac:dyDescent="0.25">
      <c r="A517" t="s">
        <v>567</v>
      </c>
      <c r="B517">
        <v>16912.268871</v>
      </c>
      <c r="D517" s="4">
        <f t="shared" si="16"/>
        <v>16912.268871</v>
      </c>
      <c r="E517" s="4">
        <f>+VLOOKUP(A517,Sheet3!A:B,2,FALSE)</f>
        <v>16912.29</v>
      </c>
      <c r="F517" s="4">
        <f t="shared" si="17"/>
        <v>2.1129000000655651E-2</v>
      </c>
    </row>
    <row r="518" spans="1:6" x14ac:dyDescent="0.25">
      <c r="A518" t="s">
        <v>173</v>
      </c>
      <c r="B518">
        <v>17511.988939999999</v>
      </c>
      <c r="D518" s="4">
        <f t="shared" si="16"/>
        <v>17511.988939999999</v>
      </c>
      <c r="E518" s="4">
        <f>+VLOOKUP(A518,Sheet3!A:B,2,FALSE)</f>
        <v>17512.009999999998</v>
      </c>
      <c r="F518" s="4">
        <f t="shared" si="17"/>
        <v>2.1059999999124557E-2</v>
      </c>
    </row>
    <row r="519" spans="1:6" x14ac:dyDescent="0.25">
      <c r="A519" t="s">
        <v>157</v>
      </c>
      <c r="B519">
        <v>17511.988939999999</v>
      </c>
      <c r="D519" s="4">
        <f t="shared" si="16"/>
        <v>17511.988939999999</v>
      </c>
      <c r="E519" s="4">
        <f>+VLOOKUP(A519,Sheet3!A:B,2,FALSE)</f>
        <v>17512.009999999998</v>
      </c>
      <c r="F519" s="4">
        <f t="shared" si="17"/>
        <v>2.1059999999124557E-2</v>
      </c>
    </row>
    <row r="520" spans="1:6" x14ac:dyDescent="0.25">
      <c r="A520" t="s">
        <v>285</v>
      </c>
      <c r="B520">
        <v>17511.988939999999</v>
      </c>
      <c r="D520" s="4">
        <f t="shared" si="16"/>
        <v>17511.988939999999</v>
      </c>
      <c r="E520" s="4">
        <f>+VLOOKUP(A520,Sheet3!A:B,2,FALSE)</f>
        <v>17512.009999999998</v>
      </c>
      <c r="F520" s="4">
        <f t="shared" si="17"/>
        <v>2.1059999999124557E-2</v>
      </c>
    </row>
    <row r="521" spans="1:6" x14ac:dyDescent="0.25">
      <c r="A521" t="s">
        <v>435</v>
      </c>
      <c r="B521">
        <v>17511.988939999999</v>
      </c>
      <c r="D521" s="4">
        <f t="shared" si="16"/>
        <v>17511.988939999999</v>
      </c>
      <c r="E521" s="4">
        <f>+VLOOKUP(A521,Sheet3!A:B,2,FALSE)</f>
        <v>17512.009999999998</v>
      </c>
      <c r="F521" s="4">
        <f t="shared" si="17"/>
        <v>2.1059999999124557E-2</v>
      </c>
    </row>
    <row r="522" spans="1:6" x14ac:dyDescent="0.25">
      <c r="A522" t="s">
        <v>244</v>
      </c>
      <c r="B522">
        <v>17511.988939999999</v>
      </c>
      <c r="D522" s="4">
        <f t="shared" si="16"/>
        <v>17511.988939999999</v>
      </c>
      <c r="E522" s="4">
        <f>+VLOOKUP(A522,Sheet3!A:B,2,FALSE)</f>
        <v>17512.009999999998</v>
      </c>
      <c r="F522" s="4">
        <f t="shared" si="17"/>
        <v>2.1059999999124557E-2</v>
      </c>
    </row>
    <row r="523" spans="1:6" x14ac:dyDescent="0.25">
      <c r="A523" t="s">
        <v>611</v>
      </c>
      <c r="B523">
        <v>22803.349043999999</v>
      </c>
      <c r="D523" s="4">
        <f t="shared" si="16"/>
        <v>22803.349043999999</v>
      </c>
      <c r="E523" s="4">
        <f>+VLOOKUP(A523,Sheet3!A:B,2,FALSE)</f>
        <v>22803.37</v>
      </c>
      <c r="F523" s="4">
        <f t="shared" si="17"/>
        <v>2.0956000000296626E-2</v>
      </c>
    </row>
    <row r="524" spans="1:6" x14ac:dyDescent="0.25">
      <c r="A524" t="s">
        <v>437</v>
      </c>
      <c r="B524">
        <v>41717.989052999998</v>
      </c>
      <c r="D524" s="4">
        <f t="shared" si="16"/>
        <v>41717.989052999998</v>
      </c>
      <c r="E524" s="4">
        <f>+VLOOKUP(A524,Sheet3!A:B,2,FALSE)</f>
        <v>41718.01</v>
      </c>
      <c r="F524" s="4">
        <f t="shared" si="17"/>
        <v>2.0947000004525762E-2</v>
      </c>
    </row>
    <row r="525" spans="1:6" x14ac:dyDescent="0.25">
      <c r="A525" t="s">
        <v>150</v>
      </c>
      <c r="B525">
        <v>42099.629095999997</v>
      </c>
      <c r="D525" s="4">
        <f t="shared" si="16"/>
        <v>42099.629095999997</v>
      </c>
      <c r="E525" s="4">
        <f>+VLOOKUP(A525,Sheet3!A:B,2,FALSE)</f>
        <v>42099.65</v>
      </c>
      <c r="F525" s="4">
        <f t="shared" si="17"/>
        <v>2.090400000452064E-2</v>
      </c>
    </row>
    <row r="526" spans="1:6" x14ac:dyDescent="0.25">
      <c r="A526" t="s">
        <v>942</v>
      </c>
      <c r="B526">
        <v>14788.229178</v>
      </c>
      <c r="D526" s="4">
        <f t="shared" si="16"/>
        <v>14788.229178</v>
      </c>
      <c r="E526" s="4">
        <f>+VLOOKUP(A526,Sheet3!A:B,2,FALSE)</f>
        <v>14788.25</v>
      </c>
      <c r="F526" s="4">
        <f t="shared" si="17"/>
        <v>2.082200000040757E-2</v>
      </c>
    </row>
    <row r="527" spans="1:6" x14ac:dyDescent="0.25">
      <c r="A527" t="s">
        <v>710</v>
      </c>
      <c r="B527">
        <v>32678.599182999998</v>
      </c>
      <c r="D527" s="4">
        <f t="shared" si="16"/>
        <v>32678.599182999998</v>
      </c>
      <c r="E527" s="4">
        <f>+VLOOKUP(A527,Sheet3!A:B,2,FALSE)</f>
        <v>32678.62</v>
      </c>
      <c r="F527" s="4">
        <f t="shared" si="17"/>
        <v>2.0817000000533881E-2</v>
      </c>
    </row>
    <row r="528" spans="1:6" x14ac:dyDescent="0.25">
      <c r="A528" t="s">
        <v>832</v>
      </c>
      <c r="B528">
        <v>41356.989211</v>
      </c>
      <c r="D528" s="4">
        <f t="shared" si="16"/>
        <v>41356.989211</v>
      </c>
      <c r="E528" s="4">
        <f>+VLOOKUP(A528,Sheet3!A:B,2,FALSE)</f>
        <v>41357.01</v>
      </c>
      <c r="F528" s="4">
        <f t="shared" si="17"/>
        <v>2.0789000001968816E-2</v>
      </c>
    </row>
    <row r="529" spans="1:6" x14ac:dyDescent="0.25">
      <c r="A529" t="s">
        <v>823</v>
      </c>
      <c r="B529">
        <v>26283.599352000001</v>
      </c>
      <c r="D529" s="4">
        <f t="shared" si="16"/>
        <v>26283.599352000001</v>
      </c>
      <c r="E529" s="4">
        <f>+VLOOKUP(A529,Sheet3!A:B,2,FALSE)</f>
        <v>26283.62</v>
      </c>
      <c r="F529" s="4">
        <f t="shared" si="17"/>
        <v>2.064799999789102E-2</v>
      </c>
    </row>
    <row r="530" spans="1:6" x14ac:dyDescent="0.25">
      <c r="A530" t="s">
        <v>300</v>
      </c>
      <c r="B530">
        <v>5171.049454</v>
      </c>
      <c r="D530" s="4">
        <f t="shared" si="16"/>
        <v>5171.049454</v>
      </c>
      <c r="E530" s="4">
        <f>+VLOOKUP(A530,Sheet3!A:B,2,FALSE)</f>
        <v>5171.07</v>
      </c>
      <c r="F530" s="4">
        <f t="shared" si="17"/>
        <v>2.0545999999740161E-2</v>
      </c>
    </row>
    <row r="531" spans="1:6" x14ac:dyDescent="0.25">
      <c r="A531" t="s">
        <v>618</v>
      </c>
      <c r="B531">
        <v>40250.769459000003</v>
      </c>
      <c r="D531" s="4">
        <f t="shared" si="16"/>
        <v>40250.769459000003</v>
      </c>
      <c r="E531" s="4">
        <f>+VLOOKUP(A531,Sheet3!A:B,2,FALSE)</f>
        <v>40250.79</v>
      </c>
      <c r="F531" s="4">
        <f t="shared" si="17"/>
        <v>2.0540999998047482E-2</v>
      </c>
    </row>
    <row r="532" spans="1:6" x14ac:dyDescent="0.25">
      <c r="A532" t="s">
        <v>839</v>
      </c>
      <c r="B532">
        <v>45434.379562000002</v>
      </c>
      <c r="D532" s="4">
        <f t="shared" si="16"/>
        <v>45434.379562000002</v>
      </c>
      <c r="E532" s="4">
        <f>+VLOOKUP(A532,Sheet3!A:B,2,FALSE)</f>
        <v>45434.400000000001</v>
      </c>
      <c r="F532" s="4">
        <f t="shared" si="17"/>
        <v>2.0437999999558087E-2</v>
      </c>
    </row>
    <row r="533" spans="1:6" x14ac:dyDescent="0.25">
      <c r="A533" t="s">
        <v>506</v>
      </c>
      <c r="B533">
        <v>3324.7698420000002</v>
      </c>
      <c r="D533" s="4">
        <f t="shared" si="16"/>
        <v>3324.7698420000002</v>
      </c>
      <c r="E533" s="4">
        <f>+VLOOKUP(A533,Sheet3!A:B,2,FALSE)</f>
        <v>3324.79</v>
      </c>
      <c r="F533" s="4">
        <f t="shared" si="17"/>
        <v>2.0157999999810272E-2</v>
      </c>
    </row>
    <row r="534" spans="1:6" x14ac:dyDescent="0.25">
      <c r="A534" t="s">
        <v>585</v>
      </c>
      <c r="B534">
        <v>16150.889856</v>
      </c>
      <c r="D534" s="4">
        <f t="shared" si="16"/>
        <v>16150.889856</v>
      </c>
      <c r="E534" s="4">
        <f>+VLOOKUP(A534,Sheet3!A:B,2,FALSE)</f>
        <v>16150.91</v>
      </c>
      <c r="F534" s="4">
        <f t="shared" si="17"/>
        <v>2.0144000000072992E-2</v>
      </c>
    </row>
    <row r="535" spans="1:6" x14ac:dyDescent="0.25">
      <c r="A535" t="s">
        <v>898</v>
      </c>
      <c r="B535">
        <v>35032.940072999998</v>
      </c>
      <c r="D535" s="4">
        <f t="shared" si="16"/>
        <v>35032.940072999998</v>
      </c>
      <c r="E535" s="4">
        <f>+VLOOKUP(A535,Sheet3!A:B,2,FALSE)</f>
        <v>35032.959999999999</v>
      </c>
      <c r="F535" s="4">
        <f t="shared" si="17"/>
        <v>1.9927000001189299E-2</v>
      </c>
    </row>
    <row r="536" spans="1:6" x14ac:dyDescent="0.25">
      <c r="A536" t="s">
        <v>311</v>
      </c>
      <c r="B536">
        <v>21419.980269</v>
      </c>
      <c r="D536" s="4">
        <f t="shared" si="16"/>
        <v>21419.980269</v>
      </c>
      <c r="E536" s="4">
        <f>+VLOOKUP(A536,Sheet3!A:B,2,FALSE)</f>
        <v>21420</v>
      </c>
      <c r="F536" s="4">
        <f t="shared" si="17"/>
        <v>1.9731000000319909E-2</v>
      </c>
    </row>
    <row r="537" spans="1:6" x14ac:dyDescent="0.25">
      <c r="A537" t="s">
        <v>911</v>
      </c>
      <c r="B537">
        <v>21419.980269</v>
      </c>
      <c r="D537" s="4">
        <f t="shared" si="16"/>
        <v>21419.980269</v>
      </c>
      <c r="E537" s="4">
        <f>+VLOOKUP(A537,Sheet3!A:B,2,FALSE)</f>
        <v>21420</v>
      </c>
      <c r="F537" s="4">
        <f t="shared" si="17"/>
        <v>1.9731000000319909E-2</v>
      </c>
    </row>
    <row r="538" spans="1:6" x14ac:dyDescent="0.25">
      <c r="A538" t="s">
        <v>269</v>
      </c>
      <c r="B538">
        <v>4416.1205019999998</v>
      </c>
      <c r="D538" s="4">
        <f t="shared" si="16"/>
        <v>4416.1205019999998</v>
      </c>
      <c r="E538" s="4">
        <f>+VLOOKUP(A538,Sheet3!A:B,2,FALSE)</f>
        <v>4416.1400000000003</v>
      </c>
      <c r="F538" s="4">
        <f t="shared" si="17"/>
        <v>1.9498000000567117E-2</v>
      </c>
    </row>
    <row r="539" spans="1:6" x14ac:dyDescent="0.25">
      <c r="A539" t="s">
        <v>362</v>
      </c>
      <c r="B539">
        <v>24109.520748999999</v>
      </c>
      <c r="D539" s="4">
        <f t="shared" si="16"/>
        <v>24109.520748999999</v>
      </c>
      <c r="E539" s="4">
        <f>+VLOOKUP(A539,Sheet3!A:B,2,FALSE)</f>
        <v>24109.54</v>
      </c>
      <c r="F539" s="4">
        <f t="shared" si="17"/>
        <v>1.9251000001531793E-2</v>
      </c>
    </row>
    <row r="540" spans="1:6" x14ac:dyDescent="0.25">
      <c r="A540" t="s">
        <v>698</v>
      </c>
      <c r="B540">
        <v>10320.1008</v>
      </c>
      <c r="D540" s="4">
        <f t="shared" si="16"/>
        <v>10320.1008</v>
      </c>
      <c r="E540" s="4">
        <f>+VLOOKUP(A540,Sheet3!A:B,2,FALSE)</f>
        <v>10320.120000000001</v>
      </c>
      <c r="F540" s="4">
        <f t="shared" si="17"/>
        <v>1.9200000000637374E-2</v>
      </c>
    </row>
    <row r="541" spans="1:6" x14ac:dyDescent="0.25">
      <c r="A541" t="s">
        <v>616</v>
      </c>
      <c r="B541">
        <v>38293.480866999998</v>
      </c>
      <c r="D541" s="4">
        <f t="shared" si="16"/>
        <v>38293.480866999998</v>
      </c>
      <c r="E541" s="4">
        <f>+VLOOKUP(A541,Sheet3!A:B,2,FALSE)</f>
        <v>38293.5</v>
      </c>
      <c r="F541" s="4">
        <f t="shared" si="17"/>
        <v>1.913300000160234E-2</v>
      </c>
    </row>
    <row r="542" spans="1:6" x14ac:dyDescent="0.25">
      <c r="A542" t="s">
        <v>604</v>
      </c>
      <c r="B542">
        <v>16325.041557</v>
      </c>
      <c r="D542" s="4">
        <f t="shared" si="16"/>
        <v>16325.041557</v>
      </c>
      <c r="E542" s="4">
        <f>+VLOOKUP(A542,Sheet3!A:B,2,FALSE)</f>
        <v>16325.06</v>
      </c>
      <c r="F542" s="4">
        <f t="shared" si="17"/>
        <v>1.8442999999024323E-2</v>
      </c>
    </row>
    <row r="543" spans="1:6" x14ac:dyDescent="0.25">
      <c r="A543" t="s">
        <v>406</v>
      </c>
      <c r="B543">
        <v>41951.141856000002</v>
      </c>
      <c r="D543" s="4">
        <f t="shared" si="16"/>
        <v>41951.141856000002</v>
      </c>
      <c r="E543" s="4">
        <f>+VLOOKUP(A543,Sheet3!A:B,2,FALSE)</f>
        <v>41951.16</v>
      </c>
      <c r="F543" s="4">
        <f t="shared" si="17"/>
        <v>1.8144000001484528E-2</v>
      </c>
    </row>
    <row r="544" spans="1:6" x14ac:dyDescent="0.25">
      <c r="A544" t="s">
        <v>768</v>
      </c>
      <c r="B544">
        <v>46971.191940999997</v>
      </c>
      <c r="D544" s="4">
        <f t="shared" si="16"/>
        <v>46971.191940999997</v>
      </c>
      <c r="E544" s="4">
        <f>+VLOOKUP(A544,Sheet3!A:B,2,FALSE)</f>
        <v>46971.21</v>
      </c>
      <c r="F544" s="4">
        <f t="shared" si="17"/>
        <v>1.8059000001812819E-2</v>
      </c>
    </row>
    <row r="545" spans="1:6" x14ac:dyDescent="0.25">
      <c r="A545" t="s">
        <v>8</v>
      </c>
      <c r="B545">
        <v>31242.271995999999</v>
      </c>
      <c r="D545" s="4">
        <f t="shared" si="16"/>
        <v>31242.271995999999</v>
      </c>
      <c r="E545" s="4">
        <f>+VLOOKUP(A545,Sheet3!A:B,2,FALSE)</f>
        <v>31242.29</v>
      </c>
      <c r="F545" s="4">
        <f t="shared" si="17"/>
        <v>1.8004000001383247E-2</v>
      </c>
    </row>
    <row r="546" spans="1:6" x14ac:dyDescent="0.25">
      <c r="A546" t="s">
        <v>205</v>
      </c>
      <c r="B546">
        <v>20590.502166999999</v>
      </c>
      <c r="D546" s="4">
        <f t="shared" si="16"/>
        <v>20590.502166999999</v>
      </c>
      <c r="E546" s="4">
        <f>+VLOOKUP(A546,Sheet3!A:B,2,FALSE)</f>
        <v>20590.52</v>
      </c>
      <c r="F546" s="4">
        <f t="shared" si="17"/>
        <v>1.7833000001701294E-2</v>
      </c>
    </row>
    <row r="547" spans="1:6" x14ac:dyDescent="0.25">
      <c r="A547" t="s">
        <v>80</v>
      </c>
      <c r="B547">
        <v>23252.952381999999</v>
      </c>
      <c r="D547" s="4">
        <f t="shared" si="16"/>
        <v>23252.952381999999</v>
      </c>
      <c r="E547" s="4">
        <f>+VLOOKUP(A547,Sheet3!A:B,2,FALSE)</f>
        <v>23252.97</v>
      </c>
      <c r="F547" s="4">
        <f t="shared" si="17"/>
        <v>1.7618000001675682E-2</v>
      </c>
    </row>
    <row r="548" spans="1:6" x14ac:dyDescent="0.25">
      <c r="A548" t="s">
        <v>636</v>
      </c>
      <c r="B548">
        <v>25768.612743000002</v>
      </c>
      <c r="D548" s="4">
        <f t="shared" si="16"/>
        <v>25768.612743000002</v>
      </c>
      <c r="E548" s="4">
        <f>+VLOOKUP(A548,Sheet3!A:B,2,FALSE)</f>
        <v>25768.63</v>
      </c>
      <c r="F548" s="4">
        <f t="shared" si="17"/>
        <v>1.7256999999517575E-2</v>
      </c>
    </row>
    <row r="549" spans="1:6" x14ac:dyDescent="0.25">
      <c r="A549" t="s">
        <v>834</v>
      </c>
      <c r="B549">
        <v>5994.5527609999999</v>
      </c>
      <c r="D549" s="4">
        <f t="shared" si="16"/>
        <v>5994.5527609999999</v>
      </c>
      <c r="E549" s="4">
        <f>+VLOOKUP(A549,Sheet3!A:B,2,FALSE)</f>
        <v>5994.57</v>
      </c>
      <c r="F549" s="4">
        <f t="shared" si="17"/>
        <v>1.7238999999790394E-2</v>
      </c>
    </row>
    <row r="550" spans="1:6" x14ac:dyDescent="0.25">
      <c r="A550" t="s">
        <v>412</v>
      </c>
      <c r="B550">
        <v>12303.732806</v>
      </c>
      <c r="D550" s="4">
        <f t="shared" si="16"/>
        <v>12303.732806</v>
      </c>
      <c r="E550" s="4">
        <f>+VLOOKUP(A550,Sheet3!A:B,2,FALSE)</f>
        <v>12303.75</v>
      </c>
      <c r="F550" s="4">
        <f t="shared" si="17"/>
        <v>1.7194000000017695E-2</v>
      </c>
    </row>
    <row r="551" spans="1:6" x14ac:dyDescent="0.25">
      <c r="A551" t="s">
        <v>245</v>
      </c>
      <c r="B551">
        <v>8933.4730450000006</v>
      </c>
      <c r="D551" s="4">
        <f t="shared" si="16"/>
        <v>8933.4730450000006</v>
      </c>
      <c r="E551" s="4">
        <f>+VLOOKUP(A551,Sheet3!A:B,2,FALSE)</f>
        <v>8933.49</v>
      </c>
      <c r="F551" s="4">
        <f t="shared" si="17"/>
        <v>1.6954999999143183E-2</v>
      </c>
    </row>
    <row r="552" spans="1:6" x14ac:dyDescent="0.25">
      <c r="A552" t="s">
        <v>364</v>
      </c>
      <c r="B552">
        <v>11155.893174000001</v>
      </c>
      <c r="D552" s="4">
        <f t="shared" si="16"/>
        <v>11155.893174000001</v>
      </c>
      <c r="E552" s="4">
        <f>+VLOOKUP(A552,Sheet3!A:B,2,FALSE)</f>
        <v>11155.91</v>
      </c>
      <c r="F552" s="4">
        <f t="shared" si="17"/>
        <v>1.6825999999127816E-2</v>
      </c>
    </row>
    <row r="553" spans="1:6" x14ac:dyDescent="0.25">
      <c r="A553" t="s">
        <v>566</v>
      </c>
      <c r="B553">
        <v>19730.40324</v>
      </c>
      <c r="D553" s="4">
        <f t="shared" si="16"/>
        <v>19730.40324</v>
      </c>
      <c r="E553" s="4">
        <f>+VLOOKUP(A553,Sheet3!A:B,2,FALSE)</f>
        <v>19730.419999999998</v>
      </c>
      <c r="F553" s="4">
        <f t="shared" si="17"/>
        <v>1.6759999998612329E-2</v>
      </c>
    </row>
    <row r="554" spans="1:6" x14ac:dyDescent="0.25">
      <c r="A554" t="s">
        <v>119</v>
      </c>
      <c r="B554">
        <v>1102.5534</v>
      </c>
      <c r="D554" s="4">
        <f t="shared" si="16"/>
        <v>1102.5534</v>
      </c>
      <c r="E554" s="4">
        <f>+VLOOKUP(A554,Sheet3!A:B,2,FALSE)</f>
        <v>1102.57</v>
      </c>
      <c r="F554" s="4">
        <f t="shared" si="17"/>
        <v>1.6599999999925785E-2</v>
      </c>
    </row>
    <row r="555" spans="1:6" x14ac:dyDescent="0.25">
      <c r="A555" t="s">
        <v>167</v>
      </c>
      <c r="B555">
        <v>23820.693716999998</v>
      </c>
      <c r="D555" s="4">
        <f t="shared" si="16"/>
        <v>23820.693716999998</v>
      </c>
      <c r="E555" s="4">
        <f>+VLOOKUP(A555,Sheet3!A:B,2,FALSE)</f>
        <v>23820.71</v>
      </c>
      <c r="F555" s="4">
        <f t="shared" si="17"/>
        <v>1.628300000083982E-2</v>
      </c>
    </row>
    <row r="556" spans="1:6" x14ac:dyDescent="0.25">
      <c r="A556" t="s">
        <v>498</v>
      </c>
      <c r="B556">
        <v>48738.033936</v>
      </c>
      <c r="D556" s="4">
        <f t="shared" si="16"/>
        <v>48738.033936</v>
      </c>
      <c r="E556" s="4">
        <f>+VLOOKUP(A556,Sheet3!A:B,2,FALSE)</f>
        <v>48738.05</v>
      </c>
      <c r="F556" s="4">
        <f t="shared" si="17"/>
        <v>1.6064000003098045E-2</v>
      </c>
    </row>
    <row r="557" spans="1:6" x14ac:dyDescent="0.25">
      <c r="A557" t="s">
        <v>591</v>
      </c>
      <c r="B557">
        <v>2936.5439449999999</v>
      </c>
      <c r="D557" s="4">
        <f t="shared" si="16"/>
        <v>2936.5439449999999</v>
      </c>
      <c r="E557" s="4">
        <f>+VLOOKUP(A557,Sheet3!A:B,2,FALSE)</f>
        <v>2936.56</v>
      </c>
      <c r="F557" s="4">
        <f t="shared" si="17"/>
        <v>1.6055000000051223E-2</v>
      </c>
    </row>
    <row r="558" spans="1:6" x14ac:dyDescent="0.25">
      <c r="A558" t="s">
        <v>795</v>
      </c>
      <c r="B558">
        <v>2936.5439449999999</v>
      </c>
      <c r="D558" s="4">
        <f t="shared" si="16"/>
        <v>2936.5439449999999</v>
      </c>
      <c r="E558" s="4">
        <f>+VLOOKUP(A558,Sheet3!A:B,2,FALSE)</f>
        <v>2936.56</v>
      </c>
      <c r="F558" s="4">
        <f t="shared" si="17"/>
        <v>1.6055000000051223E-2</v>
      </c>
    </row>
    <row r="559" spans="1:6" x14ac:dyDescent="0.25">
      <c r="A559" t="s">
        <v>199</v>
      </c>
      <c r="B559">
        <v>12583.393959000001</v>
      </c>
      <c r="D559" s="4">
        <f t="shared" si="16"/>
        <v>12583.393959000001</v>
      </c>
      <c r="E559" s="4">
        <f>+VLOOKUP(A559,Sheet3!A:B,2,FALSE)</f>
        <v>12583.41</v>
      </c>
      <c r="F559" s="4">
        <f t="shared" si="17"/>
        <v>1.6040999998949701E-2</v>
      </c>
    </row>
    <row r="560" spans="1:6" x14ac:dyDescent="0.25">
      <c r="A560" t="s">
        <v>479</v>
      </c>
      <c r="B560">
        <v>32258.734028999999</v>
      </c>
      <c r="D560" s="4">
        <f t="shared" si="16"/>
        <v>32258.734028999999</v>
      </c>
      <c r="E560" s="4">
        <f>+VLOOKUP(A560,Sheet3!A:B,2,FALSE)</f>
        <v>32258.75</v>
      </c>
      <c r="F560" s="4">
        <f t="shared" si="17"/>
        <v>1.597100000071805E-2</v>
      </c>
    </row>
    <row r="561" spans="1:6" x14ac:dyDescent="0.25">
      <c r="A561" t="s">
        <v>936</v>
      </c>
      <c r="B561">
        <v>27657.734353</v>
      </c>
      <c r="D561" s="4">
        <f t="shared" si="16"/>
        <v>27657.734353</v>
      </c>
      <c r="E561" s="4">
        <f>+VLOOKUP(A561,Sheet3!A:B,2,FALSE)</f>
        <v>27657.75</v>
      </c>
      <c r="F561" s="4">
        <f t="shared" si="17"/>
        <v>1.5647000000171829E-2</v>
      </c>
    </row>
    <row r="562" spans="1:6" x14ac:dyDescent="0.25">
      <c r="A562" t="s">
        <v>927</v>
      </c>
      <c r="B562">
        <v>41079.704397000001</v>
      </c>
      <c r="D562" s="4">
        <f t="shared" si="16"/>
        <v>41079.704397000001</v>
      </c>
      <c r="E562" s="4">
        <f>+VLOOKUP(A562,Sheet3!A:B,2,FALSE)</f>
        <v>41079.72</v>
      </c>
      <c r="F562" s="4">
        <f t="shared" si="17"/>
        <v>1.5602999999828171E-2</v>
      </c>
    </row>
    <row r="563" spans="1:6" x14ac:dyDescent="0.25">
      <c r="A563" t="s">
        <v>824</v>
      </c>
      <c r="B563">
        <v>42285.594597000003</v>
      </c>
      <c r="D563" s="4">
        <f t="shared" si="16"/>
        <v>42285.594597000003</v>
      </c>
      <c r="E563" s="4">
        <f>+VLOOKUP(A563,Sheet3!A:B,2,FALSE)</f>
        <v>42285.61</v>
      </c>
      <c r="F563" s="4">
        <f t="shared" si="17"/>
        <v>1.5402999997604638E-2</v>
      </c>
    </row>
    <row r="564" spans="1:6" x14ac:dyDescent="0.25">
      <c r="A564" t="s">
        <v>416</v>
      </c>
      <c r="B564">
        <v>42289.464634000004</v>
      </c>
      <c r="D564" s="4">
        <f t="shared" si="16"/>
        <v>42289.464634000004</v>
      </c>
      <c r="E564" s="4">
        <f>+VLOOKUP(A564,Sheet3!A:B,2,FALSE)</f>
        <v>42289.48</v>
      </c>
      <c r="F564" s="4">
        <f t="shared" si="17"/>
        <v>1.5365999999630731E-2</v>
      </c>
    </row>
    <row r="565" spans="1:6" x14ac:dyDescent="0.25">
      <c r="A565" t="s">
        <v>864</v>
      </c>
      <c r="B565">
        <v>1101.534969</v>
      </c>
      <c r="D565" s="4">
        <f t="shared" si="16"/>
        <v>1101.534969</v>
      </c>
      <c r="E565" s="4">
        <f>+VLOOKUP(A565,Sheet3!A:B,2,FALSE)</f>
        <v>1101.55</v>
      </c>
      <c r="F565" s="4">
        <f t="shared" si="17"/>
        <v>1.503099999990809E-2</v>
      </c>
    </row>
    <row r="566" spans="1:6" x14ac:dyDescent="0.25">
      <c r="A566" t="s">
        <v>400</v>
      </c>
      <c r="B566">
        <v>28318.085013</v>
      </c>
      <c r="D566" s="4">
        <f t="shared" si="16"/>
        <v>28318.085013</v>
      </c>
      <c r="E566" s="4">
        <f>+VLOOKUP(A566,Sheet3!A:B,2,FALSE)</f>
        <v>28318.1</v>
      </c>
      <c r="F566" s="4">
        <f t="shared" si="17"/>
        <v>1.4986999998654937E-2</v>
      </c>
    </row>
    <row r="567" spans="1:6" x14ac:dyDescent="0.25">
      <c r="A567" t="s">
        <v>312</v>
      </c>
      <c r="B567">
        <v>6938.0951349999996</v>
      </c>
      <c r="D567" s="4">
        <f t="shared" si="16"/>
        <v>6938.0951349999996</v>
      </c>
      <c r="E567" s="4">
        <f>+VLOOKUP(A567,Sheet3!A:B,2,FALSE)</f>
        <v>6938.11</v>
      </c>
      <c r="F567" s="4">
        <f t="shared" si="17"/>
        <v>1.4865000000099826E-2</v>
      </c>
    </row>
    <row r="568" spans="1:6" x14ac:dyDescent="0.25">
      <c r="A568" t="s">
        <v>518</v>
      </c>
      <c r="B568">
        <v>38730.795139000002</v>
      </c>
      <c r="D568" s="4">
        <f t="shared" si="16"/>
        <v>38730.795139000002</v>
      </c>
      <c r="E568" s="4">
        <f>+VLOOKUP(A568,Sheet3!A:B,2,FALSE)</f>
        <v>38730.81</v>
      </c>
      <c r="F568" s="4">
        <f t="shared" si="17"/>
        <v>1.4860999996017199E-2</v>
      </c>
    </row>
    <row r="569" spans="1:6" x14ac:dyDescent="0.25">
      <c r="A569" t="s">
        <v>50</v>
      </c>
      <c r="B569">
        <v>38730.795139000002</v>
      </c>
      <c r="D569" s="4">
        <f t="shared" si="16"/>
        <v>38730.795139000002</v>
      </c>
      <c r="E569" s="4">
        <f>+VLOOKUP(A569,Sheet3!A:B,2,FALSE)</f>
        <v>38730.81</v>
      </c>
      <c r="F569" s="4">
        <f t="shared" si="17"/>
        <v>1.4860999996017199E-2</v>
      </c>
    </row>
    <row r="570" spans="1:6" x14ac:dyDescent="0.25">
      <c r="A570" t="s">
        <v>38</v>
      </c>
      <c r="B570">
        <v>5543.7951999999996</v>
      </c>
      <c r="D570" s="4">
        <f t="shared" si="16"/>
        <v>5543.7951999999996</v>
      </c>
      <c r="E570" s="4">
        <f>+VLOOKUP(A570,Sheet3!A:B,2,FALSE)</f>
        <v>5543.81</v>
      </c>
      <c r="F570" s="4">
        <f t="shared" si="17"/>
        <v>1.480000000083237E-2</v>
      </c>
    </row>
    <row r="571" spans="1:6" x14ac:dyDescent="0.25">
      <c r="A571" t="s">
        <v>261</v>
      </c>
      <c r="B571">
        <v>46444.595219000003</v>
      </c>
      <c r="D571" s="4">
        <f t="shared" si="16"/>
        <v>46444.595219000003</v>
      </c>
      <c r="E571" s="4">
        <f>+VLOOKUP(A571,Sheet3!A:B,2,FALSE)</f>
        <v>46444.61</v>
      </c>
      <c r="F571" s="4">
        <f t="shared" si="17"/>
        <v>1.4780999998038169E-2</v>
      </c>
    </row>
    <row r="572" spans="1:6" x14ac:dyDescent="0.25">
      <c r="A572" t="s">
        <v>539</v>
      </c>
      <c r="B572">
        <v>43008.205339</v>
      </c>
      <c r="D572" s="4">
        <f t="shared" si="16"/>
        <v>43008.205339</v>
      </c>
      <c r="E572" s="4">
        <f>+VLOOKUP(A572,Sheet3!A:B,2,FALSE)</f>
        <v>43008.22</v>
      </c>
      <c r="F572" s="4">
        <f t="shared" si="17"/>
        <v>1.4661000001069624E-2</v>
      </c>
    </row>
    <row r="573" spans="1:6" x14ac:dyDescent="0.25">
      <c r="A573" t="s">
        <v>581</v>
      </c>
      <c r="B573">
        <v>37028.725356000003</v>
      </c>
      <c r="D573" s="4">
        <f t="shared" si="16"/>
        <v>37028.725356000003</v>
      </c>
      <c r="E573" s="4">
        <f>+VLOOKUP(A573,Sheet3!A:B,2,FALSE)</f>
        <v>37028.74</v>
      </c>
      <c r="F573" s="4">
        <f t="shared" si="17"/>
        <v>1.4643999995314516E-2</v>
      </c>
    </row>
    <row r="574" spans="1:6" x14ac:dyDescent="0.25">
      <c r="A574" t="s">
        <v>610</v>
      </c>
      <c r="B574">
        <v>26531.485457999999</v>
      </c>
      <c r="D574" s="4">
        <f t="shared" si="16"/>
        <v>26531.485457999999</v>
      </c>
      <c r="E574" s="4">
        <f>+VLOOKUP(A574,Sheet3!A:B,2,FALSE)</f>
        <v>26531.5</v>
      </c>
      <c r="F574" s="4">
        <f t="shared" si="17"/>
        <v>1.4542000000801636E-2</v>
      </c>
    </row>
    <row r="575" spans="1:6" x14ac:dyDescent="0.25">
      <c r="A575" t="s">
        <v>385</v>
      </c>
      <c r="B575">
        <v>24286.795638</v>
      </c>
      <c r="D575" s="4">
        <f t="shared" si="16"/>
        <v>24286.795638</v>
      </c>
      <c r="E575" s="4">
        <f>+VLOOKUP(A575,Sheet3!A:B,2,FALSE)</f>
        <v>24286.81</v>
      </c>
      <c r="F575" s="4">
        <f t="shared" si="17"/>
        <v>1.436200000171084E-2</v>
      </c>
    </row>
    <row r="576" spans="1:6" x14ac:dyDescent="0.25">
      <c r="A576" t="s">
        <v>757</v>
      </c>
      <c r="B576">
        <v>29772.676062999999</v>
      </c>
      <c r="D576" s="4">
        <f t="shared" si="16"/>
        <v>29772.676062999999</v>
      </c>
      <c r="E576" s="4">
        <f>+VLOOKUP(A576,Sheet3!A:B,2,FALSE)</f>
        <v>29772.69</v>
      </c>
      <c r="F576" s="4">
        <f t="shared" si="17"/>
        <v>1.3936999999714317E-2</v>
      </c>
    </row>
    <row r="577" spans="1:6" x14ac:dyDescent="0.25">
      <c r="A577" t="s">
        <v>306</v>
      </c>
      <c r="B577">
        <v>102046.7862</v>
      </c>
      <c r="D577" s="4">
        <f t="shared" si="16"/>
        <v>102046.7862</v>
      </c>
      <c r="E577" s="4">
        <f>+VLOOKUP(A577,Sheet3!A:B,2,FALSE)</f>
        <v>102046.8</v>
      </c>
      <c r="F577" s="4">
        <f t="shared" si="17"/>
        <v>1.3800000000628643E-2</v>
      </c>
    </row>
    <row r="578" spans="1:6" x14ac:dyDescent="0.25">
      <c r="A578" t="s">
        <v>775</v>
      </c>
      <c r="B578">
        <v>3447.7963070000001</v>
      </c>
      <c r="D578" s="4">
        <f t="shared" ref="D578:D641" si="18">+B578+C578</f>
        <v>3447.7963070000001</v>
      </c>
      <c r="E578" s="4">
        <f>+VLOOKUP(A578,Sheet3!A:B,2,FALSE)</f>
        <v>3447.81</v>
      </c>
      <c r="F578" s="4">
        <f t="shared" ref="F578:F641" si="19">+ABS(E578-D578)</f>
        <v>1.369299999987561E-2</v>
      </c>
    </row>
    <row r="579" spans="1:6" x14ac:dyDescent="0.25">
      <c r="A579" t="s">
        <v>26</v>
      </c>
      <c r="B579">
        <v>38379.436443999999</v>
      </c>
      <c r="D579" s="4">
        <f t="shared" si="18"/>
        <v>38379.436443999999</v>
      </c>
      <c r="E579" s="4">
        <f>+VLOOKUP(A579,Sheet3!A:B,2,FALSE)</f>
        <v>38379.449999999997</v>
      </c>
      <c r="F579" s="4">
        <f t="shared" si="19"/>
        <v>1.3555999998061452E-2</v>
      </c>
    </row>
    <row r="580" spans="1:6" x14ac:dyDescent="0.25">
      <c r="A580" t="s">
        <v>745</v>
      </c>
      <c r="B580">
        <v>19059.596688000001</v>
      </c>
      <c r="D580" s="4">
        <f t="shared" si="18"/>
        <v>19059.596688000001</v>
      </c>
      <c r="E580" s="4">
        <f>+VLOOKUP(A580,Sheet3!A:B,2,FALSE)</f>
        <v>19059.61</v>
      </c>
      <c r="F580" s="4">
        <f t="shared" si="19"/>
        <v>1.331199999913224E-2</v>
      </c>
    </row>
    <row r="581" spans="1:6" x14ac:dyDescent="0.25">
      <c r="A581" t="s">
        <v>484</v>
      </c>
      <c r="B581">
        <v>4941.766689</v>
      </c>
      <c r="D581" s="4">
        <f t="shared" si="18"/>
        <v>4941.766689</v>
      </c>
      <c r="E581" s="4">
        <f>+VLOOKUP(A581,Sheet3!A:B,2,FALSE)</f>
        <v>4941.78</v>
      </c>
      <c r="F581" s="4">
        <f t="shared" si="19"/>
        <v>1.3310999999703199E-2</v>
      </c>
    </row>
    <row r="582" spans="1:6" x14ac:dyDescent="0.25">
      <c r="A582" t="s">
        <v>99</v>
      </c>
      <c r="B582">
        <v>39996.636976000002</v>
      </c>
      <c r="D582" s="4">
        <f t="shared" si="18"/>
        <v>39996.636976000002</v>
      </c>
      <c r="E582" s="4">
        <f>+VLOOKUP(A582,Sheet3!A:B,2,FALSE)</f>
        <v>39996.65</v>
      </c>
      <c r="F582" s="4">
        <f t="shared" si="19"/>
        <v>1.302399999985937E-2</v>
      </c>
    </row>
    <row r="583" spans="1:6" x14ac:dyDescent="0.25">
      <c r="A583" t="s">
        <v>845</v>
      </c>
      <c r="B583">
        <v>16791.347163999999</v>
      </c>
      <c r="D583" s="4">
        <f t="shared" si="18"/>
        <v>16791.347163999999</v>
      </c>
      <c r="E583" s="4">
        <f>+VLOOKUP(A583,Sheet3!A:B,2,FALSE)</f>
        <v>16791.36</v>
      </c>
      <c r="F583" s="4">
        <f t="shared" si="19"/>
        <v>1.2836000001698267E-2</v>
      </c>
    </row>
    <row r="584" spans="1:6" x14ac:dyDescent="0.25">
      <c r="A584" t="s">
        <v>712</v>
      </c>
      <c r="B584">
        <v>53167.937204000002</v>
      </c>
      <c r="D584" s="4">
        <f t="shared" si="18"/>
        <v>53167.937204000002</v>
      </c>
      <c r="E584" s="4">
        <f>+VLOOKUP(A584,Sheet3!A:B,2,FALSE)</f>
        <v>53167.95</v>
      </c>
      <c r="F584" s="4">
        <f t="shared" si="19"/>
        <v>1.2795999995432794E-2</v>
      </c>
    </row>
    <row r="585" spans="1:6" x14ac:dyDescent="0.25">
      <c r="A585" t="s">
        <v>706</v>
      </c>
      <c r="B585">
        <v>37412.877528999998</v>
      </c>
      <c r="D585" s="4">
        <f t="shared" si="18"/>
        <v>37412.877528999998</v>
      </c>
      <c r="E585" s="4">
        <f>+VLOOKUP(A585,Sheet3!A:B,2,FALSE)</f>
        <v>37412.89</v>
      </c>
      <c r="F585" s="4">
        <f t="shared" si="19"/>
        <v>1.2471000001823995E-2</v>
      </c>
    </row>
    <row r="586" spans="1:6" x14ac:dyDescent="0.25">
      <c r="A586" t="s">
        <v>734</v>
      </c>
      <c r="B586">
        <v>36771.537580999997</v>
      </c>
      <c r="D586" s="4">
        <f t="shared" si="18"/>
        <v>36771.537580999997</v>
      </c>
      <c r="E586" s="4">
        <f>+VLOOKUP(A586,Sheet3!A:B,2,FALSE)</f>
        <v>36771.550000000003</v>
      </c>
      <c r="F586" s="4">
        <f t="shared" si="19"/>
        <v>1.2419000006048009E-2</v>
      </c>
    </row>
    <row r="587" spans="1:6" x14ac:dyDescent="0.25">
      <c r="A587" t="s">
        <v>292</v>
      </c>
      <c r="B587">
        <v>22279.807614000001</v>
      </c>
      <c r="D587" s="4">
        <f t="shared" si="18"/>
        <v>22279.807614000001</v>
      </c>
      <c r="E587" s="4">
        <f>+VLOOKUP(A587,Sheet3!A:B,2,FALSE)</f>
        <v>22279.82</v>
      </c>
      <c r="F587" s="4">
        <f t="shared" si="19"/>
        <v>1.2385999998514308E-2</v>
      </c>
    </row>
    <row r="588" spans="1:6" x14ac:dyDescent="0.25">
      <c r="A588" t="s">
        <v>948</v>
      </c>
      <c r="B588">
        <v>2076.0376449999999</v>
      </c>
      <c r="D588" s="4">
        <f t="shared" si="18"/>
        <v>2076.0376449999999</v>
      </c>
      <c r="E588" s="4">
        <f>+VLOOKUP(A588,Sheet3!A:B,2,FALSE)</f>
        <v>2076.0500000000002</v>
      </c>
      <c r="F588" s="4">
        <f t="shared" si="19"/>
        <v>1.2355000000297878E-2</v>
      </c>
    </row>
    <row r="589" spans="1:6" x14ac:dyDescent="0.25">
      <c r="A589" t="s">
        <v>102</v>
      </c>
      <c r="B589">
        <v>2076.0376449999999</v>
      </c>
      <c r="D589" s="4">
        <f t="shared" si="18"/>
        <v>2076.0376449999999</v>
      </c>
      <c r="E589" s="4">
        <f>+VLOOKUP(A589,Sheet3!A:B,2,FALSE)</f>
        <v>2076.0500000000002</v>
      </c>
      <c r="F589" s="4">
        <f t="shared" si="19"/>
        <v>1.2355000000297878E-2</v>
      </c>
    </row>
    <row r="590" spans="1:6" x14ac:dyDescent="0.25">
      <c r="A590" t="s">
        <v>630</v>
      </c>
      <c r="B590">
        <v>71296.687957999995</v>
      </c>
      <c r="D590" s="4">
        <f t="shared" si="18"/>
        <v>71296.687957999995</v>
      </c>
      <c r="E590" s="4">
        <f>+VLOOKUP(A590,Sheet3!A:B,2,FALSE)</f>
        <v>71296.7</v>
      </c>
      <c r="F590" s="4">
        <f t="shared" si="19"/>
        <v>1.2042000002111308E-2</v>
      </c>
    </row>
    <row r="591" spans="1:6" x14ac:dyDescent="0.25">
      <c r="A591" t="s">
        <v>835</v>
      </c>
      <c r="B591">
        <v>16303.858192</v>
      </c>
      <c r="D591" s="4">
        <f t="shared" si="18"/>
        <v>16303.858192</v>
      </c>
      <c r="E591" s="4">
        <f>+VLOOKUP(A591,Sheet3!A:B,2,FALSE)</f>
        <v>16303.87</v>
      </c>
      <c r="F591" s="4">
        <f t="shared" si="19"/>
        <v>1.1808000001110486E-2</v>
      </c>
    </row>
    <row r="592" spans="1:6" x14ac:dyDescent="0.25">
      <c r="A592" t="s">
        <v>504</v>
      </c>
      <c r="B592">
        <v>10182.748405</v>
      </c>
      <c r="D592" s="4">
        <f t="shared" si="18"/>
        <v>10182.748405</v>
      </c>
      <c r="E592" s="4">
        <f>+VLOOKUP(A592,Sheet3!A:B,2,FALSE)</f>
        <v>10182.76</v>
      </c>
      <c r="F592" s="4">
        <f t="shared" si="19"/>
        <v>1.1594999999942956E-2</v>
      </c>
    </row>
    <row r="593" spans="1:6" x14ac:dyDescent="0.25">
      <c r="A593" t="s">
        <v>74</v>
      </c>
      <c r="B593">
        <v>34343.258600000001</v>
      </c>
      <c r="D593" s="4">
        <f t="shared" si="18"/>
        <v>34343.258600000001</v>
      </c>
      <c r="E593" s="4">
        <f>+VLOOKUP(A593,Sheet3!A:B,2,FALSE)</f>
        <v>34343.269999999997</v>
      </c>
      <c r="F593" s="4">
        <f t="shared" si="19"/>
        <v>1.1399999995774124E-2</v>
      </c>
    </row>
    <row r="594" spans="1:6" x14ac:dyDescent="0.25">
      <c r="A594" t="s">
        <v>378</v>
      </c>
      <c r="B594">
        <v>34343.258600000001</v>
      </c>
      <c r="D594" s="4">
        <f t="shared" si="18"/>
        <v>34343.258600000001</v>
      </c>
      <c r="E594" s="4">
        <f>+VLOOKUP(A594,Sheet3!A:B,2,FALSE)</f>
        <v>34343.269999999997</v>
      </c>
      <c r="F594" s="4">
        <f t="shared" si="19"/>
        <v>1.1399999995774124E-2</v>
      </c>
    </row>
    <row r="595" spans="1:6" x14ac:dyDescent="0.25">
      <c r="A595" t="s">
        <v>42</v>
      </c>
      <c r="B595">
        <v>44370.458643999998</v>
      </c>
      <c r="D595" s="4">
        <f t="shared" si="18"/>
        <v>44370.458643999998</v>
      </c>
      <c r="E595" s="4">
        <f>+VLOOKUP(A595,Sheet3!A:B,2,FALSE)</f>
        <v>44370.47</v>
      </c>
      <c r="F595" s="4">
        <f t="shared" si="19"/>
        <v>1.1356000002706423E-2</v>
      </c>
    </row>
    <row r="596" spans="1:6" x14ac:dyDescent="0.25">
      <c r="A596" t="s">
        <v>441</v>
      </c>
      <c r="B596">
        <v>16499.329049</v>
      </c>
      <c r="D596" s="4">
        <f t="shared" si="18"/>
        <v>16499.329049</v>
      </c>
      <c r="E596" s="4">
        <f>+VLOOKUP(A596,Sheet3!A:B,2,FALSE)</f>
        <v>16499.34</v>
      </c>
      <c r="F596" s="4">
        <f t="shared" si="19"/>
        <v>1.0951000000204658E-2</v>
      </c>
    </row>
    <row r="597" spans="1:6" x14ac:dyDescent="0.25">
      <c r="A597" t="s">
        <v>202</v>
      </c>
      <c r="B597">
        <v>27768.879122999999</v>
      </c>
      <c r="D597" s="4">
        <f t="shared" si="18"/>
        <v>27768.879122999999</v>
      </c>
      <c r="E597" s="4">
        <f>+VLOOKUP(A597,Sheet3!A:B,2,FALSE)</f>
        <v>27768.89</v>
      </c>
      <c r="F597" s="4">
        <f t="shared" si="19"/>
        <v>1.0877000000618864E-2</v>
      </c>
    </row>
    <row r="598" spans="1:6" x14ac:dyDescent="0.25">
      <c r="A598" t="s">
        <v>193</v>
      </c>
      <c r="B598">
        <v>27768.879122999999</v>
      </c>
      <c r="D598" s="4">
        <f t="shared" si="18"/>
        <v>27768.879122999999</v>
      </c>
      <c r="E598" s="4">
        <f>+VLOOKUP(A598,Sheet3!A:B,2,FALSE)</f>
        <v>27768.89</v>
      </c>
      <c r="F598" s="4">
        <f t="shared" si="19"/>
        <v>1.0877000000618864E-2</v>
      </c>
    </row>
    <row r="599" spans="1:6" x14ac:dyDescent="0.25">
      <c r="A599" t="s">
        <v>87</v>
      </c>
      <c r="B599">
        <v>38176.429197999998</v>
      </c>
      <c r="D599" s="4">
        <f t="shared" si="18"/>
        <v>38176.429197999998</v>
      </c>
      <c r="E599" s="4">
        <f>+VLOOKUP(A599,Sheet3!A:B,2,FALSE)</f>
        <v>38176.44</v>
      </c>
      <c r="F599" s="4">
        <f t="shared" si="19"/>
        <v>1.0802000004332513E-2</v>
      </c>
    </row>
    <row r="600" spans="1:6" x14ac:dyDescent="0.25">
      <c r="A600" t="s">
        <v>37</v>
      </c>
      <c r="B600">
        <v>1103.979204</v>
      </c>
      <c r="D600" s="4">
        <f t="shared" si="18"/>
        <v>1103.979204</v>
      </c>
      <c r="E600" s="4">
        <f>+VLOOKUP(A600,Sheet3!A:B,2,FALSE)</f>
        <v>1103.99</v>
      </c>
      <c r="F600" s="4">
        <f t="shared" si="19"/>
        <v>1.0796000000027561E-2</v>
      </c>
    </row>
    <row r="601" spans="1:6" x14ac:dyDescent="0.25">
      <c r="A601" t="s">
        <v>60</v>
      </c>
      <c r="B601">
        <v>1103.979204</v>
      </c>
      <c r="D601" s="4">
        <f t="shared" si="18"/>
        <v>1103.979204</v>
      </c>
      <c r="E601" s="4">
        <f>+VLOOKUP(A601,Sheet3!A:B,2,FALSE)</f>
        <v>1103.99</v>
      </c>
      <c r="F601" s="4">
        <f t="shared" si="19"/>
        <v>1.0796000000027561E-2</v>
      </c>
    </row>
    <row r="602" spans="1:6" x14ac:dyDescent="0.25">
      <c r="A602" t="s">
        <v>194</v>
      </c>
      <c r="B602">
        <v>1103.979204</v>
      </c>
      <c r="D602" s="4">
        <f t="shared" si="18"/>
        <v>1103.979204</v>
      </c>
      <c r="E602" s="4">
        <f>+VLOOKUP(A602,Sheet3!A:B,2,FALSE)</f>
        <v>1103.99</v>
      </c>
      <c r="F602" s="4">
        <f t="shared" si="19"/>
        <v>1.0796000000027561E-2</v>
      </c>
    </row>
    <row r="603" spans="1:6" x14ac:dyDescent="0.25">
      <c r="A603" t="s">
        <v>45</v>
      </c>
      <c r="B603">
        <v>1103.979204</v>
      </c>
      <c r="D603" s="4">
        <f t="shared" si="18"/>
        <v>1103.979204</v>
      </c>
      <c r="E603" s="4">
        <f>+VLOOKUP(A603,Sheet3!A:B,2,FALSE)</f>
        <v>1103.99</v>
      </c>
      <c r="F603" s="4">
        <f t="shared" si="19"/>
        <v>1.0796000000027561E-2</v>
      </c>
    </row>
    <row r="604" spans="1:6" x14ac:dyDescent="0.25">
      <c r="A604" t="s">
        <v>703</v>
      </c>
      <c r="B604">
        <v>7535.0993870000002</v>
      </c>
      <c r="D604" s="4">
        <f t="shared" si="18"/>
        <v>7535.0993870000002</v>
      </c>
      <c r="E604" s="4">
        <f>+VLOOKUP(A604,Sheet3!A:B,2,FALSE)</f>
        <v>7535.11</v>
      </c>
      <c r="F604" s="4">
        <f t="shared" si="19"/>
        <v>1.061299999946641E-2</v>
      </c>
    </row>
    <row r="605" spans="1:6" x14ac:dyDescent="0.25">
      <c r="A605" t="s">
        <v>111</v>
      </c>
      <c r="B605">
        <v>2742.1594150000001</v>
      </c>
      <c r="D605" s="4">
        <f t="shared" si="18"/>
        <v>2742.1594150000001</v>
      </c>
      <c r="E605" s="4">
        <f>+VLOOKUP(A605,Sheet3!A:B,2,FALSE)</f>
        <v>2742.17</v>
      </c>
      <c r="F605" s="4">
        <f t="shared" si="19"/>
        <v>1.0584999999991851E-2</v>
      </c>
    </row>
    <row r="606" spans="1:6" x14ac:dyDescent="0.25">
      <c r="A606" t="s">
        <v>521</v>
      </c>
      <c r="B606">
        <v>9383.6195470000002</v>
      </c>
      <c r="D606" s="4">
        <f t="shared" si="18"/>
        <v>9383.6195470000002</v>
      </c>
      <c r="E606" s="4">
        <f>+VLOOKUP(A606,Sheet3!A:B,2,FALSE)</f>
        <v>9383.6299999999992</v>
      </c>
      <c r="F606" s="4">
        <f t="shared" si="19"/>
        <v>1.0452999998960877E-2</v>
      </c>
    </row>
    <row r="607" spans="1:6" x14ac:dyDescent="0.25">
      <c r="A607" t="s">
        <v>683</v>
      </c>
      <c r="B607">
        <v>9383.6195470000002</v>
      </c>
      <c r="D607" s="4">
        <f t="shared" si="18"/>
        <v>9383.6195470000002</v>
      </c>
      <c r="E607" s="4">
        <f>+VLOOKUP(A607,Sheet3!A:B,2,FALSE)</f>
        <v>9383.6299999999992</v>
      </c>
      <c r="F607" s="4">
        <f t="shared" si="19"/>
        <v>1.0452999998960877E-2</v>
      </c>
    </row>
    <row r="608" spans="1:6" x14ac:dyDescent="0.25">
      <c r="A608" t="s">
        <v>631</v>
      </c>
      <c r="B608">
        <v>9383.6195470000002</v>
      </c>
      <c r="D608" s="4">
        <f t="shared" si="18"/>
        <v>9383.6195470000002</v>
      </c>
      <c r="E608" s="4">
        <f>+VLOOKUP(A608,Sheet3!A:B,2,FALSE)</f>
        <v>9383.6299999999992</v>
      </c>
      <c r="F608" s="4">
        <f t="shared" si="19"/>
        <v>1.0452999998960877E-2</v>
      </c>
    </row>
    <row r="609" spans="1:6" x14ac:dyDescent="0.25">
      <c r="A609" t="s">
        <v>63</v>
      </c>
      <c r="B609">
        <v>3219.5998679999998</v>
      </c>
      <c r="D609" s="4">
        <f t="shared" si="18"/>
        <v>3219.5998679999998</v>
      </c>
      <c r="E609" s="4">
        <f>+VLOOKUP(A609,Sheet3!A:B,2,FALSE)</f>
        <v>3219.61</v>
      </c>
      <c r="F609" s="4">
        <f t="shared" si="19"/>
        <v>1.0132000000339758E-2</v>
      </c>
    </row>
    <row r="610" spans="1:6" x14ac:dyDescent="0.25">
      <c r="A610" t="s">
        <v>615</v>
      </c>
      <c r="B610">
        <v>33019.569882000003</v>
      </c>
      <c r="D610" s="4">
        <f t="shared" si="18"/>
        <v>33019.569882000003</v>
      </c>
      <c r="E610" s="4">
        <f>+VLOOKUP(A610,Sheet3!A:B,2,FALSE)</f>
        <v>33019.58</v>
      </c>
      <c r="F610" s="4">
        <f t="shared" si="19"/>
        <v>1.0117999998328742E-2</v>
      </c>
    </row>
    <row r="611" spans="1:6" x14ac:dyDescent="0.25">
      <c r="A611" t="s">
        <v>613</v>
      </c>
      <c r="B611">
        <v>11142.449884</v>
      </c>
      <c r="D611" s="4">
        <f t="shared" si="18"/>
        <v>11142.449884</v>
      </c>
      <c r="E611" s="4">
        <f>+VLOOKUP(A611,Sheet3!A:B,2,FALSE)</f>
        <v>11142.46</v>
      </c>
      <c r="F611" s="4">
        <f t="shared" si="19"/>
        <v>1.011599999947066E-2</v>
      </c>
    </row>
    <row r="612" spans="1:6" x14ac:dyDescent="0.25">
      <c r="A612" t="s">
        <v>739</v>
      </c>
      <c r="B612">
        <v>45427.590021999997</v>
      </c>
      <c r="D612" s="4">
        <f t="shared" si="18"/>
        <v>45427.590021999997</v>
      </c>
      <c r="E612" s="4">
        <f>+VLOOKUP(A612,Sheet3!A:B,2,FALSE)</f>
        <v>45427.6</v>
      </c>
      <c r="F612" s="4">
        <f t="shared" si="19"/>
        <v>9.9780000018654391E-3</v>
      </c>
    </row>
    <row r="613" spans="1:6" x14ac:dyDescent="0.25">
      <c r="A613" t="s">
        <v>124</v>
      </c>
      <c r="B613">
        <v>40696.910131999997</v>
      </c>
      <c r="D613" s="4">
        <f t="shared" si="18"/>
        <v>40696.910131999997</v>
      </c>
      <c r="E613" s="4">
        <f>+VLOOKUP(A613,Sheet3!A:B,2,FALSE)</f>
        <v>40696.92</v>
      </c>
      <c r="F613" s="4">
        <f t="shared" si="19"/>
        <v>9.868000001006294E-3</v>
      </c>
    </row>
    <row r="614" spans="1:6" x14ac:dyDescent="0.25">
      <c r="A614" t="s">
        <v>211</v>
      </c>
      <c r="B614">
        <v>19202.720191</v>
      </c>
      <c r="D614" s="4">
        <f t="shared" si="18"/>
        <v>19202.720191</v>
      </c>
      <c r="E614" s="4">
        <f>+VLOOKUP(A614,Sheet3!A:B,2,FALSE)</f>
        <v>19202.73</v>
      </c>
      <c r="F614" s="4">
        <f t="shared" si="19"/>
        <v>9.8089999992225785E-3</v>
      </c>
    </row>
    <row r="615" spans="1:6" x14ac:dyDescent="0.25">
      <c r="A615" t="s">
        <v>123</v>
      </c>
      <c r="B615">
        <v>19202.720191</v>
      </c>
      <c r="D615" s="4">
        <f t="shared" si="18"/>
        <v>19202.720191</v>
      </c>
      <c r="E615" s="4">
        <f>+VLOOKUP(A615,Sheet3!A:B,2,FALSE)</f>
        <v>19202.73</v>
      </c>
      <c r="F615" s="4">
        <f t="shared" si="19"/>
        <v>9.8089999992225785E-3</v>
      </c>
    </row>
    <row r="616" spans="1:6" x14ac:dyDescent="0.25">
      <c r="A616" t="s">
        <v>891</v>
      </c>
      <c r="B616">
        <v>9291.0102220000008</v>
      </c>
      <c r="D616" s="4">
        <f t="shared" si="18"/>
        <v>9291.0102220000008</v>
      </c>
      <c r="E616" s="4">
        <f>+VLOOKUP(A616,Sheet3!A:B,2,FALSE)</f>
        <v>9291.02</v>
      </c>
      <c r="F616" s="4">
        <f t="shared" si="19"/>
        <v>9.7779999996419065E-3</v>
      </c>
    </row>
    <row r="617" spans="1:6" x14ac:dyDescent="0.25">
      <c r="A617" t="s">
        <v>928</v>
      </c>
      <c r="B617">
        <v>10859.190275999999</v>
      </c>
      <c r="D617" s="4">
        <f t="shared" si="18"/>
        <v>10859.190275999999</v>
      </c>
      <c r="E617" s="4">
        <f>+VLOOKUP(A617,Sheet3!A:B,2,FALSE)</f>
        <v>10859.2</v>
      </c>
      <c r="F617" s="4">
        <f t="shared" si="19"/>
        <v>9.7240000013698591E-3</v>
      </c>
    </row>
    <row r="618" spans="1:6" x14ac:dyDescent="0.25">
      <c r="A618" t="s">
        <v>454</v>
      </c>
      <c r="B618">
        <v>26390.670397999998</v>
      </c>
      <c r="D618" s="4">
        <f t="shared" si="18"/>
        <v>26390.670397999998</v>
      </c>
      <c r="E618" s="4">
        <f>+VLOOKUP(A618,Sheet3!A:B,2,FALSE)</f>
        <v>26390.68</v>
      </c>
      <c r="F618" s="4">
        <f t="shared" si="19"/>
        <v>9.6020000019052532E-3</v>
      </c>
    </row>
    <row r="619" spans="1:6" x14ac:dyDescent="0.25">
      <c r="A619" t="s">
        <v>191</v>
      </c>
      <c r="B619">
        <v>26390.670397999998</v>
      </c>
      <c r="D619" s="4">
        <f t="shared" si="18"/>
        <v>26390.670397999998</v>
      </c>
      <c r="E619" s="4">
        <f>+VLOOKUP(A619,Sheet3!A:B,2,FALSE)</f>
        <v>26390.68</v>
      </c>
      <c r="F619" s="4">
        <f t="shared" si="19"/>
        <v>9.6020000019052532E-3</v>
      </c>
    </row>
    <row r="620" spans="1:6" x14ac:dyDescent="0.25">
      <c r="A620" t="s">
        <v>814</v>
      </c>
      <c r="B620">
        <v>26390.670397999998</v>
      </c>
      <c r="D620" s="4">
        <f t="shared" si="18"/>
        <v>26390.670397999998</v>
      </c>
      <c r="E620" s="4">
        <f>+VLOOKUP(A620,Sheet3!A:B,2,FALSE)</f>
        <v>26390.68</v>
      </c>
      <c r="F620" s="4">
        <f t="shared" si="19"/>
        <v>9.6020000019052532E-3</v>
      </c>
    </row>
    <row r="621" spans="1:6" x14ac:dyDescent="0.25">
      <c r="A621" t="s">
        <v>725</v>
      </c>
      <c r="B621">
        <v>26390.670397999998</v>
      </c>
      <c r="D621" s="4">
        <f t="shared" si="18"/>
        <v>26390.670397999998</v>
      </c>
      <c r="E621" s="4">
        <f>+VLOOKUP(A621,Sheet3!A:B,2,FALSE)</f>
        <v>26390.68</v>
      </c>
      <c r="F621" s="4">
        <f t="shared" si="19"/>
        <v>9.6020000019052532E-3</v>
      </c>
    </row>
    <row r="622" spans="1:6" x14ac:dyDescent="0.25">
      <c r="A622" t="s">
        <v>699</v>
      </c>
      <c r="B622">
        <v>46254.080727</v>
      </c>
      <c r="D622" s="4">
        <f t="shared" si="18"/>
        <v>46254.080727</v>
      </c>
      <c r="E622" s="4">
        <f>+VLOOKUP(A622,Sheet3!A:B,2,FALSE)</f>
        <v>46254.09</v>
      </c>
      <c r="F622" s="4">
        <f t="shared" si="19"/>
        <v>9.2729999960283749E-3</v>
      </c>
    </row>
    <row r="623" spans="1:6" x14ac:dyDescent="0.25">
      <c r="A623" t="s">
        <v>258</v>
      </c>
      <c r="B623">
        <v>46254.080727</v>
      </c>
      <c r="D623" s="4">
        <f t="shared" si="18"/>
        <v>46254.080727</v>
      </c>
      <c r="E623" s="4">
        <f>+VLOOKUP(A623,Sheet3!A:B,2,FALSE)</f>
        <v>46254.09</v>
      </c>
      <c r="F623" s="4">
        <f t="shared" si="19"/>
        <v>9.2729999960283749E-3</v>
      </c>
    </row>
    <row r="624" spans="1:6" x14ac:dyDescent="0.25">
      <c r="A624" t="s">
        <v>653</v>
      </c>
      <c r="B624">
        <v>6924.0407869999999</v>
      </c>
      <c r="D624" s="4">
        <f t="shared" si="18"/>
        <v>6924.0407869999999</v>
      </c>
      <c r="E624" s="4">
        <f>+VLOOKUP(A624,Sheet3!A:B,2,FALSE)</f>
        <v>6924.05</v>
      </c>
      <c r="F624" s="4">
        <f t="shared" si="19"/>
        <v>9.2130000002725865E-3</v>
      </c>
    </row>
    <row r="625" spans="1:6" x14ac:dyDescent="0.25">
      <c r="A625" t="s">
        <v>639</v>
      </c>
      <c r="C625">
        <v>920.48901000000001</v>
      </c>
      <c r="D625" s="4">
        <f t="shared" si="18"/>
        <v>920.48901000000001</v>
      </c>
      <c r="E625" s="4">
        <f>+VLOOKUP(A625,Sheet3!A:B,2,FALSE)</f>
        <v>920.48</v>
      </c>
      <c r="F625" s="4">
        <f t="shared" si="19"/>
        <v>9.0099999999893043E-3</v>
      </c>
    </row>
    <row r="626" spans="1:6" x14ac:dyDescent="0.25">
      <c r="A626" t="s">
        <v>165</v>
      </c>
      <c r="B626">
        <v>16215.051009000001</v>
      </c>
      <c r="D626" s="4">
        <f t="shared" si="18"/>
        <v>16215.051009000001</v>
      </c>
      <c r="E626" s="4">
        <f>+VLOOKUP(A626,Sheet3!A:B,2,FALSE)</f>
        <v>16215.06</v>
      </c>
      <c r="F626" s="4">
        <f t="shared" si="19"/>
        <v>8.9909999987867195E-3</v>
      </c>
    </row>
    <row r="627" spans="1:6" x14ac:dyDescent="0.25">
      <c r="A627" t="s">
        <v>735</v>
      </c>
      <c r="B627">
        <v>38416.711018000002</v>
      </c>
      <c r="D627" s="4">
        <f t="shared" si="18"/>
        <v>38416.711018000002</v>
      </c>
      <c r="E627" s="4">
        <f>+VLOOKUP(A627,Sheet3!A:B,2,FALSE)</f>
        <v>38416.720000000001</v>
      </c>
      <c r="F627" s="4">
        <f t="shared" si="19"/>
        <v>8.9819999993778765E-3</v>
      </c>
    </row>
    <row r="628" spans="1:6" x14ac:dyDescent="0.25">
      <c r="A628" t="s">
        <v>781</v>
      </c>
      <c r="B628">
        <v>17062.521391999999</v>
      </c>
      <c r="D628" s="4">
        <f t="shared" si="18"/>
        <v>17062.521391999999</v>
      </c>
      <c r="E628" s="4">
        <f>+VLOOKUP(A628,Sheet3!A:B,2,FALSE)</f>
        <v>17062.53</v>
      </c>
      <c r="F628" s="4">
        <f t="shared" si="19"/>
        <v>8.6080000000947621E-3</v>
      </c>
    </row>
    <row r="629" spans="1:6" x14ac:dyDescent="0.25">
      <c r="A629" t="s">
        <v>505</v>
      </c>
      <c r="B629">
        <v>40296.191481000002</v>
      </c>
      <c r="D629" s="4">
        <f t="shared" si="18"/>
        <v>40296.191481000002</v>
      </c>
      <c r="E629" s="4">
        <f>+VLOOKUP(A629,Sheet3!A:B,2,FALSE)</f>
        <v>40296.199999999997</v>
      </c>
      <c r="F629" s="4">
        <f t="shared" si="19"/>
        <v>8.5189999954309314E-3</v>
      </c>
    </row>
    <row r="630" spans="1:6" x14ac:dyDescent="0.25">
      <c r="A630" t="s">
        <v>527</v>
      </c>
      <c r="B630">
        <v>40296.191481000002</v>
      </c>
      <c r="D630" s="4">
        <f t="shared" si="18"/>
        <v>40296.191481000002</v>
      </c>
      <c r="E630" s="4">
        <f>+VLOOKUP(A630,Sheet3!A:B,2,FALSE)</f>
        <v>40296.199999999997</v>
      </c>
      <c r="F630" s="4">
        <f t="shared" si="19"/>
        <v>8.5189999954309314E-3</v>
      </c>
    </row>
    <row r="631" spans="1:6" x14ac:dyDescent="0.25">
      <c r="A631" t="s">
        <v>384</v>
      </c>
      <c r="B631">
        <v>40296.191481000002</v>
      </c>
      <c r="D631" s="4">
        <f t="shared" si="18"/>
        <v>40296.191481000002</v>
      </c>
      <c r="E631" s="4">
        <f>+VLOOKUP(A631,Sheet3!A:B,2,FALSE)</f>
        <v>40296.199999999997</v>
      </c>
      <c r="F631" s="4">
        <f t="shared" si="19"/>
        <v>8.5189999954309314E-3</v>
      </c>
    </row>
    <row r="632" spans="1:6" x14ac:dyDescent="0.25">
      <c r="A632" t="s">
        <v>224</v>
      </c>
      <c r="B632">
        <v>40296.191481000002</v>
      </c>
      <c r="D632" s="4">
        <f t="shared" si="18"/>
        <v>40296.191481000002</v>
      </c>
      <c r="E632" s="4">
        <f>+VLOOKUP(A632,Sheet3!A:B,2,FALSE)</f>
        <v>40296.199999999997</v>
      </c>
      <c r="F632" s="4">
        <f t="shared" si="19"/>
        <v>8.5189999954309314E-3</v>
      </c>
    </row>
    <row r="633" spans="1:6" x14ac:dyDescent="0.25">
      <c r="A633" t="s">
        <v>655</v>
      </c>
      <c r="B633">
        <v>40296.191481000002</v>
      </c>
      <c r="D633" s="4">
        <f t="shared" si="18"/>
        <v>40296.191481000002</v>
      </c>
      <c r="E633" s="4">
        <f>+VLOOKUP(A633,Sheet3!A:B,2,FALSE)</f>
        <v>40296.199999999997</v>
      </c>
      <c r="F633" s="4">
        <f t="shared" si="19"/>
        <v>8.5189999954309314E-3</v>
      </c>
    </row>
    <row r="634" spans="1:6" x14ac:dyDescent="0.25">
      <c r="A634" t="s">
        <v>867</v>
      </c>
      <c r="B634">
        <v>7916.6715350000004</v>
      </c>
      <c r="D634" s="4">
        <f t="shared" si="18"/>
        <v>7916.6715350000004</v>
      </c>
      <c r="E634" s="4">
        <f>+VLOOKUP(A634,Sheet3!A:B,2,FALSE)</f>
        <v>7916.68</v>
      </c>
      <c r="F634" s="4">
        <f t="shared" si="19"/>
        <v>8.4649999998873682E-3</v>
      </c>
    </row>
    <row r="635" spans="1:6" x14ac:dyDescent="0.25">
      <c r="A635" t="s">
        <v>564</v>
      </c>
      <c r="B635">
        <v>39170.62154</v>
      </c>
      <c r="D635" s="4">
        <f t="shared" si="18"/>
        <v>39170.62154</v>
      </c>
      <c r="E635" s="4">
        <f>+VLOOKUP(A635,Sheet3!A:B,2,FALSE)</f>
        <v>39170.629999999997</v>
      </c>
      <c r="F635" s="4">
        <f t="shared" si="19"/>
        <v>8.4599999972851947E-3</v>
      </c>
    </row>
    <row r="636" spans="1:6" x14ac:dyDescent="0.25">
      <c r="A636" t="s">
        <v>28</v>
      </c>
      <c r="B636">
        <v>3432.1917239999998</v>
      </c>
      <c r="D636" s="4">
        <f t="shared" si="18"/>
        <v>3432.1917239999998</v>
      </c>
      <c r="E636" s="4">
        <f>+VLOOKUP(A636,Sheet3!A:B,2,FALSE)</f>
        <v>3432.2</v>
      </c>
      <c r="F636" s="4">
        <f t="shared" si="19"/>
        <v>8.2760000000234868E-3</v>
      </c>
    </row>
    <row r="637" spans="1:6" x14ac:dyDescent="0.25">
      <c r="A637" t="s">
        <v>424</v>
      </c>
      <c r="B637">
        <v>9083.5218789999999</v>
      </c>
      <c r="D637" s="4">
        <f t="shared" si="18"/>
        <v>9083.5218789999999</v>
      </c>
      <c r="E637" s="4">
        <f>+VLOOKUP(A637,Sheet3!A:B,2,FALSE)</f>
        <v>9083.5300000000007</v>
      </c>
      <c r="F637" s="4">
        <f t="shared" si="19"/>
        <v>8.1210000007558847E-3</v>
      </c>
    </row>
    <row r="638" spans="1:6" x14ac:dyDescent="0.25">
      <c r="A638" t="s">
        <v>548</v>
      </c>
      <c r="B638">
        <v>9083.5218789999999</v>
      </c>
      <c r="D638" s="4">
        <f t="shared" si="18"/>
        <v>9083.5218789999999</v>
      </c>
      <c r="E638" s="4">
        <f>+VLOOKUP(A638,Sheet3!A:B,2,FALSE)</f>
        <v>9083.5300000000007</v>
      </c>
      <c r="F638" s="4">
        <f t="shared" si="19"/>
        <v>8.1210000007558847E-3</v>
      </c>
    </row>
    <row r="639" spans="1:6" x14ac:dyDescent="0.25">
      <c r="A639" t="s">
        <v>30</v>
      </c>
      <c r="B639">
        <v>38397.971888</v>
      </c>
      <c r="D639" s="4">
        <f t="shared" si="18"/>
        <v>38397.971888</v>
      </c>
      <c r="E639" s="4">
        <f>+VLOOKUP(A639,Sheet3!A:B,2,FALSE)</f>
        <v>38397.980000000003</v>
      </c>
      <c r="F639" s="4">
        <f t="shared" si="19"/>
        <v>8.1120000031660311E-3</v>
      </c>
    </row>
    <row r="640" spans="1:6" x14ac:dyDescent="0.25">
      <c r="A640" t="s">
        <v>720</v>
      </c>
      <c r="B640">
        <v>36628.481973000002</v>
      </c>
      <c r="D640" s="4">
        <f t="shared" si="18"/>
        <v>36628.481973000002</v>
      </c>
      <c r="E640" s="4">
        <f>+VLOOKUP(A640,Sheet3!A:B,2,FALSE)</f>
        <v>36628.49</v>
      </c>
      <c r="F640" s="4">
        <f t="shared" si="19"/>
        <v>8.0269999962183647E-3</v>
      </c>
    </row>
    <row r="641" spans="1:6" x14ac:dyDescent="0.25">
      <c r="A641" t="s">
        <v>847</v>
      </c>
      <c r="B641">
        <v>12010.832050000001</v>
      </c>
      <c r="D641" s="4">
        <f t="shared" si="18"/>
        <v>12010.832050000001</v>
      </c>
      <c r="E641" s="4">
        <f>+VLOOKUP(A641,Sheet3!A:B,2,FALSE)</f>
        <v>12010.84</v>
      </c>
      <c r="F641" s="4">
        <f t="shared" si="19"/>
        <v>7.9499999992549419E-3</v>
      </c>
    </row>
    <row r="642" spans="1:6" x14ac:dyDescent="0.25">
      <c r="A642" t="s">
        <v>771</v>
      </c>
      <c r="B642">
        <v>41925.002127</v>
      </c>
      <c r="D642" s="4">
        <f t="shared" ref="D642:D705" si="20">+B642+C642</f>
        <v>41925.002127</v>
      </c>
      <c r="E642" s="4">
        <f>+VLOOKUP(A642,Sheet3!A:B,2,FALSE)</f>
        <v>41925.01</v>
      </c>
      <c r="F642" s="4">
        <f t="shared" ref="F642:F705" si="21">+ABS(E642-D642)</f>
        <v>7.8730000022915192E-3</v>
      </c>
    </row>
    <row r="643" spans="1:6" x14ac:dyDescent="0.25">
      <c r="A643" t="s">
        <v>447</v>
      </c>
      <c r="B643">
        <v>14996.532265</v>
      </c>
      <c r="D643" s="4">
        <f t="shared" si="20"/>
        <v>14996.532265</v>
      </c>
      <c r="E643" s="4">
        <f>+VLOOKUP(A643,Sheet3!A:B,2,FALSE)</f>
        <v>14996.54</v>
      </c>
      <c r="F643" s="4">
        <f t="shared" si="21"/>
        <v>7.73500000104832E-3</v>
      </c>
    </row>
    <row r="644" spans="1:6" x14ac:dyDescent="0.25">
      <c r="A644" t="s">
        <v>563</v>
      </c>
      <c r="B644">
        <v>12143.092290000001</v>
      </c>
      <c r="D644" s="4">
        <f t="shared" si="20"/>
        <v>12143.092290000001</v>
      </c>
      <c r="E644" s="4">
        <f>+VLOOKUP(A644,Sheet3!A:B,2,FALSE)</f>
        <v>12143.1</v>
      </c>
      <c r="F644" s="4">
        <f t="shared" si="21"/>
        <v>7.7099999998608837E-3</v>
      </c>
    </row>
    <row r="645" spans="1:6" x14ac:dyDescent="0.25">
      <c r="A645" t="s">
        <v>215</v>
      </c>
      <c r="B645">
        <v>45884.322377999997</v>
      </c>
      <c r="D645" s="4">
        <f t="shared" si="20"/>
        <v>45884.322377999997</v>
      </c>
      <c r="E645" s="4">
        <f>+VLOOKUP(A645,Sheet3!A:B,2,FALSE)</f>
        <v>45884.33</v>
      </c>
      <c r="F645" s="4">
        <f t="shared" si="21"/>
        <v>7.6220000046305358E-3</v>
      </c>
    </row>
    <row r="646" spans="1:6" x14ac:dyDescent="0.25">
      <c r="A646" t="s">
        <v>35</v>
      </c>
      <c r="B646">
        <v>21531.532411</v>
      </c>
      <c r="D646" s="4">
        <f t="shared" si="20"/>
        <v>21531.532411</v>
      </c>
      <c r="E646" s="4">
        <f>+VLOOKUP(A646,Sheet3!A:B,2,FALSE)</f>
        <v>21531.54</v>
      </c>
      <c r="F646" s="4">
        <f t="shared" si="21"/>
        <v>7.5890000007348135E-3</v>
      </c>
    </row>
    <row r="647" spans="1:6" x14ac:dyDescent="0.25">
      <c r="A647" t="s">
        <v>107</v>
      </c>
      <c r="B647">
        <v>34412.172430999999</v>
      </c>
      <c r="D647" s="4">
        <f t="shared" si="20"/>
        <v>34412.172430999999</v>
      </c>
      <c r="E647" s="4">
        <f>+VLOOKUP(A647,Sheet3!A:B,2,FALSE)</f>
        <v>34412.18</v>
      </c>
      <c r="F647" s="4">
        <f t="shared" si="21"/>
        <v>7.569000001240056E-3</v>
      </c>
    </row>
    <row r="648" spans="1:6" x14ac:dyDescent="0.25">
      <c r="A648" t="s">
        <v>790</v>
      </c>
      <c r="B648">
        <v>37922.432505999997</v>
      </c>
      <c r="D648" s="4">
        <f t="shared" si="20"/>
        <v>37922.432505999997</v>
      </c>
      <c r="E648" s="4">
        <f>+VLOOKUP(A648,Sheet3!A:B,2,FALSE)</f>
        <v>37922.44</v>
      </c>
      <c r="F648" s="4">
        <f t="shared" si="21"/>
        <v>7.4940000049537048E-3</v>
      </c>
    </row>
    <row r="649" spans="1:6" x14ac:dyDescent="0.25">
      <c r="A649" t="s">
        <v>646</v>
      </c>
      <c r="B649">
        <v>9584.1825590000008</v>
      </c>
      <c r="D649" s="4">
        <f t="shared" si="20"/>
        <v>9584.1825590000008</v>
      </c>
      <c r="E649" s="4">
        <f>+VLOOKUP(A649,Sheet3!A:B,2,FALSE)</f>
        <v>9584.19</v>
      </c>
      <c r="F649" s="4">
        <f t="shared" si="21"/>
        <v>7.4409999997442355E-3</v>
      </c>
    </row>
    <row r="650" spans="1:6" x14ac:dyDescent="0.25">
      <c r="A650" t="s">
        <v>652</v>
      </c>
      <c r="B650">
        <v>48772.592693999999</v>
      </c>
      <c r="D650" s="4">
        <f t="shared" si="20"/>
        <v>48772.592693999999</v>
      </c>
      <c r="E650" s="4">
        <f>+VLOOKUP(A650,Sheet3!A:B,2,FALSE)</f>
        <v>48772.6</v>
      </c>
      <c r="F650" s="4">
        <f t="shared" si="21"/>
        <v>7.3059999995166436E-3</v>
      </c>
    </row>
    <row r="651" spans="1:6" x14ac:dyDescent="0.25">
      <c r="A651" t="s">
        <v>159</v>
      </c>
      <c r="B651">
        <v>50988.562759</v>
      </c>
      <c r="D651" s="4">
        <f t="shared" si="20"/>
        <v>50988.562759</v>
      </c>
      <c r="E651" s="4">
        <f>+VLOOKUP(A651,Sheet3!A:B,2,FALSE)</f>
        <v>50988.57</v>
      </c>
      <c r="F651" s="4">
        <f t="shared" si="21"/>
        <v>7.2409999993396923E-3</v>
      </c>
    </row>
    <row r="652" spans="1:6" x14ac:dyDescent="0.25">
      <c r="A652" t="s">
        <v>55</v>
      </c>
      <c r="B652">
        <v>28275.243016</v>
      </c>
      <c r="D652" s="4">
        <f t="shared" si="20"/>
        <v>28275.243016</v>
      </c>
      <c r="E652" s="4">
        <f>+VLOOKUP(A652,Sheet3!A:B,2,FALSE)</f>
        <v>28275.25</v>
      </c>
      <c r="F652" s="4">
        <f t="shared" si="21"/>
        <v>6.9839999996474944E-3</v>
      </c>
    </row>
    <row r="653" spans="1:6" x14ac:dyDescent="0.25">
      <c r="A653" t="s">
        <v>946</v>
      </c>
      <c r="B653">
        <v>12766.983120000001</v>
      </c>
      <c r="D653" s="4">
        <f t="shared" si="20"/>
        <v>12766.983120000001</v>
      </c>
      <c r="E653" s="4">
        <f>+VLOOKUP(A653,Sheet3!A:B,2,FALSE)</f>
        <v>12766.99</v>
      </c>
      <c r="F653" s="4">
        <f t="shared" si="21"/>
        <v>6.8799999990005745E-3</v>
      </c>
    </row>
    <row r="654" spans="1:6" x14ac:dyDescent="0.25">
      <c r="A654" t="s">
        <v>68</v>
      </c>
      <c r="B654">
        <v>1753.993248</v>
      </c>
      <c r="D654" s="4">
        <f t="shared" si="20"/>
        <v>1753.993248</v>
      </c>
      <c r="E654" s="4">
        <f>+VLOOKUP(A654,Sheet3!A:B,2,FALSE)</f>
        <v>1754</v>
      </c>
      <c r="F654" s="4">
        <f t="shared" si="21"/>
        <v>6.7520000000058644E-3</v>
      </c>
    </row>
    <row r="655" spans="1:6" x14ac:dyDescent="0.25">
      <c r="A655" t="s">
        <v>64</v>
      </c>
      <c r="B655">
        <v>3115.9533649999998</v>
      </c>
      <c r="D655" s="4">
        <f t="shared" si="20"/>
        <v>3115.9533649999998</v>
      </c>
      <c r="E655" s="4">
        <f>+VLOOKUP(A655,Sheet3!A:B,2,FALSE)</f>
        <v>3115.96</v>
      </c>
      <c r="F655" s="4">
        <f t="shared" si="21"/>
        <v>6.6350000001875742E-3</v>
      </c>
    </row>
    <row r="656" spans="1:6" x14ac:dyDescent="0.25">
      <c r="A656" t="s">
        <v>322</v>
      </c>
      <c r="B656">
        <v>34297.293414</v>
      </c>
      <c r="D656" s="4">
        <f t="shared" si="20"/>
        <v>34297.293414</v>
      </c>
      <c r="E656" s="4">
        <f>+VLOOKUP(A656,Sheet3!A:B,2,FALSE)</f>
        <v>34297.300000000003</v>
      </c>
      <c r="F656" s="4">
        <f t="shared" si="21"/>
        <v>6.5860000031534582E-3</v>
      </c>
    </row>
    <row r="657" spans="1:6" x14ac:dyDescent="0.25">
      <c r="A657" t="s">
        <v>808</v>
      </c>
      <c r="B657">
        <v>63291.073449000003</v>
      </c>
      <c r="D657" s="4">
        <f t="shared" si="20"/>
        <v>63291.073449000003</v>
      </c>
      <c r="E657" s="4">
        <f>+VLOOKUP(A657,Sheet3!A:B,2,FALSE)</f>
        <v>63291.08</v>
      </c>
      <c r="F657" s="4">
        <f t="shared" si="21"/>
        <v>6.5509999985806644E-3</v>
      </c>
    </row>
    <row r="658" spans="1:6" x14ac:dyDescent="0.25">
      <c r="A658" t="s">
        <v>151</v>
      </c>
      <c r="B658">
        <v>16088.833461</v>
      </c>
      <c r="D658" s="4">
        <f t="shared" si="20"/>
        <v>16088.833461</v>
      </c>
      <c r="E658" s="4">
        <f>+VLOOKUP(A658,Sheet3!A:B,2,FALSE)</f>
        <v>16088.84</v>
      </c>
      <c r="F658" s="4">
        <f t="shared" si="21"/>
        <v>6.5389999999752035E-3</v>
      </c>
    </row>
    <row r="659" spans="1:6" x14ac:dyDescent="0.25">
      <c r="A659" t="s">
        <v>933</v>
      </c>
      <c r="B659">
        <v>41953.993462999999</v>
      </c>
      <c r="D659" s="4">
        <f t="shared" si="20"/>
        <v>41953.993462999999</v>
      </c>
      <c r="E659" s="4">
        <f>+VLOOKUP(A659,Sheet3!A:B,2,FALSE)</f>
        <v>41954</v>
      </c>
      <c r="F659" s="4">
        <f t="shared" si="21"/>
        <v>6.5370000011171214E-3</v>
      </c>
    </row>
    <row r="660" spans="1:6" x14ac:dyDescent="0.25">
      <c r="A660" t="s">
        <v>307</v>
      </c>
      <c r="B660">
        <v>1898.066536</v>
      </c>
      <c r="D660" s="4">
        <f t="shared" si="20"/>
        <v>1898.066536</v>
      </c>
      <c r="E660" s="4">
        <f>+VLOOKUP(A660,Sheet3!A:B,2,FALSE)</f>
        <v>1898.06</v>
      </c>
      <c r="F660" s="4">
        <f t="shared" si="21"/>
        <v>6.5360000000964646E-3</v>
      </c>
    </row>
    <row r="661" spans="1:6" x14ac:dyDescent="0.25">
      <c r="A661" t="s">
        <v>800</v>
      </c>
      <c r="B661">
        <v>45305.853569999999</v>
      </c>
      <c r="D661" s="4">
        <f t="shared" si="20"/>
        <v>45305.853569999999</v>
      </c>
      <c r="E661" s="4">
        <f>+VLOOKUP(A661,Sheet3!A:B,2,FALSE)</f>
        <v>45305.86</v>
      </c>
      <c r="F661" s="4">
        <f t="shared" si="21"/>
        <v>6.4300000012735836E-3</v>
      </c>
    </row>
    <row r="662" spans="1:6" x14ac:dyDescent="0.25">
      <c r="A662" t="s">
        <v>383</v>
      </c>
      <c r="B662">
        <v>493.52362299999999</v>
      </c>
      <c r="D662" s="4">
        <f t="shared" si="20"/>
        <v>493.52362299999999</v>
      </c>
      <c r="E662" s="4">
        <f>+VLOOKUP(A662,Sheet3!A:B,2,FALSE)</f>
        <v>493.53</v>
      </c>
      <c r="F662" s="4">
        <f t="shared" si="21"/>
        <v>6.3769999999863103E-3</v>
      </c>
    </row>
    <row r="663" spans="1:6" x14ac:dyDescent="0.25">
      <c r="A663" t="s">
        <v>417</v>
      </c>
      <c r="B663">
        <v>47468.593642</v>
      </c>
      <c r="D663" s="4">
        <f t="shared" si="20"/>
        <v>47468.593642</v>
      </c>
      <c r="E663" s="4">
        <f>+VLOOKUP(A663,Sheet3!A:B,2,FALSE)</f>
        <v>47468.6</v>
      </c>
      <c r="F663" s="4">
        <f t="shared" si="21"/>
        <v>6.357999998726882E-3</v>
      </c>
    </row>
    <row r="664" spans="1:6" x14ac:dyDescent="0.25">
      <c r="A664" t="s">
        <v>415</v>
      </c>
      <c r="B664">
        <v>30123.423698999999</v>
      </c>
      <c r="D664" s="4">
        <f t="shared" si="20"/>
        <v>30123.423698999999</v>
      </c>
      <c r="E664" s="4">
        <f>+VLOOKUP(A664,Sheet3!A:B,2,FALSE)</f>
        <v>30123.43</v>
      </c>
      <c r="F664" s="4">
        <f t="shared" si="21"/>
        <v>6.3010000012582168E-3</v>
      </c>
    </row>
    <row r="665" spans="1:6" x14ac:dyDescent="0.25">
      <c r="A665" t="s">
        <v>783</v>
      </c>
      <c r="B665">
        <v>2253.9637200000002</v>
      </c>
      <c r="D665" s="4">
        <f t="shared" si="20"/>
        <v>2253.9637200000002</v>
      </c>
      <c r="E665" s="4">
        <f>+VLOOKUP(A665,Sheet3!A:B,2,FALSE)</f>
        <v>2253.9699999999998</v>
      </c>
      <c r="F665" s="4">
        <f t="shared" si="21"/>
        <v>6.2799999996059341E-3</v>
      </c>
    </row>
    <row r="666" spans="1:6" x14ac:dyDescent="0.25">
      <c r="A666" t="s">
        <v>733</v>
      </c>
      <c r="B666">
        <v>1413.613724</v>
      </c>
      <c r="D666" s="4">
        <f t="shared" si="20"/>
        <v>1413.613724</v>
      </c>
      <c r="E666" s="4">
        <f>+VLOOKUP(A666,Sheet3!A:B,2,FALSE)</f>
        <v>1413.62</v>
      </c>
      <c r="F666" s="4">
        <f t="shared" si="21"/>
        <v>6.2759999998434068E-3</v>
      </c>
    </row>
    <row r="667" spans="1:6" x14ac:dyDescent="0.25">
      <c r="A667" t="s">
        <v>686</v>
      </c>
      <c r="B667">
        <v>47587.953755000002</v>
      </c>
      <c r="D667" s="4">
        <f t="shared" si="20"/>
        <v>47587.953755000002</v>
      </c>
      <c r="E667" s="4">
        <f>+VLOOKUP(A667,Sheet3!A:B,2,FALSE)</f>
        <v>47587.96</v>
      </c>
      <c r="F667" s="4">
        <f t="shared" si="21"/>
        <v>6.2449999968521297E-3</v>
      </c>
    </row>
    <row r="668" spans="1:6" x14ac:dyDescent="0.25">
      <c r="A668" t="s">
        <v>856</v>
      </c>
      <c r="B668">
        <v>213.903764</v>
      </c>
      <c r="D668" s="4">
        <f t="shared" si="20"/>
        <v>213.903764</v>
      </c>
      <c r="E668" s="4">
        <f>+VLOOKUP(A668,Sheet3!A:B,2,FALSE)</f>
        <v>213.91</v>
      </c>
      <c r="F668" s="4">
        <f t="shared" si="21"/>
        <v>6.2360000000012406E-3</v>
      </c>
    </row>
    <row r="669" spans="1:6" x14ac:dyDescent="0.25">
      <c r="A669" t="s">
        <v>842</v>
      </c>
      <c r="B669">
        <v>2692.8337929999998</v>
      </c>
      <c r="D669" s="4">
        <f t="shared" si="20"/>
        <v>2692.8337929999998</v>
      </c>
      <c r="E669" s="4">
        <f>+VLOOKUP(A669,Sheet3!A:B,2,FALSE)</f>
        <v>2692.84</v>
      </c>
      <c r="F669" s="4">
        <f t="shared" si="21"/>
        <v>6.2070000003586756E-3</v>
      </c>
    </row>
    <row r="670" spans="1:6" x14ac:dyDescent="0.25">
      <c r="A670" t="s">
        <v>718</v>
      </c>
      <c r="B670">
        <v>16393.683807000001</v>
      </c>
      <c r="D670" s="4">
        <f t="shared" si="20"/>
        <v>16393.683807000001</v>
      </c>
      <c r="E670" s="4">
        <f>+VLOOKUP(A670,Sheet3!A:B,2,FALSE)</f>
        <v>16393.689999999999</v>
      </c>
      <c r="F670" s="4">
        <f t="shared" si="21"/>
        <v>6.1929999974381644E-3</v>
      </c>
    </row>
    <row r="671" spans="1:6" x14ac:dyDescent="0.25">
      <c r="A671" t="s">
        <v>485</v>
      </c>
      <c r="B671">
        <v>685.38383999999996</v>
      </c>
      <c r="D671" s="4">
        <f t="shared" si="20"/>
        <v>685.38383999999996</v>
      </c>
      <c r="E671" s="4">
        <f>+VLOOKUP(A671,Sheet3!A:B,2,FALSE)</f>
        <v>685.39</v>
      </c>
      <c r="F671" s="4">
        <f t="shared" si="21"/>
        <v>6.1600000000225918E-3</v>
      </c>
    </row>
    <row r="672" spans="1:6" x14ac:dyDescent="0.25">
      <c r="A672" t="s">
        <v>796</v>
      </c>
      <c r="B672">
        <v>685.38383999999996</v>
      </c>
      <c r="D672" s="4">
        <f t="shared" si="20"/>
        <v>685.38383999999996</v>
      </c>
      <c r="E672" s="4">
        <f>+VLOOKUP(A672,Sheet3!A:B,2,FALSE)</f>
        <v>685.39</v>
      </c>
      <c r="F672" s="4">
        <f t="shared" si="21"/>
        <v>6.1600000000225918E-3</v>
      </c>
    </row>
    <row r="673" spans="1:6" x14ac:dyDescent="0.25">
      <c r="A673" t="s">
        <v>21</v>
      </c>
      <c r="B673">
        <v>685.38383999999996</v>
      </c>
      <c r="D673" s="4">
        <f t="shared" si="20"/>
        <v>685.38383999999996</v>
      </c>
      <c r="E673" s="4">
        <f>+VLOOKUP(A673,Sheet3!A:B,2,FALSE)</f>
        <v>685.39</v>
      </c>
      <c r="F673" s="4">
        <f t="shared" si="21"/>
        <v>6.1600000000225918E-3</v>
      </c>
    </row>
    <row r="674" spans="1:6" x14ac:dyDescent="0.25">
      <c r="A674" t="s">
        <v>574</v>
      </c>
      <c r="B674">
        <v>37467.193849000003</v>
      </c>
      <c r="D674" s="4">
        <f t="shared" si="20"/>
        <v>37467.193849000003</v>
      </c>
      <c r="E674" s="4">
        <f>+VLOOKUP(A674,Sheet3!A:B,2,FALSE)</f>
        <v>37467.199999999997</v>
      </c>
      <c r="F674" s="4">
        <f t="shared" si="21"/>
        <v>6.1509999941335991E-3</v>
      </c>
    </row>
    <row r="675" spans="1:6" x14ac:dyDescent="0.25">
      <c r="A675" t="s">
        <v>88</v>
      </c>
      <c r="B675">
        <v>48568.023853999999</v>
      </c>
      <c r="D675" s="4">
        <f t="shared" si="20"/>
        <v>48568.023853999999</v>
      </c>
      <c r="E675" s="4">
        <f>+VLOOKUP(A675,Sheet3!A:B,2,FALSE)</f>
        <v>48568.03</v>
      </c>
      <c r="F675" s="4">
        <f t="shared" si="21"/>
        <v>6.1459999997168779E-3</v>
      </c>
    </row>
    <row r="676" spans="1:6" x14ac:dyDescent="0.25">
      <c r="A676" t="s">
        <v>453</v>
      </c>
      <c r="B676">
        <v>10525.823861999999</v>
      </c>
      <c r="D676" s="4">
        <f t="shared" si="20"/>
        <v>10525.823861999999</v>
      </c>
      <c r="E676" s="4">
        <f>+VLOOKUP(A676,Sheet3!A:B,2,FALSE)</f>
        <v>10525.83</v>
      </c>
      <c r="F676" s="4">
        <f t="shared" si="21"/>
        <v>6.1380000006465707E-3</v>
      </c>
    </row>
    <row r="677" spans="1:6" x14ac:dyDescent="0.25">
      <c r="A677" t="s">
        <v>315</v>
      </c>
      <c r="B677">
        <v>42755.973927999999</v>
      </c>
      <c r="D677" s="4">
        <f t="shared" si="20"/>
        <v>42755.973927999999</v>
      </c>
      <c r="E677" s="4">
        <f>+VLOOKUP(A677,Sheet3!A:B,2,FALSE)</f>
        <v>42755.98</v>
      </c>
      <c r="F677" s="4">
        <f t="shared" si="21"/>
        <v>6.0720000037690625E-3</v>
      </c>
    </row>
    <row r="678" spans="1:6" x14ac:dyDescent="0.25">
      <c r="A678" t="s">
        <v>282</v>
      </c>
      <c r="B678">
        <v>15821.054002999999</v>
      </c>
      <c r="D678" s="4">
        <f t="shared" si="20"/>
        <v>15821.054002999999</v>
      </c>
      <c r="E678" s="4">
        <f>+VLOOKUP(A678,Sheet3!A:B,2,FALSE)</f>
        <v>15821.06</v>
      </c>
      <c r="F678" s="4">
        <f t="shared" si="21"/>
        <v>5.9970000002067536E-3</v>
      </c>
    </row>
    <row r="679" spans="1:6" x14ac:dyDescent="0.25">
      <c r="A679" t="s">
        <v>723</v>
      </c>
      <c r="B679">
        <v>1360.974003</v>
      </c>
      <c r="D679" s="4">
        <f t="shared" si="20"/>
        <v>1360.974003</v>
      </c>
      <c r="E679" s="4">
        <f>+VLOOKUP(A679,Sheet3!A:B,2,FALSE)</f>
        <v>1360.98</v>
      </c>
      <c r="F679" s="4">
        <f t="shared" si="21"/>
        <v>5.9969999999793799E-3</v>
      </c>
    </row>
    <row r="680" spans="1:6" x14ac:dyDescent="0.25">
      <c r="A680" t="s">
        <v>355</v>
      </c>
      <c r="B680">
        <v>483.92459700000001</v>
      </c>
      <c r="C680">
        <v>411.06139400000001</v>
      </c>
      <c r="D680" s="4">
        <f t="shared" si="20"/>
        <v>894.98599100000001</v>
      </c>
      <c r="E680" s="4">
        <f>+VLOOKUP(A680,Sheet3!A:B,2,FALSE)</f>
        <v>894.98</v>
      </c>
      <c r="F680" s="4">
        <f t="shared" si="21"/>
        <v>5.9909999999945285E-3</v>
      </c>
    </row>
    <row r="681" spans="1:6" x14ac:dyDescent="0.25">
      <c r="A681" t="s">
        <v>606</v>
      </c>
      <c r="B681">
        <v>929.93606799999998</v>
      </c>
      <c r="C681">
        <v>789.918137</v>
      </c>
      <c r="D681" s="4">
        <f t="shared" si="20"/>
        <v>1719.8542050000001</v>
      </c>
      <c r="E681" s="4">
        <f>+VLOOKUP(A681,Sheet3!A:B,2,FALSE)</f>
        <v>1719.8600000000001</v>
      </c>
      <c r="F681" s="4">
        <f t="shared" si="21"/>
        <v>5.7950000000346336E-3</v>
      </c>
    </row>
    <row r="682" spans="1:6" x14ac:dyDescent="0.25">
      <c r="A682" t="s">
        <v>197</v>
      </c>
      <c r="B682">
        <v>1111.3642110000001</v>
      </c>
      <c r="D682" s="4">
        <f t="shared" si="20"/>
        <v>1111.3642110000001</v>
      </c>
      <c r="E682" s="4">
        <f>+VLOOKUP(A682,Sheet3!A:B,2,FALSE)</f>
        <v>1111.3699999999999</v>
      </c>
      <c r="F682" s="4">
        <f t="shared" si="21"/>
        <v>5.7889999998224084E-3</v>
      </c>
    </row>
    <row r="683" spans="1:6" x14ac:dyDescent="0.25">
      <c r="A683" t="s">
        <v>389</v>
      </c>
      <c r="B683">
        <v>1820.1342540000001</v>
      </c>
      <c r="D683" s="4">
        <f t="shared" si="20"/>
        <v>1820.1342540000001</v>
      </c>
      <c r="E683" s="4">
        <f>+VLOOKUP(A683,Sheet3!A:B,2,FALSE)</f>
        <v>1820.14</v>
      </c>
      <c r="F683" s="4">
        <f t="shared" si="21"/>
        <v>5.7460000000446598E-3</v>
      </c>
    </row>
    <row r="684" spans="1:6" x14ac:dyDescent="0.25">
      <c r="A684" t="s">
        <v>576</v>
      </c>
      <c r="B684">
        <v>840.77426700000001</v>
      </c>
      <c r="D684" s="4">
        <f t="shared" si="20"/>
        <v>840.77426700000001</v>
      </c>
      <c r="E684" s="4">
        <f>+VLOOKUP(A684,Sheet3!A:B,2,FALSE)</f>
        <v>840.78</v>
      </c>
      <c r="F684" s="4">
        <f t="shared" si="21"/>
        <v>5.7329999999637948E-3</v>
      </c>
    </row>
    <row r="685" spans="1:6" x14ac:dyDescent="0.25">
      <c r="A685" t="s">
        <v>94</v>
      </c>
      <c r="B685">
        <v>230944.50571500001</v>
      </c>
      <c r="D685" s="4">
        <f t="shared" si="20"/>
        <v>230944.50571500001</v>
      </c>
      <c r="E685" s="4">
        <f>+VLOOKUP(A685,Sheet3!A:B,2,FALSE)</f>
        <v>230944.5</v>
      </c>
      <c r="F685" s="4">
        <f t="shared" si="21"/>
        <v>5.7150000066030771E-3</v>
      </c>
    </row>
    <row r="686" spans="1:6" x14ac:dyDescent="0.25">
      <c r="A686" t="s">
        <v>932</v>
      </c>
      <c r="B686">
        <v>230944.50571500001</v>
      </c>
      <c r="D686" s="4">
        <f t="shared" si="20"/>
        <v>230944.50571500001</v>
      </c>
      <c r="E686" s="4">
        <f>+VLOOKUP(A686,Sheet3!A:B,2,FALSE)</f>
        <v>230944.5</v>
      </c>
      <c r="F686" s="4">
        <f t="shared" si="21"/>
        <v>5.7150000066030771E-3</v>
      </c>
    </row>
    <row r="687" spans="1:6" x14ac:dyDescent="0.25">
      <c r="A687" t="s">
        <v>625</v>
      </c>
      <c r="C687">
        <v>31.154298000000001</v>
      </c>
      <c r="D687" s="4">
        <f t="shared" si="20"/>
        <v>31.154298000000001</v>
      </c>
      <c r="E687" s="4">
        <f>+VLOOKUP(A687,Sheet3!A:B,2,FALSE)</f>
        <v>31.16</v>
      </c>
      <c r="F687" s="4">
        <f t="shared" si="21"/>
        <v>5.7019999999994297E-3</v>
      </c>
    </row>
    <row r="688" spans="1:6" x14ac:dyDescent="0.25">
      <c r="A688" t="s">
        <v>65</v>
      </c>
      <c r="B688">
        <v>47866.664371999999</v>
      </c>
      <c r="D688" s="4">
        <f t="shared" si="20"/>
        <v>47866.664371999999</v>
      </c>
      <c r="E688" s="4">
        <f>+VLOOKUP(A688,Sheet3!A:B,2,FALSE)</f>
        <v>47866.67</v>
      </c>
      <c r="F688" s="4">
        <f t="shared" si="21"/>
        <v>5.6279999989783391E-3</v>
      </c>
    </row>
    <row r="689" spans="1:6" x14ac:dyDescent="0.25">
      <c r="A689" t="s">
        <v>685</v>
      </c>
      <c r="B689">
        <v>400.51437199999998</v>
      </c>
      <c r="C689">
        <v>340.21001799999999</v>
      </c>
      <c r="D689" s="4">
        <f t="shared" si="20"/>
        <v>740.72438999999997</v>
      </c>
      <c r="E689" s="4">
        <f>+VLOOKUP(A689,Sheet3!A:B,2,FALSE)</f>
        <v>740.73</v>
      </c>
      <c r="F689" s="4">
        <f t="shared" si="21"/>
        <v>5.6100000000469663E-3</v>
      </c>
    </row>
    <row r="690" spans="1:6" x14ac:dyDescent="0.25">
      <c r="A690" t="s">
        <v>351</v>
      </c>
      <c r="B690">
        <v>1028.144419</v>
      </c>
      <c r="D690" s="4">
        <f t="shared" si="20"/>
        <v>1028.144419</v>
      </c>
      <c r="E690" s="4">
        <f>+VLOOKUP(A690,Sheet3!A:B,2,FALSE)</f>
        <v>1028.1500000000001</v>
      </c>
      <c r="F690" s="4">
        <f t="shared" si="21"/>
        <v>5.5810000001201843E-3</v>
      </c>
    </row>
    <row r="691" spans="1:6" x14ac:dyDescent="0.25">
      <c r="A691" t="s">
        <v>925</v>
      </c>
      <c r="C691">
        <v>212.004457</v>
      </c>
      <c r="D691" s="4">
        <f t="shared" si="20"/>
        <v>212.004457</v>
      </c>
      <c r="E691" s="4">
        <f>+VLOOKUP(A691,Sheet3!A:B,2,FALSE)</f>
        <v>212.01</v>
      </c>
      <c r="F691" s="4">
        <f t="shared" si="21"/>
        <v>5.5429999999887514E-3</v>
      </c>
    </row>
    <row r="692" spans="1:6" x14ac:dyDescent="0.25">
      <c r="A692" t="s">
        <v>738</v>
      </c>
      <c r="B692">
        <v>47342.104511999998</v>
      </c>
      <c r="D692" s="4">
        <f t="shared" si="20"/>
        <v>47342.104511999998</v>
      </c>
      <c r="E692" s="4">
        <f>+VLOOKUP(A692,Sheet3!A:B,2,FALSE)</f>
        <v>47342.11</v>
      </c>
      <c r="F692" s="4">
        <f t="shared" si="21"/>
        <v>5.4880000025150366E-3</v>
      </c>
    </row>
    <row r="693" spans="1:6" x14ac:dyDescent="0.25">
      <c r="A693" t="s">
        <v>186</v>
      </c>
      <c r="B693">
        <v>536.29453000000001</v>
      </c>
      <c r="D693" s="4">
        <f t="shared" si="20"/>
        <v>536.29453000000001</v>
      </c>
      <c r="E693" s="4">
        <f>+VLOOKUP(A693,Sheet3!A:B,2,FALSE)</f>
        <v>536.29999999999995</v>
      </c>
      <c r="F693" s="4">
        <f t="shared" si="21"/>
        <v>5.469999999945685E-3</v>
      </c>
    </row>
    <row r="694" spans="1:6" x14ac:dyDescent="0.25">
      <c r="A694" t="s">
        <v>777</v>
      </c>
      <c r="B694">
        <v>13938.314560999999</v>
      </c>
      <c r="D694" s="4">
        <f t="shared" si="20"/>
        <v>13938.314560999999</v>
      </c>
      <c r="E694" s="4">
        <f>+VLOOKUP(A694,Sheet3!A:B,2,FALSE)</f>
        <v>13938.32</v>
      </c>
      <c r="F694" s="4">
        <f t="shared" si="21"/>
        <v>5.4390000004786998E-3</v>
      </c>
    </row>
    <row r="695" spans="1:6" x14ac:dyDescent="0.25">
      <c r="A695" t="s">
        <v>788</v>
      </c>
      <c r="B695">
        <v>916.01458400000001</v>
      </c>
      <c r="D695" s="4">
        <f t="shared" si="20"/>
        <v>916.01458400000001</v>
      </c>
      <c r="E695" s="4">
        <f>+VLOOKUP(A695,Sheet3!A:B,2,FALSE)</f>
        <v>916.02</v>
      </c>
      <c r="F695" s="4">
        <f t="shared" si="21"/>
        <v>5.415999999968335E-3</v>
      </c>
    </row>
    <row r="696" spans="1:6" x14ac:dyDescent="0.25">
      <c r="A696" t="s">
        <v>34</v>
      </c>
      <c r="B696">
        <v>2162.9046109999999</v>
      </c>
      <c r="D696" s="4">
        <f t="shared" si="20"/>
        <v>2162.9046109999999</v>
      </c>
      <c r="E696" s="4">
        <f>+VLOOKUP(A696,Sheet3!A:B,2,FALSE)</f>
        <v>2162.91</v>
      </c>
      <c r="F696" s="4">
        <f t="shared" si="21"/>
        <v>5.3889999999228166E-3</v>
      </c>
    </row>
    <row r="697" spans="1:6" x14ac:dyDescent="0.25">
      <c r="A697" t="s">
        <v>664</v>
      </c>
      <c r="B697">
        <v>513.78461700000003</v>
      </c>
      <c r="D697" s="4">
        <f t="shared" si="20"/>
        <v>513.78461700000003</v>
      </c>
      <c r="E697" s="4">
        <f>+VLOOKUP(A697,Sheet3!A:B,2,FALSE)</f>
        <v>513.79</v>
      </c>
      <c r="F697" s="4">
        <f t="shared" si="21"/>
        <v>5.3829999999379652E-3</v>
      </c>
    </row>
    <row r="698" spans="1:6" x14ac:dyDescent="0.25">
      <c r="A698" t="s">
        <v>544</v>
      </c>
      <c r="B698">
        <v>849.27916600000003</v>
      </c>
      <c r="C698">
        <v>721.40552400000001</v>
      </c>
      <c r="D698" s="4">
        <f t="shared" si="20"/>
        <v>1570.68469</v>
      </c>
      <c r="E698" s="4">
        <f>+VLOOKUP(A698,Sheet3!A:B,2,FALSE)</f>
        <v>1570.69</v>
      </c>
      <c r="F698" s="4">
        <f t="shared" si="21"/>
        <v>5.3100000000085856E-3</v>
      </c>
    </row>
    <row r="699" spans="1:6" x14ac:dyDescent="0.25">
      <c r="A699" t="s">
        <v>578</v>
      </c>
      <c r="B699">
        <v>5750.8552589999999</v>
      </c>
      <c r="D699" s="4">
        <f t="shared" si="20"/>
        <v>5750.8552589999999</v>
      </c>
      <c r="E699" s="4">
        <f>+VLOOKUP(A699,Sheet3!A:B,2,FALSE)</f>
        <v>5750.85</v>
      </c>
      <c r="F699" s="4">
        <f t="shared" si="21"/>
        <v>5.2589999995689141E-3</v>
      </c>
    </row>
    <row r="700" spans="1:6" x14ac:dyDescent="0.25">
      <c r="A700" t="s">
        <v>692</v>
      </c>
      <c r="B700">
        <v>21779.214830000001</v>
      </c>
      <c r="D700" s="4">
        <f t="shared" si="20"/>
        <v>21779.214830000001</v>
      </c>
      <c r="E700" s="4">
        <f>+VLOOKUP(A700,Sheet3!A:B,2,FALSE)</f>
        <v>21779.22</v>
      </c>
      <c r="F700" s="4">
        <f t="shared" si="21"/>
        <v>5.1700000003620517E-3</v>
      </c>
    </row>
    <row r="701" spans="1:6" x14ac:dyDescent="0.25">
      <c r="A701" t="s">
        <v>671</v>
      </c>
      <c r="B701">
        <v>437.29250300000001</v>
      </c>
      <c r="C701">
        <v>558.42266500000005</v>
      </c>
      <c r="D701" s="4">
        <f t="shared" si="20"/>
        <v>995.71516800000006</v>
      </c>
      <c r="E701" s="4">
        <f>+VLOOKUP(A701,Sheet3!A:B,2,FALSE)</f>
        <v>995.71</v>
      </c>
      <c r="F701" s="4">
        <f t="shared" si="21"/>
        <v>5.1680000000260407E-3</v>
      </c>
    </row>
    <row r="702" spans="1:6" x14ac:dyDescent="0.25">
      <c r="A702" t="s">
        <v>907</v>
      </c>
      <c r="B702">
        <v>45386.784887000002</v>
      </c>
      <c r="D702" s="4">
        <f t="shared" si="20"/>
        <v>45386.784887000002</v>
      </c>
      <c r="E702" s="4">
        <f>+VLOOKUP(A702,Sheet3!A:B,2,FALSE)</f>
        <v>45386.79</v>
      </c>
      <c r="F702" s="4">
        <f t="shared" si="21"/>
        <v>5.1129999992554076E-3</v>
      </c>
    </row>
    <row r="703" spans="1:6" x14ac:dyDescent="0.25">
      <c r="A703" t="s">
        <v>776</v>
      </c>
      <c r="B703">
        <v>2967.304924</v>
      </c>
      <c r="D703" s="4">
        <f t="shared" si="20"/>
        <v>2967.304924</v>
      </c>
      <c r="E703" s="4">
        <f>+VLOOKUP(A703,Sheet3!A:B,2,FALSE)</f>
        <v>2967.31</v>
      </c>
      <c r="F703" s="4">
        <f t="shared" si="21"/>
        <v>5.0759999999172578E-3</v>
      </c>
    </row>
    <row r="704" spans="1:6" x14ac:dyDescent="0.25">
      <c r="A704" t="s">
        <v>798</v>
      </c>
      <c r="B704">
        <v>685.91497800000002</v>
      </c>
      <c r="D704" s="4">
        <f t="shared" si="20"/>
        <v>685.91497800000002</v>
      </c>
      <c r="E704" s="4">
        <f>+VLOOKUP(A704,Sheet3!A:B,2,FALSE)</f>
        <v>685.92</v>
      </c>
      <c r="F704" s="4">
        <f t="shared" si="21"/>
        <v>5.0219999999399079E-3</v>
      </c>
    </row>
    <row r="705" spans="1:6" x14ac:dyDescent="0.25">
      <c r="A705" t="s">
        <v>481</v>
      </c>
      <c r="B705">
        <v>1353.0950150000001</v>
      </c>
      <c r="D705" s="4">
        <f t="shared" si="20"/>
        <v>1353.0950150000001</v>
      </c>
      <c r="E705" s="4">
        <f>+VLOOKUP(A705,Sheet3!A:B,2,FALSE)</f>
        <v>1353.1</v>
      </c>
      <c r="F705" s="4">
        <f t="shared" si="21"/>
        <v>4.9849999998059502E-3</v>
      </c>
    </row>
    <row r="706" spans="1:6" x14ac:dyDescent="0.25">
      <c r="A706" t="s">
        <v>430</v>
      </c>
      <c r="B706">
        <v>696.17502200000001</v>
      </c>
      <c r="D706" s="4">
        <f t="shared" ref="D706:D769" si="22">+B706+C706</f>
        <v>696.17502200000001</v>
      </c>
      <c r="E706" s="4">
        <f>+VLOOKUP(A706,Sheet3!A:B,2,FALSE)</f>
        <v>696.18</v>
      </c>
      <c r="F706" s="4">
        <f t="shared" ref="F706:F769" si="23">+ABS(E706-D706)</f>
        <v>4.9779999999373103E-3</v>
      </c>
    </row>
    <row r="707" spans="1:6" x14ac:dyDescent="0.25">
      <c r="A707" t="s">
        <v>766</v>
      </c>
      <c r="C707">
        <v>273.87503199999998</v>
      </c>
      <c r="D707" s="4">
        <f t="shared" si="22"/>
        <v>273.87503199999998</v>
      </c>
      <c r="E707" s="4">
        <f>+VLOOKUP(A707,Sheet3!A:B,2,FALSE)</f>
        <v>273.88</v>
      </c>
      <c r="F707" s="4">
        <f t="shared" si="23"/>
        <v>4.9680000000194013E-3</v>
      </c>
    </row>
    <row r="708" spans="1:6" x14ac:dyDescent="0.25">
      <c r="A708" t="s">
        <v>210</v>
      </c>
      <c r="B708">
        <v>42.035086</v>
      </c>
      <c r="D708" s="4">
        <f t="shared" si="22"/>
        <v>42.035086</v>
      </c>
      <c r="E708" s="4">
        <f>+VLOOKUP(A708,Sheet3!A:B,2,FALSE)</f>
        <v>42.04</v>
      </c>
      <c r="F708" s="4">
        <f t="shared" si="23"/>
        <v>4.9139999999994188E-3</v>
      </c>
    </row>
    <row r="709" spans="1:6" x14ac:dyDescent="0.25">
      <c r="A709" t="s">
        <v>293</v>
      </c>
      <c r="B709">
        <v>42.035086</v>
      </c>
      <c r="D709" s="4">
        <f t="shared" si="22"/>
        <v>42.035086</v>
      </c>
      <c r="E709" s="4">
        <f>+VLOOKUP(A709,Sheet3!A:B,2,FALSE)</f>
        <v>42.04</v>
      </c>
      <c r="F709" s="4">
        <f t="shared" si="23"/>
        <v>4.9139999999994188E-3</v>
      </c>
    </row>
    <row r="710" spans="1:6" x14ac:dyDescent="0.25">
      <c r="A710" t="s">
        <v>15</v>
      </c>
      <c r="C710">
        <v>710.66508599999997</v>
      </c>
      <c r="D710" s="4">
        <f t="shared" si="22"/>
        <v>710.66508599999997</v>
      </c>
      <c r="E710" s="4">
        <f>+VLOOKUP(A710,Sheet3!A:B,2,FALSE)</f>
        <v>710.67</v>
      </c>
      <c r="F710" s="4">
        <f t="shared" si="23"/>
        <v>4.913999999985208E-3</v>
      </c>
    </row>
    <row r="711" spans="1:6" x14ac:dyDescent="0.25">
      <c r="A711" t="s">
        <v>287</v>
      </c>
      <c r="B711">
        <v>366.755089</v>
      </c>
      <c r="D711" s="4">
        <f t="shared" si="22"/>
        <v>366.755089</v>
      </c>
      <c r="E711" s="4">
        <f>+VLOOKUP(A711,Sheet3!A:B,2,FALSE)</f>
        <v>366.76</v>
      </c>
      <c r="F711" s="4">
        <f t="shared" si="23"/>
        <v>4.9109999999927823E-3</v>
      </c>
    </row>
    <row r="712" spans="1:6" x14ac:dyDescent="0.25">
      <c r="A712" t="s">
        <v>242</v>
      </c>
      <c r="B712">
        <v>727.03093799999999</v>
      </c>
      <c r="C712">
        <v>617.56387800000005</v>
      </c>
      <c r="D712" s="4">
        <f t="shared" si="22"/>
        <v>1344.594816</v>
      </c>
      <c r="E712" s="4">
        <f>+VLOOKUP(A712,Sheet3!A:B,2,FALSE)</f>
        <v>1344.59</v>
      </c>
      <c r="F712" s="4">
        <f t="shared" si="23"/>
        <v>4.8160000001189474E-3</v>
      </c>
    </row>
    <row r="713" spans="1:6" x14ac:dyDescent="0.25">
      <c r="A713" t="s">
        <v>497</v>
      </c>
      <c r="B713">
        <v>740.06520599999999</v>
      </c>
      <c r="D713" s="4">
        <f t="shared" si="22"/>
        <v>740.06520599999999</v>
      </c>
      <c r="E713" s="4">
        <f>+VLOOKUP(A713,Sheet3!A:B,2,FALSE)</f>
        <v>740.07</v>
      </c>
      <c r="F713" s="4">
        <f t="shared" si="23"/>
        <v>4.7940000000608052E-3</v>
      </c>
    </row>
    <row r="714" spans="1:6" x14ac:dyDescent="0.25">
      <c r="A714" t="s">
        <v>325</v>
      </c>
      <c r="B714">
        <v>1542.1052199999999</v>
      </c>
      <c r="D714" s="4">
        <f t="shared" si="22"/>
        <v>1542.1052199999999</v>
      </c>
      <c r="E714" s="4">
        <f>+VLOOKUP(A714,Sheet3!A:B,2,FALSE)</f>
        <v>1542.11</v>
      </c>
      <c r="F714" s="4">
        <f t="shared" si="23"/>
        <v>4.7799999999824649E-3</v>
      </c>
    </row>
    <row r="715" spans="1:6" x14ac:dyDescent="0.25">
      <c r="A715" t="s">
        <v>266</v>
      </c>
      <c r="B715">
        <v>182.95522399999999</v>
      </c>
      <c r="D715" s="4">
        <f t="shared" si="22"/>
        <v>182.95522399999999</v>
      </c>
      <c r="E715" s="4">
        <f>+VLOOKUP(A715,Sheet3!A:B,2,FALSE)</f>
        <v>182.96</v>
      </c>
      <c r="F715" s="4">
        <f t="shared" si="23"/>
        <v>4.7760000000209857E-3</v>
      </c>
    </row>
    <row r="716" spans="1:6" x14ac:dyDescent="0.25">
      <c r="A716" t="s">
        <v>601</v>
      </c>
      <c r="B716">
        <v>3312.2052560000002</v>
      </c>
      <c r="D716" s="4">
        <f t="shared" si="22"/>
        <v>3312.2052560000002</v>
      </c>
      <c r="E716" s="4">
        <f>+VLOOKUP(A716,Sheet3!A:B,2,FALSE)</f>
        <v>3312.21</v>
      </c>
      <c r="F716" s="4">
        <f t="shared" si="23"/>
        <v>4.7439999998459825E-3</v>
      </c>
    </row>
    <row r="717" spans="1:6" x14ac:dyDescent="0.25">
      <c r="A717" t="s">
        <v>900</v>
      </c>
      <c r="B717">
        <v>3312.2052560000002</v>
      </c>
      <c r="D717" s="4">
        <f t="shared" si="22"/>
        <v>3312.2052560000002</v>
      </c>
      <c r="E717" s="4">
        <f>+VLOOKUP(A717,Sheet3!A:B,2,FALSE)</f>
        <v>3312.21</v>
      </c>
      <c r="F717" s="4">
        <f t="shared" si="23"/>
        <v>4.7439999998459825E-3</v>
      </c>
    </row>
    <row r="718" spans="1:6" x14ac:dyDescent="0.25">
      <c r="A718" t="s">
        <v>382</v>
      </c>
      <c r="B718">
        <v>318.15537499999999</v>
      </c>
      <c r="D718" s="4">
        <f t="shared" si="22"/>
        <v>318.15537499999999</v>
      </c>
      <c r="E718" s="4">
        <f>+VLOOKUP(A718,Sheet3!A:B,2,FALSE)</f>
        <v>318.16000000000003</v>
      </c>
      <c r="F718" s="4">
        <f t="shared" si="23"/>
        <v>4.6250000000327418E-3</v>
      </c>
    </row>
    <row r="719" spans="1:6" x14ac:dyDescent="0.25">
      <c r="A719" t="s">
        <v>175</v>
      </c>
      <c r="B719">
        <v>2064.025431</v>
      </c>
      <c r="D719" s="4">
        <f t="shared" si="22"/>
        <v>2064.025431</v>
      </c>
      <c r="E719" s="4">
        <f>+VLOOKUP(A719,Sheet3!A:B,2,FALSE)</f>
        <v>2064.0300000000002</v>
      </c>
      <c r="F719" s="4">
        <f t="shared" si="23"/>
        <v>4.5690000001741282E-3</v>
      </c>
    </row>
    <row r="720" spans="1:6" x14ac:dyDescent="0.25">
      <c r="A720" t="s">
        <v>756</v>
      </c>
      <c r="B720">
        <v>191.53545299999999</v>
      </c>
      <c r="D720" s="4">
        <f t="shared" si="22"/>
        <v>191.53545299999999</v>
      </c>
      <c r="E720" s="4">
        <f>+VLOOKUP(A720,Sheet3!A:B,2,FALSE)</f>
        <v>191.54</v>
      </c>
      <c r="F720" s="4">
        <f t="shared" si="23"/>
        <v>4.5470000000022992E-3</v>
      </c>
    </row>
    <row r="721" spans="1:6" x14ac:dyDescent="0.25">
      <c r="A721" t="s">
        <v>434</v>
      </c>
      <c r="B721">
        <v>349.284516</v>
      </c>
      <c r="D721" s="4">
        <f t="shared" si="22"/>
        <v>349.284516</v>
      </c>
      <c r="E721" s="4">
        <f>+VLOOKUP(A721,Sheet3!A:B,2,FALSE)</f>
        <v>349.28</v>
      </c>
      <c r="F721" s="4">
        <f t="shared" si="23"/>
        <v>4.5160000000237233E-3</v>
      </c>
    </row>
    <row r="722" spans="1:6" x14ac:dyDescent="0.25">
      <c r="A722" t="s">
        <v>409</v>
      </c>
      <c r="B722">
        <v>39043.385560000002</v>
      </c>
      <c r="D722" s="4">
        <f t="shared" si="22"/>
        <v>39043.385560000002</v>
      </c>
      <c r="E722" s="4">
        <f>+VLOOKUP(A722,Sheet3!A:B,2,FALSE)</f>
        <v>39043.39</v>
      </c>
      <c r="F722" s="4">
        <f t="shared" si="23"/>
        <v>4.4399999969755299E-3</v>
      </c>
    </row>
    <row r="723" spans="1:6" x14ac:dyDescent="0.25">
      <c r="A723" t="s">
        <v>349</v>
      </c>
      <c r="B723">
        <v>37051.945583000001</v>
      </c>
      <c r="D723" s="4">
        <f t="shared" si="22"/>
        <v>37051.945583000001</v>
      </c>
      <c r="E723" s="4">
        <f>+VLOOKUP(A723,Sheet3!A:B,2,FALSE)</f>
        <v>37051.949999999997</v>
      </c>
      <c r="F723" s="4">
        <f t="shared" si="23"/>
        <v>4.4169999964651652E-3</v>
      </c>
    </row>
    <row r="724" spans="1:6" x14ac:dyDescent="0.25">
      <c r="A724" t="s">
        <v>571</v>
      </c>
      <c r="C724">
        <v>636.354376</v>
      </c>
      <c r="D724" s="4">
        <f t="shared" si="22"/>
        <v>636.354376</v>
      </c>
      <c r="E724" s="4">
        <f>+VLOOKUP(A724,Sheet3!A:B,2,FALSE)</f>
        <v>636.35</v>
      </c>
      <c r="F724" s="4">
        <f t="shared" si="23"/>
        <v>4.3759999999792853E-3</v>
      </c>
    </row>
    <row r="725" spans="1:6" x14ac:dyDescent="0.25">
      <c r="A725" t="s">
        <v>782</v>
      </c>
      <c r="B725">
        <v>254.565662</v>
      </c>
      <c r="D725" s="4">
        <f t="shared" si="22"/>
        <v>254.565662</v>
      </c>
      <c r="E725" s="4">
        <f>+VLOOKUP(A725,Sheet3!A:B,2,FALSE)</f>
        <v>254.57</v>
      </c>
      <c r="F725" s="4">
        <f t="shared" si="23"/>
        <v>4.337999999989961E-3</v>
      </c>
    </row>
    <row r="726" spans="1:6" x14ac:dyDescent="0.25">
      <c r="A726" t="s">
        <v>536</v>
      </c>
      <c r="B726">
        <v>541.42566699999998</v>
      </c>
      <c r="D726" s="4">
        <f t="shared" si="22"/>
        <v>541.42566699999998</v>
      </c>
      <c r="E726" s="4">
        <f>+VLOOKUP(A726,Sheet3!A:B,2,FALSE)</f>
        <v>541.42999999999995</v>
      </c>
      <c r="F726" s="4">
        <f t="shared" si="23"/>
        <v>4.3329999999741631E-3</v>
      </c>
    </row>
    <row r="727" spans="1:6" x14ac:dyDescent="0.25">
      <c r="A727" t="s">
        <v>525</v>
      </c>
      <c r="B727">
        <v>694.26459699999998</v>
      </c>
      <c r="C727">
        <v>589.73107500000003</v>
      </c>
      <c r="D727" s="4">
        <f t="shared" si="22"/>
        <v>1283.995672</v>
      </c>
      <c r="E727" s="4">
        <f>+VLOOKUP(A727,Sheet3!A:B,2,FALSE)</f>
        <v>1284</v>
      </c>
      <c r="F727" s="4">
        <f t="shared" si="23"/>
        <v>4.3279999999867869E-3</v>
      </c>
    </row>
    <row r="728" spans="1:6" x14ac:dyDescent="0.25">
      <c r="A728" t="s">
        <v>446</v>
      </c>
      <c r="B728">
        <v>46868.805677999997</v>
      </c>
      <c r="D728" s="4">
        <f t="shared" si="22"/>
        <v>46868.805677999997</v>
      </c>
      <c r="E728" s="4">
        <f>+VLOOKUP(A728,Sheet3!A:B,2,FALSE)</f>
        <v>46868.81</v>
      </c>
      <c r="F728" s="4">
        <f t="shared" si="23"/>
        <v>4.3220000006840564E-3</v>
      </c>
    </row>
    <row r="729" spans="1:6" x14ac:dyDescent="0.25">
      <c r="A729" t="s">
        <v>918</v>
      </c>
      <c r="C729">
        <v>499.06431600000002</v>
      </c>
      <c r="D729" s="4">
        <f t="shared" si="22"/>
        <v>499.06431600000002</v>
      </c>
      <c r="E729" s="4">
        <f>+VLOOKUP(A729,Sheet3!A:B,2,FALSE)</f>
        <v>499.06</v>
      </c>
      <c r="F729" s="4">
        <f t="shared" si="23"/>
        <v>4.3160000000170839E-3</v>
      </c>
    </row>
    <row r="730" spans="1:6" x14ac:dyDescent="0.25">
      <c r="A730" t="s">
        <v>200</v>
      </c>
      <c r="C730">
        <v>499.06431600000002</v>
      </c>
      <c r="D730" s="4">
        <f t="shared" si="22"/>
        <v>499.06431600000002</v>
      </c>
      <c r="E730" s="4">
        <f>+VLOOKUP(A730,Sheet3!A:B,2,FALSE)</f>
        <v>499.06</v>
      </c>
      <c r="F730" s="4">
        <f t="shared" si="23"/>
        <v>4.3160000000170839E-3</v>
      </c>
    </row>
    <row r="731" spans="1:6" x14ac:dyDescent="0.25">
      <c r="A731" t="s">
        <v>560</v>
      </c>
      <c r="B731">
        <v>951.02568599999995</v>
      </c>
      <c r="D731" s="4">
        <f t="shared" si="22"/>
        <v>951.02568599999995</v>
      </c>
      <c r="E731" s="4">
        <f>+VLOOKUP(A731,Sheet3!A:B,2,FALSE)</f>
        <v>951.03</v>
      </c>
      <c r="F731" s="4">
        <f t="shared" si="23"/>
        <v>4.3140000000221335E-3</v>
      </c>
    </row>
    <row r="732" spans="1:6" x14ac:dyDescent="0.25">
      <c r="A732" t="s">
        <v>350</v>
      </c>
      <c r="C732">
        <v>484.43574699999999</v>
      </c>
      <c r="D732" s="4">
        <f t="shared" si="22"/>
        <v>484.43574699999999</v>
      </c>
      <c r="E732" s="4">
        <f>+VLOOKUP(A732,Sheet3!A:B,2,FALSE)</f>
        <v>484.44</v>
      </c>
      <c r="F732" s="4">
        <f t="shared" si="23"/>
        <v>4.2530000000056134E-3</v>
      </c>
    </row>
    <row r="733" spans="1:6" x14ac:dyDescent="0.25">
      <c r="A733" t="s">
        <v>737</v>
      </c>
      <c r="B733">
        <v>634.78576299999997</v>
      </c>
      <c r="D733" s="4">
        <f t="shared" si="22"/>
        <v>634.78576299999997</v>
      </c>
      <c r="E733" s="4">
        <f>+VLOOKUP(A733,Sheet3!A:B,2,FALSE)</f>
        <v>634.79</v>
      </c>
      <c r="F733" s="4">
        <f t="shared" si="23"/>
        <v>4.2369999999891661E-3</v>
      </c>
    </row>
    <row r="734" spans="1:6" x14ac:dyDescent="0.25">
      <c r="A734" t="s">
        <v>216</v>
      </c>
      <c r="B734">
        <v>785.53585199999998</v>
      </c>
      <c r="D734" s="4">
        <f t="shared" si="22"/>
        <v>785.53585199999998</v>
      </c>
      <c r="E734" s="4">
        <f>+VLOOKUP(A734,Sheet3!A:B,2,FALSE)</f>
        <v>785.54</v>
      </c>
      <c r="F734" s="4">
        <f t="shared" si="23"/>
        <v>4.1479999999864958E-3</v>
      </c>
    </row>
    <row r="735" spans="1:6" x14ac:dyDescent="0.25">
      <c r="A735" t="s">
        <v>247</v>
      </c>
      <c r="B735">
        <v>2323.0758719999999</v>
      </c>
      <c r="D735" s="4">
        <f t="shared" si="22"/>
        <v>2323.0758719999999</v>
      </c>
      <c r="E735" s="4">
        <f>+VLOOKUP(A735,Sheet3!A:B,2,FALSE)</f>
        <v>2323.08</v>
      </c>
      <c r="F735" s="4">
        <f t="shared" si="23"/>
        <v>4.128000000036991E-3</v>
      </c>
    </row>
    <row r="736" spans="1:6" x14ac:dyDescent="0.25">
      <c r="A736" t="s">
        <v>323</v>
      </c>
      <c r="B736">
        <v>1869.1440970000001</v>
      </c>
      <c r="D736" s="4">
        <f t="shared" si="22"/>
        <v>1869.1440970000001</v>
      </c>
      <c r="E736" s="4">
        <f>+VLOOKUP(A736,Sheet3!A:B,2,FALSE)</f>
        <v>1869.14</v>
      </c>
      <c r="F736" s="4">
        <f t="shared" si="23"/>
        <v>4.0970000000015716E-3</v>
      </c>
    </row>
    <row r="737" spans="1:6" x14ac:dyDescent="0.25">
      <c r="A737" t="s">
        <v>577</v>
      </c>
      <c r="B737">
        <v>2095.2459119999999</v>
      </c>
      <c r="D737" s="4">
        <f t="shared" si="22"/>
        <v>2095.2459119999999</v>
      </c>
      <c r="E737" s="4">
        <f>+VLOOKUP(A737,Sheet3!A:B,2,FALSE)</f>
        <v>2095.25</v>
      </c>
      <c r="F737" s="4">
        <f t="shared" si="23"/>
        <v>4.0880000001379813E-3</v>
      </c>
    </row>
    <row r="738" spans="1:6" x14ac:dyDescent="0.25">
      <c r="A738" t="s">
        <v>428</v>
      </c>
      <c r="C738">
        <v>743.73406799999998</v>
      </c>
      <c r="D738" s="4">
        <f t="shared" si="22"/>
        <v>743.73406799999998</v>
      </c>
      <c r="E738" s="4">
        <f>+VLOOKUP(A738,Sheet3!A:B,2,FALSE)</f>
        <v>743.73</v>
      </c>
      <c r="F738" s="4">
        <f t="shared" si="23"/>
        <v>4.0679999999611027E-3</v>
      </c>
    </row>
    <row r="739" spans="1:6" x14ac:dyDescent="0.25">
      <c r="A739" t="s">
        <v>648</v>
      </c>
      <c r="B739">
        <v>1750.9359629999999</v>
      </c>
      <c r="D739" s="4">
        <f t="shared" si="22"/>
        <v>1750.9359629999999</v>
      </c>
      <c r="E739" s="4">
        <f>+VLOOKUP(A739,Sheet3!A:B,2,FALSE)</f>
        <v>1750.94</v>
      </c>
      <c r="F739" s="4">
        <f t="shared" si="23"/>
        <v>4.037000000153057E-3</v>
      </c>
    </row>
    <row r="740" spans="1:6" x14ac:dyDescent="0.25">
      <c r="A740" t="s">
        <v>749</v>
      </c>
      <c r="C740">
        <v>745.90400499999998</v>
      </c>
      <c r="D740" s="4">
        <f t="shared" si="22"/>
        <v>745.90400499999998</v>
      </c>
      <c r="E740" s="4">
        <f>+VLOOKUP(A740,Sheet3!A:B,2,FALSE)</f>
        <v>745.9</v>
      </c>
      <c r="F740" s="4">
        <f t="shared" si="23"/>
        <v>4.0050000000064756E-3</v>
      </c>
    </row>
    <row r="741" spans="1:6" x14ac:dyDescent="0.25">
      <c r="A741" t="s">
        <v>662</v>
      </c>
      <c r="B741">
        <v>1210.9960080000001</v>
      </c>
      <c r="D741" s="4">
        <f t="shared" si="22"/>
        <v>1210.9960080000001</v>
      </c>
      <c r="E741" s="4">
        <f>+VLOOKUP(A741,Sheet3!A:B,2,FALSE)</f>
        <v>1211</v>
      </c>
      <c r="F741" s="4">
        <f t="shared" si="23"/>
        <v>3.9919999999256106E-3</v>
      </c>
    </row>
    <row r="742" spans="1:6" x14ac:dyDescent="0.25">
      <c r="A742" t="s">
        <v>945</v>
      </c>
      <c r="B742">
        <v>1147.0339650000001</v>
      </c>
      <c r="D742" s="4">
        <f t="shared" si="22"/>
        <v>1147.0339650000001</v>
      </c>
      <c r="E742" s="4">
        <f>+VLOOKUP(A742,Sheet3!A:B,2,FALSE)</f>
        <v>1147.03</v>
      </c>
      <c r="F742" s="4">
        <f t="shared" si="23"/>
        <v>3.9650000001074659E-3</v>
      </c>
    </row>
    <row r="743" spans="1:6" x14ac:dyDescent="0.25">
      <c r="A743" t="s">
        <v>208</v>
      </c>
      <c r="B743">
        <v>883.35603700000001</v>
      </c>
      <c r="D743" s="4">
        <f t="shared" si="22"/>
        <v>883.35603700000001</v>
      </c>
      <c r="E743" s="4">
        <f>+VLOOKUP(A743,Sheet3!A:B,2,FALSE)</f>
        <v>883.36</v>
      </c>
      <c r="F743" s="4">
        <f t="shared" si="23"/>
        <v>3.9629999999988286E-3</v>
      </c>
    </row>
    <row r="744" spans="1:6" x14ac:dyDescent="0.25">
      <c r="A744" t="s">
        <v>297</v>
      </c>
      <c r="B744">
        <v>1739.6939609999999</v>
      </c>
      <c r="D744" s="4">
        <f t="shared" si="22"/>
        <v>1739.6939609999999</v>
      </c>
      <c r="E744" s="4">
        <f>+VLOOKUP(A744,Sheet3!A:B,2,FALSE)</f>
        <v>1739.69</v>
      </c>
      <c r="F744" s="4">
        <f t="shared" si="23"/>
        <v>3.9609999998901912E-3</v>
      </c>
    </row>
    <row r="745" spans="1:6" x14ac:dyDescent="0.25">
      <c r="A745" t="s">
        <v>95</v>
      </c>
      <c r="B745">
        <v>396.77607899999998</v>
      </c>
      <c r="D745" s="4">
        <f t="shared" si="22"/>
        <v>396.77607899999998</v>
      </c>
      <c r="E745" s="4">
        <f>+VLOOKUP(A745,Sheet3!A:B,2,FALSE)</f>
        <v>396.78</v>
      </c>
      <c r="F745" s="4">
        <f t="shared" si="23"/>
        <v>3.9209999999911815E-3</v>
      </c>
    </row>
    <row r="746" spans="1:6" x14ac:dyDescent="0.25">
      <c r="A746" t="s">
        <v>70</v>
      </c>
      <c r="B746">
        <v>2249.2761059999998</v>
      </c>
      <c r="D746" s="4">
        <f t="shared" si="22"/>
        <v>2249.2761059999998</v>
      </c>
      <c r="E746" s="4">
        <f>+VLOOKUP(A746,Sheet3!A:B,2,FALSE)</f>
        <v>2249.2800000000002</v>
      </c>
      <c r="F746" s="4">
        <f t="shared" si="23"/>
        <v>3.8940000004004105E-3</v>
      </c>
    </row>
    <row r="747" spans="1:6" x14ac:dyDescent="0.25">
      <c r="A747" t="s">
        <v>256</v>
      </c>
      <c r="B747">
        <v>28739.443866000001</v>
      </c>
      <c r="D747" s="4">
        <f t="shared" si="22"/>
        <v>28739.443866000001</v>
      </c>
      <c r="E747" s="4">
        <f>+VLOOKUP(A747,Sheet3!A:B,2,FALSE)</f>
        <v>28739.439999999999</v>
      </c>
      <c r="F747" s="4">
        <f t="shared" si="23"/>
        <v>3.8660000027448405E-3</v>
      </c>
    </row>
    <row r="748" spans="1:6" x14ac:dyDescent="0.25">
      <c r="A748" t="s">
        <v>198</v>
      </c>
      <c r="B748">
        <v>1312.7362539999999</v>
      </c>
      <c r="D748" s="4">
        <f t="shared" si="22"/>
        <v>1312.7362539999999</v>
      </c>
      <c r="E748" s="4">
        <f>+VLOOKUP(A748,Sheet3!A:B,2,FALSE)</f>
        <v>1312.74</v>
      </c>
      <c r="F748" s="4">
        <f t="shared" si="23"/>
        <v>3.7460000000919536E-3</v>
      </c>
    </row>
    <row r="749" spans="1:6" x14ac:dyDescent="0.25">
      <c r="A749" t="s">
        <v>98</v>
      </c>
      <c r="B749">
        <v>769.873741</v>
      </c>
      <c r="D749" s="4">
        <f t="shared" si="22"/>
        <v>769.873741</v>
      </c>
      <c r="E749" s="4">
        <f>+VLOOKUP(A749,Sheet3!A:B,2,FALSE)</f>
        <v>769.87</v>
      </c>
      <c r="F749" s="4">
        <f t="shared" si="23"/>
        <v>3.7409999999908905E-3</v>
      </c>
    </row>
    <row r="750" spans="1:6" x14ac:dyDescent="0.25">
      <c r="A750" t="s">
        <v>621</v>
      </c>
      <c r="B750">
        <v>1642.0162769999999</v>
      </c>
      <c r="D750" s="4">
        <f t="shared" si="22"/>
        <v>1642.0162769999999</v>
      </c>
      <c r="E750" s="4">
        <f>+VLOOKUP(A750,Sheet3!A:B,2,FALSE)</f>
        <v>1642.02</v>
      </c>
      <c r="F750" s="4">
        <f t="shared" si="23"/>
        <v>3.7230000000363361E-3</v>
      </c>
    </row>
    <row r="751" spans="1:6" x14ac:dyDescent="0.25">
      <c r="A751" t="s">
        <v>507</v>
      </c>
      <c r="B751">
        <v>5440.5262970000003</v>
      </c>
      <c r="D751" s="4">
        <f t="shared" si="22"/>
        <v>5440.5262970000003</v>
      </c>
      <c r="E751" s="4">
        <f>+VLOOKUP(A751,Sheet3!A:B,2,FALSE)</f>
        <v>5440.53</v>
      </c>
      <c r="F751" s="4">
        <f t="shared" si="23"/>
        <v>3.7029999994047103E-3</v>
      </c>
    </row>
    <row r="752" spans="1:6" x14ac:dyDescent="0.25">
      <c r="A752" t="s">
        <v>713</v>
      </c>
      <c r="B752">
        <v>24462.916305999999</v>
      </c>
      <c r="D752" s="4">
        <f t="shared" si="22"/>
        <v>24462.916305999999</v>
      </c>
      <c r="E752" s="4">
        <f>+VLOOKUP(A752,Sheet3!A:B,2,FALSE)</f>
        <v>24462.92</v>
      </c>
      <c r="F752" s="4">
        <f t="shared" si="23"/>
        <v>3.6939999990863726E-3</v>
      </c>
    </row>
    <row r="753" spans="1:6" x14ac:dyDescent="0.25">
      <c r="A753" t="s">
        <v>39</v>
      </c>
      <c r="C753">
        <v>626.50368900000001</v>
      </c>
      <c r="D753" s="4">
        <f t="shared" si="22"/>
        <v>626.50368900000001</v>
      </c>
      <c r="E753" s="4">
        <f>+VLOOKUP(A753,Sheet3!A:B,2,FALSE)</f>
        <v>626.5</v>
      </c>
      <c r="F753" s="4">
        <f t="shared" si="23"/>
        <v>3.689000000008491E-3</v>
      </c>
    </row>
    <row r="754" spans="1:6" x14ac:dyDescent="0.25">
      <c r="A754" t="s">
        <v>721</v>
      </c>
      <c r="B754">
        <v>1642.5163239999999</v>
      </c>
      <c r="D754" s="4">
        <f t="shared" si="22"/>
        <v>1642.5163239999999</v>
      </c>
      <c r="E754" s="4">
        <f>+VLOOKUP(A754,Sheet3!A:B,2,FALSE)</f>
        <v>1642.52</v>
      </c>
      <c r="F754" s="4">
        <f t="shared" si="23"/>
        <v>3.6760000000413129E-3</v>
      </c>
    </row>
    <row r="755" spans="1:6" x14ac:dyDescent="0.25">
      <c r="A755" t="s">
        <v>511</v>
      </c>
      <c r="B755">
        <v>726.84633299999996</v>
      </c>
      <c r="D755" s="4">
        <f t="shared" si="22"/>
        <v>726.84633299999996</v>
      </c>
      <c r="E755" s="4">
        <f>+VLOOKUP(A755,Sheet3!A:B,2,FALSE)</f>
        <v>726.85</v>
      </c>
      <c r="F755" s="4">
        <f t="shared" si="23"/>
        <v>3.6670000000640357E-3</v>
      </c>
    </row>
    <row r="756" spans="1:6" x14ac:dyDescent="0.25">
      <c r="A756" t="s">
        <v>817</v>
      </c>
      <c r="B756">
        <v>1181.1563819999999</v>
      </c>
      <c r="D756" s="4">
        <f t="shared" si="22"/>
        <v>1181.1563819999999</v>
      </c>
      <c r="E756" s="4">
        <f>+VLOOKUP(A756,Sheet3!A:B,2,FALSE)</f>
        <v>1181.1600000000001</v>
      </c>
      <c r="F756" s="4">
        <f t="shared" si="23"/>
        <v>3.6180000001877488E-3</v>
      </c>
    </row>
    <row r="757" spans="1:6" x14ac:dyDescent="0.25">
      <c r="A757" t="s">
        <v>886</v>
      </c>
      <c r="B757">
        <v>1038.0499709999999</v>
      </c>
      <c r="C757">
        <v>881.75362600000005</v>
      </c>
      <c r="D757" s="4">
        <f t="shared" si="22"/>
        <v>1919.8035970000001</v>
      </c>
      <c r="E757" s="4">
        <f>+VLOOKUP(A757,Sheet3!A:B,2,FALSE)</f>
        <v>1919.8</v>
      </c>
      <c r="F757" s="4">
        <f t="shared" si="23"/>
        <v>3.5970000001270819E-3</v>
      </c>
    </row>
    <row r="758" spans="1:6" x14ac:dyDescent="0.25">
      <c r="A758" t="s">
        <v>377</v>
      </c>
      <c r="B758">
        <v>52497.266443</v>
      </c>
      <c r="D758" s="4">
        <f t="shared" si="22"/>
        <v>52497.266443</v>
      </c>
      <c r="E758" s="4">
        <f>+VLOOKUP(A758,Sheet3!A:B,2,FALSE)</f>
        <v>52497.27</v>
      </c>
      <c r="F758" s="4">
        <f t="shared" si="23"/>
        <v>3.5569999963627197E-3</v>
      </c>
    </row>
    <row r="759" spans="1:6" x14ac:dyDescent="0.25">
      <c r="A759" t="s">
        <v>816</v>
      </c>
      <c r="B759">
        <v>401.91646500000002</v>
      </c>
      <c r="D759" s="4">
        <f t="shared" si="22"/>
        <v>401.91646500000002</v>
      </c>
      <c r="E759" s="4">
        <f>+VLOOKUP(A759,Sheet3!A:B,2,FALSE)</f>
        <v>401.92</v>
      </c>
      <c r="F759" s="4">
        <f t="shared" si="23"/>
        <v>3.5349999999993997E-3</v>
      </c>
    </row>
    <row r="760" spans="1:6" x14ac:dyDescent="0.25">
      <c r="A760" t="s">
        <v>450</v>
      </c>
      <c r="B760">
        <v>1788.5664850000001</v>
      </c>
      <c r="D760" s="4">
        <f t="shared" si="22"/>
        <v>1788.5664850000001</v>
      </c>
      <c r="E760" s="4">
        <f>+VLOOKUP(A760,Sheet3!A:B,2,FALSE)</f>
        <v>1788.57</v>
      </c>
      <c r="F760" s="4">
        <f t="shared" si="23"/>
        <v>3.5149999998793646E-3</v>
      </c>
    </row>
    <row r="761" spans="1:6" x14ac:dyDescent="0.25">
      <c r="A761" t="s">
        <v>190</v>
      </c>
      <c r="B761">
        <v>515.77350799999999</v>
      </c>
      <c r="D761" s="4">
        <f t="shared" si="22"/>
        <v>515.77350799999999</v>
      </c>
      <c r="E761" s="4">
        <f>+VLOOKUP(A761,Sheet3!A:B,2,FALSE)</f>
        <v>515.77</v>
      </c>
      <c r="F761" s="4">
        <f t="shared" si="23"/>
        <v>3.5080000000107248E-3</v>
      </c>
    </row>
    <row r="762" spans="1:6" x14ac:dyDescent="0.25">
      <c r="A762" t="s">
        <v>398</v>
      </c>
      <c r="B762">
        <v>120.103486</v>
      </c>
      <c r="D762" s="4">
        <f t="shared" si="22"/>
        <v>120.103486</v>
      </c>
      <c r="E762" s="4">
        <f>+VLOOKUP(A762,Sheet3!A:B,2,FALSE)</f>
        <v>120.1</v>
      </c>
      <c r="F762" s="4">
        <f t="shared" si="23"/>
        <v>3.486000000009426E-3</v>
      </c>
    </row>
    <row r="763" spans="1:6" x14ac:dyDescent="0.25">
      <c r="A763" t="s">
        <v>866</v>
      </c>
      <c r="B763">
        <v>1471.826515</v>
      </c>
      <c r="D763" s="4">
        <f t="shared" si="22"/>
        <v>1471.826515</v>
      </c>
      <c r="E763" s="4">
        <f>+VLOOKUP(A763,Sheet3!A:B,2,FALSE)</f>
        <v>1471.83</v>
      </c>
      <c r="F763" s="4">
        <f t="shared" si="23"/>
        <v>3.4849999999551073E-3</v>
      </c>
    </row>
    <row r="764" spans="1:6" x14ac:dyDescent="0.25">
      <c r="A764" t="s">
        <v>772</v>
      </c>
      <c r="B764">
        <v>6756.746521</v>
      </c>
      <c r="D764" s="4">
        <f t="shared" si="22"/>
        <v>6756.746521</v>
      </c>
      <c r="E764" s="4">
        <f>+VLOOKUP(A764,Sheet3!A:B,2,FALSE)</f>
        <v>6756.75</v>
      </c>
      <c r="F764" s="4">
        <f t="shared" si="23"/>
        <v>3.4789999999702559E-3</v>
      </c>
    </row>
    <row r="765" spans="1:6" x14ac:dyDescent="0.25">
      <c r="A765" t="s">
        <v>320</v>
      </c>
      <c r="B765">
        <v>90611.503454999998</v>
      </c>
      <c r="D765" s="4">
        <f t="shared" si="22"/>
        <v>90611.503454999998</v>
      </c>
      <c r="E765" s="4">
        <f>+VLOOKUP(A765,Sheet3!A:B,2,FALSE)</f>
        <v>90611.5</v>
      </c>
      <c r="F765" s="4">
        <f t="shared" si="23"/>
        <v>3.4549999982118607E-3</v>
      </c>
    </row>
    <row r="766" spans="1:6" x14ac:dyDescent="0.25">
      <c r="A766" t="s">
        <v>433</v>
      </c>
      <c r="B766">
        <v>755.706591</v>
      </c>
      <c r="D766" s="4">
        <f t="shared" si="22"/>
        <v>755.706591</v>
      </c>
      <c r="E766" s="4">
        <f>+VLOOKUP(A766,Sheet3!A:B,2,FALSE)</f>
        <v>755.71</v>
      </c>
      <c r="F766" s="4">
        <f t="shared" si="23"/>
        <v>3.4090000000333021E-3</v>
      </c>
    </row>
    <row r="767" spans="1:6" x14ac:dyDescent="0.25">
      <c r="A767" t="s">
        <v>930</v>
      </c>
      <c r="B767">
        <v>683.80337899999995</v>
      </c>
      <c r="D767" s="4">
        <f t="shared" si="22"/>
        <v>683.80337899999995</v>
      </c>
      <c r="E767" s="4">
        <f>+VLOOKUP(A767,Sheet3!A:B,2,FALSE)</f>
        <v>683.8</v>
      </c>
      <c r="F767" s="4">
        <f t="shared" si="23"/>
        <v>3.3789999999953579E-3</v>
      </c>
    </row>
    <row r="768" spans="1:6" x14ac:dyDescent="0.25">
      <c r="A768" t="s">
        <v>212</v>
      </c>
      <c r="B768">
        <v>50525.176654000003</v>
      </c>
      <c r="D768" s="4">
        <f t="shared" si="22"/>
        <v>50525.176654000003</v>
      </c>
      <c r="E768" s="4">
        <f>+VLOOKUP(A768,Sheet3!A:B,2,FALSE)</f>
        <v>50525.18</v>
      </c>
      <c r="F768" s="4">
        <f t="shared" si="23"/>
        <v>3.3459999976912513E-3</v>
      </c>
    </row>
    <row r="769" spans="1:6" x14ac:dyDescent="0.25">
      <c r="A769" t="s">
        <v>758</v>
      </c>
      <c r="C769">
        <v>1061.1866669999999</v>
      </c>
      <c r="D769" s="4">
        <f t="shared" si="22"/>
        <v>1061.1866669999999</v>
      </c>
      <c r="E769" s="4">
        <f>+VLOOKUP(A769,Sheet3!A:B,2,FALSE)</f>
        <v>1061.19</v>
      </c>
      <c r="F769" s="4">
        <f t="shared" si="23"/>
        <v>3.3330000001114968E-3</v>
      </c>
    </row>
    <row r="770" spans="1:6" x14ac:dyDescent="0.25">
      <c r="A770" t="s">
        <v>334</v>
      </c>
      <c r="B770">
        <v>893.27666999999997</v>
      </c>
      <c r="D770" s="4">
        <f t="shared" ref="D770:D833" si="24">+B770+C770</f>
        <v>893.27666999999997</v>
      </c>
      <c r="E770" s="4">
        <f>+VLOOKUP(A770,Sheet3!A:B,2,FALSE)</f>
        <v>893.28</v>
      </c>
      <c r="F770" s="4">
        <f t="shared" ref="F770:F833" si="25">+ABS(E770-D770)</f>
        <v>3.3300000000053842E-3</v>
      </c>
    </row>
    <row r="771" spans="1:6" x14ac:dyDescent="0.25">
      <c r="A771" t="s">
        <v>9</v>
      </c>
      <c r="B771">
        <v>3647.476678</v>
      </c>
      <c r="D771" s="4">
        <f t="shared" si="24"/>
        <v>3647.476678</v>
      </c>
      <c r="E771" s="4">
        <f>+VLOOKUP(A771,Sheet3!A:B,2,FALSE)</f>
        <v>3647.48</v>
      </c>
      <c r="F771" s="4">
        <f t="shared" si="25"/>
        <v>3.3220000000255823E-3</v>
      </c>
    </row>
    <row r="772" spans="1:6" x14ac:dyDescent="0.25">
      <c r="A772" t="s">
        <v>678</v>
      </c>
      <c r="B772">
        <v>1608.1633159999999</v>
      </c>
      <c r="D772" s="4">
        <f t="shared" si="24"/>
        <v>1608.1633159999999</v>
      </c>
      <c r="E772" s="4">
        <f>+VLOOKUP(A772,Sheet3!A:B,2,FALSE)</f>
        <v>1608.16</v>
      </c>
      <c r="F772" s="4">
        <f t="shared" si="25"/>
        <v>3.3159999998133571E-3</v>
      </c>
    </row>
    <row r="773" spans="1:6" x14ac:dyDescent="0.25">
      <c r="A773" t="s">
        <v>32</v>
      </c>
      <c r="B773">
        <v>19928.046749000001</v>
      </c>
      <c r="D773" s="4">
        <f t="shared" si="24"/>
        <v>19928.046749000001</v>
      </c>
      <c r="E773" s="4">
        <f>+VLOOKUP(A773,Sheet3!A:B,2,FALSE)</f>
        <v>19928.05</v>
      </c>
      <c r="F773" s="4">
        <f t="shared" si="25"/>
        <v>3.2509999982721638E-3</v>
      </c>
    </row>
    <row r="774" spans="1:6" x14ac:dyDescent="0.25">
      <c r="A774" t="s">
        <v>869</v>
      </c>
      <c r="B774">
        <v>1346.703215</v>
      </c>
      <c r="D774" s="4">
        <f t="shared" si="24"/>
        <v>1346.703215</v>
      </c>
      <c r="E774" s="4">
        <f>+VLOOKUP(A774,Sheet3!A:B,2,FALSE)</f>
        <v>1346.7</v>
      </c>
      <c r="F774" s="4">
        <f t="shared" si="25"/>
        <v>3.2149999999546708E-3</v>
      </c>
    </row>
    <row r="775" spans="1:6" x14ac:dyDescent="0.25">
      <c r="A775" t="s">
        <v>540</v>
      </c>
      <c r="B775">
        <v>38416.846809000002</v>
      </c>
      <c r="D775" s="4">
        <f t="shared" si="24"/>
        <v>38416.846809000002</v>
      </c>
      <c r="E775" s="4">
        <f>+VLOOKUP(A775,Sheet3!A:B,2,FALSE)</f>
        <v>38416.85</v>
      </c>
      <c r="F775" s="4">
        <f t="shared" si="25"/>
        <v>3.1909999961499125E-3</v>
      </c>
    </row>
    <row r="776" spans="1:6" x14ac:dyDescent="0.25">
      <c r="A776" t="s">
        <v>650</v>
      </c>
      <c r="B776">
        <v>53235.696812000002</v>
      </c>
      <c r="D776" s="4">
        <f t="shared" si="24"/>
        <v>53235.696812000002</v>
      </c>
      <c r="E776" s="4">
        <f>+VLOOKUP(A776,Sheet3!A:B,2,FALSE)</f>
        <v>53235.7</v>
      </c>
      <c r="F776" s="4">
        <f t="shared" si="25"/>
        <v>3.1879999951343052E-3</v>
      </c>
    </row>
    <row r="777" spans="1:6" x14ac:dyDescent="0.25">
      <c r="A777" t="s">
        <v>223</v>
      </c>
      <c r="B777">
        <v>1059.9868260000001</v>
      </c>
      <c r="D777" s="4">
        <f t="shared" si="24"/>
        <v>1059.9868260000001</v>
      </c>
      <c r="E777" s="4">
        <f>+VLOOKUP(A777,Sheet3!A:B,2,FALSE)</f>
        <v>1059.99</v>
      </c>
      <c r="F777" s="4">
        <f t="shared" si="25"/>
        <v>3.173999999944499E-3</v>
      </c>
    </row>
    <row r="778" spans="1:6" x14ac:dyDescent="0.25">
      <c r="A778" t="s">
        <v>234</v>
      </c>
      <c r="B778">
        <v>619.35683500000005</v>
      </c>
      <c r="D778" s="4">
        <f t="shared" si="24"/>
        <v>619.35683500000005</v>
      </c>
      <c r="E778" s="4">
        <f>+VLOOKUP(A778,Sheet3!A:B,2,FALSE)</f>
        <v>619.36</v>
      </c>
      <c r="F778" s="4">
        <f t="shared" si="25"/>
        <v>3.1649999999672218E-3</v>
      </c>
    </row>
    <row r="779" spans="1:6" x14ac:dyDescent="0.25">
      <c r="A779" t="s">
        <v>410</v>
      </c>
      <c r="C779">
        <v>144.913162</v>
      </c>
      <c r="D779" s="4">
        <f t="shared" si="24"/>
        <v>144.913162</v>
      </c>
      <c r="E779" s="4">
        <f>+VLOOKUP(A779,Sheet3!A:B,2,FALSE)</f>
        <v>144.91</v>
      </c>
      <c r="F779" s="4">
        <f t="shared" si="25"/>
        <v>3.1620000000032178E-3</v>
      </c>
    </row>
    <row r="780" spans="1:6" x14ac:dyDescent="0.25">
      <c r="A780" t="s">
        <v>677</v>
      </c>
      <c r="B780">
        <v>812.63687600000003</v>
      </c>
      <c r="D780" s="4">
        <f t="shared" si="24"/>
        <v>812.63687600000003</v>
      </c>
      <c r="E780" s="4">
        <f>+VLOOKUP(A780,Sheet3!A:B,2,FALSE)</f>
        <v>812.64</v>
      </c>
      <c r="F780" s="4">
        <f t="shared" si="25"/>
        <v>3.12399999995705E-3</v>
      </c>
    </row>
    <row r="781" spans="1:6" x14ac:dyDescent="0.25">
      <c r="A781" t="s">
        <v>96</v>
      </c>
      <c r="B781">
        <v>748.94687999999996</v>
      </c>
      <c r="D781" s="4">
        <f t="shared" si="24"/>
        <v>748.94687999999996</v>
      </c>
      <c r="E781" s="4">
        <f>+VLOOKUP(A781,Sheet3!A:B,2,FALSE)</f>
        <v>748.95</v>
      </c>
      <c r="F781" s="4">
        <f t="shared" si="25"/>
        <v>3.1200000000808359E-3</v>
      </c>
    </row>
    <row r="782" spans="1:6" x14ac:dyDescent="0.25">
      <c r="A782" t="s">
        <v>784</v>
      </c>
      <c r="B782">
        <v>748.94687999999996</v>
      </c>
      <c r="D782" s="4">
        <f t="shared" si="24"/>
        <v>748.94687999999996</v>
      </c>
      <c r="E782" s="4">
        <f>+VLOOKUP(A782,Sheet3!A:B,2,FALSE)</f>
        <v>748.95</v>
      </c>
      <c r="F782" s="4">
        <f t="shared" si="25"/>
        <v>3.1200000000808359E-3</v>
      </c>
    </row>
    <row r="783" spans="1:6" x14ac:dyDescent="0.25">
      <c r="A783" t="s">
        <v>909</v>
      </c>
      <c r="B783">
        <v>35880.003084000004</v>
      </c>
      <c r="D783" s="4">
        <f t="shared" si="24"/>
        <v>35880.003084000004</v>
      </c>
      <c r="E783" s="4">
        <f>+VLOOKUP(A783,Sheet3!A:B,2,FALSE)</f>
        <v>35880</v>
      </c>
      <c r="F783" s="4">
        <f t="shared" si="25"/>
        <v>3.0840000035823323E-3</v>
      </c>
    </row>
    <row r="784" spans="1:6" x14ac:dyDescent="0.25">
      <c r="A784" t="s">
        <v>33</v>
      </c>
      <c r="B784">
        <v>528.48694499999999</v>
      </c>
      <c r="D784" s="4">
        <f t="shared" si="24"/>
        <v>528.48694499999999</v>
      </c>
      <c r="E784" s="4">
        <f>+VLOOKUP(A784,Sheet3!A:B,2,FALSE)</f>
        <v>528.49</v>
      </c>
      <c r="F784" s="4">
        <f t="shared" si="25"/>
        <v>3.0550000000175714E-3</v>
      </c>
    </row>
    <row r="785" spans="1:6" x14ac:dyDescent="0.25">
      <c r="A785" t="s">
        <v>75</v>
      </c>
      <c r="B785">
        <v>1461.1830150000001</v>
      </c>
      <c r="D785" s="4">
        <f t="shared" si="24"/>
        <v>1461.1830150000001</v>
      </c>
      <c r="E785" s="4">
        <f>+VLOOKUP(A785,Sheet3!A:B,2,FALSE)</f>
        <v>1461.18</v>
      </c>
      <c r="F785" s="4">
        <f t="shared" si="25"/>
        <v>3.0150000000048749E-3</v>
      </c>
    </row>
    <row r="786" spans="1:6" x14ac:dyDescent="0.25">
      <c r="A786" t="s">
        <v>136</v>
      </c>
      <c r="B786">
        <v>1461.1830150000001</v>
      </c>
      <c r="D786" s="4">
        <f t="shared" si="24"/>
        <v>1461.1830150000001</v>
      </c>
      <c r="E786" s="4">
        <f>+VLOOKUP(A786,Sheet3!A:B,2,FALSE)</f>
        <v>1461.18</v>
      </c>
      <c r="F786" s="4">
        <f t="shared" si="25"/>
        <v>3.0150000000048749E-3</v>
      </c>
    </row>
    <row r="787" spans="1:6" x14ac:dyDescent="0.25">
      <c r="A787" t="s">
        <v>901</v>
      </c>
      <c r="B787">
        <v>10308.287</v>
      </c>
      <c r="D787" s="4">
        <f t="shared" si="24"/>
        <v>10308.287</v>
      </c>
      <c r="E787" s="4">
        <f>+VLOOKUP(A787,Sheet3!A:B,2,FALSE)</f>
        <v>10308.290000000001</v>
      </c>
      <c r="F787" s="4">
        <f t="shared" si="25"/>
        <v>3.0000000006111804E-3</v>
      </c>
    </row>
    <row r="788" spans="1:6" x14ac:dyDescent="0.25">
      <c r="A788" t="s">
        <v>550</v>
      </c>
      <c r="B788">
        <v>10308.287</v>
      </c>
      <c r="D788" s="4">
        <f t="shared" si="24"/>
        <v>10308.287</v>
      </c>
      <c r="E788" s="4">
        <f>+VLOOKUP(A788,Sheet3!A:B,2,FALSE)</f>
        <v>10308.290000000001</v>
      </c>
      <c r="F788" s="4">
        <f t="shared" si="25"/>
        <v>3.0000000006111804E-3</v>
      </c>
    </row>
    <row r="789" spans="1:6" x14ac:dyDescent="0.25">
      <c r="A789" t="s">
        <v>762</v>
      </c>
      <c r="C789">
        <v>736.76702399999999</v>
      </c>
      <c r="D789" s="4">
        <f t="shared" si="24"/>
        <v>736.76702399999999</v>
      </c>
      <c r="E789" s="4">
        <f>+VLOOKUP(A789,Sheet3!A:B,2,FALSE)</f>
        <v>736.77</v>
      </c>
      <c r="F789" s="4">
        <f t="shared" si="25"/>
        <v>2.9759999999896536E-3</v>
      </c>
    </row>
    <row r="790" spans="1:6" x14ac:dyDescent="0.25">
      <c r="A790" t="s">
        <v>773</v>
      </c>
      <c r="B790">
        <v>948.95294999999999</v>
      </c>
      <c r="D790" s="4">
        <f t="shared" si="24"/>
        <v>948.95294999999999</v>
      </c>
      <c r="E790" s="4">
        <f>+VLOOKUP(A790,Sheet3!A:B,2,FALSE)</f>
        <v>948.95</v>
      </c>
      <c r="F790" s="4">
        <f t="shared" si="25"/>
        <v>2.9499999999416104E-3</v>
      </c>
    </row>
    <row r="791" spans="1:6" x14ac:dyDescent="0.25">
      <c r="A791" t="s">
        <v>179</v>
      </c>
      <c r="B791">
        <v>1605.30294</v>
      </c>
      <c r="D791" s="4">
        <f t="shared" si="24"/>
        <v>1605.30294</v>
      </c>
      <c r="E791" s="4">
        <f>+VLOOKUP(A791,Sheet3!A:B,2,FALSE)</f>
        <v>1605.3</v>
      </c>
      <c r="F791" s="4">
        <f t="shared" si="25"/>
        <v>2.9400000000805449E-3</v>
      </c>
    </row>
    <row r="792" spans="1:6" x14ac:dyDescent="0.25">
      <c r="A792" t="s">
        <v>418</v>
      </c>
      <c r="B792">
        <v>25621.687097999999</v>
      </c>
      <c r="D792" s="4">
        <f t="shared" si="24"/>
        <v>25621.687097999999</v>
      </c>
      <c r="E792" s="4">
        <f>+VLOOKUP(A792,Sheet3!A:B,2,FALSE)</f>
        <v>25621.69</v>
      </c>
      <c r="F792" s="4">
        <f t="shared" si="25"/>
        <v>2.9020000001764856E-3</v>
      </c>
    </row>
    <row r="793" spans="1:6" x14ac:dyDescent="0.25">
      <c r="A793" t="s">
        <v>793</v>
      </c>
      <c r="C793">
        <v>785.90711099999999</v>
      </c>
      <c r="D793" s="4">
        <f t="shared" si="24"/>
        <v>785.90711099999999</v>
      </c>
      <c r="E793" s="4">
        <f>+VLOOKUP(A793,Sheet3!A:B,2,FALSE)</f>
        <v>785.91</v>
      </c>
      <c r="F793" s="4">
        <f t="shared" si="25"/>
        <v>2.8889999999819338E-3</v>
      </c>
    </row>
    <row r="794" spans="1:6" x14ac:dyDescent="0.25">
      <c r="A794" t="s">
        <v>347</v>
      </c>
      <c r="C794">
        <v>78.722886000000003</v>
      </c>
      <c r="D794" s="4">
        <f t="shared" si="24"/>
        <v>78.722886000000003</v>
      </c>
      <c r="E794" s="4">
        <f>+VLOOKUP(A794,Sheet3!A:B,2,FALSE)</f>
        <v>78.72</v>
      </c>
      <c r="F794" s="4">
        <f t="shared" si="25"/>
        <v>2.8860000000037189E-3</v>
      </c>
    </row>
    <row r="795" spans="1:6" x14ac:dyDescent="0.25">
      <c r="A795" t="s">
        <v>154</v>
      </c>
      <c r="B795">
        <v>478.08712600000001</v>
      </c>
      <c r="D795" s="4">
        <f t="shared" si="24"/>
        <v>478.08712600000001</v>
      </c>
      <c r="E795" s="4">
        <f>+VLOOKUP(A795,Sheet3!A:B,2,FALSE)</f>
        <v>478.09</v>
      </c>
      <c r="F795" s="4">
        <f t="shared" si="25"/>
        <v>2.8739999999629617E-3</v>
      </c>
    </row>
    <row r="796" spans="1:6" x14ac:dyDescent="0.25">
      <c r="A796" t="s">
        <v>509</v>
      </c>
      <c r="B796">
        <v>1462.60284</v>
      </c>
      <c r="D796" s="4">
        <f t="shared" si="24"/>
        <v>1462.60284</v>
      </c>
      <c r="E796" s="4">
        <f>+VLOOKUP(A796,Sheet3!A:B,2,FALSE)</f>
        <v>1462.6</v>
      </c>
      <c r="F796" s="4">
        <f t="shared" si="25"/>
        <v>2.8400000001056469E-3</v>
      </c>
    </row>
    <row r="797" spans="1:6" x14ac:dyDescent="0.25">
      <c r="A797" t="s">
        <v>402</v>
      </c>
      <c r="B797">
        <v>1692.2671700000001</v>
      </c>
      <c r="D797" s="4">
        <f t="shared" si="24"/>
        <v>1692.2671700000001</v>
      </c>
      <c r="E797" s="4">
        <f>+VLOOKUP(A797,Sheet3!A:B,2,FALSE)</f>
        <v>1692.27</v>
      </c>
      <c r="F797" s="4">
        <f t="shared" si="25"/>
        <v>2.8299999999035208E-3</v>
      </c>
    </row>
    <row r="798" spans="1:6" x14ac:dyDescent="0.25">
      <c r="A798" t="s">
        <v>386</v>
      </c>
      <c r="B798">
        <v>19270.887171999999</v>
      </c>
      <c r="D798" s="4">
        <f t="shared" si="24"/>
        <v>19270.887171999999</v>
      </c>
      <c r="E798" s="4">
        <f>+VLOOKUP(A798,Sheet3!A:B,2,FALSE)</f>
        <v>19270.89</v>
      </c>
      <c r="F798" s="4">
        <f t="shared" si="25"/>
        <v>2.8280000005906913E-3</v>
      </c>
    </row>
    <row r="799" spans="1:6" x14ac:dyDescent="0.25">
      <c r="A799" t="s">
        <v>513</v>
      </c>
      <c r="B799">
        <v>438.57280100000003</v>
      </c>
      <c r="D799" s="4">
        <f t="shared" si="24"/>
        <v>438.57280100000003</v>
      </c>
      <c r="E799" s="4">
        <f>+VLOOKUP(A799,Sheet3!A:B,2,FALSE)</f>
        <v>438.57</v>
      </c>
      <c r="F799" s="4">
        <f t="shared" si="25"/>
        <v>2.8010000000335822E-3</v>
      </c>
    </row>
    <row r="800" spans="1:6" x14ac:dyDescent="0.25">
      <c r="A800" t="s">
        <v>640</v>
      </c>
      <c r="B800">
        <v>29029.357223999999</v>
      </c>
      <c r="D800" s="4">
        <f t="shared" si="24"/>
        <v>29029.357223999999</v>
      </c>
      <c r="E800" s="4">
        <f>+VLOOKUP(A800,Sheet3!A:B,2,FALSE)</f>
        <v>29029.360000000001</v>
      </c>
      <c r="F800" s="4">
        <f t="shared" si="25"/>
        <v>2.7760000011767261E-3</v>
      </c>
    </row>
    <row r="801" spans="1:6" x14ac:dyDescent="0.25">
      <c r="A801" t="s">
        <v>893</v>
      </c>
      <c r="B801">
        <v>248.12722600000001</v>
      </c>
      <c r="D801" s="4">
        <f t="shared" si="24"/>
        <v>248.12722600000001</v>
      </c>
      <c r="E801" s="4">
        <f>+VLOOKUP(A801,Sheet3!A:B,2,FALSE)</f>
        <v>248.13</v>
      </c>
      <c r="F801" s="4">
        <f t="shared" si="25"/>
        <v>2.7739999999880638E-3</v>
      </c>
    </row>
    <row r="802" spans="1:6" x14ac:dyDescent="0.25">
      <c r="A802" t="s">
        <v>23</v>
      </c>
      <c r="B802">
        <v>1316.9827720000001</v>
      </c>
      <c r="D802" s="4">
        <f t="shared" si="24"/>
        <v>1316.9827720000001</v>
      </c>
      <c r="E802" s="4">
        <f>+VLOOKUP(A802,Sheet3!A:B,2,FALSE)</f>
        <v>1316.98</v>
      </c>
      <c r="F802" s="4">
        <f t="shared" si="25"/>
        <v>2.7720000000499567E-3</v>
      </c>
    </row>
    <row r="803" spans="1:6" x14ac:dyDescent="0.25">
      <c r="A803" t="s">
        <v>113</v>
      </c>
      <c r="B803">
        <v>204.61272500000001</v>
      </c>
      <c r="D803" s="4">
        <f t="shared" si="24"/>
        <v>204.61272500000001</v>
      </c>
      <c r="E803" s="4">
        <f>+VLOOKUP(A803,Sheet3!A:B,2,FALSE)</f>
        <v>204.61</v>
      </c>
      <c r="F803" s="4">
        <f t="shared" si="25"/>
        <v>2.7249999999980901E-3</v>
      </c>
    </row>
    <row r="804" spans="1:6" x14ac:dyDescent="0.25">
      <c r="A804" t="s">
        <v>460</v>
      </c>
      <c r="B804">
        <v>1562.052713</v>
      </c>
      <c r="D804" s="4">
        <f t="shared" si="24"/>
        <v>1562.052713</v>
      </c>
      <c r="E804" s="4">
        <f>+VLOOKUP(A804,Sheet3!A:B,2,FALSE)</f>
        <v>1562.05</v>
      </c>
      <c r="F804" s="4">
        <f t="shared" si="25"/>
        <v>2.7130000000852306E-3</v>
      </c>
    </row>
    <row r="805" spans="1:6" x14ac:dyDescent="0.25">
      <c r="A805" t="s">
        <v>233</v>
      </c>
      <c r="B805">
        <v>1562.052713</v>
      </c>
      <c r="D805" s="4">
        <f t="shared" si="24"/>
        <v>1562.052713</v>
      </c>
      <c r="E805" s="4">
        <f>+VLOOKUP(A805,Sheet3!A:B,2,FALSE)</f>
        <v>1562.05</v>
      </c>
      <c r="F805" s="4">
        <f t="shared" si="25"/>
        <v>2.7130000000852306E-3</v>
      </c>
    </row>
    <row r="806" spans="1:6" x14ac:dyDescent="0.25">
      <c r="A806" t="s">
        <v>815</v>
      </c>
      <c r="B806">
        <v>1517.657299</v>
      </c>
      <c r="D806" s="4">
        <f t="shared" si="24"/>
        <v>1517.657299</v>
      </c>
      <c r="E806" s="4">
        <f>+VLOOKUP(A806,Sheet3!A:B,2,FALSE)</f>
        <v>1517.66</v>
      </c>
      <c r="F806" s="4">
        <f t="shared" si="25"/>
        <v>2.7010000001155277E-3</v>
      </c>
    </row>
    <row r="807" spans="1:6" x14ac:dyDescent="0.25">
      <c r="A807" t="s">
        <v>283</v>
      </c>
      <c r="B807">
        <v>823.19256800000005</v>
      </c>
      <c r="D807" s="4">
        <f t="shared" si="24"/>
        <v>823.19256800000005</v>
      </c>
      <c r="E807" s="4">
        <f>+VLOOKUP(A807,Sheet3!A:B,2,FALSE)</f>
        <v>823.19</v>
      </c>
      <c r="F807" s="4">
        <f t="shared" si="25"/>
        <v>2.567999999996573E-3</v>
      </c>
    </row>
    <row r="808" spans="1:6" x14ac:dyDescent="0.25">
      <c r="A808" t="s">
        <v>541</v>
      </c>
      <c r="B808">
        <v>372.66747500000002</v>
      </c>
      <c r="D808" s="4">
        <f t="shared" si="24"/>
        <v>372.66747500000002</v>
      </c>
      <c r="E808" s="4">
        <f>+VLOOKUP(A808,Sheet3!A:B,2,FALSE)</f>
        <v>372.67</v>
      </c>
      <c r="F808" s="4">
        <f t="shared" si="25"/>
        <v>2.5249999999914507E-3</v>
      </c>
    </row>
    <row r="809" spans="1:6" x14ac:dyDescent="0.25">
      <c r="A809" t="s">
        <v>49</v>
      </c>
      <c r="B809">
        <v>951.36250500000006</v>
      </c>
      <c r="D809" s="4">
        <f t="shared" si="24"/>
        <v>951.36250500000006</v>
      </c>
      <c r="E809" s="4">
        <f>+VLOOKUP(A809,Sheet3!A:B,2,FALSE)</f>
        <v>951.36</v>
      </c>
      <c r="F809" s="4">
        <f t="shared" si="25"/>
        <v>2.5050000000419459E-3</v>
      </c>
    </row>
    <row r="810" spans="1:6" x14ac:dyDescent="0.25">
      <c r="A810" t="s">
        <v>594</v>
      </c>
      <c r="B810">
        <v>148.18248700000001</v>
      </c>
      <c r="D810" s="4">
        <f t="shared" si="24"/>
        <v>148.18248700000001</v>
      </c>
      <c r="E810" s="4">
        <f>+VLOOKUP(A810,Sheet3!A:B,2,FALSE)</f>
        <v>148.18</v>
      </c>
      <c r="F810" s="4">
        <f t="shared" si="25"/>
        <v>2.4870000000021264E-3</v>
      </c>
    </row>
    <row r="811" spans="1:6" x14ac:dyDescent="0.25">
      <c r="A811" t="s">
        <v>326</v>
      </c>
      <c r="B811">
        <v>554.14246700000001</v>
      </c>
      <c r="D811" s="4">
        <f t="shared" si="24"/>
        <v>554.14246700000001</v>
      </c>
      <c r="E811" s="4">
        <f>+VLOOKUP(A811,Sheet3!A:B,2,FALSE)</f>
        <v>554.14</v>
      </c>
      <c r="F811" s="4">
        <f t="shared" si="25"/>
        <v>2.4670000000241998E-3</v>
      </c>
    </row>
    <row r="812" spans="1:6" x14ac:dyDescent="0.25">
      <c r="A812" t="s">
        <v>751</v>
      </c>
      <c r="B812">
        <v>526.33244300000001</v>
      </c>
      <c r="D812" s="4">
        <f t="shared" si="24"/>
        <v>526.33244300000001</v>
      </c>
      <c r="E812" s="4">
        <f>+VLOOKUP(A812,Sheet3!A:B,2,FALSE)</f>
        <v>526.33000000000004</v>
      </c>
      <c r="F812" s="4">
        <f t="shared" si="25"/>
        <v>2.4429999999711072E-3</v>
      </c>
    </row>
    <row r="813" spans="1:6" x14ac:dyDescent="0.25">
      <c r="A813" t="s">
        <v>818</v>
      </c>
      <c r="C813">
        <v>332.62243699999999</v>
      </c>
      <c r="D813" s="4">
        <f t="shared" si="24"/>
        <v>332.62243699999999</v>
      </c>
      <c r="E813" s="4">
        <f>+VLOOKUP(A813,Sheet3!A:B,2,FALSE)</f>
        <v>332.62</v>
      </c>
      <c r="F813" s="4">
        <f t="shared" si="25"/>
        <v>2.4369999999862557E-3</v>
      </c>
    </row>
    <row r="814" spans="1:6" x14ac:dyDescent="0.25">
      <c r="A814" t="s">
        <v>659</v>
      </c>
      <c r="B814">
        <v>1360.3075699999999</v>
      </c>
      <c r="D814" s="4">
        <f t="shared" si="24"/>
        <v>1360.3075699999999</v>
      </c>
      <c r="E814" s="4">
        <f>+VLOOKUP(A814,Sheet3!A:B,2,FALSE)</f>
        <v>1360.31</v>
      </c>
      <c r="F814" s="4">
        <f t="shared" si="25"/>
        <v>2.430000000003929E-3</v>
      </c>
    </row>
    <row r="815" spans="1:6" x14ac:dyDescent="0.25">
      <c r="A815" t="s">
        <v>262</v>
      </c>
      <c r="B815">
        <v>224.057579</v>
      </c>
      <c r="D815" s="4">
        <f t="shared" si="24"/>
        <v>224.057579</v>
      </c>
      <c r="E815" s="4">
        <f>+VLOOKUP(A815,Sheet3!A:B,2,FALSE)</f>
        <v>224.06</v>
      </c>
      <c r="F815" s="4">
        <f t="shared" si="25"/>
        <v>2.4209999999982301E-3</v>
      </c>
    </row>
    <row r="816" spans="1:6" x14ac:dyDescent="0.25">
      <c r="A816" t="s">
        <v>501</v>
      </c>
      <c r="B816">
        <v>171.76758799999999</v>
      </c>
      <c r="D816" s="4">
        <f t="shared" si="24"/>
        <v>171.76758799999999</v>
      </c>
      <c r="E816" s="4">
        <f>+VLOOKUP(A816,Sheet3!A:B,2,FALSE)</f>
        <v>171.77</v>
      </c>
      <c r="F816" s="4">
        <f t="shared" si="25"/>
        <v>2.4120000000209529E-3</v>
      </c>
    </row>
    <row r="817" spans="1:6" x14ac:dyDescent="0.25">
      <c r="A817" t="s">
        <v>851</v>
      </c>
      <c r="B817">
        <v>1102.4176090000001</v>
      </c>
      <c r="D817" s="4">
        <f t="shared" si="24"/>
        <v>1102.4176090000001</v>
      </c>
      <c r="E817" s="4">
        <f>+VLOOKUP(A817,Sheet3!A:B,2,FALSE)</f>
        <v>1102.42</v>
      </c>
      <c r="F817" s="4">
        <f t="shared" si="25"/>
        <v>2.3909999999887077E-3</v>
      </c>
    </row>
    <row r="818" spans="1:6" x14ac:dyDescent="0.25">
      <c r="A818" t="s">
        <v>883</v>
      </c>
      <c r="B818">
        <v>1102.4176090000001</v>
      </c>
      <c r="D818" s="4">
        <f t="shared" si="24"/>
        <v>1102.4176090000001</v>
      </c>
      <c r="E818" s="4">
        <f>+VLOOKUP(A818,Sheet3!A:B,2,FALSE)</f>
        <v>1102.42</v>
      </c>
      <c r="F818" s="4">
        <f t="shared" si="25"/>
        <v>2.3909999999887077E-3</v>
      </c>
    </row>
    <row r="819" spans="1:6" x14ac:dyDescent="0.25">
      <c r="A819" t="s">
        <v>299</v>
      </c>
      <c r="B819">
        <v>1102.4176090000001</v>
      </c>
      <c r="D819" s="4">
        <f t="shared" si="24"/>
        <v>1102.4176090000001</v>
      </c>
      <c r="E819" s="4">
        <f>+VLOOKUP(A819,Sheet3!A:B,2,FALSE)</f>
        <v>1102.42</v>
      </c>
      <c r="F819" s="4">
        <f t="shared" si="25"/>
        <v>2.3909999999887077E-3</v>
      </c>
    </row>
    <row r="820" spans="1:6" x14ac:dyDescent="0.25">
      <c r="A820" t="s">
        <v>29</v>
      </c>
      <c r="B820">
        <v>1102.4176090000001</v>
      </c>
      <c r="D820" s="4">
        <f t="shared" si="24"/>
        <v>1102.4176090000001</v>
      </c>
      <c r="E820" s="4">
        <f>+VLOOKUP(A820,Sheet3!A:B,2,FALSE)</f>
        <v>1102.42</v>
      </c>
      <c r="F820" s="4">
        <f t="shared" si="25"/>
        <v>2.3909999999887077E-3</v>
      </c>
    </row>
    <row r="821" spans="1:6" x14ac:dyDescent="0.25">
      <c r="A821" t="s">
        <v>843</v>
      </c>
      <c r="B821">
        <v>783.44238900000005</v>
      </c>
      <c r="D821" s="4">
        <f t="shared" si="24"/>
        <v>783.44238900000005</v>
      </c>
      <c r="E821" s="4">
        <f>+VLOOKUP(A821,Sheet3!A:B,2,FALSE)</f>
        <v>783.44</v>
      </c>
      <c r="F821" s="4">
        <f t="shared" si="25"/>
        <v>2.3889999999937572E-3</v>
      </c>
    </row>
    <row r="822" spans="1:6" x14ac:dyDescent="0.25">
      <c r="A822" t="s">
        <v>516</v>
      </c>
      <c r="C822">
        <v>237.27762200000001</v>
      </c>
      <c r="D822" s="4">
        <f t="shared" si="24"/>
        <v>237.27762200000001</v>
      </c>
      <c r="E822" s="4">
        <f>+VLOOKUP(A822,Sheet3!A:B,2,FALSE)</f>
        <v>237.28</v>
      </c>
      <c r="F822" s="4">
        <f t="shared" si="25"/>
        <v>2.3779999999931078E-3</v>
      </c>
    </row>
    <row r="823" spans="1:6" x14ac:dyDescent="0.25">
      <c r="A823" t="s">
        <v>226</v>
      </c>
      <c r="C823">
        <v>237.27762200000001</v>
      </c>
      <c r="D823" s="4">
        <f t="shared" si="24"/>
        <v>237.27762200000001</v>
      </c>
      <c r="E823" s="4">
        <f>+VLOOKUP(A823,Sheet3!A:B,2,FALSE)</f>
        <v>237.28</v>
      </c>
      <c r="F823" s="4">
        <f t="shared" si="25"/>
        <v>2.3779999999931078E-3</v>
      </c>
    </row>
    <row r="824" spans="1:6" x14ac:dyDescent="0.25">
      <c r="A824" t="s">
        <v>128</v>
      </c>
      <c r="C824">
        <v>87.597628999999998</v>
      </c>
      <c r="D824" s="4">
        <f t="shared" si="24"/>
        <v>87.597628999999998</v>
      </c>
      <c r="E824" s="4">
        <f>+VLOOKUP(A824,Sheet3!A:B,2,FALSE)</f>
        <v>87.6</v>
      </c>
      <c r="F824" s="4">
        <f t="shared" si="25"/>
        <v>2.3709999999965703E-3</v>
      </c>
    </row>
    <row r="825" spans="1:6" x14ac:dyDescent="0.25">
      <c r="A825" t="s">
        <v>92</v>
      </c>
      <c r="B825">
        <v>891.51762900000006</v>
      </c>
      <c r="D825" s="4">
        <f t="shared" si="24"/>
        <v>891.51762900000006</v>
      </c>
      <c r="E825" s="4">
        <f>+VLOOKUP(A825,Sheet3!A:B,2,FALSE)</f>
        <v>891.52</v>
      </c>
      <c r="F825" s="4">
        <f t="shared" si="25"/>
        <v>2.370999999925516E-3</v>
      </c>
    </row>
    <row r="826" spans="1:6" x14ac:dyDescent="0.25">
      <c r="A826" t="s">
        <v>160</v>
      </c>
      <c r="B826">
        <v>42.037677000000002</v>
      </c>
      <c r="D826" s="4">
        <f t="shared" si="24"/>
        <v>42.037677000000002</v>
      </c>
      <c r="E826" s="4">
        <f>+VLOOKUP(A826,Sheet3!A:B,2,FALSE)</f>
        <v>42.04</v>
      </c>
      <c r="F826" s="4">
        <f t="shared" si="25"/>
        <v>2.3229999999969664E-3</v>
      </c>
    </row>
    <row r="827" spans="1:6" x14ac:dyDescent="0.25">
      <c r="A827" t="s">
        <v>209</v>
      </c>
      <c r="B827">
        <v>460.57230199999998</v>
      </c>
      <c r="D827" s="4">
        <f t="shared" si="24"/>
        <v>460.57230199999998</v>
      </c>
      <c r="E827" s="4">
        <f>+VLOOKUP(A827,Sheet3!A:B,2,FALSE)</f>
        <v>460.57</v>
      </c>
      <c r="F827" s="4">
        <f t="shared" si="25"/>
        <v>2.3019999999860374E-3</v>
      </c>
    </row>
    <row r="828" spans="1:6" x14ac:dyDescent="0.25">
      <c r="A828" t="s">
        <v>217</v>
      </c>
      <c r="B828">
        <v>1900.0822720000001</v>
      </c>
      <c r="D828" s="4">
        <f t="shared" si="24"/>
        <v>1900.0822720000001</v>
      </c>
      <c r="E828" s="4">
        <f>+VLOOKUP(A828,Sheet3!A:B,2,FALSE)</f>
        <v>1900.08</v>
      </c>
      <c r="F828" s="4">
        <f t="shared" si="25"/>
        <v>2.272000000175467E-3</v>
      </c>
    </row>
    <row r="829" spans="1:6" x14ac:dyDescent="0.25">
      <c r="A829" t="s">
        <v>469</v>
      </c>
      <c r="B829">
        <v>835.95774700000004</v>
      </c>
      <c r="D829" s="4">
        <f t="shared" si="24"/>
        <v>835.95774700000004</v>
      </c>
      <c r="E829" s="4">
        <f>+VLOOKUP(A829,Sheet3!A:B,2,FALSE)</f>
        <v>835.96</v>
      </c>
      <c r="F829" s="4">
        <f t="shared" si="25"/>
        <v>2.2529999999960637E-3</v>
      </c>
    </row>
    <row r="830" spans="1:6" x14ac:dyDescent="0.25">
      <c r="A830" t="s">
        <v>356</v>
      </c>
      <c r="C830">
        <v>455.80775799999998</v>
      </c>
      <c r="D830" s="4">
        <f t="shared" si="24"/>
        <v>455.80775799999998</v>
      </c>
      <c r="E830" s="4">
        <f>+VLOOKUP(A830,Sheet3!A:B,2,FALSE)</f>
        <v>455.81</v>
      </c>
      <c r="F830" s="4">
        <f t="shared" si="25"/>
        <v>2.242000000023836E-3</v>
      </c>
    </row>
    <row r="831" spans="1:6" x14ac:dyDescent="0.25">
      <c r="A831" t="s">
        <v>83</v>
      </c>
      <c r="C831">
        <v>498.96223800000001</v>
      </c>
      <c r="D831" s="4">
        <f t="shared" si="24"/>
        <v>498.96223800000001</v>
      </c>
      <c r="E831" s="4">
        <f>+VLOOKUP(A831,Sheet3!A:B,2,FALSE)</f>
        <v>498.96</v>
      </c>
      <c r="F831" s="4">
        <f t="shared" si="25"/>
        <v>2.2380000000339351E-3</v>
      </c>
    </row>
    <row r="832" spans="1:6" x14ac:dyDescent="0.25">
      <c r="A832" t="s">
        <v>219</v>
      </c>
      <c r="C832">
        <v>498.96223800000001</v>
      </c>
      <c r="D832" s="4">
        <f t="shared" si="24"/>
        <v>498.96223800000001</v>
      </c>
      <c r="E832" s="4">
        <f>+VLOOKUP(A832,Sheet3!A:B,2,FALSE)</f>
        <v>498.96</v>
      </c>
      <c r="F832" s="4">
        <f t="shared" si="25"/>
        <v>2.2380000000339351E-3</v>
      </c>
    </row>
    <row r="833" spans="1:6" x14ac:dyDescent="0.25">
      <c r="A833" t="s">
        <v>624</v>
      </c>
      <c r="C833">
        <v>498.96223800000001</v>
      </c>
      <c r="D833" s="4">
        <f t="shared" si="24"/>
        <v>498.96223800000001</v>
      </c>
      <c r="E833" s="4">
        <f>+VLOOKUP(A833,Sheet3!A:B,2,FALSE)</f>
        <v>498.96</v>
      </c>
      <c r="F833" s="4">
        <f t="shared" si="25"/>
        <v>2.2380000000339351E-3</v>
      </c>
    </row>
    <row r="834" spans="1:6" x14ac:dyDescent="0.25">
      <c r="A834" t="s">
        <v>879</v>
      </c>
      <c r="B834">
        <v>2267.5177709999998</v>
      </c>
      <c r="D834" s="4">
        <f t="shared" ref="D834:D897" si="26">+B834+C834</f>
        <v>2267.5177709999998</v>
      </c>
      <c r="E834" s="4">
        <f>+VLOOKUP(A834,Sheet3!A:B,2,FALSE)</f>
        <v>2267.52</v>
      </c>
      <c r="F834" s="4">
        <f t="shared" ref="F834:F897" si="27">+ABS(E834-D834)</f>
        <v>2.2290000001703447E-3</v>
      </c>
    </row>
    <row r="835" spans="1:6" x14ac:dyDescent="0.25">
      <c r="A835" t="s">
        <v>7</v>
      </c>
      <c r="B835">
        <v>529.60218399999997</v>
      </c>
      <c r="D835" s="4">
        <f t="shared" si="26"/>
        <v>529.60218399999997</v>
      </c>
      <c r="E835" s="4">
        <f>+VLOOKUP(A835,Sheet3!A:B,2,FALSE)</f>
        <v>529.6</v>
      </c>
      <c r="F835" s="4">
        <f t="shared" si="27"/>
        <v>2.1839999999428983E-3</v>
      </c>
    </row>
    <row r="836" spans="1:6" x14ac:dyDescent="0.25">
      <c r="A836" t="s">
        <v>647</v>
      </c>
      <c r="B836">
        <v>659.13782000000003</v>
      </c>
      <c r="D836" s="4">
        <f t="shared" si="26"/>
        <v>659.13782000000003</v>
      </c>
      <c r="E836" s="4">
        <f>+VLOOKUP(A836,Sheet3!A:B,2,FALSE)</f>
        <v>659.14</v>
      </c>
      <c r="F836" s="4">
        <f t="shared" si="27"/>
        <v>2.1799999999529973E-3</v>
      </c>
    </row>
    <row r="837" spans="1:6" x14ac:dyDescent="0.25">
      <c r="A837" t="s">
        <v>459</v>
      </c>
      <c r="C837">
        <v>677.24217099999998</v>
      </c>
      <c r="D837" s="4">
        <f t="shared" si="26"/>
        <v>677.24217099999998</v>
      </c>
      <c r="E837" s="4">
        <f>+VLOOKUP(A837,Sheet3!A:B,2,FALSE)</f>
        <v>677.24</v>
      </c>
      <c r="F837" s="4">
        <f t="shared" si="27"/>
        <v>2.1709999999757201E-3</v>
      </c>
    </row>
    <row r="838" spans="1:6" x14ac:dyDescent="0.25">
      <c r="A838" t="s">
        <v>371</v>
      </c>
      <c r="B838">
        <v>86115.402170000001</v>
      </c>
      <c r="D838" s="4">
        <f t="shared" si="26"/>
        <v>86115.402170000001</v>
      </c>
      <c r="E838" s="4">
        <f>+VLOOKUP(A838,Sheet3!A:B,2,FALSE)</f>
        <v>86115.4</v>
      </c>
      <c r="F838" s="4">
        <f t="shared" si="27"/>
        <v>2.1700000070268288E-3</v>
      </c>
    </row>
    <row r="839" spans="1:6" x14ac:dyDescent="0.25">
      <c r="A839" t="s">
        <v>343</v>
      </c>
      <c r="B839">
        <v>1410.0978459999999</v>
      </c>
      <c r="D839" s="4">
        <f t="shared" si="26"/>
        <v>1410.0978459999999</v>
      </c>
      <c r="E839" s="4">
        <f>+VLOOKUP(A839,Sheet3!A:B,2,FALSE)</f>
        <v>1410.1</v>
      </c>
      <c r="F839" s="4">
        <f t="shared" si="27"/>
        <v>2.154000000018641E-3</v>
      </c>
    </row>
    <row r="840" spans="1:6" x14ac:dyDescent="0.25">
      <c r="A840" t="s">
        <v>819</v>
      </c>
      <c r="B840">
        <v>1599.3179150000001</v>
      </c>
      <c r="D840" s="4">
        <f t="shared" si="26"/>
        <v>1599.3179150000001</v>
      </c>
      <c r="E840" s="4">
        <f>+VLOOKUP(A840,Sheet3!A:B,2,FALSE)</f>
        <v>1599.32</v>
      </c>
      <c r="F840" s="4">
        <f t="shared" si="27"/>
        <v>2.0849999998517887E-3</v>
      </c>
    </row>
    <row r="841" spans="1:6" x14ac:dyDescent="0.25">
      <c r="A841" t="s">
        <v>657</v>
      </c>
      <c r="B841">
        <v>1612.402061</v>
      </c>
      <c r="D841" s="4">
        <f t="shared" si="26"/>
        <v>1612.402061</v>
      </c>
      <c r="E841" s="4">
        <f>+VLOOKUP(A841,Sheet3!A:B,2,FALSE)</f>
        <v>1612.4</v>
      </c>
      <c r="F841" s="4">
        <f t="shared" si="27"/>
        <v>2.0609999999123829E-3</v>
      </c>
    </row>
    <row r="842" spans="1:6" x14ac:dyDescent="0.25">
      <c r="A842" t="s">
        <v>728</v>
      </c>
      <c r="B842">
        <v>2469.037941</v>
      </c>
      <c r="D842" s="4">
        <f t="shared" si="26"/>
        <v>2469.037941</v>
      </c>
      <c r="E842" s="4">
        <f>+VLOOKUP(A842,Sheet3!A:B,2,FALSE)</f>
        <v>2469.04</v>
      </c>
      <c r="F842" s="4">
        <f t="shared" si="27"/>
        <v>2.0589999999174324E-3</v>
      </c>
    </row>
    <row r="843" spans="1:6" x14ac:dyDescent="0.25">
      <c r="A843" t="s">
        <v>759</v>
      </c>
      <c r="B843">
        <v>15632.847954000001</v>
      </c>
      <c r="D843" s="4">
        <f t="shared" si="26"/>
        <v>15632.847954000001</v>
      </c>
      <c r="E843" s="4">
        <f>+VLOOKUP(A843,Sheet3!A:B,2,FALSE)</f>
        <v>15632.85</v>
      </c>
      <c r="F843" s="4">
        <f t="shared" si="27"/>
        <v>2.0459999996091938E-3</v>
      </c>
    </row>
    <row r="844" spans="1:6" x14ac:dyDescent="0.25">
      <c r="A844" t="s">
        <v>413</v>
      </c>
      <c r="B844">
        <v>1898.0479889999999</v>
      </c>
      <c r="D844" s="4">
        <f t="shared" si="26"/>
        <v>1898.0479889999999</v>
      </c>
      <c r="E844" s="4">
        <f>+VLOOKUP(A844,Sheet3!A:B,2,FALSE)</f>
        <v>1898.05</v>
      </c>
      <c r="F844" s="4">
        <f t="shared" si="27"/>
        <v>2.0110000000386208E-3</v>
      </c>
    </row>
    <row r="845" spans="1:6" x14ac:dyDescent="0.25">
      <c r="A845" t="s">
        <v>743</v>
      </c>
      <c r="B845">
        <v>1711.378005</v>
      </c>
      <c r="D845" s="4">
        <f t="shared" si="26"/>
        <v>1711.378005</v>
      </c>
      <c r="E845" s="4">
        <f>+VLOOKUP(A845,Sheet3!A:B,2,FALSE)</f>
        <v>1711.38</v>
      </c>
      <c r="F845" s="4">
        <f t="shared" si="27"/>
        <v>1.9950000000790169E-3</v>
      </c>
    </row>
    <row r="846" spans="1:6" x14ac:dyDescent="0.25">
      <c r="A846" t="s">
        <v>694</v>
      </c>
      <c r="B846">
        <v>1849.8780159999999</v>
      </c>
      <c r="D846" s="4">
        <f t="shared" si="26"/>
        <v>1849.8780159999999</v>
      </c>
      <c r="E846" s="4">
        <f>+VLOOKUP(A846,Sheet3!A:B,2,FALSE)</f>
        <v>1849.88</v>
      </c>
      <c r="F846" s="4">
        <f t="shared" si="27"/>
        <v>1.9840000002204761E-3</v>
      </c>
    </row>
    <row r="847" spans="1:6" x14ac:dyDescent="0.25">
      <c r="A847" t="s">
        <v>552</v>
      </c>
      <c r="B847">
        <v>42.04804</v>
      </c>
      <c r="D847" s="4">
        <f t="shared" si="26"/>
        <v>42.04804</v>
      </c>
      <c r="E847" s="4">
        <f>+VLOOKUP(A847,Sheet3!A:B,2,FALSE)</f>
        <v>42.05</v>
      </c>
      <c r="F847" s="4">
        <f t="shared" si="27"/>
        <v>1.9599999999968531E-3</v>
      </c>
    </row>
    <row r="848" spans="1:6" x14ac:dyDescent="0.25">
      <c r="A848" t="s">
        <v>388</v>
      </c>
      <c r="B848">
        <v>1784.338103</v>
      </c>
      <c r="D848" s="4">
        <f t="shared" si="26"/>
        <v>1784.338103</v>
      </c>
      <c r="E848" s="4">
        <f>+VLOOKUP(A848,Sheet3!A:B,2,FALSE)</f>
        <v>1784.34</v>
      </c>
      <c r="F848" s="4">
        <f t="shared" si="27"/>
        <v>1.8969999998716958E-3</v>
      </c>
    </row>
    <row r="849" spans="1:6" x14ac:dyDescent="0.25">
      <c r="A849" t="s">
        <v>857</v>
      </c>
      <c r="B849">
        <v>2397.0181379999999</v>
      </c>
      <c r="D849" s="4">
        <f t="shared" si="26"/>
        <v>2397.0181379999999</v>
      </c>
      <c r="E849" s="4">
        <f>+VLOOKUP(A849,Sheet3!A:B,2,FALSE)</f>
        <v>2397.02</v>
      </c>
      <c r="F849" s="4">
        <f t="shared" si="27"/>
        <v>1.8620000000737491E-3</v>
      </c>
    </row>
    <row r="850" spans="1:6" x14ac:dyDescent="0.25">
      <c r="A850" t="s">
        <v>264</v>
      </c>
      <c r="B850">
        <v>42109.338137999999</v>
      </c>
      <c r="D850" s="4">
        <f t="shared" si="26"/>
        <v>42109.338137999999</v>
      </c>
      <c r="E850" s="4">
        <f>+VLOOKUP(A850,Sheet3!A:B,2,FALSE)</f>
        <v>42109.34</v>
      </c>
      <c r="F850" s="4">
        <f t="shared" si="27"/>
        <v>1.861999997345265E-3</v>
      </c>
    </row>
    <row r="851" spans="1:6" x14ac:dyDescent="0.25">
      <c r="A851" t="s">
        <v>682</v>
      </c>
      <c r="B851">
        <v>29772.811854</v>
      </c>
      <c r="D851" s="4">
        <f t="shared" si="26"/>
        <v>29772.811854</v>
      </c>
      <c r="E851" s="4">
        <f>+VLOOKUP(A851,Sheet3!A:B,2,FALSE)</f>
        <v>29772.81</v>
      </c>
      <c r="F851" s="4">
        <f t="shared" si="27"/>
        <v>1.8539999982749578E-3</v>
      </c>
    </row>
    <row r="852" spans="1:6" x14ac:dyDescent="0.25">
      <c r="A852" t="s">
        <v>822</v>
      </c>
      <c r="B852">
        <v>304.681828</v>
      </c>
      <c r="D852" s="4">
        <f t="shared" si="26"/>
        <v>304.681828</v>
      </c>
      <c r="E852" s="4">
        <f>+VLOOKUP(A852,Sheet3!A:B,2,FALSE)</f>
        <v>304.68</v>
      </c>
      <c r="F852" s="4">
        <f t="shared" si="27"/>
        <v>1.8279999999890606E-3</v>
      </c>
    </row>
    <row r="853" spans="1:6" x14ac:dyDescent="0.25">
      <c r="A853" t="s">
        <v>414</v>
      </c>
      <c r="B853">
        <v>39080.931716999999</v>
      </c>
      <c r="D853" s="4">
        <f t="shared" si="26"/>
        <v>39080.931716999999</v>
      </c>
      <c r="E853" s="4">
        <f>+VLOOKUP(A853,Sheet3!A:B,2,FALSE)</f>
        <v>39080.93</v>
      </c>
      <c r="F853" s="4">
        <f t="shared" si="27"/>
        <v>1.7169999991892837E-3</v>
      </c>
    </row>
    <row r="854" spans="1:6" x14ac:dyDescent="0.25">
      <c r="A854" t="s">
        <v>524</v>
      </c>
      <c r="B854">
        <v>1570.6182940000001</v>
      </c>
      <c r="D854" s="4">
        <f t="shared" si="26"/>
        <v>1570.6182940000001</v>
      </c>
      <c r="E854" s="4">
        <f>+VLOOKUP(A854,Sheet3!A:B,2,FALSE)</f>
        <v>1570.62</v>
      </c>
      <c r="F854" s="4">
        <f t="shared" si="27"/>
        <v>1.7059999997854902E-3</v>
      </c>
    </row>
    <row r="855" spans="1:6" x14ac:dyDescent="0.25">
      <c r="A855" t="s">
        <v>346</v>
      </c>
      <c r="B855">
        <v>288.90830699999998</v>
      </c>
      <c r="D855" s="4">
        <f t="shared" si="26"/>
        <v>288.90830699999998</v>
      </c>
      <c r="E855" s="4">
        <f>+VLOOKUP(A855,Sheet3!A:B,2,FALSE)</f>
        <v>288.91000000000003</v>
      </c>
      <c r="F855" s="4">
        <f t="shared" si="27"/>
        <v>1.6930000000456857E-3</v>
      </c>
    </row>
    <row r="856" spans="1:6" x14ac:dyDescent="0.25">
      <c r="A856" t="s">
        <v>271</v>
      </c>
      <c r="B856">
        <v>1875.7716700000001</v>
      </c>
      <c r="D856" s="4">
        <f t="shared" si="26"/>
        <v>1875.7716700000001</v>
      </c>
      <c r="E856" s="4">
        <f>+VLOOKUP(A856,Sheet3!A:B,2,FALSE)</f>
        <v>1875.77</v>
      </c>
      <c r="F856" s="4">
        <f t="shared" si="27"/>
        <v>1.6700000001037552E-3</v>
      </c>
    </row>
    <row r="857" spans="1:6" x14ac:dyDescent="0.25">
      <c r="A857" t="s">
        <v>534</v>
      </c>
      <c r="B857">
        <v>42.128359000000003</v>
      </c>
      <c r="D857" s="4">
        <f t="shared" si="26"/>
        <v>42.128359000000003</v>
      </c>
      <c r="E857" s="4">
        <f>+VLOOKUP(A857,Sheet3!A:B,2,FALSE)</f>
        <v>42.13</v>
      </c>
      <c r="F857" s="4">
        <f t="shared" si="27"/>
        <v>1.6409999999993374E-3</v>
      </c>
    </row>
    <row r="858" spans="1:6" x14ac:dyDescent="0.25">
      <c r="A858" t="s">
        <v>338</v>
      </c>
      <c r="B858">
        <v>42.128359000000003</v>
      </c>
      <c r="D858" s="4">
        <f t="shared" si="26"/>
        <v>42.128359000000003</v>
      </c>
      <c r="E858" s="4">
        <f>+VLOOKUP(A858,Sheet3!A:B,2,FALSE)</f>
        <v>42.13</v>
      </c>
      <c r="F858" s="4">
        <f t="shared" si="27"/>
        <v>1.6409999999993374E-3</v>
      </c>
    </row>
    <row r="859" spans="1:6" x14ac:dyDescent="0.25">
      <c r="A859" t="s">
        <v>161</v>
      </c>
      <c r="B859">
        <v>464.94836600000002</v>
      </c>
      <c r="D859" s="4">
        <f t="shared" si="26"/>
        <v>464.94836600000002</v>
      </c>
      <c r="E859" s="4">
        <f>+VLOOKUP(A859,Sheet3!A:B,2,FALSE)</f>
        <v>464.95</v>
      </c>
      <c r="F859" s="4">
        <f t="shared" si="27"/>
        <v>1.6339999999672727E-3</v>
      </c>
    </row>
    <row r="860" spans="1:6" x14ac:dyDescent="0.25">
      <c r="A860" t="s">
        <v>651</v>
      </c>
      <c r="B860">
        <v>1078.4315859999999</v>
      </c>
      <c r="D860" s="4">
        <f t="shared" si="26"/>
        <v>1078.4315859999999</v>
      </c>
      <c r="E860" s="4">
        <f>+VLOOKUP(A860,Sheet3!A:B,2,FALSE)</f>
        <v>1078.43</v>
      </c>
      <c r="F860" s="4">
        <f t="shared" si="27"/>
        <v>1.5859999998610874E-3</v>
      </c>
    </row>
    <row r="861" spans="1:6" x14ac:dyDescent="0.25">
      <c r="A861" t="s">
        <v>492</v>
      </c>
      <c r="B861">
        <v>1399.7815820000001</v>
      </c>
      <c r="D861" s="4">
        <f t="shared" si="26"/>
        <v>1399.7815820000001</v>
      </c>
      <c r="E861" s="4">
        <f>+VLOOKUP(A861,Sheet3!A:B,2,FALSE)</f>
        <v>1399.78</v>
      </c>
      <c r="F861" s="4">
        <f t="shared" si="27"/>
        <v>1.5820000000985601E-3</v>
      </c>
    </row>
    <row r="862" spans="1:6" x14ac:dyDescent="0.25">
      <c r="A862" t="s">
        <v>634</v>
      </c>
      <c r="B862">
        <v>1195.748443</v>
      </c>
      <c r="D862" s="4">
        <f t="shared" si="26"/>
        <v>1195.748443</v>
      </c>
      <c r="E862" s="4">
        <f>+VLOOKUP(A862,Sheet3!A:B,2,FALSE)</f>
        <v>1195.75</v>
      </c>
      <c r="F862" s="4">
        <f t="shared" si="27"/>
        <v>1.5570000000479922E-3</v>
      </c>
    </row>
    <row r="863" spans="1:6" x14ac:dyDescent="0.25">
      <c r="A863" t="s">
        <v>623</v>
      </c>
      <c r="B863">
        <v>411.26844499999999</v>
      </c>
      <c r="D863" s="4">
        <f t="shared" si="26"/>
        <v>411.26844499999999</v>
      </c>
      <c r="E863" s="4">
        <f>+VLOOKUP(A863,Sheet3!A:B,2,FALSE)</f>
        <v>411.27</v>
      </c>
      <c r="F863" s="4">
        <f t="shared" si="27"/>
        <v>1.5549999999961983E-3</v>
      </c>
    </row>
    <row r="864" spans="1:6" x14ac:dyDescent="0.25">
      <c r="A864" t="s">
        <v>278</v>
      </c>
      <c r="B864">
        <v>19028.568490000001</v>
      </c>
      <c r="D864" s="4">
        <f t="shared" si="26"/>
        <v>19028.568490000001</v>
      </c>
      <c r="E864" s="4">
        <f>+VLOOKUP(A864,Sheet3!A:B,2,FALSE)</f>
        <v>19028.57</v>
      </c>
      <c r="F864" s="4">
        <f t="shared" si="27"/>
        <v>1.5099999982339796E-3</v>
      </c>
    </row>
    <row r="865" spans="1:6" x14ac:dyDescent="0.25">
      <c r="A865" t="s">
        <v>185</v>
      </c>
      <c r="B865">
        <v>19028.568490000001</v>
      </c>
      <c r="D865" s="4">
        <f t="shared" si="26"/>
        <v>19028.568490000001</v>
      </c>
      <c r="E865" s="4">
        <f>+VLOOKUP(A865,Sheet3!A:B,2,FALSE)</f>
        <v>19028.57</v>
      </c>
      <c r="F865" s="4">
        <f t="shared" si="27"/>
        <v>1.5099999982339796E-3</v>
      </c>
    </row>
    <row r="866" spans="1:6" x14ac:dyDescent="0.25">
      <c r="A866" t="s">
        <v>821</v>
      </c>
      <c r="B866">
        <v>19028.568490000001</v>
      </c>
      <c r="D866" s="4">
        <f t="shared" si="26"/>
        <v>19028.568490000001</v>
      </c>
      <c r="E866" s="4">
        <f>+VLOOKUP(A866,Sheet3!A:B,2,FALSE)</f>
        <v>19028.57</v>
      </c>
      <c r="F866" s="4">
        <f t="shared" si="27"/>
        <v>1.5099999982339796E-3</v>
      </c>
    </row>
    <row r="867" spans="1:6" x14ac:dyDescent="0.25">
      <c r="A867" t="s">
        <v>403</v>
      </c>
      <c r="B867">
        <v>811.20150599999999</v>
      </c>
      <c r="D867" s="4">
        <f t="shared" si="26"/>
        <v>811.20150599999999</v>
      </c>
      <c r="E867" s="4">
        <f>+VLOOKUP(A867,Sheet3!A:B,2,FALSE)</f>
        <v>811.2</v>
      </c>
      <c r="F867" s="4">
        <f t="shared" si="27"/>
        <v>1.5059999999493812E-3</v>
      </c>
    </row>
    <row r="868" spans="1:6" x14ac:dyDescent="0.25">
      <c r="A868" t="s">
        <v>178</v>
      </c>
      <c r="B868">
        <v>1544.3514769999999</v>
      </c>
      <c r="D868" s="4">
        <f t="shared" si="26"/>
        <v>1544.3514769999999</v>
      </c>
      <c r="E868" s="4">
        <f>+VLOOKUP(A868,Sheet3!A:B,2,FALSE)</f>
        <v>1544.35</v>
      </c>
      <c r="F868" s="4">
        <f t="shared" si="27"/>
        <v>1.4770000000225991E-3</v>
      </c>
    </row>
    <row r="869" spans="1:6" x14ac:dyDescent="0.25">
      <c r="A869" t="s">
        <v>778</v>
      </c>
      <c r="B869">
        <v>1144.041453</v>
      </c>
      <c r="D869" s="4">
        <f t="shared" si="26"/>
        <v>1144.041453</v>
      </c>
      <c r="E869" s="4">
        <f>+VLOOKUP(A869,Sheet3!A:B,2,FALSE)</f>
        <v>1144.04</v>
      </c>
      <c r="F869" s="4">
        <f t="shared" si="27"/>
        <v>1.4530000000831933E-3</v>
      </c>
    </row>
    <row r="870" spans="1:6" x14ac:dyDescent="0.25">
      <c r="A870" t="s">
        <v>122</v>
      </c>
      <c r="B870">
        <v>914.98857899999996</v>
      </c>
      <c r="D870" s="4">
        <f t="shared" si="26"/>
        <v>914.98857899999996</v>
      </c>
      <c r="E870" s="4">
        <f>+VLOOKUP(A870,Sheet3!A:B,2,FALSE)</f>
        <v>914.99</v>
      </c>
      <c r="F870" s="4">
        <f t="shared" si="27"/>
        <v>1.4210000000502987E-3</v>
      </c>
    </row>
    <row r="871" spans="1:6" x14ac:dyDescent="0.25">
      <c r="A871" t="s">
        <v>828</v>
      </c>
      <c r="B871">
        <v>1093.6713769999999</v>
      </c>
      <c r="D871" s="4">
        <f t="shared" si="26"/>
        <v>1093.6713769999999</v>
      </c>
      <c r="E871" s="4">
        <f>+VLOOKUP(A871,Sheet3!A:B,2,FALSE)</f>
        <v>1093.67</v>
      </c>
      <c r="F871" s="4">
        <f t="shared" si="27"/>
        <v>1.3769999998203275E-3</v>
      </c>
    </row>
    <row r="872" spans="1:6" x14ac:dyDescent="0.25">
      <c r="A872" t="s">
        <v>257</v>
      </c>
      <c r="B872">
        <v>1186.071357</v>
      </c>
      <c r="D872" s="4">
        <f t="shared" si="26"/>
        <v>1186.071357</v>
      </c>
      <c r="E872" s="4">
        <f>+VLOOKUP(A872,Sheet3!A:B,2,FALSE)</f>
        <v>1186.07</v>
      </c>
      <c r="F872" s="4">
        <f t="shared" si="27"/>
        <v>1.3570000000981963E-3</v>
      </c>
    </row>
    <row r="873" spans="1:6" x14ac:dyDescent="0.25">
      <c r="A873" t="s">
        <v>491</v>
      </c>
      <c r="B873">
        <v>1838.5686499999999</v>
      </c>
      <c r="D873" s="4">
        <f t="shared" si="26"/>
        <v>1838.5686499999999</v>
      </c>
      <c r="E873" s="4">
        <f>+VLOOKUP(A873,Sheet3!A:B,2,FALSE)</f>
        <v>1838.57</v>
      </c>
      <c r="F873" s="4">
        <f t="shared" si="27"/>
        <v>1.3500000000021828E-3</v>
      </c>
    </row>
    <row r="874" spans="1:6" x14ac:dyDescent="0.25">
      <c r="A874" t="s">
        <v>468</v>
      </c>
      <c r="B874">
        <v>431.18867899999998</v>
      </c>
      <c r="D874" s="4">
        <f t="shared" si="26"/>
        <v>431.18867899999998</v>
      </c>
      <c r="E874" s="4">
        <f>+VLOOKUP(A874,Sheet3!A:B,2,FALSE)</f>
        <v>431.19</v>
      </c>
      <c r="F874" s="4">
        <f t="shared" si="27"/>
        <v>1.3210000000185573E-3</v>
      </c>
    </row>
    <row r="875" spans="1:6" x14ac:dyDescent="0.25">
      <c r="A875" t="s">
        <v>255</v>
      </c>
      <c r="B875">
        <v>24109.181272000002</v>
      </c>
      <c r="D875" s="4">
        <f t="shared" si="26"/>
        <v>24109.181272000002</v>
      </c>
      <c r="E875" s="4">
        <f>+VLOOKUP(A875,Sheet3!A:B,2,FALSE)</f>
        <v>24109.18</v>
      </c>
      <c r="F875" s="4">
        <f t="shared" si="27"/>
        <v>1.2720000013359822E-3</v>
      </c>
    </row>
    <row r="876" spans="1:6" x14ac:dyDescent="0.25">
      <c r="A876" t="s">
        <v>132</v>
      </c>
      <c r="B876">
        <v>1488.4187669999999</v>
      </c>
      <c r="D876" s="4">
        <f t="shared" si="26"/>
        <v>1488.4187669999999</v>
      </c>
      <c r="E876" s="4">
        <f>+VLOOKUP(A876,Sheet3!A:B,2,FALSE)</f>
        <v>1488.42</v>
      </c>
      <c r="F876" s="4">
        <f t="shared" si="27"/>
        <v>1.2330000001838926E-3</v>
      </c>
    </row>
    <row r="877" spans="1:6" x14ac:dyDescent="0.25">
      <c r="A877" t="s">
        <v>690</v>
      </c>
      <c r="B877">
        <v>245.10880399999999</v>
      </c>
      <c r="D877" s="4">
        <f t="shared" si="26"/>
        <v>245.10880399999999</v>
      </c>
      <c r="E877" s="4">
        <f>+VLOOKUP(A877,Sheet3!A:B,2,FALSE)</f>
        <v>245.11</v>
      </c>
      <c r="F877" s="4">
        <f t="shared" si="27"/>
        <v>1.1960000000215132E-3</v>
      </c>
    </row>
    <row r="878" spans="1:6" x14ac:dyDescent="0.25">
      <c r="A878" t="s">
        <v>89</v>
      </c>
      <c r="B878">
        <v>649.90119000000004</v>
      </c>
      <c r="D878" s="4">
        <f t="shared" si="26"/>
        <v>649.90119000000004</v>
      </c>
      <c r="E878" s="4">
        <f>+VLOOKUP(A878,Sheet3!A:B,2,FALSE)</f>
        <v>649.9</v>
      </c>
      <c r="F878" s="4">
        <f t="shared" si="27"/>
        <v>1.1900000000650834E-3</v>
      </c>
    </row>
    <row r="879" spans="1:6" x14ac:dyDescent="0.25">
      <c r="A879" t="s">
        <v>341</v>
      </c>
      <c r="B879">
        <v>2397.1088199999999</v>
      </c>
      <c r="D879" s="4">
        <f t="shared" si="26"/>
        <v>2397.1088199999999</v>
      </c>
      <c r="E879" s="4">
        <f>+VLOOKUP(A879,Sheet3!A:B,2,FALSE)</f>
        <v>2397.11</v>
      </c>
      <c r="F879" s="4">
        <f t="shared" si="27"/>
        <v>1.1800000002040179E-3</v>
      </c>
    </row>
    <row r="880" spans="1:6" x14ac:dyDescent="0.25">
      <c r="A880" t="s">
        <v>913</v>
      </c>
      <c r="B880">
        <v>1461.3488339999999</v>
      </c>
      <c r="D880" s="4">
        <f t="shared" si="26"/>
        <v>1461.3488339999999</v>
      </c>
      <c r="E880" s="4">
        <f>+VLOOKUP(A880,Sheet3!A:B,2,FALSE)</f>
        <v>1461.35</v>
      </c>
      <c r="F880" s="4">
        <f t="shared" si="27"/>
        <v>1.1660000000119908E-3</v>
      </c>
    </row>
    <row r="881" spans="1:6" x14ac:dyDescent="0.25">
      <c r="A881" t="s">
        <v>458</v>
      </c>
      <c r="B881">
        <v>1667.3088379999999</v>
      </c>
      <c r="D881" s="4">
        <f t="shared" si="26"/>
        <v>1667.3088379999999</v>
      </c>
      <c r="E881" s="4">
        <f>+VLOOKUP(A881,Sheet3!A:B,2,FALSE)</f>
        <v>1667.31</v>
      </c>
      <c r="F881" s="4">
        <f t="shared" si="27"/>
        <v>1.1620000000220898E-3</v>
      </c>
    </row>
    <row r="882" spans="1:6" x14ac:dyDescent="0.25">
      <c r="A882" t="s">
        <v>118</v>
      </c>
      <c r="B882">
        <v>1887.5888560000001</v>
      </c>
      <c r="D882" s="4">
        <f t="shared" si="26"/>
        <v>1887.5888560000001</v>
      </c>
      <c r="E882" s="4">
        <f>+VLOOKUP(A882,Sheet3!A:B,2,FALSE)</f>
        <v>1887.59</v>
      </c>
      <c r="F882" s="4">
        <f t="shared" si="27"/>
        <v>1.1439999998401618E-3</v>
      </c>
    </row>
    <row r="883" spans="1:6" x14ac:dyDescent="0.25">
      <c r="A883" t="s">
        <v>268</v>
      </c>
      <c r="B883">
        <v>1664.3111429999999</v>
      </c>
      <c r="D883" s="4">
        <f t="shared" si="26"/>
        <v>1664.3111429999999</v>
      </c>
      <c r="E883" s="4">
        <f>+VLOOKUP(A883,Sheet3!A:B,2,FALSE)</f>
        <v>1664.31</v>
      </c>
      <c r="F883" s="4">
        <f t="shared" si="27"/>
        <v>1.1429999999563734E-3</v>
      </c>
    </row>
    <row r="884" spans="1:6" x14ac:dyDescent="0.25">
      <c r="A884" t="s">
        <v>609</v>
      </c>
      <c r="B884">
        <v>884.45018000000005</v>
      </c>
      <c r="C884">
        <v>751.280936</v>
      </c>
      <c r="D884" s="4">
        <f t="shared" si="26"/>
        <v>1635.7311159999999</v>
      </c>
      <c r="E884" s="4">
        <f>+VLOOKUP(A884,Sheet3!A:B,2,FALSE)</f>
        <v>1635.73</v>
      </c>
      <c r="F884" s="4">
        <f t="shared" si="27"/>
        <v>1.115999999910855E-3</v>
      </c>
    </row>
    <row r="885" spans="1:6" x14ac:dyDescent="0.25">
      <c r="A885" t="s">
        <v>152</v>
      </c>
      <c r="B885">
        <v>1756.1488939999999</v>
      </c>
      <c r="D885" s="4">
        <f t="shared" si="26"/>
        <v>1756.1488939999999</v>
      </c>
      <c r="E885" s="4">
        <f>+VLOOKUP(A885,Sheet3!A:B,2,FALSE)</f>
        <v>1756.15</v>
      </c>
      <c r="F885" s="4">
        <f t="shared" si="27"/>
        <v>1.1060000001634762E-3</v>
      </c>
    </row>
    <row r="886" spans="1:6" x14ac:dyDescent="0.25">
      <c r="A886" t="s">
        <v>235</v>
      </c>
      <c r="B886">
        <v>1411.908899</v>
      </c>
      <c r="D886" s="4">
        <f t="shared" si="26"/>
        <v>1411.908899</v>
      </c>
      <c r="E886" s="4">
        <f>+VLOOKUP(A886,Sheet3!A:B,2,FALSE)</f>
        <v>1411.91</v>
      </c>
      <c r="F886" s="4">
        <f t="shared" si="27"/>
        <v>1.1010000000624132E-3</v>
      </c>
    </row>
    <row r="887" spans="1:6" x14ac:dyDescent="0.25">
      <c r="A887" t="s">
        <v>331</v>
      </c>
      <c r="C887">
        <v>294.461095</v>
      </c>
      <c r="D887" s="4">
        <f t="shared" si="26"/>
        <v>294.461095</v>
      </c>
      <c r="E887" s="4">
        <f>+VLOOKUP(A887,Sheet3!A:B,2,FALSE)</f>
        <v>294.45999999999998</v>
      </c>
      <c r="F887" s="4">
        <f t="shared" si="27"/>
        <v>1.0950000000207183E-3</v>
      </c>
    </row>
    <row r="888" spans="1:6" x14ac:dyDescent="0.25">
      <c r="A888" t="s">
        <v>316</v>
      </c>
      <c r="B888">
        <v>13090.368909999999</v>
      </c>
      <c r="D888" s="4">
        <f t="shared" si="26"/>
        <v>13090.368909999999</v>
      </c>
      <c r="E888" s="4">
        <f>+VLOOKUP(A888,Sheet3!A:B,2,FALSE)</f>
        <v>13090.37</v>
      </c>
      <c r="F888" s="4">
        <f t="shared" si="27"/>
        <v>1.0900000015681144E-3</v>
      </c>
    </row>
    <row r="889" spans="1:6" x14ac:dyDescent="0.25">
      <c r="A889" t="s">
        <v>180</v>
      </c>
      <c r="B889">
        <v>3560.2310889999999</v>
      </c>
      <c r="D889" s="4">
        <f t="shared" si="26"/>
        <v>3560.2310889999999</v>
      </c>
      <c r="E889" s="4">
        <f>+VLOOKUP(A889,Sheet3!A:B,2,FALSE)</f>
        <v>3560.23</v>
      </c>
      <c r="F889" s="4">
        <f t="shared" si="27"/>
        <v>1.0889999998653366E-3</v>
      </c>
    </row>
    <row r="890" spans="1:6" x14ac:dyDescent="0.25">
      <c r="A890" t="s">
        <v>84</v>
      </c>
      <c r="B890">
        <v>188.72108</v>
      </c>
      <c r="D890" s="4">
        <f t="shared" si="26"/>
        <v>188.72108</v>
      </c>
      <c r="E890" s="4">
        <f>+VLOOKUP(A890,Sheet3!A:B,2,FALSE)</f>
        <v>188.72</v>
      </c>
      <c r="F890" s="4">
        <f t="shared" si="27"/>
        <v>1.0800000000017462E-3</v>
      </c>
    </row>
    <row r="891" spans="1:6" x14ac:dyDescent="0.25">
      <c r="A891" t="s">
        <v>596</v>
      </c>
      <c r="B891">
        <v>72.911079000000001</v>
      </c>
      <c r="D891" s="4">
        <f t="shared" si="26"/>
        <v>72.911079000000001</v>
      </c>
      <c r="E891" s="4">
        <f>+VLOOKUP(A891,Sheet3!A:B,2,FALSE)</f>
        <v>72.91</v>
      </c>
      <c r="F891" s="4">
        <f t="shared" si="27"/>
        <v>1.079000000004271E-3</v>
      </c>
    </row>
    <row r="892" spans="1:6" x14ac:dyDescent="0.25">
      <c r="A892" t="s">
        <v>770</v>
      </c>
      <c r="B892">
        <v>38366.128944999997</v>
      </c>
      <c r="D892" s="4">
        <f t="shared" si="26"/>
        <v>38366.128944999997</v>
      </c>
      <c r="E892" s="4">
        <f>+VLOOKUP(A892,Sheet3!A:B,2,FALSE)</f>
        <v>38366.129999999997</v>
      </c>
      <c r="F892" s="4">
        <f t="shared" si="27"/>
        <v>1.0550000006332994E-3</v>
      </c>
    </row>
    <row r="893" spans="1:6" x14ac:dyDescent="0.25">
      <c r="A893" t="s">
        <v>91</v>
      </c>
      <c r="B893">
        <v>2147.8110539999998</v>
      </c>
      <c r="D893" s="4">
        <f t="shared" si="26"/>
        <v>2147.8110539999998</v>
      </c>
      <c r="E893" s="4">
        <f>+VLOOKUP(A893,Sheet3!A:B,2,FALSE)</f>
        <v>2147.81</v>
      </c>
      <c r="F893" s="4">
        <f t="shared" si="27"/>
        <v>1.0539999998400162E-3</v>
      </c>
    </row>
    <row r="894" spans="1:6" x14ac:dyDescent="0.25">
      <c r="A894" t="s">
        <v>870</v>
      </c>
      <c r="B894">
        <v>0.121048</v>
      </c>
      <c r="D894" s="4">
        <f t="shared" si="26"/>
        <v>0.121048</v>
      </c>
      <c r="E894" s="4">
        <f>+VLOOKUP(A894,Sheet3!A:B,2,FALSE)</f>
        <v>0.12</v>
      </c>
      <c r="F894" s="4">
        <f t="shared" si="27"/>
        <v>1.0480000000000073E-3</v>
      </c>
    </row>
    <row r="895" spans="1:6" x14ac:dyDescent="0.25">
      <c r="A895" t="s">
        <v>143</v>
      </c>
      <c r="C895">
        <v>641.04101700000001</v>
      </c>
      <c r="D895" s="4">
        <f t="shared" si="26"/>
        <v>641.04101700000001</v>
      </c>
      <c r="E895" s="4">
        <f>+VLOOKUP(A895,Sheet3!A:B,2,FALSE)</f>
        <v>641.04</v>
      </c>
      <c r="F895" s="4">
        <f t="shared" si="27"/>
        <v>1.0170000000471191E-3</v>
      </c>
    </row>
    <row r="896" spans="1:6" x14ac:dyDescent="0.25">
      <c r="A896" t="s">
        <v>545</v>
      </c>
      <c r="C896">
        <v>282.46101299999998</v>
      </c>
      <c r="D896" s="4">
        <f t="shared" si="26"/>
        <v>282.46101299999998</v>
      </c>
      <c r="E896" s="4">
        <f>+VLOOKUP(A896,Sheet3!A:B,2,FALSE)</f>
        <v>282.45999999999998</v>
      </c>
      <c r="F896" s="4">
        <f t="shared" si="27"/>
        <v>1.0130000000003747E-3</v>
      </c>
    </row>
    <row r="897" spans="1:6" x14ac:dyDescent="0.25">
      <c r="A897" t="s">
        <v>586</v>
      </c>
      <c r="C897">
        <v>282.46101299999998</v>
      </c>
      <c r="D897" s="4">
        <f t="shared" si="26"/>
        <v>282.46101299999998</v>
      </c>
      <c r="E897" s="4">
        <f>+VLOOKUP(A897,Sheet3!A:B,2,FALSE)</f>
        <v>282.45999999999998</v>
      </c>
      <c r="F897" s="4">
        <f t="shared" si="27"/>
        <v>1.0130000000003747E-3</v>
      </c>
    </row>
    <row r="898" spans="1:6" x14ac:dyDescent="0.25">
      <c r="A898" t="s">
        <v>114</v>
      </c>
      <c r="C898">
        <v>282.46101299999998</v>
      </c>
      <c r="D898" s="4">
        <f t="shared" ref="D898:D961" si="28">+B898+C898</f>
        <v>282.46101299999998</v>
      </c>
      <c r="E898" s="4">
        <f>+VLOOKUP(A898,Sheet3!A:B,2,FALSE)</f>
        <v>282.45999999999998</v>
      </c>
      <c r="F898" s="4">
        <f t="shared" ref="F898:F961" si="29">+ABS(E898-D898)</f>
        <v>1.0130000000003747E-3</v>
      </c>
    </row>
    <row r="899" spans="1:6" x14ac:dyDescent="0.25">
      <c r="A899" t="s">
        <v>780</v>
      </c>
      <c r="B899">
        <v>1506.979006</v>
      </c>
      <c r="D899" s="4">
        <f t="shared" si="28"/>
        <v>1506.979006</v>
      </c>
      <c r="E899" s="4">
        <f>+VLOOKUP(A899,Sheet3!A:B,2,FALSE)</f>
        <v>1506.98</v>
      </c>
      <c r="F899" s="4">
        <f t="shared" si="29"/>
        <v>9.9399999999150168E-4</v>
      </c>
    </row>
    <row r="900" spans="1:6" x14ac:dyDescent="0.25">
      <c r="A900" t="s">
        <v>369</v>
      </c>
      <c r="B900">
        <v>385.319031</v>
      </c>
      <c r="D900" s="4">
        <f t="shared" si="28"/>
        <v>385.319031</v>
      </c>
      <c r="E900" s="4">
        <f>+VLOOKUP(A900,Sheet3!A:B,2,FALSE)</f>
        <v>385.32</v>
      </c>
      <c r="F900" s="4">
        <f t="shared" si="29"/>
        <v>9.6899999999777719E-4</v>
      </c>
    </row>
    <row r="901" spans="1:6" x14ac:dyDescent="0.25">
      <c r="A901" t="s">
        <v>724</v>
      </c>
      <c r="C901">
        <v>818.40909499999998</v>
      </c>
      <c r="D901" s="4">
        <f t="shared" si="28"/>
        <v>818.40909499999998</v>
      </c>
      <c r="E901" s="4">
        <f>+VLOOKUP(A901,Sheet3!A:B,2,FALSE)</f>
        <v>818.41</v>
      </c>
      <c r="F901" s="4">
        <f t="shared" si="29"/>
        <v>9.0499999998883141E-4</v>
      </c>
    </row>
    <row r="902" spans="1:6" x14ac:dyDescent="0.25">
      <c r="A902" t="s">
        <v>572</v>
      </c>
      <c r="C902">
        <v>868.36086699999998</v>
      </c>
      <c r="D902" s="4">
        <f t="shared" si="28"/>
        <v>868.36086699999998</v>
      </c>
      <c r="E902" s="4">
        <f>+VLOOKUP(A902,Sheet3!A:B,2,FALSE)</f>
        <v>868.36</v>
      </c>
      <c r="F902" s="4">
        <f t="shared" si="29"/>
        <v>8.6699999997108534E-4</v>
      </c>
    </row>
    <row r="903" spans="1:6" x14ac:dyDescent="0.25">
      <c r="A903" t="s">
        <v>13</v>
      </c>
      <c r="B903">
        <v>1561.4092049999999</v>
      </c>
      <c r="D903" s="4">
        <f t="shared" si="28"/>
        <v>1561.4092049999999</v>
      </c>
      <c r="E903" s="4">
        <f>+VLOOKUP(A903,Sheet3!A:B,2,FALSE)</f>
        <v>1561.41</v>
      </c>
      <c r="F903" s="4">
        <f t="shared" si="29"/>
        <v>7.9500000015286787E-4</v>
      </c>
    </row>
    <row r="904" spans="1:6" x14ac:dyDescent="0.25">
      <c r="A904" t="s">
        <v>138</v>
      </c>
      <c r="B904">
        <v>45182.759209999997</v>
      </c>
      <c r="D904" s="4">
        <f t="shared" si="28"/>
        <v>45182.759209999997</v>
      </c>
      <c r="E904" s="4">
        <f>+VLOOKUP(A904,Sheet3!A:B,2,FALSE)</f>
        <v>45182.76</v>
      </c>
      <c r="F904" s="4">
        <f t="shared" si="29"/>
        <v>7.9000000550877303E-4</v>
      </c>
    </row>
    <row r="905" spans="1:6" x14ac:dyDescent="0.25">
      <c r="A905" t="s">
        <v>195</v>
      </c>
      <c r="B905">
        <v>1855.370766</v>
      </c>
      <c r="D905" s="4">
        <f t="shared" si="28"/>
        <v>1855.370766</v>
      </c>
      <c r="E905" s="4">
        <f>+VLOOKUP(A905,Sheet3!A:B,2,FALSE)</f>
        <v>1855.37</v>
      </c>
      <c r="F905" s="4">
        <f t="shared" si="29"/>
        <v>7.6600000011239899E-4</v>
      </c>
    </row>
    <row r="906" spans="1:6" x14ac:dyDescent="0.25">
      <c r="A906" t="s">
        <v>445</v>
      </c>
      <c r="B906">
        <v>1011.019235</v>
      </c>
      <c r="D906" s="4">
        <f t="shared" si="28"/>
        <v>1011.019235</v>
      </c>
      <c r="E906" s="4">
        <f>+VLOOKUP(A906,Sheet3!A:B,2,FALSE)</f>
        <v>1011.02</v>
      </c>
      <c r="F906" s="4">
        <f t="shared" si="29"/>
        <v>7.6500000000123691E-4</v>
      </c>
    </row>
    <row r="907" spans="1:6" x14ac:dyDescent="0.25">
      <c r="A907" t="s">
        <v>589</v>
      </c>
      <c r="B907">
        <v>1438.9192399999999</v>
      </c>
      <c r="D907" s="4">
        <f t="shared" si="28"/>
        <v>1438.9192399999999</v>
      </c>
      <c r="E907" s="4">
        <f>+VLOOKUP(A907,Sheet3!A:B,2,FALSE)</f>
        <v>1438.92</v>
      </c>
      <c r="F907" s="4">
        <f t="shared" si="29"/>
        <v>7.6000000012754754E-4</v>
      </c>
    </row>
    <row r="908" spans="1:6" x14ac:dyDescent="0.25">
      <c r="A908" t="s">
        <v>250</v>
      </c>
      <c r="B908">
        <v>1667.4307349999999</v>
      </c>
      <c r="D908" s="4">
        <f t="shared" si="28"/>
        <v>1667.4307349999999</v>
      </c>
      <c r="E908" s="4">
        <f>+VLOOKUP(A908,Sheet3!A:B,2,FALSE)</f>
        <v>1667.43</v>
      </c>
      <c r="F908" s="4">
        <f t="shared" si="29"/>
        <v>7.3499999984960596E-4</v>
      </c>
    </row>
    <row r="909" spans="1:6" x14ac:dyDescent="0.25">
      <c r="A909" t="s">
        <v>805</v>
      </c>
      <c r="B909">
        <v>404.98929600000002</v>
      </c>
      <c r="D909" s="4">
        <f t="shared" si="28"/>
        <v>404.98929600000002</v>
      </c>
      <c r="E909" s="4">
        <f>+VLOOKUP(A909,Sheet3!A:B,2,FALSE)</f>
        <v>404.99</v>
      </c>
      <c r="F909" s="4">
        <f t="shared" si="29"/>
        <v>7.0399999998471685E-4</v>
      </c>
    </row>
    <row r="910" spans="1:6" x14ac:dyDescent="0.25">
      <c r="A910" t="s">
        <v>559</v>
      </c>
      <c r="B910">
        <v>31484.590678</v>
      </c>
      <c r="D910" s="4">
        <f t="shared" si="28"/>
        <v>31484.590678</v>
      </c>
      <c r="E910" s="4">
        <f>+VLOOKUP(A910,Sheet3!A:B,2,FALSE)</f>
        <v>31484.59</v>
      </c>
      <c r="F910" s="4">
        <f t="shared" si="29"/>
        <v>6.7800000033457763E-4</v>
      </c>
    </row>
    <row r="911" spans="1:6" x14ac:dyDescent="0.25">
      <c r="A911" t="s">
        <v>290</v>
      </c>
      <c r="B911">
        <v>696.93934300000001</v>
      </c>
      <c r="D911" s="4">
        <f t="shared" si="28"/>
        <v>696.93934300000001</v>
      </c>
      <c r="E911" s="4">
        <f>+VLOOKUP(A911,Sheet3!A:B,2,FALSE)</f>
        <v>696.94</v>
      </c>
      <c r="F911" s="4">
        <f t="shared" si="29"/>
        <v>6.5700000004653702E-4</v>
      </c>
    </row>
    <row r="912" spans="1:6" x14ac:dyDescent="0.25">
      <c r="A912" t="s">
        <v>597</v>
      </c>
      <c r="B912">
        <v>536.99059099999999</v>
      </c>
      <c r="D912" s="4">
        <f t="shared" si="28"/>
        <v>536.99059099999999</v>
      </c>
      <c r="E912" s="4">
        <f>+VLOOKUP(A912,Sheet3!A:B,2,FALSE)</f>
        <v>536.99</v>
      </c>
      <c r="F912" s="4">
        <f t="shared" si="29"/>
        <v>5.9099999998579733E-4</v>
      </c>
    </row>
    <row r="913" spans="1:6" x14ac:dyDescent="0.25">
      <c r="A913" t="s">
        <v>583</v>
      </c>
      <c r="B913">
        <v>878.33928200000003</v>
      </c>
      <c r="C913">
        <v>746.09013900000002</v>
      </c>
      <c r="D913" s="4">
        <f t="shared" si="28"/>
        <v>1624.429421</v>
      </c>
      <c r="E913" s="4">
        <f>+VLOOKUP(A913,Sheet3!A:B,2,FALSE)</f>
        <v>1624.43</v>
      </c>
      <c r="F913" s="4">
        <f t="shared" si="29"/>
        <v>5.7900000001609442E-4</v>
      </c>
    </row>
    <row r="914" spans="1:6" x14ac:dyDescent="0.25">
      <c r="A914" t="s">
        <v>47</v>
      </c>
      <c r="B914">
        <v>12012.529435</v>
      </c>
      <c r="D914" s="4">
        <f t="shared" si="28"/>
        <v>12012.529435</v>
      </c>
      <c r="E914" s="4">
        <f>+VLOOKUP(A914,Sheet3!A:B,2,FALSE)</f>
        <v>12012.53</v>
      </c>
      <c r="F914" s="4">
        <f t="shared" si="29"/>
        <v>5.650000002788147E-4</v>
      </c>
    </row>
    <row r="915" spans="1:6" x14ac:dyDescent="0.25">
      <c r="A915" t="s">
        <v>139</v>
      </c>
      <c r="B915">
        <v>12012.529435</v>
      </c>
      <c r="D915" s="4">
        <f t="shared" si="28"/>
        <v>12012.529435</v>
      </c>
      <c r="E915" s="4">
        <f>+VLOOKUP(A915,Sheet3!A:B,2,FALSE)</f>
        <v>12012.53</v>
      </c>
      <c r="F915" s="4">
        <f t="shared" si="29"/>
        <v>5.650000002788147E-4</v>
      </c>
    </row>
    <row r="916" spans="1:6" x14ac:dyDescent="0.25">
      <c r="A916" t="s">
        <v>921</v>
      </c>
      <c r="B916">
        <v>12012.529435</v>
      </c>
      <c r="D916" s="4">
        <f t="shared" si="28"/>
        <v>12012.529435</v>
      </c>
      <c r="E916" s="4">
        <f>+VLOOKUP(A916,Sheet3!A:B,2,FALSE)</f>
        <v>12012.53</v>
      </c>
      <c r="F916" s="4">
        <f t="shared" si="29"/>
        <v>5.650000002788147E-4</v>
      </c>
    </row>
    <row r="917" spans="1:6" x14ac:dyDescent="0.25">
      <c r="A917" t="s">
        <v>429</v>
      </c>
      <c r="B917">
        <v>12012.529435</v>
      </c>
      <c r="D917" s="4">
        <f t="shared" si="28"/>
        <v>12012.529435</v>
      </c>
      <c r="E917" s="4">
        <f>+VLOOKUP(A917,Sheet3!A:B,2,FALSE)</f>
        <v>12012.53</v>
      </c>
      <c r="F917" s="4">
        <f t="shared" si="29"/>
        <v>5.650000002788147E-4</v>
      </c>
    </row>
    <row r="918" spans="1:6" x14ac:dyDescent="0.25">
      <c r="A918" t="s">
        <v>663</v>
      </c>
      <c r="B918">
        <v>1095.1194419999999</v>
      </c>
      <c r="D918" s="4">
        <f t="shared" si="28"/>
        <v>1095.1194419999999</v>
      </c>
      <c r="E918" s="4">
        <f>+VLOOKUP(A918,Sheet3!A:B,2,FALSE)</f>
        <v>1095.1199999999999</v>
      </c>
      <c r="F918" s="4">
        <f t="shared" si="29"/>
        <v>5.5799999995542748E-4</v>
      </c>
    </row>
    <row r="919" spans="1:6" x14ac:dyDescent="0.25">
      <c r="A919" t="s">
        <v>558</v>
      </c>
      <c r="B919">
        <v>38147.709444</v>
      </c>
      <c r="D919" s="4">
        <f t="shared" si="28"/>
        <v>38147.709444</v>
      </c>
      <c r="E919" s="4">
        <f>+VLOOKUP(A919,Sheet3!A:B,2,FALSE)</f>
        <v>38147.71</v>
      </c>
      <c r="F919" s="4">
        <f t="shared" si="29"/>
        <v>5.559999990509823E-4</v>
      </c>
    </row>
    <row r="920" spans="1:6" x14ac:dyDescent="0.25">
      <c r="A920" t="s">
        <v>486</v>
      </c>
      <c r="B920">
        <v>38147.709444</v>
      </c>
      <c r="D920" s="4">
        <f t="shared" si="28"/>
        <v>38147.709444</v>
      </c>
      <c r="E920" s="4">
        <f>+VLOOKUP(A920,Sheet3!A:B,2,FALSE)</f>
        <v>38147.71</v>
      </c>
      <c r="F920" s="4">
        <f t="shared" si="29"/>
        <v>5.559999990509823E-4</v>
      </c>
    </row>
    <row r="921" spans="1:6" x14ac:dyDescent="0.25">
      <c r="A921" t="s">
        <v>57</v>
      </c>
      <c r="B921">
        <v>1998.0305510000001</v>
      </c>
      <c r="D921" s="4">
        <f t="shared" si="28"/>
        <v>1998.0305510000001</v>
      </c>
      <c r="E921" s="4">
        <f>+VLOOKUP(A921,Sheet3!A:B,2,FALSE)</f>
        <v>1998.03</v>
      </c>
      <c r="F921" s="4">
        <f t="shared" si="29"/>
        <v>5.5100000008678762E-4</v>
      </c>
    </row>
    <row r="922" spans="1:6" x14ac:dyDescent="0.25">
      <c r="A922" t="s">
        <v>177</v>
      </c>
      <c r="C922">
        <v>65.210531000000003</v>
      </c>
      <c r="D922" s="4">
        <f t="shared" si="28"/>
        <v>65.210531000000003</v>
      </c>
      <c r="E922" s="4">
        <f>+VLOOKUP(A922,Sheet3!A:B,2,FALSE)</f>
        <v>65.209999999999994</v>
      </c>
      <c r="F922" s="4">
        <f t="shared" si="29"/>
        <v>5.3100000000938508E-4</v>
      </c>
    </row>
    <row r="923" spans="1:6" x14ac:dyDescent="0.25">
      <c r="A923" t="s">
        <v>532</v>
      </c>
      <c r="C923">
        <v>65.210531000000003</v>
      </c>
      <c r="D923" s="4">
        <f t="shared" si="28"/>
        <v>65.210531000000003</v>
      </c>
      <c r="E923" s="4">
        <f>+VLOOKUP(A923,Sheet3!A:B,2,FALSE)</f>
        <v>65.209999999999994</v>
      </c>
      <c r="F923" s="4">
        <f t="shared" si="29"/>
        <v>5.3100000000938508E-4</v>
      </c>
    </row>
    <row r="924" spans="1:6" x14ac:dyDescent="0.25">
      <c r="A924" t="s">
        <v>168</v>
      </c>
      <c r="B924">
        <v>1981.3905239999999</v>
      </c>
      <c r="D924" s="4">
        <f t="shared" si="28"/>
        <v>1981.3905239999999</v>
      </c>
      <c r="E924" s="4">
        <f>+VLOOKUP(A924,Sheet3!A:B,2,FALSE)</f>
        <v>1981.39</v>
      </c>
      <c r="F924" s="4">
        <f t="shared" si="29"/>
        <v>5.2399999981389556E-4</v>
      </c>
    </row>
    <row r="925" spans="1:6" x14ac:dyDescent="0.25">
      <c r="A925" t="s">
        <v>41</v>
      </c>
      <c r="B925">
        <v>1195.670519</v>
      </c>
      <c r="D925" s="4">
        <f t="shared" si="28"/>
        <v>1195.670519</v>
      </c>
      <c r="E925" s="4">
        <f>+VLOOKUP(A925,Sheet3!A:B,2,FALSE)</f>
        <v>1195.67</v>
      </c>
      <c r="F925" s="4">
        <f t="shared" si="29"/>
        <v>5.1899999994020618E-4</v>
      </c>
    </row>
    <row r="926" spans="1:6" x14ac:dyDescent="0.25">
      <c r="A926" t="s">
        <v>895</v>
      </c>
      <c r="C926">
        <v>38.020480999999997</v>
      </c>
      <c r="D926" s="4">
        <f t="shared" si="28"/>
        <v>38.020480999999997</v>
      </c>
      <c r="E926" s="4">
        <f>+VLOOKUP(A926,Sheet3!A:B,2,FALSE)</f>
        <v>38.020000000000003</v>
      </c>
      <c r="F926" s="4">
        <f t="shared" si="29"/>
        <v>4.8099999999351439E-4</v>
      </c>
    </row>
    <row r="927" spans="1:6" x14ac:dyDescent="0.25">
      <c r="A927" t="s">
        <v>726</v>
      </c>
      <c r="B927">
        <v>1754.840479</v>
      </c>
      <c r="D927" s="4">
        <f t="shared" si="28"/>
        <v>1754.840479</v>
      </c>
      <c r="E927" s="4">
        <f>+VLOOKUP(A927,Sheet3!A:B,2,FALSE)</f>
        <v>1754.84</v>
      </c>
      <c r="F927" s="4">
        <f t="shared" si="29"/>
        <v>4.7900000004119647E-4</v>
      </c>
    </row>
    <row r="928" spans="1:6" x14ac:dyDescent="0.25">
      <c r="A928" t="s">
        <v>748</v>
      </c>
      <c r="B928">
        <v>989.81953099999998</v>
      </c>
      <c r="D928" s="4">
        <f t="shared" si="28"/>
        <v>989.81953099999998</v>
      </c>
      <c r="E928" s="4">
        <f>+VLOOKUP(A928,Sheet3!A:B,2,FALSE)</f>
        <v>989.82</v>
      </c>
      <c r="F928" s="4">
        <f t="shared" si="29"/>
        <v>4.6900000006644404E-4</v>
      </c>
    </row>
    <row r="929" spans="1:6" x14ac:dyDescent="0.25">
      <c r="A929" t="s">
        <v>472</v>
      </c>
      <c r="B929">
        <v>1306.370449</v>
      </c>
      <c r="D929" s="4">
        <f t="shared" si="28"/>
        <v>1306.370449</v>
      </c>
      <c r="E929" s="4">
        <f>+VLOOKUP(A929,Sheet3!A:B,2,FALSE)</f>
        <v>1306.3699999999999</v>
      </c>
      <c r="F929" s="4">
        <f t="shared" si="29"/>
        <v>4.4900000011693919E-4</v>
      </c>
    </row>
    <row r="930" spans="1:6" x14ac:dyDescent="0.25">
      <c r="A930" t="s">
        <v>872</v>
      </c>
      <c r="B930">
        <v>426.25038499999999</v>
      </c>
      <c r="D930" s="4">
        <f t="shared" si="28"/>
        <v>426.25038499999999</v>
      </c>
      <c r="E930" s="4">
        <f>+VLOOKUP(A930,Sheet3!A:B,2,FALSE)</f>
        <v>426.25</v>
      </c>
      <c r="F930" s="4">
        <f t="shared" si="29"/>
        <v>3.8499999999430656E-4</v>
      </c>
    </row>
    <row r="931" spans="1:6" x14ac:dyDescent="0.25">
      <c r="A931" t="s">
        <v>17</v>
      </c>
      <c r="B931">
        <v>365.959677</v>
      </c>
      <c r="D931" s="4">
        <f t="shared" si="28"/>
        <v>365.959677</v>
      </c>
      <c r="E931" s="4">
        <f>+VLOOKUP(A931,Sheet3!A:B,2,FALSE)</f>
        <v>365.96</v>
      </c>
      <c r="F931" s="4">
        <f t="shared" si="29"/>
        <v>3.2299999998031126E-4</v>
      </c>
    </row>
    <row r="932" spans="1:6" x14ac:dyDescent="0.25">
      <c r="A932" t="s">
        <v>345</v>
      </c>
      <c r="B932">
        <v>16681.560302999998</v>
      </c>
      <c r="D932" s="4">
        <f t="shared" si="28"/>
        <v>16681.560302999998</v>
      </c>
      <c r="E932" s="4">
        <f>+VLOOKUP(A932,Sheet3!A:B,2,FALSE)</f>
        <v>16681.560000000001</v>
      </c>
      <c r="F932" s="4">
        <f t="shared" si="29"/>
        <v>3.0299999707494862E-4</v>
      </c>
    </row>
    <row r="933" spans="1:6" x14ac:dyDescent="0.25">
      <c r="A933" t="s">
        <v>811</v>
      </c>
      <c r="B933">
        <v>2281.810289</v>
      </c>
      <c r="D933" s="4">
        <f t="shared" si="28"/>
        <v>2281.810289</v>
      </c>
      <c r="E933" s="4">
        <f>+VLOOKUP(A933,Sheet3!A:B,2,FALSE)</f>
        <v>2281.81</v>
      </c>
      <c r="F933" s="4">
        <f t="shared" si="29"/>
        <v>2.8900000006615301E-4</v>
      </c>
    </row>
    <row r="934" spans="1:6" x14ac:dyDescent="0.25">
      <c r="A934" t="s">
        <v>14</v>
      </c>
      <c r="C934">
        <v>332.05027899999999</v>
      </c>
      <c r="D934" s="4">
        <f t="shared" si="28"/>
        <v>332.05027899999999</v>
      </c>
      <c r="E934" s="4">
        <f>+VLOOKUP(A934,Sheet3!A:B,2,FALSE)</f>
        <v>332.05</v>
      </c>
      <c r="F934" s="4">
        <f t="shared" si="29"/>
        <v>2.7899999997771374E-4</v>
      </c>
    </row>
    <row r="935" spans="1:6" x14ac:dyDescent="0.25">
      <c r="A935" t="s">
        <v>627</v>
      </c>
      <c r="B935">
        <v>1769.2097220000001</v>
      </c>
      <c r="D935" s="4">
        <f t="shared" si="28"/>
        <v>1769.2097220000001</v>
      </c>
      <c r="E935" s="4">
        <f>+VLOOKUP(A935,Sheet3!A:B,2,FALSE)</f>
        <v>1769.21</v>
      </c>
      <c r="F935" s="4">
        <f t="shared" si="29"/>
        <v>2.779999999802385E-4</v>
      </c>
    </row>
    <row r="936" spans="1:6" x14ac:dyDescent="0.25">
      <c r="A936" t="s">
        <v>658</v>
      </c>
      <c r="B936">
        <v>42.040267</v>
      </c>
      <c r="D936" s="4">
        <f t="shared" si="28"/>
        <v>42.040267</v>
      </c>
      <c r="E936" s="4">
        <f>+VLOOKUP(A936,Sheet3!A:B,2,FALSE)</f>
        <v>42.04</v>
      </c>
      <c r="F936" s="4">
        <f t="shared" si="29"/>
        <v>2.670000000009054E-4</v>
      </c>
    </row>
    <row r="937" spans="1:6" x14ac:dyDescent="0.25">
      <c r="A937" t="s">
        <v>86</v>
      </c>
      <c r="B937">
        <v>250.00085899999999</v>
      </c>
      <c r="C937">
        <v>212.358913</v>
      </c>
      <c r="D937" s="4">
        <f t="shared" si="28"/>
        <v>462.35977200000002</v>
      </c>
      <c r="E937" s="4">
        <f>+VLOOKUP(A937,Sheet3!A:B,2,FALSE)</f>
        <v>462.36</v>
      </c>
      <c r="F937" s="4">
        <f t="shared" si="29"/>
        <v>2.2799999999278953E-4</v>
      </c>
    </row>
    <row r="938" spans="1:6" x14ac:dyDescent="0.25">
      <c r="A938" t="s">
        <v>436</v>
      </c>
      <c r="B938">
        <v>2242.3901540000002</v>
      </c>
      <c r="D938" s="4">
        <f t="shared" si="28"/>
        <v>2242.3901540000002</v>
      </c>
      <c r="E938" s="4">
        <f>+VLOOKUP(A938,Sheet3!A:B,2,FALSE)</f>
        <v>2242.39</v>
      </c>
      <c r="F938" s="4">
        <f t="shared" si="29"/>
        <v>1.540000002933084E-4</v>
      </c>
    </row>
    <row r="939" spans="1:6" x14ac:dyDescent="0.25">
      <c r="A939" t="s">
        <v>174</v>
      </c>
      <c r="B939">
        <v>1014.700136</v>
      </c>
      <c r="D939" s="4">
        <f t="shared" si="28"/>
        <v>1014.700136</v>
      </c>
      <c r="E939" s="4">
        <f>+VLOOKUP(A939,Sheet3!A:B,2,FALSE)</f>
        <v>1014.7</v>
      </c>
      <c r="F939" s="4">
        <f t="shared" si="29"/>
        <v>1.3599999999769352E-4</v>
      </c>
    </row>
    <row r="940" spans="1:6" x14ac:dyDescent="0.25">
      <c r="A940" t="s">
        <v>848</v>
      </c>
      <c r="C940">
        <v>294.46013399999998</v>
      </c>
      <c r="D940" s="4">
        <f t="shared" si="28"/>
        <v>294.46013399999998</v>
      </c>
      <c r="E940" s="4">
        <f>+VLOOKUP(A940,Sheet3!A:B,2,FALSE)</f>
        <v>294.45999999999998</v>
      </c>
      <c r="F940" s="4">
        <f t="shared" si="29"/>
        <v>1.3400000000274304E-4</v>
      </c>
    </row>
    <row r="941" spans="1:6" x14ac:dyDescent="0.25">
      <c r="A941" t="s">
        <v>221</v>
      </c>
      <c r="B941">
        <v>70.960115999999999</v>
      </c>
      <c r="D941" s="4">
        <f t="shared" si="28"/>
        <v>70.960115999999999</v>
      </c>
      <c r="E941" s="4">
        <f>+VLOOKUP(A941,Sheet3!A:B,2,FALSE)</f>
        <v>70.959999999999994</v>
      </c>
      <c r="F941" s="4">
        <f t="shared" si="29"/>
        <v>1.160000000055561E-4</v>
      </c>
    </row>
    <row r="942" spans="1:6" x14ac:dyDescent="0.25">
      <c r="A942" t="s">
        <v>187</v>
      </c>
      <c r="C942">
        <v>15.590116</v>
      </c>
      <c r="D942" s="4">
        <f t="shared" si="28"/>
        <v>15.590116</v>
      </c>
      <c r="E942" s="4">
        <f>+VLOOKUP(A942,Sheet3!A:B,2,FALSE)</f>
        <v>15.59</v>
      </c>
      <c r="F942" s="4">
        <f t="shared" si="29"/>
        <v>1.1600000000022703E-4</v>
      </c>
    </row>
    <row r="943" spans="1:6" x14ac:dyDescent="0.25">
      <c r="A943" t="s">
        <v>69</v>
      </c>
      <c r="B943">
        <v>729.93989099999999</v>
      </c>
      <c r="D943" s="4">
        <f t="shared" si="28"/>
        <v>729.93989099999999</v>
      </c>
      <c r="E943" s="4">
        <f>+VLOOKUP(A943,Sheet3!A:B,2,FALSE)</f>
        <v>729.94</v>
      </c>
      <c r="F943" s="4">
        <f t="shared" si="29"/>
        <v>1.0900000006586197E-4</v>
      </c>
    </row>
    <row r="944" spans="1:6" x14ac:dyDescent="0.25">
      <c r="A944" t="s">
        <v>919</v>
      </c>
      <c r="B944">
        <v>523.33992999999998</v>
      </c>
      <c r="D944" s="4">
        <f t="shared" si="28"/>
        <v>523.33992999999998</v>
      </c>
      <c r="E944" s="4">
        <f>+VLOOKUP(A944,Sheet3!A:B,2,FALSE)</f>
        <v>523.34</v>
      </c>
      <c r="F944" s="4">
        <f t="shared" si="29"/>
        <v>7.0000000050640665E-5</v>
      </c>
    </row>
    <row r="945" spans="1:6" x14ac:dyDescent="0.25">
      <c r="A945" t="s">
        <v>765</v>
      </c>
      <c r="B945">
        <v>1113.6499610000001</v>
      </c>
      <c r="D945" s="4">
        <f t="shared" si="28"/>
        <v>1113.6499610000001</v>
      </c>
      <c r="E945" s="4">
        <f>+VLOOKUP(A945,Sheet3!A:B,2,FALSE)</f>
        <v>1113.6500000000001</v>
      </c>
      <c r="F945" s="4">
        <f t="shared" si="29"/>
        <v>3.9000000015221303E-5</v>
      </c>
    </row>
    <row r="946" spans="1:6" x14ac:dyDescent="0.25">
      <c r="A946" t="s">
        <v>542</v>
      </c>
      <c r="B946">
        <v>1756.7499869999999</v>
      </c>
      <c r="D946" s="4">
        <f t="shared" si="28"/>
        <v>1756.7499869999999</v>
      </c>
      <c r="E946" s="4">
        <f>+VLOOKUP(A946,Sheet3!A:B,2,FALSE)</f>
        <v>1756.75</v>
      </c>
      <c r="F946" s="4">
        <f t="shared" si="29"/>
        <v>1.3000000080864993E-5</v>
      </c>
    </row>
    <row r="947" spans="1:6" x14ac:dyDescent="0.25">
      <c r="A947" t="s">
        <v>314</v>
      </c>
      <c r="B947">
        <v>1756.7499869999999</v>
      </c>
      <c r="D947" s="4">
        <f t="shared" si="28"/>
        <v>1756.7499869999999</v>
      </c>
      <c r="E947" s="4">
        <f>+VLOOKUP(A947,Sheet3!A:B,2,FALSE)</f>
        <v>1756.75</v>
      </c>
      <c r="F947" s="4">
        <f t="shared" si="29"/>
        <v>1.3000000080864993E-5</v>
      </c>
    </row>
    <row r="948" spans="1:6" x14ac:dyDescent="0.25">
      <c r="A948" t="s">
        <v>680</v>
      </c>
      <c r="B948">
        <v>1756.7499869999999</v>
      </c>
      <c r="D948" s="4">
        <f t="shared" si="28"/>
        <v>1756.7499869999999</v>
      </c>
      <c r="E948" s="4">
        <f>+VLOOKUP(A948,Sheet3!A:B,2,FALSE)</f>
        <v>1756.75</v>
      </c>
      <c r="F948" s="4">
        <f t="shared" si="29"/>
        <v>1.3000000080864993E-5</v>
      </c>
    </row>
    <row r="949" spans="1:6" x14ac:dyDescent="0.25">
      <c r="A949" t="s">
        <v>425</v>
      </c>
      <c r="B949">
        <v>40737.24</v>
      </c>
      <c r="D949" s="4">
        <f t="shared" si="28"/>
        <v>40737.24</v>
      </c>
      <c r="E949" s="4">
        <f>+VLOOKUP(A949,Sheet3!A:B,2,FALSE)</f>
        <v>40737.24</v>
      </c>
      <c r="F949" s="4">
        <f t="shared" si="29"/>
        <v>0</v>
      </c>
    </row>
  </sheetData>
  <autoFilter ref="A1:F949">
    <sortState ref="A2:F949">
      <sortCondition descending="1" ref="F1:F94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52"/>
  <sheetViews>
    <sheetView topLeftCell="A3" workbookViewId="0">
      <selection activeCell="A7" sqref="A7"/>
    </sheetView>
  </sheetViews>
  <sheetFormatPr defaultRowHeight="15" x14ac:dyDescent="0.25"/>
  <cols>
    <col min="1" max="1" width="33.85546875" bestFit="1" customWidth="1"/>
    <col min="2" max="2" width="33.42578125" bestFit="1" customWidth="1"/>
  </cols>
  <sheetData>
    <row r="3" spans="1:2" x14ac:dyDescent="0.25">
      <c r="A3" s="1" t="s">
        <v>2538</v>
      </c>
      <c r="B3" t="s">
        <v>2540</v>
      </c>
    </row>
    <row r="4" spans="1:2" x14ac:dyDescent="0.25">
      <c r="A4" s="2" t="s">
        <v>940</v>
      </c>
      <c r="B4" s="3">
        <v>5511.8</v>
      </c>
    </row>
    <row r="5" spans="1:2" x14ac:dyDescent="0.25">
      <c r="A5" s="2" t="s">
        <v>213</v>
      </c>
      <c r="B5" s="3">
        <v>1862.75</v>
      </c>
    </row>
    <row r="6" spans="1:2" x14ac:dyDescent="0.25">
      <c r="A6" s="2" t="s">
        <v>903</v>
      </c>
      <c r="B6" s="3">
        <v>18908.75</v>
      </c>
    </row>
    <row r="7" spans="1:2" x14ac:dyDescent="0.25">
      <c r="A7" s="2" t="s">
        <v>595</v>
      </c>
      <c r="B7" s="3">
        <v>3757.91</v>
      </c>
    </row>
    <row r="8" spans="1:2" x14ac:dyDescent="0.25">
      <c r="A8" s="2" t="s">
        <v>885</v>
      </c>
      <c r="B8" s="3">
        <v>15639.8</v>
      </c>
    </row>
    <row r="9" spans="1:2" x14ac:dyDescent="0.25">
      <c r="A9" s="2" t="s">
        <v>418</v>
      </c>
      <c r="B9" s="3">
        <v>25621.69</v>
      </c>
    </row>
    <row r="10" spans="1:2" x14ac:dyDescent="0.25">
      <c r="A10" s="2" t="s">
        <v>289</v>
      </c>
      <c r="B10" s="3">
        <v>3880.34</v>
      </c>
    </row>
    <row r="11" spans="1:2" x14ac:dyDescent="0.25">
      <c r="A11" s="2" t="s">
        <v>444</v>
      </c>
      <c r="B11" s="3">
        <v>53274.400000000001</v>
      </c>
    </row>
    <row r="12" spans="1:2" x14ac:dyDescent="0.25">
      <c r="A12" s="2" t="s">
        <v>305</v>
      </c>
      <c r="B12" s="3">
        <v>14672.6</v>
      </c>
    </row>
    <row r="13" spans="1:2" x14ac:dyDescent="0.25">
      <c r="A13" s="2" t="s">
        <v>115</v>
      </c>
      <c r="B13" s="3">
        <v>2207.98</v>
      </c>
    </row>
    <row r="14" spans="1:2" x14ac:dyDescent="0.25">
      <c r="A14" s="2" t="s">
        <v>466</v>
      </c>
      <c r="B14" s="3">
        <v>11023.05</v>
      </c>
    </row>
    <row r="15" spans="1:2" x14ac:dyDescent="0.25">
      <c r="A15" s="2" t="s">
        <v>423</v>
      </c>
      <c r="B15" s="3">
        <v>4024.33</v>
      </c>
    </row>
    <row r="16" spans="1:2" x14ac:dyDescent="0.25">
      <c r="A16" s="2" t="s">
        <v>225</v>
      </c>
      <c r="B16" s="3">
        <v>4024.33</v>
      </c>
    </row>
    <row r="17" spans="1:2" x14ac:dyDescent="0.25">
      <c r="A17" s="2" t="s">
        <v>37</v>
      </c>
      <c r="B17" s="3">
        <v>1103.99</v>
      </c>
    </row>
    <row r="18" spans="1:2" x14ac:dyDescent="0.25">
      <c r="A18" s="2" t="s">
        <v>408</v>
      </c>
      <c r="B18" s="3">
        <v>1773.2</v>
      </c>
    </row>
    <row r="19" spans="1:2" x14ac:dyDescent="0.25">
      <c r="A19" s="2" t="s">
        <v>529</v>
      </c>
      <c r="B19" s="3">
        <v>4787.08</v>
      </c>
    </row>
    <row r="20" spans="1:2" x14ac:dyDescent="0.25">
      <c r="A20" s="2" t="s">
        <v>851</v>
      </c>
      <c r="B20" s="3">
        <v>1102.42</v>
      </c>
    </row>
    <row r="21" spans="1:2" x14ac:dyDescent="0.25">
      <c r="A21" s="2" t="s">
        <v>367</v>
      </c>
      <c r="B21" s="3">
        <v>11023.05</v>
      </c>
    </row>
    <row r="22" spans="1:2" x14ac:dyDescent="0.25">
      <c r="A22" s="2" t="s">
        <v>660</v>
      </c>
      <c r="B22" s="3">
        <v>4787.08</v>
      </c>
    </row>
    <row r="23" spans="1:2" x14ac:dyDescent="0.25">
      <c r="A23" s="2" t="s">
        <v>883</v>
      </c>
      <c r="B23" s="3">
        <v>1102.42</v>
      </c>
    </row>
    <row r="24" spans="1:2" x14ac:dyDescent="0.25">
      <c r="A24" s="2" t="s">
        <v>299</v>
      </c>
      <c r="B24" s="3">
        <v>1102.42</v>
      </c>
    </row>
    <row r="25" spans="1:2" x14ac:dyDescent="0.25">
      <c r="A25" s="2" t="s">
        <v>29</v>
      </c>
      <c r="B25" s="3">
        <v>1102.42</v>
      </c>
    </row>
    <row r="26" spans="1:2" x14ac:dyDescent="0.25">
      <c r="A26" s="2" t="s">
        <v>221</v>
      </c>
      <c r="B26" s="3">
        <v>70.959999999999994</v>
      </c>
    </row>
    <row r="27" spans="1:2" x14ac:dyDescent="0.25">
      <c r="A27" s="2" t="s">
        <v>248</v>
      </c>
      <c r="B27" s="3">
        <v>36765.700000000004</v>
      </c>
    </row>
    <row r="28" spans="1:2" x14ac:dyDescent="0.25">
      <c r="A28" s="2" t="s">
        <v>853</v>
      </c>
      <c r="B28" s="3">
        <v>1768.47</v>
      </c>
    </row>
    <row r="29" spans="1:2" x14ac:dyDescent="0.25">
      <c r="A29" s="2" t="s">
        <v>935</v>
      </c>
      <c r="B29" s="3">
        <v>1777.77</v>
      </c>
    </row>
    <row r="30" spans="1:2" x14ac:dyDescent="0.25">
      <c r="A30" s="2" t="s">
        <v>438</v>
      </c>
      <c r="B30" s="3">
        <v>47229.3</v>
      </c>
    </row>
    <row r="31" spans="1:2" x14ac:dyDescent="0.25">
      <c r="A31" s="2" t="s">
        <v>183</v>
      </c>
      <c r="B31" s="3">
        <v>56675.16</v>
      </c>
    </row>
    <row r="32" spans="1:2" x14ac:dyDescent="0.25">
      <c r="A32" s="2" t="s">
        <v>239</v>
      </c>
      <c r="B32" s="3">
        <v>42107.88</v>
      </c>
    </row>
    <row r="33" spans="1:2" x14ac:dyDescent="0.25">
      <c r="A33" s="2" t="s">
        <v>533</v>
      </c>
      <c r="B33" s="3">
        <v>9474.24</v>
      </c>
    </row>
    <row r="34" spans="1:2" x14ac:dyDescent="0.25">
      <c r="A34" s="2" t="s">
        <v>653</v>
      </c>
      <c r="B34" s="3">
        <v>6924.05</v>
      </c>
    </row>
    <row r="35" spans="1:2" x14ac:dyDescent="0.25">
      <c r="A35" s="2" t="s">
        <v>291</v>
      </c>
      <c r="B35" s="3">
        <v>4750.42</v>
      </c>
    </row>
    <row r="36" spans="1:2" x14ac:dyDescent="0.25">
      <c r="A36" s="2" t="s">
        <v>946</v>
      </c>
      <c r="B36" s="3">
        <v>12766.99</v>
      </c>
    </row>
    <row r="37" spans="1:2" x14ac:dyDescent="0.25">
      <c r="A37" s="2" t="s">
        <v>110</v>
      </c>
      <c r="B37" s="3">
        <v>23799.08</v>
      </c>
    </row>
    <row r="38" spans="1:2" x14ac:dyDescent="0.25">
      <c r="A38" s="2" t="s">
        <v>708</v>
      </c>
      <c r="B38" s="3">
        <v>3305.68</v>
      </c>
    </row>
    <row r="39" spans="1:2" x14ac:dyDescent="0.25">
      <c r="A39" s="2" t="s">
        <v>947</v>
      </c>
      <c r="B39" s="3">
        <v>4144.7700000000004</v>
      </c>
    </row>
    <row r="40" spans="1:2" x14ac:dyDescent="0.25">
      <c r="A40" s="2" t="s">
        <v>484</v>
      </c>
      <c r="B40" s="3">
        <v>4941.78</v>
      </c>
    </row>
    <row r="41" spans="1:2" x14ac:dyDescent="0.25">
      <c r="A41" s="2" t="s">
        <v>497</v>
      </c>
      <c r="B41" s="3">
        <v>740.07</v>
      </c>
    </row>
    <row r="42" spans="1:2" x14ac:dyDescent="0.25">
      <c r="A42" s="2" t="s">
        <v>300</v>
      </c>
      <c r="B42" s="3">
        <v>5171.07</v>
      </c>
    </row>
    <row r="43" spans="1:2" x14ac:dyDescent="0.25">
      <c r="A43" s="2" t="s">
        <v>140</v>
      </c>
      <c r="B43" s="3">
        <v>11270.67</v>
      </c>
    </row>
    <row r="44" spans="1:2" x14ac:dyDescent="0.25">
      <c r="A44" s="2" t="s">
        <v>507</v>
      </c>
      <c r="B44" s="3">
        <v>5440.53</v>
      </c>
    </row>
    <row r="45" spans="1:2" x14ac:dyDescent="0.25">
      <c r="A45" s="2" t="s">
        <v>211</v>
      </c>
      <c r="B45" s="3">
        <v>19202.73</v>
      </c>
    </row>
    <row r="46" spans="1:2" x14ac:dyDescent="0.25">
      <c r="A46" s="2" t="s">
        <v>123</v>
      </c>
      <c r="B46" s="3">
        <v>19202.73</v>
      </c>
    </row>
    <row r="47" spans="1:2" x14ac:dyDescent="0.25">
      <c r="A47" s="2" t="s">
        <v>312</v>
      </c>
      <c r="B47" s="3">
        <v>6938.11</v>
      </c>
    </row>
    <row r="48" spans="1:2" x14ac:dyDescent="0.25">
      <c r="A48" s="2" t="s">
        <v>214</v>
      </c>
      <c r="B48" s="3">
        <v>13937.84</v>
      </c>
    </row>
    <row r="49" spans="1:2" x14ac:dyDescent="0.25">
      <c r="A49" s="2" t="s">
        <v>902</v>
      </c>
      <c r="B49" s="3">
        <v>14642.98</v>
      </c>
    </row>
    <row r="50" spans="1:2" x14ac:dyDescent="0.25">
      <c r="A50" s="2" t="s">
        <v>661</v>
      </c>
      <c r="B50" s="3">
        <v>3998.96</v>
      </c>
    </row>
    <row r="51" spans="1:2" x14ac:dyDescent="0.25">
      <c r="A51" s="2" t="s">
        <v>782</v>
      </c>
      <c r="B51" s="3">
        <v>254.57</v>
      </c>
    </row>
    <row r="52" spans="1:2" x14ac:dyDescent="0.25">
      <c r="A52" s="2" t="s">
        <v>587</v>
      </c>
      <c r="B52" s="3">
        <v>15038.04</v>
      </c>
    </row>
    <row r="53" spans="1:2" x14ac:dyDescent="0.25">
      <c r="A53" s="2" t="s">
        <v>337</v>
      </c>
      <c r="B53" s="3">
        <v>7443.2</v>
      </c>
    </row>
    <row r="54" spans="1:2" x14ac:dyDescent="0.25">
      <c r="A54" s="2" t="s">
        <v>236</v>
      </c>
      <c r="B54" s="3">
        <v>2204.8200000000002</v>
      </c>
    </row>
    <row r="55" spans="1:2" x14ac:dyDescent="0.25">
      <c r="A55" s="2" t="s">
        <v>16</v>
      </c>
      <c r="B55" s="3">
        <v>28488.739999999998</v>
      </c>
    </row>
    <row r="56" spans="1:2" x14ac:dyDescent="0.25">
      <c r="A56" s="2" t="s">
        <v>822</v>
      </c>
      <c r="B56" s="3">
        <v>304.68</v>
      </c>
    </row>
    <row r="57" spans="1:2" x14ac:dyDescent="0.25">
      <c r="A57" s="2" t="s">
        <v>552</v>
      </c>
      <c r="B57" s="3">
        <v>42.05</v>
      </c>
    </row>
    <row r="58" spans="1:2" x14ac:dyDescent="0.25">
      <c r="A58" s="2" t="s">
        <v>412</v>
      </c>
      <c r="B58" s="3">
        <v>12303.75</v>
      </c>
    </row>
    <row r="59" spans="1:2" x14ac:dyDescent="0.25">
      <c r="A59" s="2" t="s">
        <v>430</v>
      </c>
      <c r="B59" s="3">
        <v>696.18</v>
      </c>
    </row>
    <row r="60" spans="1:2" x14ac:dyDescent="0.25">
      <c r="A60" s="2" t="s">
        <v>751</v>
      </c>
      <c r="B60" s="3">
        <v>526.33000000000004</v>
      </c>
    </row>
    <row r="61" spans="1:2" x14ac:dyDescent="0.25">
      <c r="A61" s="2" t="s">
        <v>119</v>
      </c>
      <c r="B61" s="3">
        <v>1102.57</v>
      </c>
    </row>
    <row r="62" spans="1:2" x14ac:dyDescent="0.25">
      <c r="A62" s="2" t="s">
        <v>530</v>
      </c>
      <c r="B62" s="3">
        <v>9531.1299999999992</v>
      </c>
    </row>
    <row r="63" spans="1:2" x14ac:dyDescent="0.25">
      <c r="A63" s="2" t="s">
        <v>66</v>
      </c>
      <c r="B63" s="3">
        <v>9531.1299999999992</v>
      </c>
    </row>
    <row r="64" spans="1:2" x14ac:dyDescent="0.25">
      <c r="A64" s="2" t="s">
        <v>313</v>
      </c>
      <c r="B64" s="3">
        <v>9531.1299999999992</v>
      </c>
    </row>
    <row r="65" spans="1:2" x14ac:dyDescent="0.25">
      <c r="A65" s="2" t="s">
        <v>298</v>
      </c>
      <c r="B65" s="3">
        <v>9531.1299999999992</v>
      </c>
    </row>
    <row r="66" spans="1:2" x14ac:dyDescent="0.25">
      <c r="A66" s="2" t="s">
        <v>884</v>
      </c>
      <c r="B66" s="3">
        <v>9531.1299999999992</v>
      </c>
    </row>
    <row r="67" spans="1:2" x14ac:dyDescent="0.25">
      <c r="A67" s="2" t="s">
        <v>295</v>
      </c>
      <c r="B67" s="3">
        <v>9531.1299999999992</v>
      </c>
    </row>
    <row r="68" spans="1:2" x14ac:dyDescent="0.25">
      <c r="A68" s="2" t="s">
        <v>22</v>
      </c>
      <c r="B68" s="3">
        <v>223246.56000000003</v>
      </c>
    </row>
    <row r="69" spans="1:2" x14ac:dyDescent="0.25">
      <c r="A69" s="2" t="s">
        <v>161</v>
      </c>
      <c r="B69" s="3">
        <v>464.95</v>
      </c>
    </row>
    <row r="70" spans="1:2" x14ac:dyDescent="0.25">
      <c r="A70" s="2" t="s">
        <v>816</v>
      </c>
      <c r="B70" s="3">
        <v>401.92</v>
      </c>
    </row>
    <row r="71" spans="1:2" x14ac:dyDescent="0.25">
      <c r="A71" s="2" t="s">
        <v>888</v>
      </c>
      <c r="B71" s="3">
        <v>1992.84</v>
      </c>
    </row>
    <row r="72" spans="1:2" x14ac:dyDescent="0.25">
      <c r="A72" s="2" t="s">
        <v>646</v>
      </c>
      <c r="B72" s="3">
        <v>9584.19</v>
      </c>
    </row>
    <row r="73" spans="1:2" x14ac:dyDescent="0.25">
      <c r="A73" s="2" t="s">
        <v>736</v>
      </c>
      <c r="B73" s="3">
        <v>9558.9500000000007</v>
      </c>
    </row>
    <row r="74" spans="1:2" x14ac:dyDescent="0.25">
      <c r="A74" s="2" t="s">
        <v>277</v>
      </c>
      <c r="B74" s="3">
        <v>9376.8700000000008</v>
      </c>
    </row>
    <row r="75" spans="1:2" x14ac:dyDescent="0.25">
      <c r="A75" s="2" t="s">
        <v>833</v>
      </c>
      <c r="B75" s="3">
        <v>9376.8700000000008</v>
      </c>
    </row>
    <row r="76" spans="1:2" x14ac:dyDescent="0.25">
      <c r="A76" s="2" t="s">
        <v>439</v>
      </c>
      <c r="B76" s="3">
        <v>9376.8700000000008</v>
      </c>
    </row>
    <row r="77" spans="1:2" x14ac:dyDescent="0.25">
      <c r="A77" s="2" t="s">
        <v>148</v>
      </c>
      <c r="B77" s="3">
        <v>9376.8700000000008</v>
      </c>
    </row>
    <row r="78" spans="1:2" x14ac:dyDescent="0.25">
      <c r="A78" s="2" t="s">
        <v>901</v>
      </c>
      <c r="B78" s="3">
        <v>10308.290000000001</v>
      </c>
    </row>
    <row r="79" spans="1:2" x14ac:dyDescent="0.25">
      <c r="A79" s="2" t="s">
        <v>550</v>
      </c>
      <c r="B79" s="3">
        <v>10308.290000000001</v>
      </c>
    </row>
    <row r="80" spans="1:2" x14ac:dyDescent="0.25">
      <c r="A80" s="2" t="s">
        <v>563</v>
      </c>
      <c r="B80" s="3">
        <v>12143.1</v>
      </c>
    </row>
    <row r="81" spans="1:2" x14ac:dyDescent="0.25">
      <c r="A81" s="2" t="s">
        <v>372</v>
      </c>
      <c r="B81" s="3">
        <v>11491.96</v>
      </c>
    </row>
    <row r="82" spans="1:2" x14ac:dyDescent="0.25">
      <c r="A82" s="2" t="s">
        <v>847</v>
      </c>
      <c r="B82" s="3">
        <v>12010.84</v>
      </c>
    </row>
    <row r="83" spans="1:2" x14ac:dyDescent="0.25">
      <c r="A83" s="2" t="s">
        <v>591</v>
      </c>
      <c r="B83" s="3">
        <v>2936.56</v>
      </c>
    </row>
    <row r="84" spans="1:2" x14ac:dyDescent="0.25">
      <c r="A84" s="2" t="s">
        <v>795</v>
      </c>
      <c r="B84" s="3">
        <v>2936.56</v>
      </c>
    </row>
    <row r="85" spans="1:2" x14ac:dyDescent="0.25">
      <c r="A85" s="2" t="s">
        <v>478</v>
      </c>
      <c r="B85" s="3">
        <v>2066.56</v>
      </c>
    </row>
    <row r="86" spans="1:2" x14ac:dyDescent="0.25">
      <c r="A86" s="2" t="s">
        <v>537</v>
      </c>
      <c r="B86" s="3">
        <v>9454.92</v>
      </c>
    </row>
    <row r="87" spans="1:2" x14ac:dyDescent="0.25">
      <c r="A87" s="2" t="s">
        <v>499</v>
      </c>
      <c r="B87" s="3">
        <v>7603.2</v>
      </c>
    </row>
    <row r="88" spans="1:2" x14ac:dyDescent="0.25">
      <c r="A88" s="2" t="s">
        <v>111</v>
      </c>
      <c r="B88" s="3">
        <v>2742.17</v>
      </c>
    </row>
    <row r="89" spans="1:2" x14ac:dyDescent="0.25">
      <c r="A89" s="2" t="s">
        <v>477</v>
      </c>
      <c r="B89" s="3">
        <v>11273.12</v>
      </c>
    </row>
    <row r="90" spans="1:2" x14ac:dyDescent="0.25">
      <c r="A90" s="2" t="s">
        <v>27</v>
      </c>
      <c r="B90" s="3">
        <v>10335.02</v>
      </c>
    </row>
    <row r="91" spans="1:2" x14ac:dyDescent="0.25">
      <c r="A91" s="2" t="s">
        <v>84</v>
      </c>
      <c r="B91" s="3">
        <v>188.72</v>
      </c>
    </row>
    <row r="92" spans="1:2" x14ac:dyDescent="0.25">
      <c r="A92" s="2" t="s">
        <v>58</v>
      </c>
      <c r="B92" s="3">
        <v>12444.86</v>
      </c>
    </row>
    <row r="93" spans="1:2" x14ac:dyDescent="0.25">
      <c r="A93" s="2" t="s">
        <v>72</v>
      </c>
      <c r="B93" s="3">
        <v>11935.26</v>
      </c>
    </row>
    <row r="94" spans="1:2" x14ac:dyDescent="0.25">
      <c r="A94" s="2" t="s">
        <v>777</v>
      </c>
      <c r="B94" s="3">
        <v>13938.32</v>
      </c>
    </row>
    <row r="95" spans="1:2" x14ac:dyDescent="0.25">
      <c r="A95" s="2" t="s">
        <v>360</v>
      </c>
      <c r="B95" s="3">
        <v>10728.65</v>
      </c>
    </row>
    <row r="96" spans="1:2" x14ac:dyDescent="0.25">
      <c r="A96" s="2" t="s">
        <v>756</v>
      </c>
      <c r="B96" s="3">
        <v>191.54</v>
      </c>
    </row>
    <row r="97" spans="1:2" x14ac:dyDescent="0.25">
      <c r="A97" s="2" t="s">
        <v>546</v>
      </c>
      <c r="B97" s="3">
        <v>23452.76</v>
      </c>
    </row>
    <row r="98" spans="1:2" x14ac:dyDescent="0.25">
      <c r="A98" s="2" t="s">
        <v>732</v>
      </c>
      <c r="B98" s="3">
        <v>13406.32</v>
      </c>
    </row>
    <row r="99" spans="1:2" x14ac:dyDescent="0.25">
      <c r="A99" s="2" t="s">
        <v>54</v>
      </c>
      <c r="B99" s="3">
        <v>76564.600000000006</v>
      </c>
    </row>
    <row r="100" spans="1:2" x14ac:dyDescent="0.25">
      <c r="A100" s="2" t="s">
        <v>60</v>
      </c>
      <c r="B100" s="3">
        <v>1103.99</v>
      </c>
    </row>
    <row r="101" spans="1:2" x14ac:dyDescent="0.25">
      <c r="A101" s="2" t="s">
        <v>445</v>
      </c>
      <c r="B101" s="3">
        <v>1011.02</v>
      </c>
    </row>
    <row r="102" spans="1:2" x14ac:dyDescent="0.25">
      <c r="A102" s="2" t="s">
        <v>877</v>
      </c>
      <c r="B102" s="3">
        <v>19201.88</v>
      </c>
    </row>
    <row r="103" spans="1:2" x14ac:dyDescent="0.25">
      <c r="A103" s="2" t="s">
        <v>223</v>
      </c>
      <c r="B103" s="3">
        <v>1059.99</v>
      </c>
    </row>
    <row r="104" spans="1:2" x14ac:dyDescent="0.25">
      <c r="A104" s="2" t="s">
        <v>594</v>
      </c>
      <c r="B104" s="3">
        <v>148.18</v>
      </c>
    </row>
    <row r="105" spans="1:2" x14ac:dyDescent="0.25">
      <c r="A105" s="2" t="s">
        <v>303</v>
      </c>
      <c r="B105" s="3">
        <v>5509.47</v>
      </c>
    </row>
    <row r="106" spans="1:2" x14ac:dyDescent="0.25">
      <c r="A106" s="2" t="s">
        <v>286</v>
      </c>
      <c r="B106" s="3">
        <v>1101.99</v>
      </c>
    </row>
    <row r="107" spans="1:2" x14ac:dyDescent="0.25">
      <c r="A107" s="2" t="s">
        <v>607</v>
      </c>
      <c r="B107" s="3">
        <v>15918.48</v>
      </c>
    </row>
    <row r="108" spans="1:2" x14ac:dyDescent="0.25">
      <c r="A108" s="2" t="s">
        <v>636</v>
      </c>
      <c r="B108" s="3">
        <v>25768.63</v>
      </c>
    </row>
    <row r="109" spans="1:2" x14ac:dyDescent="0.25">
      <c r="A109" s="2" t="s">
        <v>562</v>
      </c>
      <c r="B109" s="3">
        <v>5204.78</v>
      </c>
    </row>
    <row r="110" spans="1:2" x14ac:dyDescent="0.25">
      <c r="A110" s="2" t="s">
        <v>234</v>
      </c>
      <c r="B110" s="3">
        <v>619.36</v>
      </c>
    </row>
    <row r="111" spans="1:2" x14ac:dyDescent="0.25">
      <c r="A111" s="2" t="s">
        <v>812</v>
      </c>
      <c r="B111" s="3">
        <v>18983.939999999999</v>
      </c>
    </row>
    <row r="112" spans="1:2" x14ac:dyDescent="0.25">
      <c r="A112" s="2" t="s">
        <v>557</v>
      </c>
      <c r="B112" s="3">
        <v>31765.64</v>
      </c>
    </row>
    <row r="113" spans="1:2" x14ac:dyDescent="0.25">
      <c r="A113" s="2" t="s">
        <v>892</v>
      </c>
      <c r="B113" s="3">
        <v>16715.490000000002</v>
      </c>
    </row>
    <row r="114" spans="1:2" x14ac:dyDescent="0.25">
      <c r="A114" s="2" t="s">
        <v>251</v>
      </c>
      <c r="B114" s="3">
        <v>18202.54</v>
      </c>
    </row>
    <row r="115" spans="1:2" x14ac:dyDescent="0.25">
      <c r="A115" s="2" t="s">
        <v>485</v>
      </c>
      <c r="B115" s="3">
        <v>685.39</v>
      </c>
    </row>
    <row r="116" spans="1:2" x14ac:dyDescent="0.25">
      <c r="A116" s="2" t="s">
        <v>796</v>
      </c>
      <c r="B116" s="3">
        <v>685.39</v>
      </c>
    </row>
    <row r="117" spans="1:2" x14ac:dyDescent="0.25">
      <c r="A117" s="2" t="s">
        <v>21</v>
      </c>
      <c r="B117" s="3">
        <v>685.39</v>
      </c>
    </row>
    <row r="118" spans="1:2" x14ac:dyDescent="0.25">
      <c r="A118" s="2" t="s">
        <v>31</v>
      </c>
      <c r="B118" s="3">
        <v>2905.82</v>
      </c>
    </row>
    <row r="119" spans="1:2" x14ac:dyDescent="0.25">
      <c r="A119" s="2" t="s">
        <v>925</v>
      </c>
      <c r="B119" s="3">
        <v>212.01</v>
      </c>
    </row>
    <row r="120" spans="1:2" x14ac:dyDescent="0.25">
      <c r="A120" s="2" t="s">
        <v>798</v>
      </c>
      <c r="B120" s="3">
        <v>685.92</v>
      </c>
    </row>
    <row r="121" spans="1:2" x14ac:dyDescent="0.25">
      <c r="A121" s="2" t="s">
        <v>260</v>
      </c>
      <c r="B121" s="3">
        <v>42442.05</v>
      </c>
    </row>
    <row r="122" spans="1:2" x14ac:dyDescent="0.25">
      <c r="A122" s="2" t="s">
        <v>220</v>
      </c>
      <c r="B122" s="3">
        <v>8309.6299999999992</v>
      </c>
    </row>
    <row r="123" spans="1:2" x14ac:dyDescent="0.25">
      <c r="A123" s="2" t="s">
        <v>737</v>
      </c>
      <c r="B123" s="3">
        <v>634.79</v>
      </c>
    </row>
    <row r="124" spans="1:2" x14ac:dyDescent="0.25">
      <c r="A124" s="2" t="s">
        <v>63</v>
      </c>
      <c r="B124" s="3">
        <v>3219.61</v>
      </c>
    </row>
    <row r="125" spans="1:2" x14ac:dyDescent="0.25">
      <c r="A125" s="2" t="s">
        <v>910</v>
      </c>
      <c r="B125" s="3">
        <v>12884.01</v>
      </c>
    </row>
    <row r="126" spans="1:2" x14ac:dyDescent="0.25">
      <c r="A126" s="2" t="s">
        <v>475</v>
      </c>
      <c r="B126" s="3">
        <v>19038.27</v>
      </c>
    </row>
    <row r="127" spans="1:2" x14ac:dyDescent="0.25">
      <c r="A127" s="2" t="s">
        <v>47</v>
      </c>
      <c r="B127" s="3">
        <v>12012.53</v>
      </c>
    </row>
    <row r="128" spans="1:2" x14ac:dyDescent="0.25">
      <c r="A128" s="2" t="s">
        <v>139</v>
      </c>
      <c r="B128" s="3">
        <v>12012.53</v>
      </c>
    </row>
    <row r="129" spans="1:2" x14ac:dyDescent="0.25">
      <c r="A129" s="2" t="s">
        <v>442</v>
      </c>
      <c r="B129" s="3">
        <v>20628.439999999999</v>
      </c>
    </row>
    <row r="130" spans="1:2" x14ac:dyDescent="0.25">
      <c r="A130" s="2" t="s">
        <v>791</v>
      </c>
      <c r="B130" s="3">
        <v>69938.28</v>
      </c>
    </row>
    <row r="131" spans="1:2" x14ac:dyDescent="0.25">
      <c r="A131" s="2" t="s">
        <v>424</v>
      </c>
      <c r="B131" s="3">
        <v>9083.5300000000007</v>
      </c>
    </row>
    <row r="132" spans="1:2" x14ac:dyDescent="0.25">
      <c r="A132" s="2" t="s">
        <v>548</v>
      </c>
      <c r="B132" s="3">
        <v>9083.5300000000007</v>
      </c>
    </row>
    <row r="133" spans="1:2" x14ac:dyDescent="0.25">
      <c r="A133" s="2" t="s">
        <v>96</v>
      </c>
      <c r="B133" s="3">
        <v>748.95</v>
      </c>
    </row>
    <row r="134" spans="1:2" x14ac:dyDescent="0.25">
      <c r="A134" s="2" t="s">
        <v>784</v>
      </c>
      <c r="B134" s="3">
        <v>748.95</v>
      </c>
    </row>
    <row r="135" spans="1:2" x14ac:dyDescent="0.25">
      <c r="A135" s="2" t="s">
        <v>874</v>
      </c>
      <c r="B135" s="3">
        <v>20680.18</v>
      </c>
    </row>
    <row r="136" spans="1:2" x14ac:dyDescent="0.25">
      <c r="A136" s="2" t="s">
        <v>921</v>
      </c>
      <c r="B136" s="3">
        <v>12012.53</v>
      </c>
    </row>
    <row r="137" spans="1:2" x14ac:dyDescent="0.25">
      <c r="A137" s="2" t="s">
        <v>429</v>
      </c>
      <c r="B137" s="3">
        <v>12012.53</v>
      </c>
    </row>
    <row r="138" spans="1:2" x14ac:dyDescent="0.25">
      <c r="A138" s="2" t="s">
        <v>804</v>
      </c>
      <c r="B138" s="3">
        <v>21793.26</v>
      </c>
    </row>
    <row r="139" spans="1:2" x14ac:dyDescent="0.25">
      <c r="A139" s="2" t="s">
        <v>231</v>
      </c>
      <c r="B139" s="3">
        <v>31766.32</v>
      </c>
    </row>
    <row r="140" spans="1:2" x14ac:dyDescent="0.25">
      <c r="A140" s="2" t="s">
        <v>944</v>
      </c>
      <c r="B140" s="3">
        <v>25864.639999999999</v>
      </c>
    </row>
    <row r="141" spans="1:2" x14ac:dyDescent="0.25">
      <c r="A141" s="2" t="s">
        <v>267</v>
      </c>
      <c r="B141" s="3">
        <v>10148.19</v>
      </c>
    </row>
    <row r="142" spans="1:2" x14ac:dyDescent="0.25">
      <c r="A142" s="2" t="s">
        <v>335</v>
      </c>
      <c r="B142" s="3">
        <v>5272.34</v>
      </c>
    </row>
    <row r="143" spans="1:2" x14ac:dyDescent="0.25">
      <c r="A143" s="2" t="s">
        <v>688</v>
      </c>
      <c r="B143" s="3">
        <v>21793.3</v>
      </c>
    </row>
    <row r="144" spans="1:2" x14ac:dyDescent="0.25">
      <c r="A144" s="2" t="s">
        <v>309</v>
      </c>
      <c r="B144" s="3">
        <v>10794.55</v>
      </c>
    </row>
    <row r="145" spans="1:2" x14ac:dyDescent="0.25">
      <c r="A145" s="2" t="s">
        <v>503</v>
      </c>
      <c r="B145" s="3">
        <v>104065.52</v>
      </c>
    </row>
    <row r="146" spans="1:2" x14ac:dyDescent="0.25">
      <c r="A146" s="2" t="s">
        <v>585</v>
      </c>
      <c r="B146" s="3">
        <v>16150.91</v>
      </c>
    </row>
    <row r="147" spans="1:2" x14ac:dyDescent="0.25">
      <c r="A147" s="2" t="s">
        <v>693</v>
      </c>
      <c r="B147" s="3">
        <v>17512.03</v>
      </c>
    </row>
    <row r="148" spans="1:2" x14ac:dyDescent="0.25">
      <c r="A148" s="2" t="s">
        <v>709</v>
      </c>
      <c r="B148" s="3">
        <v>17512.03</v>
      </c>
    </row>
    <row r="149" spans="1:2" x14ac:dyDescent="0.25">
      <c r="A149" s="2" t="s">
        <v>169</v>
      </c>
      <c r="B149" s="3">
        <v>17512.03</v>
      </c>
    </row>
    <row r="150" spans="1:2" x14ac:dyDescent="0.25">
      <c r="A150" s="2" t="s">
        <v>173</v>
      </c>
      <c r="B150" s="3">
        <v>17512.009999999998</v>
      </c>
    </row>
    <row r="151" spans="1:2" x14ac:dyDescent="0.25">
      <c r="A151" s="2" t="s">
        <v>157</v>
      </c>
      <c r="B151" s="3">
        <v>17512.009999999998</v>
      </c>
    </row>
    <row r="152" spans="1:2" x14ac:dyDescent="0.25">
      <c r="A152" s="2" t="s">
        <v>285</v>
      </c>
      <c r="B152" s="3">
        <v>17512.009999999998</v>
      </c>
    </row>
    <row r="153" spans="1:2" x14ac:dyDescent="0.25">
      <c r="A153" s="2" t="s">
        <v>435</v>
      </c>
      <c r="B153" s="3">
        <v>17512.009999999998</v>
      </c>
    </row>
    <row r="154" spans="1:2" x14ac:dyDescent="0.25">
      <c r="A154" s="2" t="s">
        <v>454</v>
      </c>
      <c r="B154" s="3">
        <v>26390.68</v>
      </c>
    </row>
    <row r="155" spans="1:2" x14ac:dyDescent="0.25">
      <c r="A155" s="2" t="s">
        <v>191</v>
      </c>
      <c r="B155" s="3">
        <v>26390.68</v>
      </c>
    </row>
    <row r="156" spans="1:2" x14ac:dyDescent="0.25">
      <c r="A156" s="2" t="s">
        <v>814</v>
      </c>
      <c r="B156" s="3">
        <v>26390.68</v>
      </c>
    </row>
    <row r="157" spans="1:2" x14ac:dyDescent="0.25">
      <c r="A157" s="2" t="s">
        <v>725</v>
      </c>
      <c r="B157" s="3">
        <v>26390.68</v>
      </c>
    </row>
    <row r="158" spans="1:2" x14ac:dyDescent="0.25">
      <c r="A158" s="2" t="s">
        <v>244</v>
      </c>
      <c r="B158" s="3">
        <v>17512.009999999998</v>
      </c>
    </row>
    <row r="159" spans="1:2" x14ac:dyDescent="0.25">
      <c r="A159" s="2" t="s">
        <v>82</v>
      </c>
      <c r="B159" s="3">
        <v>31899.03</v>
      </c>
    </row>
    <row r="160" spans="1:2" x14ac:dyDescent="0.25">
      <c r="A160" s="2" t="s">
        <v>677</v>
      </c>
      <c r="B160" s="3">
        <v>812.64</v>
      </c>
    </row>
    <row r="161" spans="1:2" x14ac:dyDescent="0.25">
      <c r="A161" s="2" t="s">
        <v>186</v>
      </c>
      <c r="B161" s="3">
        <v>536.29999999999995</v>
      </c>
    </row>
    <row r="162" spans="1:2" x14ac:dyDescent="0.25">
      <c r="A162" s="2" t="s">
        <v>610</v>
      </c>
      <c r="B162" s="3">
        <v>26531.5</v>
      </c>
    </row>
    <row r="163" spans="1:2" x14ac:dyDescent="0.25">
      <c r="A163" s="2" t="s">
        <v>403</v>
      </c>
      <c r="B163" s="3">
        <v>811.2</v>
      </c>
    </row>
    <row r="164" spans="1:2" x14ac:dyDescent="0.25">
      <c r="A164" s="2" t="s">
        <v>930</v>
      </c>
      <c r="B164" s="3">
        <v>683.8</v>
      </c>
    </row>
    <row r="165" spans="1:2" x14ac:dyDescent="0.25">
      <c r="A165" s="2" t="s">
        <v>192</v>
      </c>
      <c r="B165" s="3">
        <v>18769.310000000001</v>
      </c>
    </row>
    <row r="166" spans="1:2" x14ac:dyDescent="0.25">
      <c r="A166" s="2" t="s">
        <v>717</v>
      </c>
      <c r="B166" s="3">
        <v>26376.18</v>
      </c>
    </row>
    <row r="167" spans="1:2" x14ac:dyDescent="0.25">
      <c r="A167" s="2" t="s">
        <v>697</v>
      </c>
      <c r="B167" s="3">
        <v>26376.18</v>
      </c>
    </row>
    <row r="168" spans="1:2" x14ac:dyDescent="0.25">
      <c r="A168" s="2" t="s">
        <v>433</v>
      </c>
      <c r="B168" s="3">
        <v>755.71</v>
      </c>
    </row>
    <row r="169" spans="1:2" x14ac:dyDescent="0.25">
      <c r="A169" s="2" t="s">
        <v>447</v>
      </c>
      <c r="B169" s="3">
        <v>14996.54</v>
      </c>
    </row>
    <row r="170" spans="1:2" x14ac:dyDescent="0.25">
      <c r="A170" s="2" t="s">
        <v>448</v>
      </c>
      <c r="B170" s="3">
        <v>21074.9</v>
      </c>
    </row>
    <row r="171" spans="1:2" x14ac:dyDescent="0.25">
      <c r="A171" s="2" t="s">
        <v>914</v>
      </c>
      <c r="B171" s="3">
        <v>6689.93</v>
      </c>
    </row>
    <row r="172" spans="1:2" x14ac:dyDescent="0.25">
      <c r="A172" s="2" t="s">
        <v>56</v>
      </c>
      <c r="B172" s="3">
        <v>19506.11</v>
      </c>
    </row>
    <row r="173" spans="1:2" x14ac:dyDescent="0.25">
      <c r="A173" s="2" t="s">
        <v>755</v>
      </c>
      <c r="B173" s="3">
        <v>56852.9</v>
      </c>
    </row>
    <row r="174" spans="1:2" x14ac:dyDescent="0.25">
      <c r="A174" s="2" t="s">
        <v>576</v>
      </c>
      <c r="B174" s="3">
        <v>840.78</v>
      </c>
    </row>
    <row r="175" spans="1:2" x14ac:dyDescent="0.25">
      <c r="A175" s="2" t="s">
        <v>392</v>
      </c>
      <c r="B175" s="3">
        <v>20834.419999999998</v>
      </c>
    </row>
    <row r="176" spans="1:2" x14ac:dyDescent="0.25">
      <c r="A176" s="2" t="s">
        <v>265</v>
      </c>
      <c r="B176" s="3">
        <v>7040.98</v>
      </c>
    </row>
    <row r="177" spans="1:2" x14ac:dyDescent="0.25">
      <c r="A177" s="2" t="s">
        <v>398</v>
      </c>
      <c r="B177" s="3">
        <v>120.1</v>
      </c>
    </row>
    <row r="178" spans="1:2" x14ac:dyDescent="0.25">
      <c r="A178" s="2" t="s">
        <v>691</v>
      </c>
      <c r="B178" s="3">
        <v>62107.16</v>
      </c>
    </row>
    <row r="179" spans="1:2" x14ac:dyDescent="0.25">
      <c r="A179" s="2" t="s">
        <v>147</v>
      </c>
      <c r="B179" s="3">
        <v>57569.120000000003</v>
      </c>
    </row>
    <row r="180" spans="1:2" x14ac:dyDescent="0.25">
      <c r="A180" s="2" t="s">
        <v>324</v>
      </c>
      <c r="B180" s="3">
        <v>6612</v>
      </c>
    </row>
    <row r="181" spans="1:2" x14ac:dyDescent="0.25">
      <c r="A181" s="2" t="s">
        <v>17</v>
      </c>
      <c r="B181" s="3">
        <v>365.96</v>
      </c>
    </row>
    <row r="182" spans="1:2" x14ac:dyDescent="0.25">
      <c r="A182" s="2" t="s">
        <v>534</v>
      </c>
      <c r="B182" s="3">
        <v>42.13</v>
      </c>
    </row>
    <row r="183" spans="1:2" x14ac:dyDescent="0.25">
      <c r="A183" s="2" t="s">
        <v>160</v>
      </c>
      <c r="B183" s="3">
        <v>42.04</v>
      </c>
    </row>
    <row r="184" spans="1:2" x14ac:dyDescent="0.25">
      <c r="A184" s="2" t="s">
        <v>580</v>
      </c>
      <c r="B184" s="3">
        <v>2876.23</v>
      </c>
    </row>
    <row r="185" spans="1:2" x14ac:dyDescent="0.25">
      <c r="A185" s="2" t="s">
        <v>210</v>
      </c>
      <c r="B185" s="3">
        <v>42.04</v>
      </c>
    </row>
    <row r="186" spans="1:2" x14ac:dyDescent="0.25">
      <c r="A186" s="2" t="s">
        <v>658</v>
      </c>
      <c r="B186" s="3">
        <v>42.04</v>
      </c>
    </row>
    <row r="187" spans="1:2" x14ac:dyDescent="0.25">
      <c r="A187" s="2" t="s">
        <v>293</v>
      </c>
      <c r="B187" s="3">
        <v>42.04</v>
      </c>
    </row>
    <row r="188" spans="1:2" x14ac:dyDescent="0.25">
      <c r="A188" s="2" t="s">
        <v>411</v>
      </c>
      <c r="B188" s="3">
        <v>2867.25</v>
      </c>
    </row>
    <row r="189" spans="1:2" x14ac:dyDescent="0.25">
      <c r="A189" s="2" t="s">
        <v>352</v>
      </c>
      <c r="B189" s="3">
        <v>6078.36</v>
      </c>
    </row>
    <row r="190" spans="1:2" x14ac:dyDescent="0.25">
      <c r="A190" s="2" t="s">
        <v>194</v>
      </c>
      <c r="B190" s="3">
        <v>1103.99</v>
      </c>
    </row>
    <row r="191" spans="1:2" x14ac:dyDescent="0.25">
      <c r="A191" s="2" t="s">
        <v>870</v>
      </c>
      <c r="B191" s="3">
        <v>0.12</v>
      </c>
    </row>
    <row r="192" spans="1:2" x14ac:dyDescent="0.25">
      <c r="A192" s="2" t="s">
        <v>590</v>
      </c>
      <c r="B192" s="3">
        <v>10210.030000000001</v>
      </c>
    </row>
    <row r="193" spans="1:2" x14ac:dyDescent="0.25">
      <c r="A193" s="2" t="s">
        <v>695</v>
      </c>
      <c r="B193" s="3">
        <v>1101.8</v>
      </c>
    </row>
    <row r="194" spans="1:2" x14ac:dyDescent="0.25">
      <c r="A194" s="2" t="s">
        <v>948</v>
      </c>
      <c r="B194" s="3">
        <v>2076.0500000000002</v>
      </c>
    </row>
    <row r="195" spans="1:2" x14ac:dyDescent="0.25">
      <c r="A195" s="2" t="s">
        <v>77</v>
      </c>
      <c r="B195" s="3">
        <v>3597.94</v>
      </c>
    </row>
    <row r="196" spans="1:2" x14ac:dyDescent="0.25">
      <c r="A196" s="2" t="s">
        <v>569</v>
      </c>
      <c r="B196" s="3">
        <v>4594.47</v>
      </c>
    </row>
    <row r="197" spans="1:2" x14ac:dyDescent="0.25">
      <c r="A197" s="2" t="s">
        <v>188</v>
      </c>
      <c r="B197" s="3">
        <v>5405.45</v>
      </c>
    </row>
    <row r="198" spans="1:2" x14ac:dyDescent="0.25">
      <c r="A198" s="2" t="s">
        <v>120</v>
      </c>
      <c r="B198" s="3">
        <v>6332.17</v>
      </c>
    </row>
    <row r="199" spans="1:2" x14ac:dyDescent="0.25">
      <c r="A199" s="2" t="s">
        <v>431</v>
      </c>
      <c r="B199" s="3">
        <v>2037.1</v>
      </c>
    </row>
    <row r="200" spans="1:2" x14ac:dyDescent="0.25">
      <c r="A200" s="2" t="s">
        <v>166</v>
      </c>
      <c r="B200" s="3">
        <v>4707.72</v>
      </c>
    </row>
    <row r="201" spans="1:2" x14ac:dyDescent="0.25">
      <c r="A201" s="2" t="s">
        <v>180</v>
      </c>
      <c r="B201" s="3">
        <v>3560.23</v>
      </c>
    </row>
    <row r="202" spans="1:2" x14ac:dyDescent="0.25">
      <c r="A202" s="2" t="s">
        <v>284</v>
      </c>
      <c r="B202" s="3">
        <v>7859.39</v>
      </c>
    </row>
    <row r="203" spans="1:2" x14ac:dyDescent="0.25">
      <c r="A203" s="2" t="s">
        <v>809</v>
      </c>
      <c r="B203" s="3">
        <v>1094.58</v>
      </c>
    </row>
    <row r="204" spans="1:2" x14ac:dyDescent="0.25">
      <c r="A204" s="2" t="s">
        <v>881</v>
      </c>
      <c r="B204" s="3">
        <v>1094.58</v>
      </c>
    </row>
    <row r="205" spans="1:2" x14ac:dyDescent="0.25">
      <c r="A205" s="2" t="s">
        <v>623</v>
      </c>
      <c r="B205" s="3">
        <v>411.27</v>
      </c>
    </row>
    <row r="206" spans="1:2" x14ac:dyDescent="0.25">
      <c r="A206" s="2" t="s">
        <v>102</v>
      </c>
      <c r="B206" s="3">
        <v>2076.0500000000002</v>
      </c>
    </row>
    <row r="207" spans="1:2" x14ac:dyDescent="0.25">
      <c r="A207" s="2" t="s">
        <v>665</v>
      </c>
      <c r="B207" s="3">
        <v>30277.600000000006</v>
      </c>
    </row>
    <row r="208" spans="1:2" x14ac:dyDescent="0.25">
      <c r="A208" s="2" t="s">
        <v>596</v>
      </c>
      <c r="B208" s="3">
        <v>72.91</v>
      </c>
    </row>
    <row r="209" spans="1:2" x14ac:dyDescent="0.25">
      <c r="A209" s="2" t="s">
        <v>520</v>
      </c>
      <c r="B209" s="3">
        <v>15138.85</v>
      </c>
    </row>
    <row r="210" spans="1:2" x14ac:dyDescent="0.25">
      <c r="A210" s="2" t="s">
        <v>332</v>
      </c>
      <c r="B210" s="3">
        <v>3771.71</v>
      </c>
    </row>
    <row r="211" spans="1:2" x14ac:dyDescent="0.25">
      <c r="A211" s="2" t="s">
        <v>347</v>
      </c>
      <c r="B211" s="3">
        <v>78.72</v>
      </c>
    </row>
    <row r="212" spans="1:2" x14ac:dyDescent="0.25">
      <c r="A212" s="2" t="s">
        <v>249</v>
      </c>
      <c r="B212" s="3">
        <v>142939.56</v>
      </c>
    </row>
    <row r="213" spans="1:2" x14ac:dyDescent="0.25">
      <c r="A213" s="2" t="s">
        <v>386</v>
      </c>
      <c r="B213" s="3">
        <v>19270.89</v>
      </c>
    </row>
    <row r="214" spans="1:2" x14ac:dyDescent="0.25">
      <c r="A214" s="2" t="s">
        <v>354</v>
      </c>
      <c r="B214" s="3">
        <v>5490.26</v>
      </c>
    </row>
    <row r="215" spans="1:2" x14ac:dyDescent="0.25">
      <c r="A215" s="2" t="s">
        <v>11</v>
      </c>
      <c r="B215" s="3">
        <v>8206.52</v>
      </c>
    </row>
    <row r="216" spans="1:2" x14ac:dyDescent="0.25">
      <c r="A216" s="2" t="s">
        <v>501</v>
      </c>
      <c r="B216" s="3">
        <v>171.77</v>
      </c>
    </row>
    <row r="217" spans="1:2" x14ac:dyDescent="0.25">
      <c r="A217" s="2" t="s">
        <v>269</v>
      </c>
      <c r="B217" s="3">
        <v>4416.1400000000003</v>
      </c>
    </row>
    <row r="218" spans="1:2" x14ac:dyDescent="0.25">
      <c r="A218" s="2" t="s">
        <v>775</v>
      </c>
      <c r="B218" s="3">
        <v>3447.81</v>
      </c>
    </row>
    <row r="219" spans="1:2" x14ac:dyDescent="0.25">
      <c r="A219" s="2" t="s">
        <v>266</v>
      </c>
      <c r="B219" s="3">
        <v>182.96</v>
      </c>
    </row>
    <row r="220" spans="1:2" x14ac:dyDescent="0.25">
      <c r="A220" s="2" t="s">
        <v>856</v>
      </c>
      <c r="B220" s="3">
        <v>213.91</v>
      </c>
    </row>
    <row r="221" spans="1:2" x14ac:dyDescent="0.25">
      <c r="A221" s="2" t="s">
        <v>361</v>
      </c>
      <c r="B221" s="3">
        <v>4869.17</v>
      </c>
    </row>
    <row r="222" spans="1:2" x14ac:dyDescent="0.25">
      <c r="A222" s="2" t="s">
        <v>772</v>
      </c>
      <c r="B222" s="3">
        <v>6756.75</v>
      </c>
    </row>
    <row r="223" spans="1:2" x14ac:dyDescent="0.25">
      <c r="A223" s="2" t="s">
        <v>476</v>
      </c>
      <c r="B223" s="3">
        <v>7981.3</v>
      </c>
    </row>
    <row r="224" spans="1:2" x14ac:dyDescent="0.25">
      <c r="A224" s="2" t="s">
        <v>570</v>
      </c>
      <c r="B224" s="3">
        <v>13977.420000000002</v>
      </c>
    </row>
    <row r="225" spans="1:2" x14ac:dyDescent="0.25">
      <c r="A225" s="2" t="s">
        <v>893</v>
      </c>
      <c r="B225" s="3">
        <v>248.13</v>
      </c>
    </row>
    <row r="226" spans="1:2" x14ac:dyDescent="0.25">
      <c r="A226" s="2" t="s">
        <v>24</v>
      </c>
      <c r="B226" s="3">
        <v>5619.08</v>
      </c>
    </row>
    <row r="227" spans="1:2" x14ac:dyDescent="0.25">
      <c r="A227" s="2" t="s">
        <v>672</v>
      </c>
      <c r="B227" s="3">
        <v>5619.08</v>
      </c>
    </row>
    <row r="228" spans="1:2" x14ac:dyDescent="0.25">
      <c r="A228" s="2" t="s">
        <v>240</v>
      </c>
      <c r="B228" s="3">
        <v>5548.24</v>
      </c>
    </row>
    <row r="229" spans="1:2" x14ac:dyDescent="0.25">
      <c r="A229" s="2" t="s">
        <v>252</v>
      </c>
      <c r="B229" s="3">
        <v>7859.39</v>
      </c>
    </row>
    <row r="230" spans="1:2" x14ac:dyDescent="0.25">
      <c r="A230" s="2" t="s">
        <v>715</v>
      </c>
      <c r="B230" s="3">
        <v>7859.39</v>
      </c>
    </row>
    <row r="231" spans="1:2" x14ac:dyDescent="0.25">
      <c r="A231" s="2" t="s">
        <v>328</v>
      </c>
      <c r="B231" s="3">
        <v>7859.39</v>
      </c>
    </row>
    <row r="232" spans="1:2" x14ac:dyDescent="0.25">
      <c r="A232" s="2" t="s">
        <v>108</v>
      </c>
      <c r="B232" s="3">
        <v>7859.39</v>
      </c>
    </row>
    <row r="233" spans="1:2" x14ac:dyDescent="0.25">
      <c r="A233" s="2" t="s">
        <v>78</v>
      </c>
      <c r="B233" s="3">
        <v>7859.39</v>
      </c>
    </row>
    <row r="234" spans="1:2" x14ac:dyDescent="0.25">
      <c r="A234" s="2" t="s">
        <v>155</v>
      </c>
      <c r="B234" s="3">
        <v>7859.39</v>
      </c>
    </row>
    <row r="235" spans="1:2" x14ac:dyDescent="0.25">
      <c r="A235" s="2" t="s">
        <v>622</v>
      </c>
      <c r="B235" s="3">
        <v>8638.58</v>
      </c>
    </row>
    <row r="236" spans="1:2" x14ac:dyDescent="0.25">
      <c r="A236" s="2" t="s">
        <v>923</v>
      </c>
      <c r="B236" s="3">
        <v>8638.58</v>
      </c>
    </row>
    <row r="237" spans="1:2" x14ac:dyDescent="0.25">
      <c r="A237" s="2" t="s">
        <v>741</v>
      </c>
      <c r="B237" s="3">
        <v>8638.58</v>
      </c>
    </row>
    <row r="238" spans="1:2" x14ac:dyDescent="0.25">
      <c r="A238" s="2" t="s">
        <v>860</v>
      </c>
      <c r="B238" s="3">
        <v>4709.74</v>
      </c>
    </row>
    <row r="239" spans="1:2" x14ac:dyDescent="0.25">
      <c r="A239" s="2" t="s">
        <v>567</v>
      </c>
      <c r="B239" s="3">
        <v>16912.29</v>
      </c>
    </row>
    <row r="240" spans="1:2" x14ac:dyDescent="0.25">
      <c r="A240" s="2" t="s">
        <v>25</v>
      </c>
      <c r="B240" s="3">
        <v>21470</v>
      </c>
    </row>
    <row r="241" spans="1:2" x14ac:dyDescent="0.25">
      <c r="A241" s="2" t="s">
        <v>4</v>
      </c>
      <c r="B241" s="3">
        <v>4647.16</v>
      </c>
    </row>
    <row r="242" spans="1:2" x14ac:dyDescent="0.25">
      <c r="A242" s="2" t="s">
        <v>278</v>
      </c>
      <c r="B242" s="3">
        <v>19028.57</v>
      </c>
    </row>
    <row r="243" spans="1:2" x14ac:dyDescent="0.25">
      <c r="A243" s="2" t="s">
        <v>185</v>
      </c>
      <c r="B243" s="3">
        <v>19028.57</v>
      </c>
    </row>
    <row r="244" spans="1:2" x14ac:dyDescent="0.25">
      <c r="A244" s="2" t="s">
        <v>821</v>
      </c>
      <c r="B244" s="3">
        <v>19028.57</v>
      </c>
    </row>
    <row r="245" spans="1:2" x14ac:dyDescent="0.25">
      <c r="A245" s="2" t="s">
        <v>440</v>
      </c>
      <c r="B245" s="3">
        <v>7065.73</v>
      </c>
    </row>
    <row r="246" spans="1:2" x14ac:dyDescent="0.25">
      <c r="A246" s="2" t="s">
        <v>113</v>
      </c>
      <c r="B246" s="3">
        <v>204.61</v>
      </c>
    </row>
    <row r="247" spans="1:2" x14ac:dyDescent="0.25">
      <c r="A247" s="2" t="s">
        <v>44</v>
      </c>
      <c r="B247" s="3">
        <v>5974.49</v>
      </c>
    </row>
    <row r="248" spans="1:2" x14ac:dyDescent="0.25">
      <c r="A248" s="2" t="s">
        <v>922</v>
      </c>
      <c r="B248" s="3">
        <v>5984.74</v>
      </c>
    </row>
    <row r="249" spans="1:2" x14ac:dyDescent="0.25">
      <c r="A249" s="2" t="s">
        <v>453</v>
      </c>
      <c r="B249" s="3">
        <v>10525.83</v>
      </c>
    </row>
    <row r="250" spans="1:2" x14ac:dyDescent="0.25">
      <c r="A250" s="2" t="s">
        <v>176</v>
      </c>
      <c r="B250" s="3">
        <v>5931.71</v>
      </c>
    </row>
    <row r="251" spans="1:2" x14ac:dyDescent="0.25">
      <c r="A251" s="2" t="s">
        <v>863</v>
      </c>
      <c r="B251" s="3">
        <v>5905.33</v>
      </c>
    </row>
    <row r="252" spans="1:2" x14ac:dyDescent="0.25">
      <c r="A252" s="2" t="s">
        <v>690</v>
      </c>
      <c r="B252" s="3">
        <v>245.11</v>
      </c>
    </row>
    <row r="253" spans="1:2" x14ac:dyDescent="0.25">
      <c r="A253" s="2" t="s">
        <v>131</v>
      </c>
      <c r="B253" s="3">
        <v>5406.42</v>
      </c>
    </row>
    <row r="254" spans="1:2" x14ac:dyDescent="0.25">
      <c r="A254" s="2" t="s">
        <v>938</v>
      </c>
      <c r="B254" s="3">
        <v>13018.25</v>
      </c>
    </row>
    <row r="255" spans="1:2" x14ac:dyDescent="0.25">
      <c r="A255" s="2" t="s">
        <v>390</v>
      </c>
      <c r="B255" s="3">
        <v>13018.25</v>
      </c>
    </row>
    <row r="256" spans="1:2" x14ac:dyDescent="0.25">
      <c r="A256" s="2" t="s">
        <v>346</v>
      </c>
      <c r="B256" s="3">
        <v>288.91000000000003</v>
      </c>
    </row>
    <row r="257" spans="1:2" x14ac:dyDescent="0.25">
      <c r="A257" s="2" t="s">
        <v>650</v>
      </c>
      <c r="B257" s="3">
        <v>53235.7</v>
      </c>
    </row>
    <row r="258" spans="1:2" x14ac:dyDescent="0.25">
      <c r="A258" s="2" t="s">
        <v>813</v>
      </c>
      <c r="B258" s="3">
        <v>53235.72</v>
      </c>
    </row>
    <row r="259" spans="1:2" x14ac:dyDescent="0.25">
      <c r="A259" s="2" t="s">
        <v>434</v>
      </c>
      <c r="B259" s="3">
        <v>349.28</v>
      </c>
    </row>
    <row r="260" spans="1:2" x14ac:dyDescent="0.25">
      <c r="A260" s="2" t="s">
        <v>787</v>
      </c>
      <c r="B260" s="3">
        <v>5287.45</v>
      </c>
    </row>
    <row r="261" spans="1:2" x14ac:dyDescent="0.25">
      <c r="A261" s="2" t="s">
        <v>288</v>
      </c>
      <c r="B261" s="3">
        <v>7039.39</v>
      </c>
    </row>
    <row r="262" spans="1:2" x14ac:dyDescent="0.25">
      <c r="A262" s="2" t="s">
        <v>747</v>
      </c>
      <c r="B262" s="3">
        <v>14507.98</v>
      </c>
    </row>
    <row r="263" spans="1:2" x14ac:dyDescent="0.25">
      <c r="A263" s="2" t="s">
        <v>512</v>
      </c>
      <c r="B263" s="3">
        <v>8701.17</v>
      </c>
    </row>
    <row r="264" spans="1:2" x14ac:dyDescent="0.25">
      <c r="A264" s="2" t="s">
        <v>197</v>
      </c>
      <c r="B264" s="3">
        <v>1111.3699999999999</v>
      </c>
    </row>
    <row r="265" spans="1:2" x14ac:dyDescent="0.25">
      <c r="A265" s="2" t="s">
        <v>473</v>
      </c>
      <c r="B265" s="3">
        <v>17769.64</v>
      </c>
    </row>
    <row r="266" spans="1:2" x14ac:dyDescent="0.25">
      <c r="A266" s="2" t="s">
        <v>644</v>
      </c>
      <c r="B266" s="3">
        <v>7325.64</v>
      </c>
    </row>
    <row r="267" spans="1:2" x14ac:dyDescent="0.25">
      <c r="A267" s="2" t="s">
        <v>364</v>
      </c>
      <c r="B267" s="3">
        <v>11155.91</v>
      </c>
    </row>
    <row r="268" spans="1:2" x14ac:dyDescent="0.25">
      <c r="A268" s="2" t="s">
        <v>602</v>
      </c>
      <c r="B268" s="3">
        <v>10453.24</v>
      </c>
    </row>
    <row r="269" spans="1:2" x14ac:dyDescent="0.25">
      <c r="A269" s="2" t="s">
        <v>245</v>
      </c>
      <c r="B269" s="3">
        <v>8933.49</v>
      </c>
    </row>
    <row r="270" spans="1:2" x14ac:dyDescent="0.25">
      <c r="A270" s="2" t="s">
        <v>905</v>
      </c>
      <c r="B270" s="3">
        <v>8760.68</v>
      </c>
    </row>
    <row r="271" spans="1:2" x14ac:dyDescent="0.25">
      <c r="A271" s="2" t="s">
        <v>358</v>
      </c>
      <c r="B271" s="3">
        <v>8760.68</v>
      </c>
    </row>
    <row r="272" spans="1:2" x14ac:dyDescent="0.25">
      <c r="A272" s="2" t="s">
        <v>513</v>
      </c>
      <c r="B272" s="3">
        <v>438.57</v>
      </c>
    </row>
    <row r="273" spans="1:2" x14ac:dyDescent="0.25">
      <c r="A273" s="2" t="s">
        <v>218</v>
      </c>
      <c r="B273" s="3">
        <v>8327.26</v>
      </c>
    </row>
    <row r="274" spans="1:2" x14ac:dyDescent="0.25">
      <c r="A274" s="2" t="s">
        <v>867</v>
      </c>
      <c r="B274" s="3">
        <v>7916.68</v>
      </c>
    </row>
    <row r="275" spans="1:2" x14ac:dyDescent="0.25">
      <c r="A275" s="2" t="s">
        <v>937</v>
      </c>
      <c r="B275" s="3">
        <v>19042.2</v>
      </c>
    </row>
    <row r="276" spans="1:2" x14ac:dyDescent="0.25">
      <c r="A276" s="2" t="s">
        <v>834</v>
      </c>
      <c r="B276" s="3">
        <v>5994.57</v>
      </c>
    </row>
    <row r="277" spans="1:2" x14ac:dyDescent="0.25">
      <c r="A277" s="2" t="s">
        <v>126</v>
      </c>
      <c r="B277" s="3">
        <v>15870.38</v>
      </c>
    </row>
    <row r="278" spans="1:2" x14ac:dyDescent="0.25">
      <c r="A278" s="2" t="s">
        <v>613</v>
      </c>
      <c r="B278" s="3">
        <v>11142.46</v>
      </c>
    </row>
    <row r="279" spans="1:2" x14ac:dyDescent="0.25">
      <c r="A279" s="2" t="s">
        <v>134</v>
      </c>
      <c r="B279" s="3">
        <v>10759.37</v>
      </c>
    </row>
    <row r="280" spans="1:2" x14ac:dyDescent="0.25">
      <c r="A280" s="2" t="s">
        <v>41</v>
      </c>
      <c r="B280" s="3">
        <v>1195.67</v>
      </c>
    </row>
    <row r="281" spans="1:2" x14ac:dyDescent="0.25">
      <c r="A281" s="2" t="s">
        <v>62</v>
      </c>
      <c r="B281" s="3">
        <v>33402.400000000001</v>
      </c>
    </row>
    <row r="282" spans="1:2" x14ac:dyDescent="0.25">
      <c r="A282" s="2" t="s">
        <v>829</v>
      </c>
      <c r="B282" s="3">
        <v>23665.96</v>
      </c>
    </row>
    <row r="283" spans="1:2" x14ac:dyDescent="0.25">
      <c r="A283" s="2" t="s">
        <v>664</v>
      </c>
      <c r="B283" s="3">
        <v>513.79</v>
      </c>
    </row>
    <row r="284" spans="1:2" x14ac:dyDescent="0.25">
      <c r="A284" s="2" t="s">
        <v>675</v>
      </c>
      <c r="B284" s="3">
        <v>14431.88</v>
      </c>
    </row>
    <row r="285" spans="1:2" x14ac:dyDescent="0.25">
      <c r="A285" s="2" t="s">
        <v>836</v>
      </c>
      <c r="B285" s="3">
        <v>11243.67</v>
      </c>
    </row>
    <row r="286" spans="1:2" x14ac:dyDescent="0.25">
      <c r="A286" s="2" t="s">
        <v>95</v>
      </c>
      <c r="B286" s="3">
        <v>396.78</v>
      </c>
    </row>
    <row r="287" spans="1:2" x14ac:dyDescent="0.25">
      <c r="A287" s="2" t="s">
        <v>316</v>
      </c>
      <c r="B287" s="3">
        <v>13090.37</v>
      </c>
    </row>
    <row r="288" spans="1:2" x14ac:dyDescent="0.25">
      <c r="A288" s="2" t="s">
        <v>144</v>
      </c>
      <c r="B288" s="3">
        <v>10727.57</v>
      </c>
    </row>
    <row r="289" spans="1:2" x14ac:dyDescent="0.25">
      <c r="A289" s="2" t="s">
        <v>287</v>
      </c>
      <c r="B289" s="3">
        <v>366.76</v>
      </c>
    </row>
    <row r="290" spans="1:2" x14ac:dyDescent="0.25">
      <c r="A290" s="2" t="s">
        <v>521</v>
      </c>
      <c r="B290" s="3">
        <v>9383.6299999999992</v>
      </c>
    </row>
    <row r="291" spans="1:2" x14ac:dyDescent="0.25">
      <c r="A291" s="2" t="s">
        <v>683</v>
      </c>
      <c r="B291" s="3">
        <v>9383.6299999999992</v>
      </c>
    </row>
    <row r="292" spans="1:2" x14ac:dyDescent="0.25">
      <c r="A292" s="2" t="s">
        <v>631</v>
      </c>
      <c r="B292" s="3">
        <v>9383.6299999999992</v>
      </c>
    </row>
    <row r="293" spans="1:2" x14ac:dyDescent="0.25">
      <c r="A293" s="2" t="s">
        <v>698</v>
      </c>
      <c r="B293" s="3">
        <v>10320.120000000001</v>
      </c>
    </row>
    <row r="294" spans="1:2" x14ac:dyDescent="0.25">
      <c r="A294" s="2" t="s">
        <v>369</v>
      </c>
      <c r="B294" s="3">
        <v>385.32</v>
      </c>
    </row>
    <row r="295" spans="1:2" x14ac:dyDescent="0.25">
      <c r="A295" s="2" t="s">
        <v>561</v>
      </c>
      <c r="B295" s="3">
        <v>14277.02</v>
      </c>
    </row>
    <row r="296" spans="1:2" x14ac:dyDescent="0.25">
      <c r="A296" s="2" t="s">
        <v>345</v>
      </c>
      <c r="B296" s="3">
        <v>16681.560000000001</v>
      </c>
    </row>
    <row r="297" spans="1:2" x14ac:dyDescent="0.25">
      <c r="A297" s="2" t="s">
        <v>928</v>
      </c>
      <c r="B297" s="3">
        <v>10859.2</v>
      </c>
    </row>
    <row r="298" spans="1:2" x14ac:dyDescent="0.25">
      <c r="A298" s="2" t="s">
        <v>465</v>
      </c>
      <c r="B298" s="3">
        <v>9359.9</v>
      </c>
    </row>
    <row r="299" spans="1:2" x14ac:dyDescent="0.25">
      <c r="A299" s="2" t="s">
        <v>292</v>
      </c>
      <c r="B299" s="3">
        <v>22279.82</v>
      </c>
    </row>
    <row r="300" spans="1:2" x14ac:dyDescent="0.25">
      <c r="A300" s="2" t="s">
        <v>274</v>
      </c>
      <c r="B300" s="3">
        <v>24949.64</v>
      </c>
    </row>
    <row r="301" spans="1:2" x14ac:dyDescent="0.25">
      <c r="A301" s="2" t="s">
        <v>80</v>
      </c>
      <c r="B301" s="3">
        <v>23252.97</v>
      </c>
    </row>
    <row r="302" spans="1:2" x14ac:dyDescent="0.25">
      <c r="A302" s="2" t="s">
        <v>149</v>
      </c>
      <c r="B302" s="3">
        <v>10551.74</v>
      </c>
    </row>
    <row r="303" spans="1:2" x14ac:dyDescent="0.25">
      <c r="A303" s="2" t="s">
        <v>301</v>
      </c>
      <c r="B303" s="3">
        <v>3491.11</v>
      </c>
    </row>
    <row r="304" spans="1:2" x14ac:dyDescent="0.25">
      <c r="A304" s="2" t="s">
        <v>338</v>
      </c>
      <c r="B304" s="3">
        <v>42.13</v>
      </c>
    </row>
    <row r="305" spans="1:2" x14ac:dyDescent="0.25">
      <c r="A305" s="2" t="s">
        <v>806</v>
      </c>
      <c r="B305" s="3">
        <v>11230.88</v>
      </c>
    </row>
    <row r="306" spans="1:2" x14ac:dyDescent="0.25">
      <c r="A306" s="2" t="s">
        <v>441</v>
      </c>
      <c r="B306" s="3">
        <v>16499.34</v>
      </c>
    </row>
    <row r="307" spans="1:2" x14ac:dyDescent="0.25">
      <c r="A307" s="2" t="s">
        <v>45</v>
      </c>
      <c r="B307" s="3">
        <v>1103.99</v>
      </c>
    </row>
    <row r="308" spans="1:2" x14ac:dyDescent="0.25">
      <c r="A308" s="2" t="s">
        <v>864</v>
      </c>
      <c r="B308" s="3">
        <v>1101.55</v>
      </c>
    </row>
    <row r="309" spans="1:2" x14ac:dyDescent="0.25">
      <c r="A309" s="2" t="s">
        <v>701</v>
      </c>
      <c r="B309" s="3">
        <v>13033.3</v>
      </c>
    </row>
    <row r="310" spans="1:2" x14ac:dyDescent="0.25">
      <c r="A310" s="2" t="s">
        <v>468</v>
      </c>
      <c r="B310" s="3">
        <v>431.19</v>
      </c>
    </row>
    <row r="311" spans="1:2" x14ac:dyDescent="0.25">
      <c r="A311" s="2" t="s">
        <v>635</v>
      </c>
      <c r="B311" s="3">
        <v>2207.98</v>
      </c>
    </row>
    <row r="312" spans="1:2" x14ac:dyDescent="0.25">
      <c r="A312" s="2" t="s">
        <v>894</v>
      </c>
      <c r="B312" s="3">
        <v>11257.23</v>
      </c>
    </row>
    <row r="313" spans="1:2" x14ac:dyDescent="0.25">
      <c r="A313" s="2" t="s">
        <v>395</v>
      </c>
      <c r="B313" s="3">
        <v>62810.35</v>
      </c>
    </row>
    <row r="314" spans="1:2" x14ac:dyDescent="0.25">
      <c r="A314" s="2" t="s">
        <v>667</v>
      </c>
      <c r="B314" s="3">
        <v>6997.74</v>
      </c>
    </row>
    <row r="315" spans="1:2" x14ac:dyDescent="0.25">
      <c r="A315" s="2" t="s">
        <v>187</v>
      </c>
      <c r="B315" s="3">
        <v>15.59</v>
      </c>
    </row>
    <row r="316" spans="1:2" x14ac:dyDescent="0.25">
      <c r="A316" s="2" t="s">
        <v>619</v>
      </c>
      <c r="B316" s="3">
        <v>12693.49</v>
      </c>
    </row>
    <row r="317" spans="1:2" x14ac:dyDescent="0.25">
      <c r="A317" s="2" t="s">
        <v>493</v>
      </c>
      <c r="B317" s="3">
        <v>5519.95</v>
      </c>
    </row>
    <row r="318" spans="1:2" x14ac:dyDescent="0.25">
      <c r="A318" s="2" t="s">
        <v>850</v>
      </c>
      <c r="B318" s="3">
        <v>2203.8000000000002</v>
      </c>
    </row>
    <row r="319" spans="1:2" x14ac:dyDescent="0.25">
      <c r="A319" s="2" t="s">
        <v>199</v>
      </c>
      <c r="B319" s="3">
        <v>12583.41</v>
      </c>
    </row>
    <row r="320" spans="1:2" x14ac:dyDescent="0.25">
      <c r="A320" s="2" t="s">
        <v>919</v>
      </c>
      <c r="B320" s="3">
        <v>523.34</v>
      </c>
    </row>
    <row r="321" spans="1:2" x14ac:dyDescent="0.25">
      <c r="A321" s="2" t="s">
        <v>673</v>
      </c>
      <c r="B321" s="3">
        <v>4451.88</v>
      </c>
    </row>
    <row r="322" spans="1:2" x14ac:dyDescent="0.25">
      <c r="A322" s="2" t="s">
        <v>566</v>
      </c>
      <c r="B322" s="3">
        <v>19730.419999999998</v>
      </c>
    </row>
    <row r="323" spans="1:2" x14ac:dyDescent="0.25">
      <c r="A323" s="2" t="s">
        <v>625</v>
      </c>
      <c r="B323" s="3">
        <v>31.16</v>
      </c>
    </row>
    <row r="324" spans="1:2" x14ac:dyDescent="0.25">
      <c r="A324" s="2" t="s">
        <v>404</v>
      </c>
      <c r="B324" s="3">
        <v>15808.08</v>
      </c>
    </row>
    <row r="325" spans="1:2" x14ac:dyDescent="0.25">
      <c r="A325" s="2" t="s">
        <v>761</v>
      </c>
      <c r="B325" s="3">
        <v>14322.98</v>
      </c>
    </row>
    <row r="326" spans="1:2" x14ac:dyDescent="0.25">
      <c r="A326" s="2" t="s">
        <v>97</v>
      </c>
      <c r="B326" s="3">
        <v>27008.44</v>
      </c>
    </row>
    <row r="327" spans="1:2" x14ac:dyDescent="0.25">
      <c r="A327" s="2" t="s">
        <v>256</v>
      </c>
      <c r="B327" s="3">
        <v>28739.439999999999</v>
      </c>
    </row>
    <row r="328" spans="1:2" x14ac:dyDescent="0.25">
      <c r="A328" s="2" t="s">
        <v>246</v>
      </c>
      <c r="B328" s="3">
        <v>2215.4</v>
      </c>
    </row>
    <row r="329" spans="1:2" x14ac:dyDescent="0.25">
      <c r="A329" s="2" t="s">
        <v>308</v>
      </c>
      <c r="B329" s="3">
        <v>4430.84</v>
      </c>
    </row>
    <row r="330" spans="1:2" x14ac:dyDescent="0.25">
      <c r="A330" s="2" t="s">
        <v>649</v>
      </c>
      <c r="B330" s="3">
        <v>2215.4499999999998</v>
      </c>
    </row>
    <row r="331" spans="1:2" x14ac:dyDescent="0.25">
      <c r="A331" s="2" t="s">
        <v>887</v>
      </c>
      <c r="B331" s="3">
        <v>2215.4499999999998</v>
      </c>
    </row>
    <row r="332" spans="1:2" x14ac:dyDescent="0.25">
      <c r="A332" s="2" t="s">
        <v>359</v>
      </c>
      <c r="B332" s="3">
        <v>2215.4499999999998</v>
      </c>
    </row>
    <row r="333" spans="1:2" x14ac:dyDescent="0.25">
      <c r="A333" s="2" t="s">
        <v>908</v>
      </c>
      <c r="B333" s="3">
        <v>4430.84</v>
      </c>
    </row>
    <row r="334" spans="1:2" x14ac:dyDescent="0.25">
      <c r="A334" s="2" t="s">
        <v>494</v>
      </c>
      <c r="B334" s="3">
        <v>40196.1</v>
      </c>
    </row>
    <row r="335" spans="1:2" x14ac:dyDescent="0.25">
      <c r="A335" s="2" t="s">
        <v>920</v>
      </c>
      <c r="B335" s="3">
        <v>14498.62</v>
      </c>
    </row>
    <row r="336" spans="1:2" x14ac:dyDescent="0.25">
      <c r="A336" s="2" t="s">
        <v>117</v>
      </c>
      <c r="B336" s="3">
        <v>21319.41</v>
      </c>
    </row>
    <row r="337" spans="1:2" x14ac:dyDescent="0.25">
      <c r="A337" s="2" t="s">
        <v>551</v>
      </c>
      <c r="B337" s="3">
        <v>7729.06</v>
      </c>
    </row>
    <row r="338" spans="1:2" x14ac:dyDescent="0.25">
      <c r="A338" s="2" t="s">
        <v>742</v>
      </c>
      <c r="B338" s="3">
        <v>3320.54</v>
      </c>
    </row>
    <row r="339" spans="1:2" x14ac:dyDescent="0.25">
      <c r="A339" s="2" t="s">
        <v>862</v>
      </c>
      <c r="B339" s="3">
        <v>5910.53</v>
      </c>
    </row>
    <row r="340" spans="1:2" x14ac:dyDescent="0.25">
      <c r="A340" s="2" t="s">
        <v>859</v>
      </c>
      <c r="B340" s="3">
        <v>4422.2</v>
      </c>
    </row>
    <row r="341" spans="1:2" x14ac:dyDescent="0.25">
      <c r="A341" s="2" t="s">
        <v>608</v>
      </c>
      <c r="B341" s="3">
        <v>4422.24</v>
      </c>
    </row>
    <row r="342" spans="1:2" x14ac:dyDescent="0.25">
      <c r="A342" s="2" t="s">
        <v>165</v>
      </c>
      <c r="B342" s="3">
        <v>16215.06</v>
      </c>
    </row>
    <row r="343" spans="1:2" x14ac:dyDescent="0.25">
      <c r="A343" s="2" t="s">
        <v>611</v>
      </c>
      <c r="B343" s="3">
        <v>22803.37</v>
      </c>
    </row>
    <row r="344" spans="1:2" x14ac:dyDescent="0.25">
      <c r="A344" s="2" t="s">
        <v>397</v>
      </c>
      <c r="B344" s="3">
        <v>14787.17</v>
      </c>
    </row>
    <row r="345" spans="1:2" x14ac:dyDescent="0.25">
      <c r="A345" s="2" t="s">
        <v>774</v>
      </c>
      <c r="B345" s="3">
        <v>14787.17</v>
      </c>
    </row>
    <row r="346" spans="1:2" x14ac:dyDescent="0.25">
      <c r="A346" s="2" t="s">
        <v>854</v>
      </c>
      <c r="B346" s="3">
        <v>29182.76</v>
      </c>
    </row>
    <row r="347" spans="1:2" x14ac:dyDescent="0.25">
      <c r="A347" s="2" t="s">
        <v>604</v>
      </c>
      <c r="B347" s="3">
        <v>16325.06</v>
      </c>
    </row>
    <row r="348" spans="1:2" x14ac:dyDescent="0.25">
      <c r="A348" s="2" t="s">
        <v>506</v>
      </c>
      <c r="B348" s="3">
        <v>3324.79</v>
      </c>
    </row>
    <row r="349" spans="1:2" x14ac:dyDescent="0.25">
      <c r="A349" s="2" t="s">
        <v>69</v>
      </c>
      <c r="B349" s="3">
        <v>729.94</v>
      </c>
    </row>
    <row r="350" spans="1:2" x14ac:dyDescent="0.25">
      <c r="A350" s="2" t="s">
        <v>237</v>
      </c>
      <c r="B350" s="3">
        <v>14656.37</v>
      </c>
    </row>
    <row r="351" spans="1:2" x14ac:dyDescent="0.25">
      <c r="A351" s="2" t="s">
        <v>759</v>
      </c>
      <c r="B351" s="3">
        <v>15632.85</v>
      </c>
    </row>
    <row r="352" spans="1:2" x14ac:dyDescent="0.25">
      <c r="A352" s="2" t="s">
        <v>151</v>
      </c>
      <c r="B352" s="3">
        <v>16088.84</v>
      </c>
    </row>
    <row r="353" spans="1:2" x14ac:dyDescent="0.25">
      <c r="A353" s="2" t="s">
        <v>703</v>
      </c>
      <c r="B353" s="3">
        <v>7535.11</v>
      </c>
    </row>
    <row r="354" spans="1:2" x14ac:dyDescent="0.25">
      <c r="A354" s="2" t="s">
        <v>786</v>
      </c>
      <c r="B354" s="3">
        <v>15466.88</v>
      </c>
    </row>
    <row r="355" spans="1:2" x14ac:dyDescent="0.25">
      <c r="A355" s="2" t="s">
        <v>280</v>
      </c>
      <c r="B355" s="3">
        <v>5543.32</v>
      </c>
    </row>
    <row r="356" spans="1:2" x14ac:dyDescent="0.25">
      <c r="A356" s="2" t="s">
        <v>9</v>
      </c>
      <c r="B356" s="3">
        <v>3647.48</v>
      </c>
    </row>
    <row r="357" spans="1:2" x14ac:dyDescent="0.25">
      <c r="A357" s="2" t="s">
        <v>38</v>
      </c>
      <c r="B357" s="3">
        <v>5543.81</v>
      </c>
    </row>
    <row r="358" spans="1:2" x14ac:dyDescent="0.25">
      <c r="A358" s="2" t="s">
        <v>504</v>
      </c>
      <c r="B358" s="3">
        <v>10182.76</v>
      </c>
    </row>
    <row r="359" spans="1:2" x14ac:dyDescent="0.25">
      <c r="A359" s="2" t="s">
        <v>849</v>
      </c>
      <c r="B359" s="3">
        <v>14305.11</v>
      </c>
    </row>
    <row r="360" spans="1:2" x14ac:dyDescent="0.25">
      <c r="A360" s="2" t="s">
        <v>942</v>
      </c>
      <c r="B360" s="3">
        <v>14788.25</v>
      </c>
    </row>
    <row r="361" spans="1:2" x14ac:dyDescent="0.25">
      <c r="A361" s="2" t="s">
        <v>391</v>
      </c>
      <c r="B361" s="3">
        <v>17457.91</v>
      </c>
    </row>
    <row r="362" spans="1:2" x14ac:dyDescent="0.25">
      <c r="A362" s="2" t="s">
        <v>394</v>
      </c>
      <c r="B362" s="3">
        <v>16095.79</v>
      </c>
    </row>
    <row r="363" spans="1:2" x14ac:dyDescent="0.25">
      <c r="A363" s="2" t="s">
        <v>731</v>
      </c>
      <c r="B363" s="3">
        <v>15886.13</v>
      </c>
    </row>
    <row r="364" spans="1:2" x14ac:dyDescent="0.25">
      <c r="A364" s="2" t="s">
        <v>205</v>
      </c>
      <c r="B364" s="3">
        <v>20590.52</v>
      </c>
    </row>
    <row r="365" spans="1:2" x14ac:dyDescent="0.25">
      <c r="A365" s="2" t="s">
        <v>873</v>
      </c>
      <c r="B365" s="3">
        <v>8109.93</v>
      </c>
    </row>
    <row r="366" spans="1:2" x14ac:dyDescent="0.25">
      <c r="A366" s="2" t="s">
        <v>794</v>
      </c>
      <c r="B366" s="3">
        <v>6097.44</v>
      </c>
    </row>
    <row r="367" spans="1:2" x14ac:dyDescent="0.25">
      <c r="A367" s="2" t="s">
        <v>950</v>
      </c>
      <c r="B367" s="3">
        <v>6097.44</v>
      </c>
    </row>
    <row r="368" spans="1:2" x14ac:dyDescent="0.25">
      <c r="A368" s="2" t="s">
        <v>405</v>
      </c>
      <c r="B368" s="3">
        <v>6097.44</v>
      </c>
    </row>
    <row r="369" spans="1:2" x14ac:dyDescent="0.25">
      <c r="A369" s="2" t="s">
        <v>687</v>
      </c>
      <c r="B369" s="3">
        <v>100820.1</v>
      </c>
    </row>
    <row r="370" spans="1:2" x14ac:dyDescent="0.25">
      <c r="A370" s="2" t="s">
        <v>871</v>
      </c>
      <c r="B370" s="3">
        <v>7127.39</v>
      </c>
    </row>
    <row r="371" spans="1:2" x14ac:dyDescent="0.25">
      <c r="A371" s="2" t="s">
        <v>382</v>
      </c>
      <c r="B371" s="3">
        <v>318.16000000000003</v>
      </c>
    </row>
    <row r="372" spans="1:2" x14ac:dyDescent="0.25">
      <c r="A372" s="2" t="s">
        <v>593</v>
      </c>
      <c r="B372" s="3">
        <v>10944.94</v>
      </c>
    </row>
    <row r="373" spans="1:2" x14ac:dyDescent="0.25">
      <c r="A373" s="2" t="s">
        <v>840</v>
      </c>
      <c r="B373" s="3">
        <v>6804.41</v>
      </c>
    </row>
    <row r="374" spans="1:2" x14ac:dyDescent="0.25">
      <c r="A374" s="2" t="s">
        <v>760</v>
      </c>
      <c r="B374" s="3">
        <v>24383.25</v>
      </c>
    </row>
    <row r="375" spans="1:2" x14ac:dyDescent="0.25">
      <c r="A375" s="2" t="s">
        <v>401</v>
      </c>
      <c r="B375" s="3">
        <v>34608.639999999999</v>
      </c>
    </row>
    <row r="376" spans="1:2" x14ac:dyDescent="0.25">
      <c r="A376" s="2" t="s">
        <v>33</v>
      </c>
      <c r="B376" s="3">
        <v>528.49</v>
      </c>
    </row>
    <row r="377" spans="1:2" x14ac:dyDescent="0.25">
      <c r="A377" s="2" t="s">
        <v>835</v>
      </c>
      <c r="B377" s="3">
        <v>16303.87</v>
      </c>
    </row>
    <row r="378" spans="1:2" x14ac:dyDescent="0.25">
      <c r="A378" s="2" t="s">
        <v>526</v>
      </c>
      <c r="B378" s="3">
        <v>16897.63</v>
      </c>
    </row>
    <row r="379" spans="1:2" x14ac:dyDescent="0.25">
      <c r="A379" s="2" t="s">
        <v>949</v>
      </c>
      <c r="B379" s="3">
        <v>7418.07</v>
      </c>
    </row>
    <row r="380" spans="1:2" x14ac:dyDescent="0.25">
      <c r="A380" s="2" t="s">
        <v>753</v>
      </c>
      <c r="B380" s="3">
        <v>66746.28</v>
      </c>
    </row>
    <row r="381" spans="1:2" x14ac:dyDescent="0.25">
      <c r="A381" s="2" t="s">
        <v>481</v>
      </c>
      <c r="B381" s="3">
        <v>1353.1</v>
      </c>
    </row>
    <row r="382" spans="1:2" x14ac:dyDescent="0.25">
      <c r="A382" s="2" t="s">
        <v>745</v>
      </c>
      <c r="B382" s="3">
        <v>19059.61</v>
      </c>
    </row>
    <row r="383" spans="1:2" x14ac:dyDescent="0.25">
      <c r="A383" s="2" t="s">
        <v>843</v>
      </c>
      <c r="B383" s="3">
        <v>783.44</v>
      </c>
    </row>
    <row r="384" spans="1:2" x14ac:dyDescent="0.25">
      <c r="A384" s="2" t="s">
        <v>326</v>
      </c>
      <c r="B384" s="3">
        <v>554.14</v>
      </c>
    </row>
    <row r="385" spans="1:2" x14ac:dyDescent="0.25">
      <c r="A385" s="2" t="s">
        <v>510</v>
      </c>
      <c r="B385" s="3">
        <v>16910.77</v>
      </c>
    </row>
    <row r="386" spans="1:2" x14ac:dyDescent="0.25">
      <c r="A386" s="2" t="s">
        <v>632</v>
      </c>
      <c r="B386" s="3">
        <v>37040.9</v>
      </c>
    </row>
    <row r="387" spans="1:2" x14ac:dyDescent="0.25">
      <c r="A387" s="2" t="s">
        <v>89</v>
      </c>
      <c r="B387" s="3">
        <v>649.9</v>
      </c>
    </row>
    <row r="388" spans="1:2" x14ac:dyDescent="0.25">
      <c r="A388" s="2" t="s">
        <v>597</v>
      </c>
      <c r="B388" s="3">
        <v>536.99</v>
      </c>
    </row>
    <row r="389" spans="1:2" x14ac:dyDescent="0.25">
      <c r="A389" s="2" t="s">
        <v>744</v>
      </c>
      <c r="B389" s="3">
        <v>37084.68</v>
      </c>
    </row>
    <row r="390" spans="1:2" x14ac:dyDescent="0.25">
      <c r="A390" s="2" t="s">
        <v>201</v>
      </c>
      <c r="B390" s="3">
        <v>37508.839999999997</v>
      </c>
    </row>
    <row r="391" spans="1:2" x14ac:dyDescent="0.25">
      <c r="A391" s="2" t="s">
        <v>488</v>
      </c>
      <c r="B391" s="3">
        <v>77472.12000000001</v>
      </c>
    </row>
    <row r="392" spans="1:2" x14ac:dyDescent="0.25">
      <c r="A392" s="2" t="s">
        <v>929</v>
      </c>
      <c r="B392" s="3">
        <v>19209.16</v>
      </c>
    </row>
    <row r="393" spans="1:2" x14ac:dyDescent="0.25">
      <c r="A393" s="2" t="s">
        <v>517</v>
      </c>
      <c r="B393" s="3">
        <v>19209.16</v>
      </c>
    </row>
    <row r="394" spans="1:2" x14ac:dyDescent="0.25">
      <c r="A394" s="2" t="s">
        <v>51</v>
      </c>
      <c r="B394" s="3">
        <v>37084.639999999999</v>
      </c>
    </row>
    <row r="395" spans="1:2" x14ac:dyDescent="0.25">
      <c r="A395" s="2" t="s">
        <v>781</v>
      </c>
      <c r="B395" s="3">
        <v>17062.53</v>
      </c>
    </row>
    <row r="396" spans="1:2" x14ac:dyDescent="0.25">
      <c r="A396" s="2" t="s">
        <v>565</v>
      </c>
      <c r="B396" s="3">
        <v>14542.88</v>
      </c>
    </row>
    <row r="397" spans="1:2" x14ac:dyDescent="0.25">
      <c r="A397" s="2" t="s">
        <v>427</v>
      </c>
      <c r="B397" s="3">
        <v>18535.57</v>
      </c>
    </row>
    <row r="398" spans="1:2" x14ac:dyDescent="0.25">
      <c r="A398" s="2" t="s">
        <v>92</v>
      </c>
      <c r="B398" s="3">
        <v>891.52</v>
      </c>
    </row>
    <row r="399" spans="1:2" x14ac:dyDescent="0.25">
      <c r="A399" s="2" t="s">
        <v>375</v>
      </c>
      <c r="B399" s="3">
        <v>38338.199999999997</v>
      </c>
    </row>
    <row r="400" spans="1:2" x14ac:dyDescent="0.25">
      <c r="A400" s="2" t="s">
        <v>170</v>
      </c>
      <c r="B400" s="3">
        <v>16255.27</v>
      </c>
    </row>
    <row r="401" spans="1:2" x14ac:dyDescent="0.25">
      <c r="A401" s="2" t="s">
        <v>35</v>
      </c>
      <c r="B401" s="3">
        <v>21531.54</v>
      </c>
    </row>
    <row r="402" spans="1:2" x14ac:dyDescent="0.25">
      <c r="A402" s="2" t="s">
        <v>410</v>
      </c>
      <c r="B402" s="3">
        <v>144.91</v>
      </c>
    </row>
    <row r="403" spans="1:2" x14ac:dyDescent="0.25">
      <c r="A403" s="2" t="s">
        <v>891</v>
      </c>
      <c r="B403" s="3">
        <v>9291.02</v>
      </c>
    </row>
    <row r="404" spans="1:2" x14ac:dyDescent="0.25">
      <c r="A404" s="2" t="s">
        <v>555</v>
      </c>
      <c r="B404" s="3">
        <v>18651.38</v>
      </c>
    </row>
    <row r="405" spans="1:2" x14ac:dyDescent="0.25">
      <c r="A405" s="2" t="s">
        <v>319</v>
      </c>
      <c r="B405" s="3">
        <v>20128.04</v>
      </c>
    </row>
    <row r="406" spans="1:2" x14ac:dyDescent="0.25">
      <c r="A406" s="2" t="s">
        <v>705</v>
      </c>
      <c r="B406" s="3">
        <v>20128.04</v>
      </c>
    </row>
    <row r="407" spans="1:2" x14ac:dyDescent="0.25">
      <c r="A407" s="2" t="s">
        <v>700</v>
      </c>
      <c r="B407" s="3">
        <v>20128.04</v>
      </c>
    </row>
    <row r="408" spans="1:2" x14ac:dyDescent="0.25">
      <c r="A408" s="2" t="s">
        <v>302</v>
      </c>
      <c r="B408" s="3">
        <v>13194.64</v>
      </c>
    </row>
    <row r="409" spans="1:2" x14ac:dyDescent="0.25">
      <c r="A409" s="2" t="s">
        <v>32</v>
      </c>
      <c r="B409" s="3">
        <v>19928.05</v>
      </c>
    </row>
    <row r="410" spans="1:2" x14ac:dyDescent="0.25">
      <c r="A410" s="2" t="s">
        <v>320</v>
      </c>
      <c r="B410" s="3">
        <v>90611.5</v>
      </c>
    </row>
    <row r="411" spans="1:2" x14ac:dyDescent="0.25">
      <c r="A411" s="2" t="s">
        <v>483</v>
      </c>
      <c r="B411" s="3">
        <v>22338.22</v>
      </c>
    </row>
    <row r="412" spans="1:2" x14ac:dyDescent="0.25">
      <c r="A412" s="2" t="s">
        <v>718</v>
      </c>
      <c r="B412" s="3">
        <v>16393.689999999999</v>
      </c>
    </row>
    <row r="413" spans="1:2" x14ac:dyDescent="0.25">
      <c r="A413" s="2" t="s">
        <v>311</v>
      </c>
      <c r="B413" s="3">
        <v>21420</v>
      </c>
    </row>
    <row r="414" spans="1:2" x14ac:dyDescent="0.25">
      <c r="A414" s="2" t="s">
        <v>911</v>
      </c>
      <c r="B414" s="3">
        <v>21420</v>
      </c>
    </row>
    <row r="415" spans="1:2" x14ac:dyDescent="0.25">
      <c r="A415" s="2" t="s">
        <v>71</v>
      </c>
      <c r="B415" s="3">
        <v>24049.69</v>
      </c>
    </row>
    <row r="416" spans="1:2" x14ac:dyDescent="0.25">
      <c r="A416" s="2" t="s">
        <v>329</v>
      </c>
      <c r="B416" s="3">
        <v>24357.34</v>
      </c>
    </row>
    <row r="417" spans="1:2" x14ac:dyDescent="0.25">
      <c r="A417" s="2" t="s">
        <v>692</v>
      </c>
      <c r="B417" s="3">
        <v>21779.22</v>
      </c>
    </row>
    <row r="418" spans="1:2" x14ac:dyDescent="0.25">
      <c r="A418" s="2" t="s">
        <v>53</v>
      </c>
      <c r="B418" s="3">
        <v>23137.11</v>
      </c>
    </row>
    <row r="419" spans="1:2" x14ac:dyDescent="0.25">
      <c r="A419" s="2" t="s">
        <v>810</v>
      </c>
      <c r="B419" s="3">
        <v>23052.49</v>
      </c>
    </row>
    <row r="420" spans="1:2" x14ac:dyDescent="0.25">
      <c r="A420" s="2" t="s">
        <v>750</v>
      </c>
      <c r="B420" s="3">
        <v>25133.1</v>
      </c>
    </row>
    <row r="421" spans="1:2" x14ac:dyDescent="0.25">
      <c r="A421" s="2" t="s">
        <v>895</v>
      </c>
      <c r="B421" s="3">
        <v>38.020000000000003</v>
      </c>
    </row>
    <row r="422" spans="1:2" x14ac:dyDescent="0.25">
      <c r="A422" s="2" t="s">
        <v>469</v>
      </c>
      <c r="B422" s="3">
        <v>835.96</v>
      </c>
    </row>
    <row r="423" spans="1:2" x14ac:dyDescent="0.25">
      <c r="A423" s="2" t="s">
        <v>722</v>
      </c>
      <c r="B423" s="3">
        <v>96108.700000000012</v>
      </c>
    </row>
    <row r="424" spans="1:2" x14ac:dyDescent="0.25">
      <c r="A424" s="2" t="s">
        <v>262</v>
      </c>
      <c r="B424" s="3">
        <v>224.06</v>
      </c>
    </row>
    <row r="425" spans="1:2" x14ac:dyDescent="0.25">
      <c r="A425" s="2" t="s">
        <v>172</v>
      </c>
      <c r="B425" s="3">
        <v>2669.84</v>
      </c>
    </row>
    <row r="426" spans="1:2" x14ac:dyDescent="0.25">
      <c r="A426" s="2" t="s">
        <v>656</v>
      </c>
      <c r="B426" s="3">
        <v>21564.37</v>
      </c>
    </row>
    <row r="427" spans="1:2" x14ac:dyDescent="0.25">
      <c r="A427" s="2" t="s">
        <v>12</v>
      </c>
      <c r="B427" s="3">
        <v>25814.22</v>
      </c>
    </row>
    <row r="428" spans="1:2" x14ac:dyDescent="0.25">
      <c r="A428" s="2" t="s">
        <v>939</v>
      </c>
      <c r="B428" s="3">
        <v>25814.22</v>
      </c>
    </row>
    <row r="429" spans="1:2" x14ac:dyDescent="0.25">
      <c r="A429" s="2" t="s">
        <v>482</v>
      </c>
      <c r="B429" s="3">
        <v>24053.84</v>
      </c>
    </row>
    <row r="430" spans="1:2" x14ac:dyDescent="0.25">
      <c r="A430" s="2" t="s">
        <v>122</v>
      </c>
      <c r="B430" s="3">
        <v>914.99</v>
      </c>
    </row>
    <row r="431" spans="1:2" x14ac:dyDescent="0.25">
      <c r="A431" s="2" t="s">
        <v>130</v>
      </c>
      <c r="B431" s="3">
        <v>31247.119999999999</v>
      </c>
    </row>
    <row r="432" spans="1:2" x14ac:dyDescent="0.25">
      <c r="A432" s="2" t="s">
        <v>167</v>
      </c>
      <c r="B432" s="3">
        <v>23820.71</v>
      </c>
    </row>
    <row r="433" spans="1:2" x14ac:dyDescent="0.25">
      <c r="A433" s="2" t="s">
        <v>511</v>
      </c>
      <c r="B433" s="3">
        <v>726.85</v>
      </c>
    </row>
    <row r="434" spans="1:2" x14ac:dyDescent="0.25">
      <c r="A434" s="2" t="s">
        <v>282</v>
      </c>
      <c r="B434" s="3">
        <v>15821.06</v>
      </c>
    </row>
    <row r="435" spans="1:2" x14ac:dyDescent="0.25">
      <c r="A435" s="2" t="s">
        <v>8</v>
      </c>
      <c r="B435" s="3">
        <v>31242.29</v>
      </c>
    </row>
    <row r="436" spans="1:2" x14ac:dyDescent="0.25">
      <c r="A436" s="2" t="s">
        <v>773</v>
      </c>
      <c r="B436" s="3">
        <v>948.95</v>
      </c>
    </row>
    <row r="437" spans="1:2" x14ac:dyDescent="0.25">
      <c r="A437" s="2" t="s">
        <v>137</v>
      </c>
      <c r="B437" s="3">
        <v>154107.10000000003</v>
      </c>
    </row>
    <row r="438" spans="1:2" x14ac:dyDescent="0.25">
      <c r="A438" s="2" t="s">
        <v>7</v>
      </c>
      <c r="B438" s="3">
        <v>529.6</v>
      </c>
    </row>
    <row r="439" spans="1:2" x14ac:dyDescent="0.25">
      <c r="A439" s="2" t="s">
        <v>845</v>
      </c>
      <c r="B439" s="3">
        <v>16791.36</v>
      </c>
    </row>
    <row r="440" spans="1:2" x14ac:dyDescent="0.25">
      <c r="A440" s="2" t="s">
        <v>827</v>
      </c>
      <c r="B440" s="3">
        <v>104712.04</v>
      </c>
    </row>
    <row r="441" spans="1:2" x14ac:dyDescent="0.25">
      <c r="A441" s="2" t="s">
        <v>125</v>
      </c>
      <c r="B441" s="3">
        <v>26151.05</v>
      </c>
    </row>
    <row r="442" spans="1:2" x14ac:dyDescent="0.25">
      <c r="A442" s="2" t="s">
        <v>615</v>
      </c>
      <c r="B442" s="3">
        <v>33019.58</v>
      </c>
    </row>
    <row r="443" spans="1:2" x14ac:dyDescent="0.25">
      <c r="A443" s="2" t="s">
        <v>61</v>
      </c>
      <c r="B443" s="3">
        <v>97525.5</v>
      </c>
    </row>
    <row r="444" spans="1:2" x14ac:dyDescent="0.25">
      <c r="A444" s="2" t="s">
        <v>629</v>
      </c>
      <c r="B444" s="3">
        <v>17548.919999999998</v>
      </c>
    </row>
    <row r="445" spans="1:2" x14ac:dyDescent="0.25">
      <c r="A445" s="2" t="s">
        <v>876</v>
      </c>
      <c r="B445" s="3">
        <v>28674.98</v>
      </c>
    </row>
    <row r="446" spans="1:2" x14ac:dyDescent="0.25">
      <c r="A446" s="2" t="s">
        <v>831</v>
      </c>
      <c r="B446" s="3">
        <v>21246.75</v>
      </c>
    </row>
    <row r="447" spans="1:2" x14ac:dyDescent="0.25">
      <c r="A447" s="2" t="s">
        <v>558</v>
      </c>
      <c r="B447" s="3">
        <v>38147.71</v>
      </c>
    </row>
    <row r="448" spans="1:2" x14ac:dyDescent="0.25">
      <c r="A448" s="2" t="s">
        <v>486</v>
      </c>
      <c r="B448" s="3">
        <v>38147.71</v>
      </c>
    </row>
    <row r="449" spans="1:2" x14ac:dyDescent="0.25">
      <c r="A449" s="2" t="s">
        <v>181</v>
      </c>
      <c r="B449" s="3">
        <v>27809.599999999999</v>
      </c>
    </row>
    <row r="450" spans="1:2" x14ac:dyDescent="0.25">
      <c r="A450" s="2" t="s">
        <v>740</v>
      </c>
      <c r="B450" s="3">
        <v>27809.599999999999</v>
      </c>
    </row>
    <row r="451" spans="1:2" x14ac:dyDescent="0.25">
      <c r="A451" s="2" t="s">
        <v>508</v>
      </c>
      <c r="B451" s="3">
        <v>27809.599999999999</v>
      </c>
    </row>
    <row r="452" spans="1:2" x14ac:dyDescent="0.25">
      <c r="A452" s="2" t="s">
        <v>730</v>
      </c>
      <c r="B452" s="3">
        <v>35377.49</v>
      </c>
    </row>
    <row r="453" spans="1:2" x14ac:dyDescent="0.25">
      <c r="A453" s="2" t="s">
        <v>868</v>
      </c>
      <c r="B453" s="3">
        <v>12403.18</v>
      </c>
    </row>
    <row r="454" spans="1:2" x14ac:dyDescent="0.25">
      <c r="A454" s="2" t="s">
        <v>28</v>
      </c>
      <c r="B454" s="3">
        <v>3432.2</v>
      </c>
    </row>
    <row r="455" spans="1:2" x14ac:dyDescent="0.25">
      <c r="A455" s="2" t="s">
        <v>674</v>
      </c>
      <c r="B455" s="3">
        <v>27508.57</v>
      </c>
    </row>
    <row r="456" spans="1:2" x14ac:dyDescent="0.25">
      <c r="A456" s="2" t="s">
        <v>681</v>
      </c>
      <c r="B456" s="3">
        <v>27508.57</v>
      </c>
    </row>
    <row r="457" spans="1:2" x14ac:dyDescent="0.25">
      <c r="A457" s="2" t="s">
        <v>330</v>
      </c>
      <c r="B457" s="3">
        <v>27508.57</v>
      </c>
    </row>
    <row r="458" spans="1:2" x14ac:dyDescent="0.25">
      <c r="A458" s="2" t="s">
        <v>582</v>
      </c>
      <c r="B458" s="3">
        <v>27508.57</v>
      </c>
    </row>
    <row r="459" spans="1:2" x14ac:dyDescent="0.25">
      <c r="A459" s="2" t="s">
        <v>936</v>
      </c>
      <c r="B459" s="3">
        <v>27657.75</v>
      </c>
    </row>
    <row r="460" spans="1:2" x14ac:dyDescent="0.25">
      <c r="A460" s="2" t="s">
        <v>128</v>
      </c>
      <c r="B460" s="3">
        <v>87.6</v>
      </c>
    </row>
    <row r="461" spans="1:2" x14ac:dyDescent="0.25">
      <c r="A461" s="2" t="s">
        <v>174</v>
      </c>
      <c r="B461" s="3">
        <v>1014.7</v>
      </c>
    </row>
    <row r="462" spans="1:2" x14ac:dyDescent="0.25">
      <c r="A462" s="2" t="s">
        <v>3</v>
      </c>
      <c r="B462" s="3">
        <v>22321.83</v>
      </c>
    </row>
    <row r="463" spans="1:2" x14ac:dyDescent="0.25">
      <c r="A463" s="2" t="s">
        <v>344</v>
      </c>
      <c r="B463" s="3">
        <v>22321.83</v>
      </c>
    </row>
    <row r="464" spans="1:2" x14ac:dyDescent="0.25">
      <c r="A464" s="2" t="s">
        <v>387</v>
      </c>
      <c r="B464" s="3">
        <v>22321.83</v>
      </c>
    </row>
    <row r="465" spans="1:2" x14ac:dyDescent="0.25">
      <c r="A465" s="2" t="s">
        <v>153</v>
      </c>
      <c r="B465" s="3">
        <v>22321.83</v>
      </c>
    </row>
    <row r="466" spans="1:2" x14ac:dyDescent="0.25">
      <c r="A466" s="2" t="s">
        <v>419</v>
      </c>
      <c r="B466" s="3">
        <v>22321.83</v>
      </c>
    </row>
    <row r="467" spans="1:2" x14ac:dyDescent="0.25">
      <c r="A467" s="2" t="s">
        <v>385</v>
      </c>
      <c r="B467" s="3">
        <v>24286.81</v>
      </c>
    </row>
    <row r="468" spans="1:2" x14ac:dyDescent="0.25">
      <c r="A468" s="2" t="s">
        <v>273</v>
      </c>
      <c r="B468" s="3">
        <v>23626.85</v>
      </c>
    </row>
    <row r="469" spans="1:2" x14ac:dyDescent="0.25">
      <c r="A469" s="2" t="s">
        <v>470</v>
      </c>
      <c r="B469" s="3">
        <v>28631.01</v>
      </c>
    </row>
    <row r="470" spans="1:2" x14ac:dyDescent="0.25">
      <c r="A470" s="2" t="s">
        <v>129</v>
      </c>
      <c r="B470" s="3">
        <v>28631.01</v>
      </c>
    </row>
    <row r="471" spans="1:2" x14ac:dyDescent="0.25">
      <c r="A471" s="2" t="s">
        <v>536</v>
      </c>
      <c r="B471" s="3">
        <v>541.42999999999995</v>
      </c>
    </row>
    <row r="472" spans="1:2" x14ac:dyDescent="0.25">
      <c r="A472" s="2" t="s">
        <v>805</v>
      </c>
      <c r="B472" s="3">
        <v>404.99</v>
      </c>
    </row>
    <row r="473" spans="1:2" x14ac:dyDescent="0.25">
      <c r="A473" s="2" t="s">
        <v>651</v>
      </c>
      <c r="B473" s="3">
        <v>1078.43</v>
      </c>
    </row>
    <row r="474" spans="1:2" x14ac:dyDescent="0.25">
      <c r="A474" s="2" t="s">
        <v>73</v>
      </c>
      <c r="B474" s="3">
        <v>28534.66</v>
      </c>
    </row>
    <row r="475" spans="1:2" x14ac:dyDescent="0.25">
      <c r="A475" s="2" t="s">
        <v>685</v>
      </c>
      <c r="B475" s="3">
        <v>740.73</v>
      </c>
    </row>
    <row r="476" spans="1:2" x14ac:dyDescent="0.25">
      <c r="A476" s="2" t="s">
        <v>844</v>
      </c>
      <c r="B476" s="3">
        <v>29327.68</v>
      </c>
    </row>
    <row r="477" spans="1:2" x14ac:dyDescent="0.25">
      <c r="A477" s="2" t="s">
        <v>451</v>
      </c>
      <c r="B477" s="3">
        <v>26178.05</v>
      </c>
    </row>
    <row r="478" spans="1:2" x14ac:dyDescent="0.25">
      <c r="A478" s="2" t="s">
        <v>663</v>
      </c>
      <c r="B478" s="3">
        <v>1095.1199999999999</v>
      </c>
    </row>
    <row r="479" spans="1:2" x14ac:dyDescent="0.25">
      <c r="A479" s="2" t="s">
        <v>560</v>
      </c>
      <c r="B479" s="3">
        <v>951.03</v>
      </c>
    </row>
    <row r="480" spans="1:2" x14ac:dyDescent="0.25">
      <c r="A480" s="2" t="s">
        <v>208</v>
      </c>
      <c r="B480" s="3">
        <v>883.36</v>
      </c>
    </row>
    <row r="481" spans="1:2" x14ac:dyDescent="0.25">
      <c r="A481" s="2" t="s">
        <v>331</v>
      </c>
      <c r="B481" s="3">
        <v>294.45999999999998</v>
      </c>
    </row>
    <row r="482" spans="1:2" x14ac:dyDescent="0.25">
      <c r="A482" s="2" t="s">
        <v>848</v>
      </c>
      <c r="B482" s="3">
        <v>294.45999999999998</v>
      </c>
    </row>
    <row r="483" spans="1:2" x14ac:dyDescent="0.25">
      <c r="A483" s="2" t="s">
        <v>46</v>
      </c>
      <c r="B483" s="3">
        <v>22964.36</v>
      </c>
    </row>
    <row r="484" spans="1:2" x14ac:dyDescent="0.25">
      <c r="A484" s="2" t="s">
        <v>23</v>
      </c>
      <c r="B484" s="3">
        <v>1316.98</v>
      </c>
    </row>
    <row r="485" spans="1:2" x14ac:dyDescent="0.25">
      <c r="A485" s="2" t="s">
        <v>156</v>
      </c>
      <c r="B485" s="3">
        <v>27890.1</v>
      </c>
    </row>
    <row r="486" spans="1:2" x14ac:dyDescent="0.25">
      <c r="A486" s="2" t="s">
        <v>612</v>
      </c>
      <c r="B486" s="3">
        <v>27336.57</v>
      </c>
    </row>
    <row r="487" spans="1:2" x14ac:dyDescent="0.25">
      <c r="A487" s="2" t="s">
        <v>815</v>
      </c>
      <c r="B487" s="3">
        <v>1517.66</v>
      </c>
    </row>
    <row r="488" spans="1:2" x14ac:dyDescent="0.25">
      <c r="A488" s="2" t="s">
        <v>516</v>
      </c>
      <c r="B488" s="3">
        <v>237.28</v>
      </c>
    </row>
    <row r="489" spans="1:2" x14ac:dyDescent="0.25">
      <c r="A489" s="2" t="s">
        <v>226</v>
      </c>
      <c r="B489" s="3">
        <v>237.28</v>
      </c>
    </row>
    <row r="490" spans="1:2" x14ac:dyDescent="0.25">
      <c r="A490" s="2" t="s">
        <v>15</v>
      </c>
      <c r="B490" s="3">
        <v>710.67</v>
      </c>
    </row>
    <row r="491" spans="1:2" x14ac:dyDescent="0.25">
      <c r="A491" s="2" t="s">
        <v>177</v>
      </c>
      <c r="B491" s="3">
        <v>65.209999999999994</v>
      </c>
    </row>
    <row r="492" spans="1:2" x14ac:dyDescent="0.25">
      <c r="A492" s="2" t="s">
        <v>865</v>
      </c>
      <c r="B492" s="3">
        <v>28107.439999999999</v>
      </c>
    </row>
    <row r="493" spans="1:2" x14ac:dyDescent="0.25">
      <c r="A493" s="2" t="s">
        <v>296</v>
      </c>
      <c r="B493" s="3">
        <v>28107.439999999999</v>
      </c>
    </row>
    <row r="494" spans="1:2" x14ac:dyDescent="0.25">
      <c r="A494" s="2" t="s">
        <v>307</v>
      </c>
      <c r="B494" s="3">
        <v>1898.06</v>
      </c>
    </row>
    <row r="495" spans="1:2" x14ac:dyDescent="0.25">
      <c r="A495" s="2" t="s">
        <v>754</v>
      </c>
      <c r="B495" s="3">
        <v>74775.360000000001</v>
      </c>
    </row>
    <row r="496" spans="1:2" x14ac:dyDescent="0.25">
      <c r="A496" s="2" t="s">
        <v>532</v>
      </c>
      <c r="B496" s="3">
        <v>65.209999999999994</v>
      </c>
    </row>
    <row r="497" spans="1:2" x14ac:dyDescent="0.25">
      <c r="A497" s="2" t="s">
        <v>317</v>
      </c>
      <c r="B497" s="3">
        <v>20627.61</v>
      </c>
    </row>
    <row r="498" spans="1:2" x14ac:dyDescent="0.25">
      <c r="A498" s="2" t="s">
        <v>101</v>
      </c>
      <c r="B498" s="3">
        <v>32473.06</v>
      </c>
    </row>
    <row r="499" spans="1:2" x14ac:dyDescent="0.25">
      <c r="A499" s="2" t="s">
        <v>799</v>
      </c>
      <c r="B499" s="3">
        <v>26034.68</v>
      </c>
    </row>
    <row r="500" spans="1:2" x14ac:dyDescent="0.25">
      <c r="A500" s="2" t="s">
        <v>707</v>
      </c>
      <c r="B500" s="3">
        <v>37146.69</v>
      </c>
    </row>
    <row r="501" spans="1:2" x14ac:dyDescent="0.25">
      <c r="A501" s="2" t="s">
        <v>229</v>
      </c>
      <c r="B501" s="3">
        <v>38631.42</v>
      </c>
    </row>
    <row r="502" spans="1:2" x14ac:dyDescent="0.25">
      <c r="A502" s="2" t="s">
        <v>59</v>
      </c>
      <c r="B502" s="3">
        <v>38631.42</v>
      </c>
    </row>
    <row r="503" spans="1:2" x14ac:dyDescent="0.25">
      <c r="A503" s="2" t="s">
        <v>830</v>
      </c>
      <c r="B503" s="3">
        <v>38631.42</v>
      </c>
    </row>
    <row r="504" spans="1:2" x14ac:dyDescent="0.25">
      <c r="A504" s="2" t="s">
        <v>420</v>
      </c>
      <c r="B504" s="3">
        <v>38631.42</v>
      </c>
    </row>
    <row r="505" spans="1:2" x14ac:dyDescent="0.25">
      <c r="A505" s="2" t="s">
        <v>926</v>
      </c>
      <c r="B505" s="3">
        <v>38631.42</v>
      </c>
    </row>
    <row r="506" spans="1:2" x14ac:dyDescent="0.25">
      <c r="A506" s="2" t="s">
        <v>713</v>
      </c>
      <c r="B506" s="3">
        <v>24462.92</v>
      </c>
    </row>
    <row r="507" spans="1:2" x14ac:dyDescent="0.25">
      <c r="A507" s="2" t="s">
        <v>556</v>
      </c>
      <c r="B507" s="3">
        <v>29929.97</v>
      </c>
    </row>
    <row r="508" spans="1:2" x14ac:dyDescent="0.25">
      <c r="A508" s="2" t="s">
        <v>253</v>
      </c>
      <c r="B508" s="3">
        <v>29083.71</v>
      </c>
    </row>
    <row r="509" spans="1:2" x14ac:dyDescent="0.25">
      <c r="A509" s="2" t="s">
        <v>217</v>
      </c>
      <c r="B509" s="3">
        <v>1900.08</v>
      </c>
    </row>
    <row r="510" spans="1:2" x14ac:dyDescent="0.25">
      <c r="A510" s="2" t="s">
        <v>858</v>
      </c>
      <c r="B510" s="3">
        <v>330082.80000000005</v>
      </c>
    </row>
    <row r="511" spans="1:2" x14ac:dyDescent="0.25">
      <c r="A511" s="2" t="s">
        <v>362</v>
      </c>
      <c r="B511" s="3">
        <v>24109.54</v>
      </c>
    </row>
    <row r="512" spans="1:2" x14ac:dyDescent="0.25">
      <c r="A512" s="2" t="s">
        <v>255</v>
      </c>
      <c r="B512" s="3">
        <v>24109.18</v>
      </c>
    </row>
    <row r="513" spans="1:2" x14ac:dyDescent="0.25">
      <c r="A513" s="2" t="s">
        <v>196</v>
      </c>
      <c r="B513" s="3">
        <v>25095.69</v>
      </c>
    </row>
    <row r="514" spans="1:2" x14ac:dyDescent="0.25">
      <c r="A514" s="2" t="s">
        <v>682</v>
      </c>
      <c r="B514" s="3">
        <v>29772.81</v>
      </c>
    </row>
    <row r="515" spans="1:2" x14ac:dyDescent="0.25">
      <c r="A515" s="2" t="s">
        <v>202</v>
      </c>
      <c r="B515" s="3">
        <v>27768.89</v>
      </c>
    </row>
    <row r="516" spans="1:2" x14ac:dyDescent="0.25">
      <c r="A516" s="2" t="s">
        <v>193</v>
      </c>
      <c r="B516" s="3">
        <v>27768.89</v>
      </c>
    </row>
    <row r="517" spans="1:2" x14ac:dyDescent="0.25">
      <c r="A517" s="2" t="s">
        <v>432</v>
      </c>
      <c r="B517" s="3">
        <v>68416</v>
      </c>
    </row>
    <row r="518" spans="1:2" x14ac:dyDescent="0.25">
      <c r="A518" s="2" t="s">
        <v>198</v>
      </c>
      <c r="B518" s="3">
        <v>1312.74</v>
      </c>
    </row>
    <row r="519" spans="1:2" x14ac:dyDescent="0.25">
      <c r="A519" s="2" t="s">
        <v>340</v>
      </c>
      <c r="B519" s="3">
        <v>28366.35</v>
      </c>
    </row>
    <row r="520" spans="1:2" x14ac:dyDescent="0.25">
      <c r="A520" s="2" t="s">
        <v>463</v>
      </c>
      <c r="B520" s="3">
        <v>28366.35</v>
      </c>
    </row>
    <row r="521" spans="1:2" x14ac:dyDescent="0.25">
      <c r="A521" s="2" t="s">
        <v>263</v>
      </c>
      <c r="B521" s="3">
        <v>31651.53</v>
      </c>
    </row>
    <row r="522" spans="1:2" x14ac:dyDescent="0.25">
      <c r="A522" s="2" t="s">
        <v>757</v>
      </c>
      <c r="B522" s="3">
        <v>29772.69</v>
      </c>
    </row>
    <row r="523" spans="1:2" x14ac:dyDescent="0.25">
      <c r="A523" s="2" t="s">
        <v>837</v>
      </c>
      <c r="B523" s="3">
        <v>30557.040000000001</v>
      </c>
    </row>
    <row r="524" spans="1:2" x14ac:dyDescent="0.25">
      <c r="A524" s="2" t="s">
        <v>368</v>
      </c>
      <c r="B524" s="3">
        <v>32387.51</v>
      </c>
    </row>
    <row r="525" spans="1:2" x14ac:dyDescent="0.25">
      <c r="A525" s="2" t="s">
        <v>400</v>
      </c>
      <c r="B525" s="3">
        <v>28318.1</v>
      </c>
    </row>
    <row r="526" spans="1:2" x14ac:dyDescent="0.25">
      <c r="A526" s="2" t="s">
        <v>605</v>
      </c>
      <c r="B526" s="3">
        <v>35184.53</v>
      </c>
    </row>
    <row r="527" spans="1:2" x14ac:dyDescent="0.25">
      <c r="A527" s="2" t="s">
        <v>479</v>
      </c>
      <c r="B527" s="3">
        <v>32258.75</v>
      </c>
    </row>
    <row r="528" spans="1:2" x14ac:dyDescent="0.25">
      <c r="A528" s="2" t="s">
        <v>909</v>
      </c>
      <c r="B528" s="3">
        <v>35880</v>
      </c>
    </row>
    <row r="529" spans="1:2" x14ac:dyDescent="0.25">
      <c r="A529" s="2" t="s">
        <v>81</v>
      </c>
      <c r="B529" s="3">
        <v>27819.64</v>
      </c>
    </row>
    <row r="530" spans="1:2" x14ac:dyDescent="0.25">
      <c r="A530" s="2" t="s">
        <v>373</v>
      </c>
      <c r="B530" s="3">
        <v>27819.64</v>
      </c>
    </row>
    <row r="531" spans="1:2" x14ac:dyDescent="0.25">
      <c r="A531" s="2" t="s">
        <v>808</v>
      </c>
      <c r="B531" s="3">
        <v>63291.08</v>
      </c>
    </row>
    <row r="532" spans="1:2" x14ac:dyDescent="0.25">
      <c r="A532" s="2" t="s">
        <v>48</v>
      </c>
      <c r="B532" s="3">
        <v>29883.06</v>
      </c>
    </row>
    <row r="533" spans="1:2" x14ac:dyDescent="0.25">
      <c r="A533" s="2" t="s">
        <v>489</v>
      </c>
      <c r="B533" s="3">
        <v>30775.42</v>
      </c>
    </row>
    <row r="534" spans="1:2" x14ac:dyDescent="0.25">
      <c r="A534" s="2" t="s">
        <v>917</v>
      </c>
      <c r="B534" s="3">
        <v>27213.279999999999</v>
      </c>
    </row>
    <row r="535" spans="1:2" x14ac:dyDescent="0.25">
      <c r="A535" s="2" t="s">
        <v>711</v>
      </c>
      <c r="B535" s="3">
        <v>30560.65</v>
      </c>
    </row>
    <row r="536" spans="1:2" x14ac:dyDescent="0.25">
      <c r="A536" s="2" t="s">
        <v>640</v>
      </c>
      <c r="B536" s="3">
        <v>29029.360000000001</v>
      </c>
    </row>
    <row r="537" spans="1:2" x14ac:dyDescent="0.25">
      <c r="A537" s="2" t="s">
        <v>13</v>
      </c>
      <c r="B537" s="3">
        <v>1561.41</v>
      </c>
    </row>
    <row r="538" spans="1:2" x14ac:dyDescent="0.25">
      <c r="A538" s="2" t="s">
        <v>43</v>
      </c>
      <c r="B538" s="3">
        <v>31543.1</v>
      </c>
    </row>
    <row r="539" spans="1:2" x14ac:dyDescent="0.25">
      <c r="A539" s="2" t="s">
        <v>823</v>
      </c>
      <c r="B539" s="3">
        <v>26283.62</v>
      </c>
    </row>
    <row r="540" spans="1:2" x14ac:dyDescent="0.25">
      <c r="A540" s="2" t="s">
        <v>356</v>
      </c>
      <c r="B540" s="3">
        <v>455.81</v>
      </c>
    </row>
    <row r="541" spans="1:2" x14ac:dyDescent="0.25">
      <c r="A541" s="2" t="s">
        <v>518</v>
      </c>
      <c r="B541" s="3">
        <v>38730.81</v>
      </c>
    </row>
    <row r="542" spans="1:2" x14ac:dyDescent="0.25">
      <c r="A542" s="2" t="s">
        <v>50</v>
      </c>
      <c r="B542" s="3">
        <v>38730.81</v>
      </c>
    </row>
    <row r="543" spans="1:2" x14ac:dyDescent="0.25">
      <c r="A543" s="2" t="s">
        <v>18</v>
      </c>
      <c r="B543" s="3">
        <v>25245.13</v>
      </c>
    </row>
    <row r="544" spans="1:2" x14ac:dyDescent="0.25">
      <c r="A544" s="2" t="s">
        <v>727</v>
      </c>
      <c r="B544" s="3">
        <v>32451.14</v>
      </c>
    </row>
    <row r="545" spans="1:2" x14ac:dyDescent="0.25">
      <c r="A545" s="2" t="s">
        <v>355</v>
      </c>
      <c r="B545" s="3">
        <v>894.98</v>
      </c>
    </row>
    <row r="546" spans="1:2" x14ac:dyDescent="0.25">
      <c r="A546" s="2" t="s">
        <v>366</v>
      </c>
      <c r="B546" s="3">
        <v>28236.3</v>
      </c>
    </row>
    <row r="547" spans="1:2" x14ac:dyDescent="0.25">
      <c r="A547" s="2" t="s">
        <v>522</v>
      </c>
      <c r="B547" s="3">
        <v>28237.59</v>
      </c>
    </row>
    <row r="548" spans="1:2" x14ac:dyDescent="0.25">
      <c r="A548" s="2" t="s">
        <v>882</v>
      </c>
      <c r="B548" s="3">
        <v>28237.59</v>
      </c>
    </row>
    <row r="549" spans="1:2" x14ac:dyDescent="0.25">
      <c r="A549" s="2" t="s">
        <v>379</v>
      </c>
      <c r="B549" s="3">
        <v>28237.59</v>
      </c>
    </row>
    <row r="550" spans="1:2" x14ac:dyDescent="0.25">
      <c r="A550" s="2" t="s">
        <v>898</v>
      </c>
      <c r="B550" s="3">
        <v>35032.959999999999</v>
      </c>
    </row>
    <row r="551" spans="1:2" x14ac:dyDescent="0.25">
      <c r="A551" s="2" t="s">
        <v>643</v>
      </c>
      <c r="B551" s="3">
        <v>25288.14</v>
      </c>
    </row>
    <row r="552" spans="1:2" x14ac:dyDescent="0.25">
      <c r="A552" s="2" t="s">
        <v>704</v>
      </c>
      <c r="B552" s="3">
        <v>26026.33</v>
      </c>
    </row>
    <row r="553" spans="1:2" x14ac:dyDescent="0.25">
      <c r="A553" s="2" t="s">
        <v>426</v>
      </c>
      <c r="B553" s="3">
        <v>34226.32</v>
      </c>
    </row>
    <row r="554" spans="1:2" x14ac:dyDescent="0.25">
      <c r="A554" s="2" t="s">
        <v>723</v>
      </c>
      <c r="B554" s="3">
        <v>1360.98</v>
      </c>
    </row>
    <row r="555" spans="1:2" x14ac:dyDescent="0.25">
      <c r="A555" s="2" t="s">
        <v>283</v>
      </c>
      <c r="B555" s="3">
        <v>823.19</v>
      </c>
    </row>
    <row r="556" spans="1:2" x14ac:dyDescent="0.25">
      <c r="A556" s="2" t="s">
        <v>254</v>
      </c>
      <c r="B556" s="3">
        <v>151470.75</v>
      </c>
    </row>
    <row r="557" spans="1:2" x14ac:dyDescent="0.25">
      <c r="A557" s="2" t="s">
        <v>409</v>
      </c>
      <c r="B557" s="3">
        <v>39043.39</v>
      </c>
    </row>
    <row r="558" spans="1:2" x14ac:dyDescent="0.25">
      <c r="A558" s="2" t="s">
        <v>584</v>
      </c>
      <c r="B558" s="3">
        <v>29386.74</v>
      </c>
    </row>
    <row r="559" spans="1:2" x14ac:dyDescent="0.25">
      <c r="A559" s="2" t="s">
        <v>5</v>
      </c>
      <c r="B559" s="3">
        <v>28266.240000000002</v>
      </c>
    </row>
    <row r="560" spans="1:2" x14ac:dyDescent="0.25">
      <c r="A560" s="2" t="s">
        <v>36</v>
      </c>
      <c r="B560" s="3">
        <v>28321.4</v>
      </c>
    </row>
    <row r="561" spans="1:2" x14ac:dyDescent="0.25">
      <c r="A561" s="2" t="s">
        <v>752</v>
      </c>
      <c r="B561" s="3">
        <v>156829.75</v>
      </c>
    </row>
    <row r="562" spans="1:2" x14ac:dyDescent="0.25">
      <c r="A562" s="2" t="s">
        <v>396</v>
      </c>
      <c r="B562" s="3">
        <v>156829.75</v>
      </c>
    </row>
    <row r="563" spans="1:2" x14ac:dyDescent="0.25">
      <c r="A563" s="2" t="s">
        <v>666</v>
      </c>
      <c r="B563" s="3">
        <v>250927.52</v>
      </c>
    </row>
    <row r="564" spans="1:2" x14ac:dyDescent="0.25">
      <c r="A564" s="2" t="s">
        <v>818</v>
      </c>
      <c r="B564" s="3">
        <v>332.62</v>
      </c>
    </row>
    <row r="565" spans="1:2" x14ac:dyDescent="0.25">
      <c r="A565" s="2" t="s">
        <v>189</v>
      </c>
      <c r="B565" s="3">
        <v>33713.910000000003</v>
      </c>
    </row>
    <row r="566" spans="1:2" x14ac:dyDescent="0.25">
      <c r="A566" s="2" t="s">
        <v>456</v>
      </c>
      <c r="B566" s="3">
        <v>32971.25</v>
      </c>
    </row>
    <row r="567" spans="1:2" x14ac:dyDescent="0.25">
      <c r="A567" s="2" t="s">
        <v>746</v>
      </c>
      <c r="B567" s="3">
        <v>44440.98</v>
      </c>
    </row>
    <row r="568" spans="1:2" x14ac:dyDescent="0.25">
      <c r="A568" s="2" t="s">
        <v>171</v>
      </c>
      <c r="B568" s="3">
        <v>44440.98</v>
      </c>
    </row>
    <row r="569" spans="1:2" x14ac:dyDescent="0.25">
      <c r="A569" s="2" t="s">
        <v>535</v>
      </c>
      <c r="B569" s="3">
        <v>44440.98</v>
      </c>
    </row>
    <row r="570" spans="1:2" x14ac:dyDescent="0.25">
      <c r="A570" s="2" t="s">
        <v>575</v>
      </c>
      <c r="B570" s="3">
        <v>44440.98</v>
      </c>
    </row>
    <row r="571" spans="1:2" x14ac:dyDescent="0.25">
      <c r="A571" s="2" t="s">
        <v>357</v>
      </c>
      <c r="B571" s="3">
        <v>44440.98</v>
      </c>
    </row>
    <row r="572" spans="1:2" x14ac:dyDescent="0.25">
      <c r="A572" s="2" t="s">
        <v>676</v>
      </c>
      <c r="B572" s="3">
        <v>44440.98</v>
      </c>
    </row>
    <row r="573" spans="1:2" x14ac:dyDescent="0.25">
      <c r="A573" s="2" t="s">
        <v>547</v>
      </c>
      <c r="B573" s="3">
        <v>34584.400000000001</v>
      </c>
    </row>
    <row r="574" spans="1:2" x14ac:dyDescent="0.25">
      <c r="A574" s="2" t="s">
        <v>74</v>
      </c>
      <c r="B574" s="3">
        <v>34343.269999999997</v>
      </c>
    </row>
    <row r="575" spans="1:2" x14ac:dyDescent="0.25">
      <c r="A575" s="2" t="s">
        <v>378</v>
      </c>
      <c r="B575" s="3">
        <v>34343.269999999997</v>
      </c>
    </row>
    <row r="576" spans="1:2" x14ac:dyDescent="0.25">
      <c r="A576" s="2" t="s">
        <v>820</v>
      </c>
      <c r="B576" s="3">
        <v>31968.26</v>
      </c>
    </row>
    <row r="577" spans="1:2" x14ac:dyDescent="0.25">
      <c r="A577" s="2" t="s">
        <v>600</v>
      </c>
      <c r="B577" s="3">
        <v>33714.06</v>
      </c>
    </row>
    <row r="578" spans="1:2" x14ac:dyDescent="0.25">
      <c r="A578" s="2" t="s">
        <v>545</v>
      </c>
      <c r="B578" s="3">
        <v>282.45999999999998</v>
      </c>
    </row>
    <row r="579" spans="1:2" x14ac:dyDescent="0.25">
      <c r="A579" s="2" t="s">
        <v>586</v>
      </c>
      <c r="B579" s="3">
        <v>282.45999999999998</v>
      </c>
    </row>
    <row r="580" spans="1:2" x14ac:dyDescent="0.25">
      <c r="A580" s="2" t="s">
        <v>114</v>
      </c>
      <c r="B580" s="3">
        <v>282.45999999999998</v>
      </c>
    </row>
    <row r="581" spans="1:2" x14ac:dyDescent="0.25">
      <c r="A581" s="2" t="s">
        <v>734</v>
      </c>
      <c r="B581" s="3">
        <v>36771.550000000003</v>
      </c>
    </row>
    <row r="582" spans="1:2" x14ac:dyDescent="0.25">
      <c r="A582" s="2" t="s">
        <v>93</v>
      </c>
      <c r="B582" s="3">
        <v>30747.3</v>
      </c>
    </row>
    <row r="583" spans="1:2" x14ac:dyDescent="0.25">
      <c r="A583" s="2" t="s">
        <v>500</v>
      </c>
      <c r="B583" s="3">
        <v>36547.72</v>
      </c>
    </row>
    <row r="584" spans="1:2" x14ac:dyDescent="0.25">
      <c r="A584" s="2" t="s">
        <v>393</v>
      </c>
      <c r="B584" s="3">
        <v>36547.72</v>
      </c>
    </row>
    <row r="585" spans="1:2" x14ac:dyDescent="0.25">
      <c r="A585" s="2" t="s">
        <v>589</v>
      </c>
      <c r="B585" s="3">
        <v>1438.92</v>
      </c>
    </row>
    <row r="586" spans="1:2" x14ac:dyDescent="0.25">
      <c r="A586" s="2" t="s">
        <v>343</v>
      </c>
      <c r="B586" s="3">
        <v>1410.1</v>
      </c>
    </row>
    <row r="587" spans="1:2" x14ac:dyDescent="0.25">
      <c r="A587" s="2" t="s">
        <v>803</v>
      </c>
      <c r="B587" s="3">
        <v>67090.64</v>
      </c>
    </row>
    <row r="588" spans="1:2" x14ac:dyDescent="0.25">
      <c r="A588" s="2" t="s">
        <v>100</v>
      </c>
      <c r="B588" s="3">
        <v>34909.199999999997</v>
      </c>
    </row>
    <row r="589" spans="1:2" x14ac:dyDescent="0.25">
      <c r="A589" s="2" t="s">
        <v>778</v>
      </c>
      <c r="B589" s="3">
        <v>1144.04</v>
      </c>
    </row>
    <row r="590" spans="1:2" x14ac:dyDescent="0.25">
      <c r="A590" s="2" t="s">
        <v>336</v>
      </c>
      <c r="B590" s="3">
        <v>35409.25</v>
      </c>
    </row>
    <row r="591" spans="1:2" x14ac:dyDescent="0.25">
      <c r="A591" s="2" t="s">
        <v>528</v>
      </c>
      <c r="B591" s="3">
        <v>37826.86</v>
      </c>
    </row>
    <row r="592" spans="1:2" x14ac:dyDescent="0.25">
      <c r="A592" s="2" t="s">
        <v>633</v>
      </c>
      <c r="B592" s="3">
        <v>32975.49</v>
      </c>
    </row>
    <row r="593" spans="1:2" x14ac:dyDescent="0.25">
      <c r="A593" s="2" t="s">
        <v>40</v>
      </c>
      <c r="B593" s="3">
        <v>32919.18</v>
      </c>
    </row>
    <row r="594" spans="1:2" x14ac:dyDescent="0.25">
      <c r="A594" s="2" t="s">
        <v>413</v>
      </c>
      <c r="B594" s="3">
        <v>1898.05</v>
      </c>
    </row>
    <row r="595" spans="1:2" x14ac:dyDescent="0.25">
      <c r="A595" s="2" t="s">
        <v>931</v>
      </c>
      <c r="B595" s="3">
        <v>37591.129999999997</v>
      </c>
    </row>
    <row r="596" spans="1:2" x14ac:dyDescent="0.25">
      <c r="A596" s="2" t="s">
        <v>828</v>
      </c>
      <c r="B596" s="3">
        <v>1093.67</v>
      </c>
    </row>
    <row r="597" spans="1:2" x14ac:dyDescent="0.25">
      <c r="A597" s="2" t="s">
        <v>257</v>
      </c>
      <c r="B597" s="3">
        <v>1186.07</v>
      </c>
    </row>
    <row r="598" spans="1:2" x14ac:dyDescent="0.25">
      <c r="A598" s="2" t="s">
        <v>514</v>
      </c>
      <c r="B598" s="3">
        <v>75520.78</v>
      </c>
    </row>
    <row r="599" spans="1:2" x14ac:dyDescent="0.25">
      <c r="A599" s="2" t="s">
        <v>890</v>
      </c>
      <c r="B599" s="3">
        <v>164585.12</v>
      </c>
    </row>
    <row r="600" spans="1:2" x14ac:dyDescent="0.25">
      <c r="A600" s="2" t="s">
        <v>52</v>
      </c>
      <c r="B600" s="3">
        <v>42267.53</v>
      </c>
    </row>
    <row r="601" spans="1:2" x14ac:dyDescent="0.25">
      <c r="A601" s="2" t="s">
        <v>90</v>
      </c>
      <c r="B601" s="3">
        <v>38629.050000000003</v>
      </c>
    </row>
    <row r="602" spans="1:2" x14ac:dyDescent="0.25">
      <c r="A602" s="2" t="s">
        <v>912</v>
      </c>
      <c r="B602" s="3">
        <v>38108.11</v>
      </c>
    </row>
    <row r="603" spans="1:2" x14ac:dyDescent="0.25">
      <c r="A603" s="2" t="s">
        <v>617</v>
      </c>
      <c r="B603" s="3">
        <v>38660.65</v>
      </c>
    </row>
    <row r="604" spans="1:2" x14ac:dyDescent="0.25">
      <c r="A604" s="2" t="s">
        <v>819</v>
      </c>
      <c r="B604" s="3">
        <v>1599.32</v>
      </c>
    </row>
    <row r="605" spans="1:2" x14ac:dyDescent="0.25">
      <c r="A605" s="2" t="s">
        <v>899</v>
      </c>
      <c r="B605" s="3">
        <v>31658.51</v>
      </c>
    </row>
    <row r="606" spans="1:2" x14ac:dyDescent="0.25">
      <c r="A606" s="2" t="s">
        <v>519</v>
      </c>
      <c r="B606" s="3">
        <v>201776.95</v>
      </c>
    </row>
    <row r="607" spans="1:2" x14ac:dyDescent="0.25">
      <c r="A607" s="2" t="s">
        <v>495</v>
      </c>
      <c r="B607" s="3">
        <v>40787.24</v>
      </c>
    </row>
    <row r="608" spans="1:2" x14ac:dyDescent="0.25">
      <c r="A608" s="2" t="s">
        <v>455</v>
      </c>
      <c r="B608" s="3">
        <v>38666.61</v>
      </c>
    </row>
    <row r="609" spans="1:2" x14ac:dyDescent="0.25">
      <c r="A609" s="2" t="s">
        <v>461</v>
      </c>
      <c r="B609" s="3">
        <v>41272.639999999999</v>
      </c>
    </row>
    <row r="610" spans="1:2" x14ac:dyDescent="0.25">
      <c r="A610" s="2" t="s">
        <v>105</v>
      </c>
      <c r="B610" s="3">
        <v>36036.89</v>
      </c>
    </row>
    <row r="611" spans="1:2" x14ac:dyDescent="0.25">
      <c r="A611" s="2" t="s">
        <v>415</v>
      </c>
      <c r="B611" s="3">
        <v>30123.43</v>
      </c>
    </row>
    <row r="612" spans="1:2" x14ac:dyDescent="0.25">
      <c r="A612" s="2" t="s">
        <v>228</v>
      </c>
      <c r="B612" s="3">
        <v>37517.800000000003</v>
      </c>
    </row>
    <row r="613" spans="1:2" x14ac:dyDescent="0.25">
      <c r="A613" s="2" t="s">
        <v>592</v>
      </c>
      <c r="B613" s="3">
        <v>35782.76</v>
      </c>
    </row>
    <row r="614" spans="1:2" x14ac:dyDescent="0.25">
      <c r="A614" s="2" t="s">
        <v>103</v>
      </c>
      <c r="B614" s="3">
        <v>36373.300000000003</v>
      </c>
    </row>
    <row r="615" spans="1:2" x14ac:dyDescent="0.25">
      <c r="A615" s="2" t="s">
        <v>564</v>
      </c>
      <c r="B615" s="3">
        <v>39170.629999999997</v>
      </c>
    </row>
    <row r="616" spans="1:2" x14ac:dyDescent="0.25">
      <c r="A616" s="2" t="s">
        <v>30</v>
      </c>
      <c r="B616" s="3">
        <v>38397.980000000003</v>
      </c>
    </row>
    <row r="617" spans="1:2" x14ac:dyDescent="0.25">
      <c r="A617" s="2" t="s">
        <v>743</v>
      </c>
      <c r="B617" s="3">
        <v>1711.38</v>
      </c>
    </row>
    <row r="618" spans="1:2" x14ac:dyDescent="0.25">
      <c r="A618" s="2" t="s">
        <v>630</v>
      </c>
      <c r="B618" s="3">
        <v>71296.7</v>
      </c>
    </row>
    <row r="619" spans="1:2" x14ac:dyDescent="0.25">
      <c r="A619" s="2" t="s">
        <v>763</v>
      </c>
      <c r="B619" s="3">
        <v>6244.74</v>
      </c>
    </row>
    <row r="620" spans="1:2" x14ac:dyDescent="0.25">
      <c r="A620" s="2" t="s">
        <v>227</v>
      </c>
      <c r="B620" s="3">
        <v>36058.47</v>
      </c>
    </row>
    <row r="621" spans="1:2" x14ac:dyDescent="0.25">
      <c r="A621" s="2" t="s">
        <v>414</v>
      </c>
      <c r="B621" s="3">
        <v>39080.93</v>
      </c>
    </row>
    <row r="622" spans="1:2" x14ac:dyDescent="0.25">
      <c r="A622" s="2" t="s">
        <v>710</v>
      </c>
      <c r="B622" s="3">
        <v>32678.62</v>
      </c>
    </row>
    <row r="623" spans="1:2" x14ac:dyDescent="0.25">
      <c r="A623" s="2" t="s">
        <v>670</v>
      </c>
      <c r="B623" s="3">
        <v>32129.040000000001</v>
      </c>
    </row>
    <row r="624" spans="1:2" x14ac:dyDescent="0.25">
      <c r="A624" s="2" t="s">
        <v>351</v>
      </c>
      <c r="B624" s="3">
        <v>1028.1500000000001</v>
      </c>
    </row>
    <row r="625" spans="1:2" x14ac:dyDescent="0.25">
      <c r="A625" s="2" t="s">
        <v>235</v>
      </c>
      <c r="B625" s="3">
        <v>1411.91</v>
      </c>
    </row>
    <row r="626" spans="1:2" x14ac:dyDescent="0.25">
      <c r="A626" s="2" t="s">
        <v>275</v>
      </c>
      <c r="B626" s="3">
        <v>16094.699999999997</v>
      </c>
    </row>
    <row r="627" spans="1:2" x14ac:dyDescent="0.25">
      <c r="A627" s="2" t="s">
        <v>443</v>
      </c>
      <c r="B627" s="3">
        <v>61693.1</v>
      </c>
    </row>
    <row r="628" spans="1:2" x14ac:dyDescent="0.25">
      <c r="A628" s="2" t="s">
        <v>112</v>
      </c>
      <c r="B628" s="3">
        <v>400550.49999999994</v>
      </c>
    </row>
    <row r="629" spans="1:2" x14ac:dyDescent="0.25">
      <c r="A629" s="2" t="s">
        <v>370</v>
      </c>
      <c r="B629" s="3">
        <v>93731.48</v>
      </c>
    </row>
    <row r="630" spans="1:2" x14ac:dyDescent="0.25">
      <c r="A630" s="2" t="s">
        <v>767</v>
      </c>
      <c r="B630" s="3">
        <v>95714.8</v>
      </c>
    </row>
    <row r="631" spans="1:2" x14ac:dyDescent="0.25">
      <c r="A631" s="2" t="s">
        <v>720</v>
      </c>
      <c r="B631" s="3">
        <v>36628.49</v>
      </c>
    </row>
    <row r="632" spans="1:2" x14ac:dyDescent="0.25">
      <c r="A632" s="2" t="s">
        <v>913</v>
      </c>
      <c r="B632" s="3">
        <v>1461.35</v>
      </c>
    </row>
    <row r="633" spans="1:2" x14ac:dyDescent="0.25">
      <c r="A633" s="2" t="s">
        <v>616</v>
      </c>
      <c r="B633" s="3">
        <v>38293.5</v>
      </c>
    </row>
    <row r="634" spans="1:2" x14ac:dyDescent="0.25">
      <c r="A634" s="2" t="s">
        <v>758</v>
      </c>
      <c r="B634" s="3">
        <v>1061.19</v>
      </c>
    </row>
    <row r="635" spans="1:2" x14ac:dyDescent="0.25">
      <c r="A635" s="2" t="s">
        <v>342</v>
      </c>
      <c r="B635" s="3">
        <v>37568.15</v>
      </c>
    </row>
    <row r="636" spans="1:2" x14ac:dyDescent="0.25">
      <c r="A636" s="2" t="s">
        <v>927</v>
      </c>
      <c r="B636" s="3">
        <v>41079.72</v>
      </c>
    </row>
    <row r="637" spans="1:2" x14ac:dyDescent="0.25">
      <c r="A637" s="2" t="s">
        <v>554</v>
      </c>
      <c r="B637" s="3">
        <v>41698.339999999997</v>
      </c>
    </row>
    <row r="638" spans="1:2" x14ac:dyDescent="0.25">
      <c r="A638" s="2" t="s">
        <v>789</v>
      </c>
      <c r="B638" s="3">
        <v>31532.639999999999</v>
      </c>
    </row>
    <row r="639" spans="1:2" x14ac:dyDescent="0.25">
      <c r="A639" s="2" t="s">
        <v>264</v>
      </c>
      <c r="B639" s="3">
        <v>42109.34</v>
      </c>
    </row>
    <row r="640" spans="1:2" x14ac:dyDescent="0.25">
      <c r="A640" s="2" t="s">
        <v>549</v>
      </c>
      <c r="B640" s="3">
        <v>114453.63</v>
      </c>
    </row>
    <row r="641" spans="1:2" x14ac:dyDescent="0.25">
      <c r="A641" s="2" t="s">
        <v>496</v>
      </c>
      <c r="B641" s="3">
        <v>652653.35999999987</v>
      </c>
    </row>
    <row r="642" spans="1:2" x14ac:dyDescent="0.25">
      <c r="A642" s="2" t="s">
        <v>626</v>
      </c>
      <c r="B642" s="3">
        <v>287057.60000000003</v>
      </c>
    </row>
    <row r="643" spans="1:2" x14ac:dyDescent="0.25">
      <c r="A643" s="2" t="s">
        <v>86</v>
      </c>
      <c r="B643" s="3">
        <v>462.36</v>
      </c>
    </row>
    <row r="644" spans="1:2" x14ac:dyDescent="0.25">
      <c r="A644" s="2" t="s">
        <v>132</v>
      </c>
      <c r="B644" s="3">
        <v>1488.42</v>
      </c>
    </row>
    <row r="645" spans="1:2" x14ac:dyDescent="0.25">
      <c r="A645" s="2" t="s">
        <v>76</v>
      </c>
      <c r="B645" s="3">
        <v>430586.40000000008</v>
      </c>
    </row>
    <row r="646" spans="1:2" x14ac:dyDescent="0.25">
      <c r="A646" s="2" t="s">
        <v>184</v>
      </c>
      <c r="B646" s="3">
        <v>80900.22</v>
      </c>
    </row>
    <row r="647" spans="1:2" x14ac:dyDescent="0.25">
      <c r="A647" s="2" t="s">
        <v>109</v>
      </c>
      <c r="B647" s="3">
        <v>87100.38</v>
      </c>
    </row>
    <row r="648" spans="1:2" x14ac:dyDescent="0.25">
      <c r="A648" s="2" t="s">
        <v>416</v>
      </c>
      <c r="B648" s="3">
        <v>42289.48</v>
      </c>
    </row>
    <row r="649" spans="1:2" x14ac:dyDescent="0.25">
      <c r="A649" s="2" t="s">
        <v>702</v>
      </c>
      <c r="B649" s="3">
        <v>38936.35</v>
      </c>
    </row>
    <row r="650" spans="1:2" x14ac:dyDescent="0.25">
      <c r="A650" s="2" t="s">
        <v>26</v>
      </c>
      <c r="B650" s="3">
        <v>38379.449999999997</v>
      </c>
    </row>
    <row r="651" spans="1:2" x14ac:dyDescent="0.25">
      <c r="A651" s="2" t="s">
        <v>407</v>
      </c>
      <c r="B651" s="3">
        <v>217070.6</v>
      </c>
    </row>
    <row r="652" spans="1:2" x14ac:dyDescent="0.25">
      <c r="A652" s="2" t="s">
        <v>270</v>
      </c>
      <c r="B652" s="3">
        <v>130633.29000000001</v>
      </c>
    </row>
    <row r="653" spans="1:2" x14ac:dyDescent="0.25">
      <c r="A653" s="2" t="s">
        <v>462</v>
      </c>
      <c r="B653" s="3">
        <v>38666.959999999999</v>
      </c>
    </row>
    <row r="654" spans="1:2" x14ac:dyDescent="0.25">
      <c r="A654" s="2" t="s">
        <v>204</v>
      </c>
      <c r="B654" s="3">
        <v>37120.080000000002</v>
      </c>
    </row>
    <row r="655" spans="1:2" x14ac:dyDescent="0.25">
      <c r="A655" s="2" t="s">
        <v>55</v>
      </c>
      <c r="B655" s="3">
        <v>28275.25</v>
      </c>
    </row>
    <row r="656" spans="1:2" x14ac:dyDescent="0.25">
      <c r="A656" s="2" t="s">
        <v>107</v>
      </c>
      <c r="B656" s="3">
        <v>34412.18</v>
      </c>
    </row>
    <row r="657" spans="1:2" x14ac:dyDescent="0.25">
      <c r="A657" s="2" t="s">
        <v>540</v>
      </c>
      <c r="B657" s="3">
        <v>38416.85</v>
      </c>
    </row>
    <row r="658" spans="1:2" x14ac:dyDescent="0.25">
      <c r="A658" s="2" t="s">
        <v>505</v>
      </c>
      <c r="B658" s="3">
        <v>40296.199999999997</v>
      </c>
    </row>
    <row r="659" spans="1:2" x14ac:dyDescent="0.25">
      <c r="A659" s="2" t="s">
        <v>527</v>
      </c>
      <c r="B659" s="3">
        <v>40296.199999999997</v>
      </c>
    </row>
    <row r="660" spans="1:2" x14ac:dyDescent="0.25">
      <c r="A660" s="2" t="s">
        <v>384</v>
      </c>
      <c r="B660" s="3">
        <v>40296.199999999997</v>
      </c>
    </row>
    <row r="661" spans="1:2" x14ac:dyDescent="0.25">
      <c r="A661" s="2" t="s">
        <v>224</v>
      </c>
      <c r="B661" s="3">
        <v>40296.199999999997</v>
      </c>
    </row>
    <row r="662" spans="1:2" x14ac:dyDescent="0.25">
      <c r="A662" s="2" t="s">
        <v>655</v>
      </c>
      <c r="B662" s="3">
        <v>40296.199999999997</v>
      </c>
    </row>
    <row r="663" spans="1:2" x14ac:dyDescent="0.25">
      <c r="A663" s="2" t="s">
        <v>87</v>
      </c>
      <c r="B663" s="3">
        <v>38176.44</v>
      </c>
    </row>
    <row r="664" spans="1:2" x14ac:dyDescent="0.25">
      <c r="A664" s="2" t="s">
        <v>770</v>
      </c>
      <c r="B664" s="3">
        <v>38366.129999999997</v>
      </c>
    </row>
    <row r="665" spans="1:2" x14ac:dyDescent="0.25">
      <c r="A665" s="2" t="s">
        <v>904</v>
      </c>
      <c r="B665" s="3">
        <v>29666.74</v>
      </c>
    </row>
    <row r="666" spans="1:2" x14ac:dyDescent="0.25">
      <c r="A666" s="2" t="s">
        <v>669</v>
      </c>
      <c r="B666" s="3">
        <v>31100.15</v>
      </c>
    </row>
    <row r="667" spans="1:2" x14ac:dyDescent="0.25">
      <c r="A667" s="2" t="s">
        <v>203</v>
      </c>
      <c r="B667" s="3">
        <v>46188.9</v>
      </c>
    </row>
    <row r="668" spans="1:2" x14ac:dyDescent="0.25">
      <c r="A668" s="2" t="s">
        <v>797</v>
      </c>
      <c r="B668" s="3">
        <v>38264.07</v>
      </c>
    </row>
    <row r="669" spans="1:2" x14ac:dyDescent="0.25">
      <c r="A669" s="2" t="s">
        <v>94</v>
      </c>
      <c r="B669" s="3">
        <v>230944.5</v>
      </c>
    </row>
    <row r="670" spans="1:2" x14ac:dyDescent="0.25">
      <c r="A670" s="2" t="s">
        <v>67</v>
      </c>
      <c r="B670" s="3">
        <v>44817.59</v>
      </c>
    </row>
    <row r="671" spans="1:2" x14ac:dyDescent="0.25">
      <c r="A671" s="2" t="s">
        <v>699</v>
      </c>
      <c r="B671" s="3">
        <v>46254.09</v>
      </c>
    </row>
    <row r="672" spans="1:2" x14ac:dyDescent="0.25">
      <c r="A672" s="2" t="s">
        <v>932</v>
      </c>
      <c r="B672" s="3">
        <v>230944.5</v>
      </c>
    </row>
    <row r="673" spans="1:2" x14ac:dyDescent="0.25">
      <c r="A673" s="2" t="s">
        <v>259</v>
      </c>
      <c r="B673" s="3">
        <v>217070.6</v>
      </c>
    </row>
    <row r="674" spans="1:2" x14ac:dyDescent="0.25">
      <c r="A674" s="2" t="s">
        <v>10</v>
      </c>
      <c r="B674" s="3">
        <v>39996.629999999997</v>
      </c>
    </row>
    <row r="675" spans="1:2" x14ac:dyDescent="0.25">
      <c r="A675" s="2" t="s">
        <v>733</v>
      </c>
      <c r="B675" s="3">
        <v>1413.62</v>
      </c>
    </row>
    <row r="676" spans="1:2" x14ac:dyDescent="0.25">
      <c r="A676" s="2" t="s">
        <v>327</v>
      </c>
      <c r="B676" s="3">
        <v>38366.11</v>
      </c>
    </row>
    <row r="677" spans="1:2" x14ac:dyDescent="0.25">
      <c r="A677" s="2" t="s">
        <v>906</v>
      </c>
      <c r="B677" s="3">
        <v>86828.26</v>
      </c>
    </row>
    <row r="678" spans="1:2" x14ac:dyDescent="0.25">
      <c r="A678" s="2" t="s">
        <v>57</v>
      </c>
      <c r="B678" s="3">
        <v>1998.03</v>
      </c>
    </row>
    <row r="679" spans="1:2" x14ac:dyDescent="0.25">
      <c r="A679" s="2" t="s">
        <v>684</v>
      </c>
      <c r="B679" s="3">
        <v>207487.35</v>
      </c>
    </row>
    <row r="680" spans="1:2" x14ac:dyDescent="0.25">
      <c r="A680" s="2" t="s">
        <v>315</v>
      </c>
      <c r="B680" s="3">
        <v>42755.98</v>
      </c>
    </row>
    <row r="681" spans="1:2" x14ac:dyDescent="0.25">
      <c r="A681" s="2" t="s">
        <v>487</v>
      </c>
      <c r="B681" s="3">
        <v>37122.660000000003</v>
      </c>
    </row>
    <row r="682" spans="1:2" x14ac:dyDescent="0.25">
      <c r="A682" s="2" t="s">
        <v>333</v>
      </c>
      <c r="B682" s="3">
        <v>43953.57</v>
      </c>
    </row>
    <row r="683" spans="1:2" x14ac:dyDescent="0.25">
      <c r="A683" s="2" t="s">
        <v>598</v>
      </c>
      <c r="B683" s="3">
        <v>48544.44</v>
      </c>
    </row>
    <row r="684" spans="1:2" x14ac:dyDescent="0.25">
      <c r="A684" s="2" t="s">
        <v>99</v>
      </c>
      <c r="B684" s="3">
        <v>39996.65</v>
      </c>
    </row>
    <row r="685" spans="1:2" x14ac:dyDescent="0.25">
      <c r="A685" s="2" t="s">
        <v>531</v>
      </c>
      <c r="B685" s="3">
        <v>39996.629999999997</v>
      </c>
    </row>
    <row r="686" spans="1:2" x14ac:dyDescent="0.25">
      <c r="A686" s="2" t="s">
        <v>855</v>
      </c>
      <c r="B686" s="3">
        <v>345772.96</v>
      </c>
    </row>
    <row r="687" spans="1:2" x14ac:dyDescent="0.25">
      <c r="A687" s="2" t="s">
        <v>158</v>
      </c>
      <c r="B687" s="3">
        <v>276173.94</v>
      </c>
    </row>
    <row r="688" spans="1:2" x14ac:dyDescent="0.25">
      <c r="A688" s="2" t="s">
        <v>79</v>
      </c>
      <c r="B688" s="3">
        <v>460289.89999999997</v>
      </c>
    </row>
    <row r="689" spans="1:2" x14ac:dyDescent="0.25">
      <c r="A689" s="2" t="s">
        <v>735</v>
      </c>
      <c r="B689" s="3">
        <v>38416.720000000001</v>
      </c>
    </row>
    <row r="690" spans="1:2" x14ac:dyDescent="0.25">
      <c r="A690" s="2" t="s">
        <v>75</v>
      </c>
      <c r="B690" s="3">
        <v>1461.18</v>
      </c>
    </row>
    <row r="691" spans="1:2" x14ac:dyDescent="0.25">
      <c r="A691" s="2" t="s">
        <v>136</v>
      </c>
      <c r="B691" s="3">
        <v>1461.18</v>
      </c>
    </row>
    <row r="692" spans="1:2" x14ac:dyDescent="0.25">
      <c r="A692" s="2" t="s">
        <v>706</v>
      </c>
      <c r="B692" s="3">
        <v>37412.89</v>
      </c>
    </row>
    <row r="693" spans="1:2" x14ac:dyDescent="0.25">
      <c r="A693" s="2" t="s">
        <v>581</v>
      </c>
      <c r="B693" s="3">
        <v>37028.74</v>
      </c>
    </row>
    <row r="694" spans="1:2" x14ac:dyDescent="0.25">
      <c r="A694" s="2" t="s">
        <v>515</v>
      </c>
      <c r="B694" s="3">
        <v>39390.93</v>
      </c>
    </row>
    <row r="695" spans="1:2" x14ac:dyDescent="0.25">
      <c r="A695" s="2" t="s">
        <v>258</v>
      </c>
      <c r="B695" s="3">
        <v>46254.09</v>
      </c>
    </row>
    <row r="696" spans="1:2" x14ac:dyDescent="0.25">
      <c r="A696" s="2" t="s">
        <v>381</v>
      </c>
      <c r="B696" s="3">
        <v>41822.33</v>
      </c>
    </row>
    <row r="697" spans="1:2" x14ac:dyDescent="0.25">
      <c r="A697" s="2" t="s">
        <v>421</v>
      </c>
      <c r="B697" s="3">
        <v>35173.120000000003</v>
      </c>
    </row>
    <row r="698" spans="1:2" x14ac:dyDescent="0.25">
      <c r="A698" s="2" t="s">
        <v>145</v>
      </c>
      <c r="B698" s="3">
        <v>39291.99</v>
      </c>
    </row>
    <row r="699" spans="1:2" x14ac:dyDescent="0.25">
      <c r="A699" s="2" t="s">
        <v>380</v>
      </c>
      <c r="B699" s="3">
        <v>138267.06</v>
      </c>
    </row>
    <row r="700" spans="1:2" x14ac:dyDescent="0.25">
      <c r="A700" s="2" t="s">
        <v>915</v>
      </c>
      <c r="B700" s="3">
        <v>40436.03</v>
      </c>
    </row>
    <row r="701" spans="1:2" x14ac:dyDescent="0.25">
      <c r="A701" s="2" t="s">
        <v>310</v>
      </c>
      <c r="B701" s="3">
        <v>40436.03</v>
      </c>
    </row>
    <row r="702" spans="1:2" x14ac:dyDescent="0.25">
      <c r="A702" s="2" t="s">
        <v>618</v>
      </c>
      <c r="B702" s="3">
        <v>40250.79</v>
      </c>
    </row>
    <row r="703" spans="1:2" x14ac:dyDescent="0.25">
      <c r="A703" s="2" t="s">
        <v>861</v>
      </c>
      <c r="B703" s="3">
        <v>33835.629999999997</v>
      </c>
    </row>
    <row r="704" spans="1:2" x14ac:dyDescent="0.25">
      <c r="A704" s="2" t="s">
        <v>678</v>
      </c>
      <c r="B704" s="3">
        <v>1608.16</v>
      </c>
    </row>
    <row r="705" spans="1:2" x14ac:dyDescent="0.25">
      <c r="A705" s="2" t="s">
        <v>785</v>
      </c>
      <c r="B705" s="3">
        <v>43384.21</v>
      </c>
    </row>
    <row r="706" spans="1:2" x14ac:dyDescent="0.25">
      <c r="A706" s="2" t="s">
        <v>721</v>
      </c>
      <c r="B706" s="3">
        <v>1642.52</v>
      </c>
    </row>
    <row r="707" spans="1:2" x14ac:dyDescent="0.25">
      <c r="A707" s="2" t="s">
        <v>614</v>
      </c>
      <c r="B707" s="3">
        <v>37980.660000000003</v>
      </c>
    </row>
    <row r="708" spans="1:2" x14ac:dyDescent="0.25">
      <c r="A708" s="2" t="s">
        <v>182</v>
      </c>
      <c r="B708" s="3">
        <v>44201.39</v>
      </c>
    </row>
    <row r="709" spans="1:2" x14ac:dyDescent="0.25">
      <c r="A709" s="2" t="s">
        <v>559</v>
      </c>
      <c r="B709" s="3">
        <v>31484.59</v>
      </c>
    </row>
    <row r="710" spans="1:2" x14ac:dyDescent="0.25">
      <c r="A710" s="2" t="s">
        <v>437</v>
      </c>
      <c r="B710" s="3">
        <v>41718.01</v>
      </c>
    </row>
    <row r="711" spans="1:2" x14ac:dyDescent="0.25">
      <c r="A711" s="2" t="s">
        <v>175</v>
      </c>
      <c r="B711" s="3">
        <v>2064.0300000000002</v>
      </c>
    </row>
    <row r="712" spans="1:2" x14ac:dyDescent="0.25">
      <c r="A712" s="2" t="s">
        <v>163</v>
      </c>
      <c r="B712" s="3">
        <v>44903.3</v>
      </c>
    </row>
    <row r="713" spans="1:2" x14ac:dyDescent="0.25">
      <c r="A713" s="2" t="s">
        <v>916</v>
      </c>
      <c r="B713" s="3">
        <v>40369.65</v>
      </c>
    </row>
    <row r="714" spans="1:2" x14ac:dyDescent="0.25">
      <c r="A714" s="2" t="s">
        <v>719</v>
      </c>
      <c r="B714" s="3">
        <v>82312.98</v>
      </c>
    </row>
    <row r="715" spans="1:2" x14ac:dyDescent="0.25">
      <c r="A715" s="2" t="s">
        <v>460</v>
      </c>
      <c r="B715" s="3">
        <v>1562.05</v>
      </c>
    </row>
    <row r="716" spans="1:2" x14ac:dyDescent="0.25">
      <c r="A716" s="2" t="s">
        <v>233</v>
      </c>
      <c r="B716" s="3">
        <v>1562.05</v>
      </c>
    </row>
    <row r="717" spans="1:2" x14ac:dyDescent="0.25">
      <c r="A717" s="2" t="s">
        <v>824</v>
      </c>
      <c r="B717" s="3">
        <v>42285.61</v>
      </c>
    </row>
    <row r="718" spans="1:2" x14ac:dyDescent="0.25">
      <c r="A718" s="2" t="s">
        <v>124</v>
      </c>
      <c r="B718" s="3">
        <v>40696.92</v>
      </c>
    </row>
    <row r="719" spans="1:2" x14ac:dyDescent="0.25">
      <c r="A719" s="2" t="s">
        <v>162</v>
      </c>
      <c r="B719" s="3">
        <v>43196.52</v>
      </c>
    </row>
    <row r="720" spans="1:2" x14ac:dyDescent="0.25">
      <c r="A720" s="2" t="s">
        <v>792</v>
      </c>
      <c r="B720" s="3">
        <v>88147.839999999997</v>
      </c>
    </row>
    <row r="721" spans="1:2" x14ac:dyDescent="0.25">
      <c r="A721" s="2" t="s">
        <v>276</v>
      </c>
      <c r="B721" s="3">
        <v>44406.31</v>
      </c>
    </row>
    <row r="722" spans="1:2" x14ac:dyDescent="0.25">
      <c r="A722" s="2" t="s">
        <v>150</v>
      </c>
      <c r="B722" s="3">
        <v>42099.65</v>
      </c>
    </row>
    <row r="723" spans="1:2" x14ac:dyDescent="0.25">
      <c r="A723" s="2" t="s">
        <v>222</v>
      </c>
      <c r="B723" s="3">
        <v>44560.95</v>
      </c>
    </row>
    <row r="724" spans="1:2" x14ac:dyDescent="0.25">
      <c r="A724" s="2" t="s">
        <v>121</v>
      </c>
      <c r="B724" s="3">
        <v>38306.910000000003</v>
      </c>
    </row>
    <row r="725" spans="1:2" x14ac:dyDescent="0.25">
      <c r="A725" s="2" t="s">
        <v>322</v>
      </c>
      <c r="B725" s="3">
        <v>34297.300000000003</v>
      </c>
    </row>
    <row r="726" spans="1:2" x14ac:dyDescent="0.25">
      <c r="A726" s="2" t="s">
        <v>281</v>
      </c>
      <c r="B726" s="3">
        <v>92058</v>
      </c>
    </row>
    <row r="727" spans="1:2" x14ac:dyDescent="0.25">
      <c r="A727" s="2" t="s">
        <v>141</v>
      </c>
      <c r="B727" s="3">
        <v>45295.19</v>
      </c>
    </row>
    <row r="728" spans="1:2" x14ac:dyDescent="0.25">
      <c r="A728" s="2" t="s">
        <v>6</v>
      </c>
      <c r="B728" s="3">
        <v>261833.22</v>
      </c>
    </row>
    <row r="729" spans="1:2" x14ac:dyDescent="0.25">
      <c r="A729" s="2" t="s">
        <v>802</v>
      </c>
      <c r="B729" s="3">
        <v>41189.32</v>
      </c>
    </row>
    <row r="730" spans="1:2" x14ac:dyDescent="0.25">
      <c r="A730" s="2" t="s">
        <v>232</v>
      </c>
      <c r="B730" s="3">
        <v>43243.29</v>
      </c>
    </row>
    <row r="731" spans="1:2" x14ac:dyDescent="0.25">
      <c r="A731" s="2" t="s">
        <v>272</v>
      </c>
      <c r="B731" s="3">
        <v>40786.019999999997</v>
      </c>
    </row>
    <row r="732" spans="1:2" x14ac:dyDescent="0.25">
      <c r="A732" s="2" t="s">
        <v>425</v>
      </c>
      <c r="B732" s="3">
        <v>40737.24</v>
      </c>
    </row>
    <row r="733" spans="1:2" x14ac:dyDescent="0.25">
      <c r="A733" s="2" t="s">
        <v>866</v>
      </c>
      <c r="B733" s="3">
        <v>1471.83</v>
      </c>
    </row>
    <row r="734" spans="1:2" x14ac:dyDescent="0.25">
      <c r="A734" s="2" t="s">
        <v>34</v>
      </c>
      <c r="B734" s="3">
        <v>2162.91</v>
      </c>
    </row>
    <row r="735" spans="1:2" x14ac:dyDescent="0.25">
      <c r="A735" s="2" t="s">
        <v>422</v>
      </c>
      <c r="B735" s="3">
        <v>241124.94999999998</v>
      </c>
    </row>
    <row r="736" spans="1:2" x14ac:dyDescent="0.25">
      <c r="A736" s="2" t="s">
        <v>238</v>
      </c>
      <c r="B736" s="3">
        <v>37007.160000000003</v>
      </c>
    </row>
    <row r="737" spans="1:2" x14ac:dyDescent="0.25">
      <c r="A737" s="2" t="s">
        <v>297</v>
      </c>
      <c r="B737" s="3">
        <v>1739.69</v>
      </c>
    </row>
    <row r="738" spans="1:2" x14ac:dyDescent="0.25">
      <c r="A738" s="2" t="s">
        <v>88</v>
      </c>
      <c r="B738" s="3">
        <v>48568.03</v>
      </c>
    </row>
    <row r="739" spans="1:2" x14ac:dyDescent="0.25">
      <c r="A739" s="2" t="s">
        <v>571</v>
      </c>
      <c r="B739" s="3">
        <v>636.35</v>
      </c>
    </row>
    <row r="740" spans="1:2" x14ac:dyDescent="0.25">
      <c r="A740" s="2" t="s">
        <v>933</v>
      </c>
      <c r="B740" s="3">
        <v>41954</v>
      </c>
    </row>
    <row r="741" spans="1:2" x14ac:dyDescent="0.25">
      <c r="A741" s="2" t="s">
        <v>135</v>
      </c>
      <c r="B741" s="3">
        <v>42326.3</v>
      </c>
    </row>
    <row r="742" spans="1:2" x14ac:dyDescent="0.25">
      <c r="A742" s="2" t="s">
        <v>376</v>
      </c>
      <c r="B742" s="3">
        <v>40509.72</v>
      </c>
    </row>
    <row r="743" spans="1:2" x14ac:dyDescent="0.25">
      <c r="A743" s="2" t="s">
        <v>553</v>
      </c>
      <c r="B743" s="3">
        <v>40509.72</v>
      </c>
    </row>
    <row r="744" spans="1:2" x14ac:dyDescent="0.25">
      <c r="A744" s="2" t="s">
        <v>471</v>
      </c>
      <c r="B744" s="3">
        <v>40525.440000000002</v>
      </c>
    </row>
    <row r="745" spans="1:2" x14ac:dyDescent="0.25">
      <c r="A745" s="2" t="s">
        <v>279</v>
      </c>
      <c r="B745" s="3">
        <v>44126.41</v>
      </c>
    </row>
    <row r="746" spans="1:2" x14ac:dyDescent="0.25">
      <c r="A746" s="2" t="s">
        <v>104</v>
      </c>
      <c r="B746" s="3">
        <v>37346.65</v>
      </c>
    </row>
    <row r="747" spans="1:2" x14ac:dyDescent="0.25">
      <c r="A747" s="2" t="s">
        <v>464</v>
      </c>
      <c r="B747" s="3">
        <v>394240.96</v>
      </c>
    </row>
    <row r="748" spans="1:2" x14ac:dyDescent="0.25">
      <c r="A748" s="2" t="s">
        <v>230</v>
      </c>
      <c r="B748" s="3">
        <v>344960.84</v>
      </c>
    </row>
    <row r="749" spans="1:2" x14ac:dyDescent="0.25">
      <c r="A749" s="2" t="s">
        <v>897</v>
      </c>
      <c r="B749" s="3">
        <v>30949.07</v>
      </c>
    </row>
    <row r="750" spans="1:2" x14ac:dyDescent="0.25">
      <c r="A750" s="2" t="s">
        <v>450</v>
      </c>
      <c r="B750" s="3">
        <v>1788.57</v>
      </c>
    </row>
    <row r="751" spans="1:2" x14ac:dyDescent="0.25">
      <c r="A751" s="2" t="s">
        <v>790</v>
      </c>
      <c r="B751" s="3">
        <v>37922.44</v>
      </c>
    </row>
    <row r="752" spans="1:2" x14ac:dyDescent="0.25">
      <c r="A752" s="2" t="s">
        <v>838</v>
      </c>
      <c r="B752" s="3">
        <v>36336.69</v>
      </c>
    </row>
    <row r="753" spans="1:2" x14ac:dyDescent="0.25">
      <c r="A753" s="2" t="s">
        <v>146</v>
      </c>
      <c r="B753" s="3">
        <v>33759.25</v>
      </c>
    </row>
    <row r="754" spans="1:2" x14ac:dyDescent="0.25">
      <c r="A754" s="2" t="s">
        <v>714</v>
      </c>
      <c r="B754" s="3">
        <v>22023.09</v>
      </c>
    </row>
    <row r="755" spans="1:2" x14ac:dyDescent="0.25">
      <c r="A755" s="2" t="s">
        <v>436</v>
      </c>
      <c r="B755" s="3">
        <v>2242.39</v>
      </c>
    </row>
    <row r="756" spans="1:2" x14ac:dyDescent="0.25">
      <c r="A756" s="2" t="s">
        <v>852</v>
      </c>
      <c r="B756" s="3">
        <v>42738.5</v>
      </c>
    </row>
    <row r="757" spans="1:2" x14ac:dyDescent="0.25">
      <c r="A757" s="2" t="s">
        <v>621</v>
      </c>
      <c r="B757" s="3">
        <v>1642.02</v>
      </c>
    </row>
    <row r="758" spans="1:2" x14ac:dyDescent="0.25">
      <c r="A758" s="2" t="s">
        <v>889</v>
      </c>
      <c r="B758" s="3">
        <v>96968.28</v>
      </c>
    </row>
    <row r="759" spans="1:2" x14ac:dyDescent="0.25">
      <c r="A759" s="2" t="s">
        <v>841</v>
      </c>
      <c r="B759" s="3">
        <v>184417.08</v>
      </c>
    </row>
    <row r="760" spans="1:2" x14ac:dyDescent="0.25">
      <c r="A760" s="2" t="s">
        <v>502</v>
      </c>
      <c r="B760" s="3">
        <v>40114.230000000003</v>
      </c>
    </row>
    <row r="761" spans="1:2" x14ac:dyDescent="0.25">
      <c r="A761" s="2" t="s">
        <v>780</v>
      </c>
      <c r="B761" s="3">
        <v>1506.98</v>
      </c>
    </row>
    <row r="762" spans="1:2" x14ac:dyDescent="0.25">
      <c r="A762" s="2" t="s">
        <v>399</v>
      </c>
      <c r="B762" s="3">
        <v>42297.64</v>
      </c>
    </row>
    <row r="763" spans="1:2" x14ac:dyDescent="0.25">
      <c r="A763" s="2" t="s">
        <v>588</v>
      </c>
      <c r="B763" s="3">
        <v>41315.01</v>
      </c>
    </row>
    <row r="764" spans="1:2" x14ac:dyDescent="0.25">
      <c r="A764" s="2" t="s">
        <v>353</v>
      </c>
      <c r="B764" s="3">
        <v>40619.57</v>
      </c>
    </row>
    <row r="765" spans="1:2" x14ac:dyDescent="0.25">
      <c r="A765" s="2" t="s">
        <v>467</v>
      </c>
      <c r="B765" s="3">
        <v>35858.92</v>
      </c>
    </row>
    <row r="766" spans="1:2" x14ac:dyDescent="0.25">
      <c r="A766" s="2" t="s">
        <v>657</v>
      </c>
      <c r="B766" s="3">
        <v>1612.4</v>
      </c>
    </row>
    <row r="767" spans="1:2" x14ac:dyDescent="0.25">
      <c r="A767" s="2" t="s">
        <v>671</v>
      </c>
      <c r="B767" s="3">
        <v>995.71</v>
      </c>
    </row>
    <row r="768" spans="1:2" x14ac:dyDescent="0.25">
      <c r="A768" s="2" t="s">
        <v>261</v>
      </c>
      <c r="B768" s="3">
        <v>46444.61</v>
      </c>
    </row>
    <row r="769" spans="1:2" x14ac:dyDescent="0.25">
      <c r="A769" s="2" t="s">
        <v>801</v>
      </c>
      <c r="B769" s="3">
        <v>146609.54</v>
      </c>
    </row>
    <row r="770" spans="1:2" x14ac:dyDescent="0.25">
      <c r="A770" s="2" t="s">
        <v>19</v>
      </c>
      <c r="B770" s="3">
        <v>144674.97</v>
      </c>
    </row>
    <row r="771" spans="1:2" x14ac:dyDescent="0.25">
      <c r="A771" s="2" t="s">
        <v>371</v>
      </c>
      <c r="B771" s="3">
        <v>86115.4</v>
      </c>
    </row>
    <row r="772" spans="1:2" x14ac:dyDescent="0.25">
      <c r="A772" s="2" t="s">
        <v>446</v>
      </c>
      <c r="B772" s="3">
        <v>46868.81</v>
      </c>
    </row>
    <row r="773" spans="1:2" x14ac:dyDescent="0.25">
      <c r="A773" s="2" t="s">
        <v>641</v>
      </c>
      <c r="B773" s="3">
        <v>44657.04</v>
      </c>
    </row>
    <row r="774" spans="1:2" x14ac:dyDescent="0.25">
      <c r="A774" s="2" t="s">
        <v>325</v>
      </c>
      <c r="B774" s="3">
        <v>1542.11</v>
      </c>
    </row>
    <row r="775" spans="1:2" x14ac:dyDescent="0.25">
      <c r="A775" s="2" t="s">
        <v>365</v>
      </c>
      <c r="B775" s="3">
        <v>45018.34</v>
      </c>
    </row>
    <row r="776" spans="1:2" x14ac:dyDescent="0.25">
      <c r="A776" s="2" t="s">
        <v>729</v>
      </c>
      <c r="B776" s="3">
        <v>45018.34</v>
      </c>
    </row>
    <row r="777" spans="1:2" x14ac:dyDescent="0.25">
      <c r="A777" s="2" t="s">
        <v>764</v>
      </c>
      <c r="B777" s="3">
        <v>101646.8</v>
      </c>
    </row>
    <row r="778" spans="1:2" x14ac:dyDescent="0.25">
      <c r="A778" s="2" t="s">
        <v>402</v>
      </c>
      <c r="B778" s="3">
        <v>1692.27</v>
      </c>
    </row>
    <row r="779" spans="1:2" x14ac:dyDescent="0.25">
      <c r="A779" s="2" t="s">
        <v>268</v>
      </c>
      <c r="B779" s="3">
        <v>1664.31</v>
      </c>
    </row>
    <row r="780" spans="1:2" x14ac:dyDescent="0.25">
      <c r="A780" s="2" t="s">
        <v>539</v>
      </c>
      <c r="B780" s="3">
        <v>43008.22</v>
      </c>
    </row>
    <row r="781" spans="1:2" x14ac:dyDescent="0.25">
      <c r="A781" s="2" t="s">
        <v>579</v>
      </c>
      <c r="B781" s="3">
        <v>45157.97</v>
      </c>
    </row>
    <row r="782" spans="1:2" x14ac:dyDescent="0.25">
      <c r="A782" s="2" t="s">
        <v>783</v>
      </c>
      <c r="B782" s="3">
        <v>2253.9699999999998</v>
      </c>
    </row>
    <row r="783" spans="1:2" x14ac:dyDescent="0.25">
      <c r="A783" s="2" t="s">
        <v>668</v>
      </c>
      <c r="B783" s="3">
        <v>445564.1999999999</v>
      </c>
    </row>
    <row r="784" spans="1:2" x14ac:dyDescent="0.25">
      <c r="A784" s="2" t="s">
        <v>896</v>
      </c>
      <c r="B784" s="3">
        <v>45566.73</v>
      </c>
    </row>
    <row r="785" spans="1:2" x14ac:dyDescent="0.25">
      <c r="A785" s="2" t="s">
        <v>878</v>
      </c>
      <c r="B785" s="3">
        <v>43682.93</v>
      </c>
    </row>
    <row r="786" spans="1:2" x14ac:dyDescent="0.25">
      <c r="A786" s="2" t="s">
        <v>739</v>
      </c>
      <c r="B786" s="3">
        <v>45427.6</v>
      </c>
    </row>
    <row r="787" spans="1:2" x14ac:dyDescent="0.25">
      <c r="A787" s="2" t="s">
        <v>406</v>
      </c>
      <c r="B787" s="3">
        <v>41951.16</v>
      </c>
    </row>
    <row r="788" spans="1:2" x14ac:dyDescent="0.25">
      <c r="A788" s="2" t="s">
        <v>642</v>
      </c>
      <c r="B788" s="3">
        <v>98286.94</v>
      </c>
    </row>
    <row r="789" spans="1:2" x14ac:dyDescent="0.25">
      <c r="A789" s="2" t="s">
        <v>832</v>
      </c>
      <c r="B789" s="3">
        <v>41357.01</v>
      </c>
    </row>
    <row r="790" spans="1:2" x14ac:dyDescent="0.25">
      <c r="A790" s="2" t="s">
        <v>306</v>
      </c>
      <c r="B790" s="3">
        <v>102046.8</v>
      </c>
    </row>
    <row r="791" spans="1:2" x14ac:dyDescent="0.25">
      <c r="A791" s="2" t="s">
        <v>825</v>
      </c>
      <c r="B791" s="3">
        <v>48065.46</v>
      </c>
    </row>
    <row r="792" spans="1:2" x14ac:dyDescent="0.25">
      <c r="A792" s="2" t="s">
        <v>523</v>
      </c>
      <c r="B792" s="3">
        <v>478744.10000000009</v>
      </c>
    </row>
    <row r="793" spans="1:2" x14ac:dyDescent="0.25">
      <c r="A793" s="2" t="s">
        <v>694</v>
      </c>
      <c r="B793" s="3">
        <v>1849.88</v>
      </c>
    </row>
    <row r="794" spans="1:2" x14ac:dyDescent="0.25">
      <c r="A794" s="2" t="s">
        <v>846</v>
      </c>
      <c r="B794" s="3">
        <v>43640.49</v>
      </c>
    </row>
    <row r="795" spans="1:2" x14ac:dyDescent="0.25">
      <c r="A795" s="2" t="s">
        <v>839</v>
      </c>
      <c r="B795" s="3">
        <v>45434.400000000001</v>
      </c>
    </row>
    <row r="796" spans="1:2" x14ac:dyDescent="0.25">
      <c r="A796" s="2" t="s">
        <v>628</v>
      </c>
      <c r="B796" s="3">
        <v>49048.43</v>
      </c>
    </row>
    <row r="797" spans="1:2" x14ac:dyDescent="0.25">
      <c r="A797" s="2" t="s">
        <v>388</v>
      </c>
      <c r="B797" s="3">
        <v>1784.34</v>
      </c>
    </row>
    <row r="798" spans="1:2" x14ac:dyDescent="0.25">
      <c r="A798" s="2" t="s">
        <v>679</v>
      </c>
      <c r="B798" s="3">
        <v>40414.85</v>
      </c>
    </row>
    <row r="799" spans="1:2" x14ac:dyDescent="0.25">
      <c r="A799" s="2" t="s">
        <v>716</v>
      </c>
      <c r="B799" s="3">
        <v>44087.63</v>
      </c>
    </row>
    <row r="800" spans="1:2" x14ac:dyDescent="0.25">
      <c r="A800" s="2" t="s">
        <v>374</v>
      </c>
      <c r="B800" s="3">
        <v>101591.64</v>
      </c>
    </row>
    <row r="801" spans="1:2" x14ac:dyDescent="0.25">
      <c r="A801" s="2" t="s">
        <v>509</v>
      </c>
      <c r="B801" s="3">
        <v>1462.6</v>
      </c>
    </row>
    <row r="802" spans="1:2" x14ac:dyDescent="0.25">
      <c r="A802" s="2" t="s">
        <v>480</v>
      </c>
      <c r="B802" s="3">
        <v>42938.04</v>
      </c>
    </row>
    <row r="803" spans="1:2" x14ac:dyDescent="0.25">
      <c r="A803" s="2" t="s">
        <v>826</v>
      </c>
      <c r="B803" s="3">
        <v>97621.08</v>
      </c>
    </row>
    <row r="804" spans="1:2" x14ac:dyDescent="0.25">
      <c r="A804" s="2" t="s">
        <v>349</v>
      </c>
      <c r="B804" s="3">
        <v>37051.949999999997</v>
      </c>
    </row>
    <row r="805" spans="1:2" x14ac:dyDescent="0.25">
      <c r="A805" s="2" t="s">
        <v>686</v>
      </c>
      <c r="B805" s="3">
        <v>47587.96</v>
      </c>
    </row>
    <row r="806" spans="1:2" x14ac:dyDescent="0.25">
      <c r="A806" s="2" t="s">
        <v>652</v>
      </c>
      <c r="B806" s="3">
        <v>48772.6</v>
      </c>
    </row>
    <row r="807" spans="1:2" x14ac:dyDescent="0.25">
      <c r="A807" s="2" t="s">
        <v>943</v>
      </c>
      <c r="B807" s="3">
        <v>44617.36</v>
      </c>
    </row>
    <row r="808" spans="1:2" x14ac:dyDescent="0.25">
      <c r="A808" s="2" t="s">
        <v>243</v>
      </c>
      <c r="B808" s="3">
        <v>44389.66</v>
      </c>
    </row>
    <row r="809" spans="1:2" x14ac:dyDescent="0.25">
      <c r="A809" s="2" t="s">
        <v>800</v>
      </c>
      <c r="B809" s="3">
        <v>45305.86</v>
      </c>
    </row>
    <row r="810" spans="1:2" x14ac:dyDescent="0.25">
      <c r="A810" s="2" t="s">
        <v>574</v>
      </c>
      <c r="B810" s="3">
        <v>37467.199999999997</v>
      </c>
    </row>
    <row r="811" spans="1:2" x14ac:dyDescent="0.25">
      <c r="A811" s="2" t="s">
        <v>215</v>
      </c>
      <c r="B811" s="3">
        <v>45884.33</v>
      </c>
    </row>
    <row r="812" spans="1:2" x14ac:dyDescent="0.25">
      <c r="A812" s="2" t="s">
        <v>207</v>
      </c>
      <c r="B812" s="3">
        <v>47752.39</v>
      </c>
    </row>
    <row r="813" spans="1:2" x14ac:dyDescent="0.25">
      <c r="A813" s="2" t="s">
        <v>294</v>
      </c>
      <c r="B813" s="3">
        <v>48519.32</v>
      </c>
    </row>
    <row r="814" spans="1:2" x14ac:dyDescent="0.25">
      <c r="A814" s="2" t="s">
        <v>573</v>
      </c>
      <c r="B814" s="3">
        <v>45972.77</v>
      </c>
    </row>
    <row r="815" spans="1:2" x14ac:dyDescent="0.25">
      <c r="A815" s="2" t="s">
        <v>875</v>
      </c>
      <c r="B815" s="3">
        <v>137878.13999999998</v>
      </c>
    </row>
    <row r="816" spans="1:2" x14ac:dyDescent="0.25">
      <c r="A816" s="2" t="s">
        <v>599</v>
      </c>
      <c r="B816" s="3">
        <v>47054.82</v>
      </c>
    </row>
    <row r="817" spans="1:2" x14ac:dyDescent="0.25">
      <c r="A817" s="2" t="s">
        <v>542</v>
      </c>
      <c r="B817" s="3">
        <v>1756.75</v>
      </c>
    </row>
    <row r="818" spans="1:2" x14ac:dyDescent="0.25">
      <c r="A818" s="2" t="s">
        <v>491</v>
      </c>
      <c r="B818" s="3">
        <v>1838.57</v>
      </c>
    </row>
    <row r="819" spans="1:2" x14ac:dyDescent="0.25">
      <c r="A819" s="2" t="s">
        <v>525</v>
      </c>
      <c r="B819" s="3">
        <v>1284</v>
      </c>
    </row>
    <row r="820" spans="1:2" x14ac:dyDescent="0.25">
      <c r="A820" s="2" t="s">
        <v>726</v>
      </c>
      <c r="B820" s="3">
        <v>1754.84</v>
      </c>
    </row>
    <row r="821" spans="1:2" x14ac:dyDescent="0.25">
      <c r="A821" s="2" t="s">
        <v>138</v>
      </c>
      <c r="B821" s="3">
        <v>45182.76</v>
      </c>
    </row>
    <row r="822" spans="1:2" x14ac:dyDescent="0.25">
      <c r="A822" s="2" t="s">
        <v>212</v>
      </c>
      <c r="B822" s="3">
        <v>50525.18</v>
      </c>
    </row>
    <row r="823" spans="1:2" x14ac:dyDescent="0.25">
      <c r="A823" s="2" t="s">
        <v>314</v>
      </c>
      <c r="B823" s="3">
        <v>1756.75</v>
      </c>
    </row>
    <row r="824" spans="1:2" x14ac:dyDescent="0.25">
      <c r="A824" s="2" t="s">
        <v>680</v>
      </c>
      <c r="B824" s="3">
        <v>1756.75</v>
      </c>
    </row>
    <row r="825" spans="1:2" x14ac:dyDescent="0.25">
      <c r="A825" s="2" t="s">
        <v>206</v>
      </c>
      <c r="B825" s="3">
        <v>39372.03</v>
      </c>
    </row>
    <row r="826" spans="1:2" x14ac:dyDescent="0.25">
      <c r="A826" s="2" t="s">
        <v>941</v>
      </c>
      <c r="B826" s="3">
        <v>45972.76</v>
      </c>
    </row>
    <row r="827" spans="1:2" x14ac:dyDescent="0.25">
      <c r="A827" s="2" t="s">
        <v>620</v>
      </c>
      <c r="B827" s="3">
        <v>49315.13</v>
      </c>
    </row>
    <row r="828" spans="1:2" x14ac:dyDescent="0.25">
      <c r="A828" s="2" t="s">
        <v>323</v>
      </c>
      <c r="B828" s="3">
        <v>1869.14</v>
      </c>
    </row>
    <row r="829" spans="1:2" x14ac:dyDescent="0.25">
      <c r="A829" s="2" t="s">
        <v>769</v>
      </c>
      <c r="B829" s="3">
        <v>40364.18</v>
      </c>
    </row>
    <row r="830" spans="1:2" x14ac:dyDescent="0.25">
      <c r="A830" s="2" t="s">
        <v>689</v>
      </c>
      <c r="B830" s="3">
        <v>37746.35</v>
      </c>
    </row>
    <row r="831" spans="1:2" x14ac:dyDescent="0.25">
      <c r="A831" s="2" t="s">
        <v>807</v>
      </c>
      <c r="B831" s="3">
        <v>51267.72</v>
      </c>
    </row>
    <row r="832" spans="1:2" x14ac:dyDescent="0.25">
      <c r="A832" s="2" t="s">
        <v>907</v>
      </c>
      <c r="B832" s="3">
        <v>45386.79</v>
      </c>
    </row>
    <row r="833" spans="1:2" x14ac:dyDescent="0.25">
      <c r="A833" s="2" t="s">
        <v>321</v>
      </c>
      <c r="B833" s="3">
        <v>50058.15</v>
      </c>
    </row>
    <row r="834" spans="1:2" x14ac:dyDescent="0.25">
      <c r="A834" s="2" t="s">
        <v>20</v>
      </c>
      <c r="B834" s="3">
        <v>46259.97</v>
      </c>
    </row>
    <row r="835" spans="1:2" x14ac:dyDescent="0.25">
      <c r="A835" s="2" t="s">
        <v>106</v>
      </c>
      <c r="B835" s="3">
        <v>46260.01</v>
      </c>
    </row>
    <row r="836" spans="1:2" x14ac:dyDescent="0.25">
      <c r="A836" s="2" t="s">
        <v>159</v>
      </c>
      <c r="B836" s="3">
        <v>50988.57</v>
      </c>
    </row>
    <row r="837" spans="1:2" x14ac:dyDescent="0.25">
      <c r="A837" s="2" t="s">
        <v>65</v>
      </c>
      <c r="B837" s="3">
        <v>47866.67</v>
      </c>
    </row>
    <row r="838" spans="1:2" x14ac:dyDescent="0.25">
      <c r="A838" s="2" t="s">
        <v>42</v>
      </c>
      <c r="B838" s="3">
        <v>44370.47</v>
      </c>
    </row>
    <row r="839" spans="1:2" x14ac:dyDescent="0.25">
      <c r="A839" s="2" t="s">
        <v>712</v>
      </c>
      <c r="B839" s="3">
        <v>53167.95</v>
      </c>
    </row>
    <row r="840" spans="1:2" x14ac:dyDescent="0.25">
      <c r="A840" s="2" t="s">
        <v>639</v>
      </c>
      <c r="B840" s="3">
        <v>920.48</v>
      </c>
    </row>
    <row r="841" spans="1:2" x14ac:dyDescent="0.25">
      <c r="A841" s="2" t="s">
        <v>318</v>
      </c>
      <c r="B841" s="3">
        <v>49528.37</v>
      </c>
    </row>
    <row r="842" spans="1:2" x14ac:dyDescent="0.25">
      <c r="A842" s="2" t="s">
        <v>452</v>
      </c>
      <c r="B842" s="3">
        <v>45886.2</v>
      </c>
    </row>
    <row r="843" spans="1:2" x14ac:dyDescent="0.25">
      <c r="A843" s="2" t="s">
        <v>449</v>
      </c>
      <c r="B843" s="3">
        <v>212671.8</v>
      </c>
    </row>
    <row r="844" spans="1:2" x14ac:dyDescent="0.25">
      <c r="A844" s="2" t="s">
        <v>768</v>
      </c>
      <c r="B844" s="3">
        <v>46971.21</v>
      </c>
    </row>
    <row r="845" spans="1:2" x14ac:dyDescent="0.25">
      <c r="A845" s="2" t="s">
        <v>271</v>
      </c>
      <c r="B845" s="3">
        <v>1875.77</v>
      </c>
    </row>
    <row r="846" spans="1:2" x14ac:dyDescent="0.25">
      <c r="A846" s="2" t="s">
        <v>543</v>
      </c>
      <c r="B846" s="3">
        <v>44304.160000000003</v>
      </c>
    </row>
    <row r="847" spans="1:2" x14ac:dyDescent="0.25">
      <c r="A847" s="2" t="s">
        <v>195</v>
      </c>
      <c r="B847" s="3">
        <v>1855.37</v>
      </c>
    </row>
    <row r="848" spans="1:2" x14ac:dyDescent="0.25">
      <c r="A848" s="2" t="s">
        <v>118</v>
      </c>
      <c r="B848" s="3">
        <v>1887.59</v>
      </c>
    </row>
    <row r="849" spans="1:2" x14ac:dyDescent="0.25">
      <c r="A849" s="2" t="s">
        <v>474</v>
      </c>
      <c r="B849" s="3">
        <v>44940.63</v>
      </c>
    </row>
    <row r="850" spans="1:2" x14ac:dyDescent="0.25">
      <c r="A850" s="2" t="s">
        <v>389</v>
      </c>
      <c r="B850" s="3">
        <v>1820.14</v>
      </c>
    </row>
    <row r="851" spans="1:2" x14ac:dyDescent="0.25">
      <c r="A851" s="2" t="s">
        <v>116</v>
      </c>
      <c r="B851" s="3">
        <v>46771.99</v>
      </c>
    </row>
    <row r="852" spans="1:2" x14ac:dyDescent="0.25">
      <c r="A852" s="2" t="s">
        <v>68</v>
      </c>
      <c r="B852" s="3">
        <v>1754</v>
      </c>
    </row>
    <row r="853" spans="1:2" x14ac:dyDescent="0.25">
      <c r="A853" s="2" t="s">
        <v>924</v>
      </c>
      <c r="B853" s="3">
        <v>54881.919999999998</v>
      </c>
    </row>
    <row r="854" spans="1:2" x14ac:dyDescent="0.25">
      <c r="A854" s="2" t="s">
        <v>945</v>
      </c>
      <c r="B854" s="3">
        <v>1147.03</v>
      </c>
    </row>
    <row r="855" spans="1:2" x14ac:dyDescent="0.25">
      <c r="A855" s="2" t="s">
        <v>568</v>
      </c>
      <c r="B855" s="3">
        <v>54881.919999999998</v>
      </c>
    </row>
    <row r="856" spans="1:2" x14ac:dyDescent="0.25">
      <c r="A856" s="2" t="s">
        <v>654</v>
      </c>
      <c r="B856" s="3">
        <v>54881.919999999998</v>
      </c>
    </row>
    <row r="857" spans="1:2" x14ac:dyDescent="0.25">
      <c r="A857" s="2" t="s">
        <v>603</v>
      </c>
      <c r="B857" s="3">
        <v>54881.919999999998</v>
      </c>
    </row>
    <row r="858" spans="1:2" x14ac:dyDescent="0.25">
      <c r="A858" s="2" t="s">
        <v>457</v>
      </c>
      <c r="B858" s="3">
        <v>51075.19</v>
      </c>
    </row>
    <row r="859" spans="1:2" x14ac:dyDescent="0.25">
      <c r="A859" s="2" t="s">
        <v>880</v>
      </c>
      <c r="B859" s="3">
        <v>51075.19</v>
      </c>
    </row>
    <row r="860" spans="1:2" x14ac:dyDescent="0.25">
      <c r="A860" s="2" t="s">
        <v>417</v>
      </c>
      <c r="B860" s="3">
        <v>47468.6</v>
      </c>
    </row>
    <row r="861" spans="1:2" x14ac:dyDescent="0.25">
      <c r="A861" s="2" t="s">
        <v>779</v>
      </c>
      <c r="B861" s="3">
        <v>50011.53</v>
      </c>
    </row>
    <row r="862" spans="1:2" x14ac:dyDescent="0.25">
      <c r="A862" s="2" t="s">
        <v>348</v>
      </c>
      <c r="B862" s="3">
        <v>48000.54</v>
      </c>
    </row>
    <row r="863" spans="1:2" x14ac:dyDescent="0.25">
      <c r="A863" s="2" t="s">
        <v>578</v>
      </c>
      <c r="B863" s="3">
        <v>5750.85</v>
      </c>
    </row>
    <row r="864" spans="1:2" x14ac:dyDescent="0.25">
      <c r="A864" s="2" t="s">
        <v>627</v>
      </c>
      <c r="B864" s="3">
        <v>1769.21</v>
      </c>
    </row>
    <row r="865" spans="1:2" x14ac:dyDescent="0.25">
      <c r="A865" s="2" t="s">
        <v>168</v>
      </c>
      <c r="B865" s="3">
        <v>1981.39</v>
      </c>
    </row>
    <row r="866" spans="1:2" x14ac:dyDescent="0.25">
      <c r="A866" s="2" t="s">
        <v>339</v>
      </c>
      <c r="B866" s="3">
        <v>211282.82</v>
      </c>
    </row>
    <row r="867" spans="1:2" x14ac:dyDescent="0.25">
      <c r="A867" s="2" t="s">
        <v>749</v>
      </c>
      <c r="B867" s="3">
        <v>745.9</v>
      </c>
    </row>
    <row r="868" spans="1:2" x14ac:dyDescent="0.25">
      <c r="A868" s="2" t="s">
        <v>490</v>
      </c>
      <c r="B868" s="3">
        <v>46297.42</v>
      </c>
    </row>
    <row r="869" spans="1:2" x14ac:dyDescent="0.25">
      <c r="A869" s="2" t="s">
        <v>645</v>
      </c>
      <c r="B869" s="3">
        <v>38243.949999999997</v>
      </c>
    </row>
    <row r="870" spans="1:2" x14ac:dyDescent="0.25">
      <c r="A870" s="2" t="s">
        <v>638</v>
      </c>
      <c r="B870" s="3">
        <v>43816.4</v>
      </c>
    </row>
    <row r="871" spans="1:2" x14ac:dyDescent="0.25">
      <c r="A871" s="2" t="s">
        <v>152</v>
      </c>
      <c r="B871" s="3">
        <v>1756.15</v>
      </c>
    </row>
    <row r="872" spans="1:2" x14ac:dyDescent="0.25">
      <c r="A872" s="2" t="s">
        <v>771</v>
      </c>
      <c r="B872" s="3">
        <v>41925.01</v>
      </c>
    </row>
    <row r="873" spans="1:2" x14ac:dyDescent="0.25">
      <c r="A873" s="2" t="s">
        <v>738</v>
      </c>
      <c r="B873" s="3">
        <v>47342.11</v>
      </c>
    </row>
    <row r="874" spans="1:2" x14ac:dyDescent="0.25">
      <c r="A874" s="2" t="s">
        <v>637</v>
      </c>
      <c r="B874" s="3">
        <v>221751.48</v>
      </c>
    </row>
    <row r="875" spans="1:2" x14ac:dyDescent="0.25">
      <c r="A875" s="2" t="s">
        <v>648</v>
      </c>
      <c r="B875" s="3">
        <v>1750.94</v>
      </c>
    </row>
    <row r="876" spans="1:2" x14ac:dyDescent="0.25">
      <c r="A876" s="2" t="s">
        <v>696</v>
      </c>
      <c r="B876" s="3">
        <v>105001.46</v>
      </c>
    </row>
    <row r="877" spans="1:2" x14ac:dyDescent="0.25">
      <c r="A877" s="2" t="s">
        <v>459</v>
      </c>
      <c r="B877" s="3">
        <v>677.24</v>
      </c>
    </row>
    <row r="878" spans="1:2" x14ac:dyDescent="0.25">
      <c r="A878" s="2" t="s">
        <v>538</v>
      </c>
      <c r="B878" s="3">
        <v>50877.04</v>
      </c>
    </row>
    <row r="879" spans="1:2" x14ac:dyDescent="0.25">
      <c r="A879" s="2" t="s">
        <v>127</v>
      </c>
      <c r="B879" s="3">
        <v>49345.4</v>
      </c>
    </row>
    <row r="880" spans="1:2" x14ac:dyDescent="0.25">
      <c r="A880" s="2" t="s">
        <v>524</v>
      </c>
      <c r="B880" s="3">
        <v>1570.62</v>
      </c>
    </row>
    <row r="881" spans="1:2" x14ac:dyDescent="0.25">
      <c r="A881" s="2" t="s">
        <v>363</v>
      </c>
      <c r="B881" s="3">
        <v>49082.17</v>
      </c>
    </row>
    <row r="882" spans="1:2" x14ac:dyDescent="0.25">
      <c r="A882" s="2" t="s">
        <v>85</v>
      </c>
      <c r="B882" s="3">
        <v>38391.769999999997</v>
      </c>
    </row>
    <row r="883" spans="1:2" x14ac:dyDescent="0.25">
      <c r="A883" s="2" t="s">
        <v>164</v>
      </c>
      <c r="B883" s="3">
        <v>46789.56</v>
      </c>
    </row>
    <row r="884" spans="1:2" x14ac:dyDescent="0.25">
      <c r="A884" s="2" t="s">
        <v>498</v>
      </c>
      <c r="B884" s="3">
        <v>48738.05</v>
      </c>
    </row>
    <row r="885" spans="1:2" x14ac:dyDescent="0.25">
      <c r="A885" s="2" t="s">
        <v>91</v>
      </c>
      <c r="B885" s="3">
        <v>2147.81</v>
      </c>
    </row>
    <row r="886" spans="1:2" x14ac:dyDescent="0.25">
      <c r="A886" s="2" t="s">
        <v>583</v>
      </c>
      <c r="B886" s="3">
        <v>1624.43</v>
      </c>
    </row>
    <row r="887" spans="1:2" x14ac:dyDescent="0.25">
      <c r="A887" s="2" t="s">
        <v>83</v>
      </c>
      <c r="B887" s="3">
        <v>498.96</v>
      </c>
    </row>
    <row r="888" spans="1:2" x14ac:dyDescent="0.25">
      <c r="A888" s="2" t="s">
        <v>219</v>
      </c>
      <c r="B888" s="3">
        <v>498.96</v>
      </c>
    </row>
    <row r="889" spans="1:2" x14ac:dyDescent="0.25">
      <c r="A889" s="2" t="s">
        <v>624</v>
      </c>
      <c r="B889" s="3">
        <v>498.96</v>
      </c>
    </row>
    <row r="890" spans="1:2" x14ac:dyDescent="0.25">
      <c r="A890" s="2" t="s">
        <v>918</v>
      </c>
      <c r="B890" s="3">
        <v>499.06</v>
      </c>
    </row>
    <row r="891" spans="1:2" x14ac:dyDescent="0.25">
      <c r="A891" s="2" t="s">
        <v>200</v>
      </c>
      <c r="B891" s="3">
        <v>499.06</v>
      </c>
    </row>
    <row r="892" spans="1:2" x14ac:dyDescent="0.25">
      <c r="A892" s="2" t="s">
        <v>377</v>
      </c>
      <c r="B892" s="3">
        <v>52497.27</v>
      </c>
    </row>
    <row r="893" spans="1:2" x14ac:dyDescent="0.25">
      <c r="A893" s="2" t="s">
        <v>39</v>
      </c>
      <c r="B893" s="3">
        <v>626.5</v>
      </c>
    </row>
    <row r="894" spans="1:2" x14ac:dyDescent="0.25">
      <c r="A894" s="2" t="s">
        <v>304</v>
      </c>
      <c r="B894" s="3">
        <v>52546.76</v>
      </c>
    </row>
    <row r="895" spans="1:2" x14ac:dyDescent="0.25">
      <c r="A895" s="2" t="s">
        <v>428</v>
      </c>
      <c r="B895" s="3">
        <v>743.73</v>
      </c>
    </row>
    <row r="896" spans="1:2" x14ac:dyDescent="0.25">
      <c r="A896" s="2" t="s">
        <v>934</v>
      </c>
      <c r="B896" s="3">
        <v>57150.64</v>
      </c>
    </row>
    <row r="897" spans="1:2" x14ac:dyDescent="0.25">
      <c r="A897" s="2" t="s">
        <v>241</v>
      </c>
      <c r="B897" s="3">
        <v>30944.71</v>
      </c>
    </row>
    <row r="898" spans="1:2" x14ac:dyDescent="0.25">
      <c r="A898" s="2" t="s">
        <v>190</v>
      </c>
      <c r="B898" s="3">
        <v>515.77</v>
      </c>
    </row>
    <row r="899" spans="1:2" x14ac:dyDescent="0.25">
      <c r="A899" s="2" t="s">
        <v>154</v>
      </c>
      <c r="B899" s="3">
        <v>478.09</v>
      </c>
    </row>
    <row r="900" spans="1:2" x14ac:dyDescent="0.25">
      <c r="A900" s="2" t="s">
        <v>14</v>
      </c>
      <c r="B900" s="3">
        <v>332.05</v>
      </c>
    </row>
    <row r="901" spans="1:2" x14ac:dyDescent="0.25">
      <c r="A901" s="2" t="s">
        <v>766</v>
      </c>
      <c r="B901" s="3">
        <v>273.88</v>
      </c>
    </row>
    <row r="902" spans="1:2" x14ac:dyDescent="0.25">
      <c r="A902" s="2" t="s">
        <v>383</v>
      </c>
      <c r="B902" s="3">
        <v>493.53</v>
      </c>
    </row>
    <row r="903" spans="1:2" x14ac:dyDescent="0.25">
      <c r="A903" s="2" t="s">
        <v>98</v>
      </c>
      <c r="B903" s="3">
        <v>769.87</v>
      </c>
    </row>
    <row r="904" spans="1:2" x14ac:dyDescent="0.25">
      <c r="A904" s="2" t="s">
        <v>49</v>
      </c>
      <c r="B904" s="3">
        <v>951.36</v>
      </c>
    </row>
    <row r="905" spans="1:2" x14ac:dyDescent="0.25">
      <c r="A905" s="2" t="s">
        <v>662</v>
      </c>
      <c r="B905" s="3">
        <v>1211</v>
      </c>
    </row>
    <row r="906" spans="1:2" x14ac:dyDescent="0.25">
      <c r="A906" s="2" t="s">
        <v>817</v>
      </c>
      <c r="B906" s="3">
        <v>1181.1600000000001</v>
      </c>
    </row>
    <row r="907" spans="1:2" x14ac:dyDescent="0.25">
      <c r="A907" s="2" t="s">
        <v>458</v>
      </c>
      <c r="B907" s="3">
        <v>1667.31</v>
      </c>
    </row>
    <row r="908" spans="1:2" x14ac:dyDescent="0.25">
      <c r="A908" s="2" t="s">
        <v>634</v>
      </c>
      <c r="B908" s="3">
        <v>1195.75</v>
      </c>
    </row>
    <row r="909" spans="1:2" x14ac:dyDescent="0.25">
      <c r="A909" s="2" t="s">
        <v>492</v>
      </c>
      <c r="B909" s="3">
        <v>1399.78</v>
      </c>
    </row>
    <row r="910" spans="1:2" x14ac:dyDescent="0.25">
      <c r="A910" s="2" t="s">
        <v>179</v>
      </c>
      <c r="B910" s="3">
        <v>1605.3</v>
      </c>
    </row>
    <row r="911" spans="1:2" x14ac:dyDescent="0.25">
      <c r="A911" s="2" t="s">
        <v>659</v>
      </c>
      <c r="B911" s="3">
        <v>1360.31</v>
      </c>
    </row>
    <row r="912" spans="1:2" x14ac:dyDescent="0.25">
      <c r="A912" s="2" t="s">
        <v>541</v>
      </c>
      <c r="B912" s="3">
        <v>372.67</v>
      </c>
    </row>
    <row r="913" spans="1:2" x14ac:dyDescent="0.25">
      <c r="A913" s="2" t="s">
        <v>872</v>
      </c>
      <c r="B913" s="3">
        <v>426.25</v>
      </c>
    </row>
    <row r="914" spans="1:2" x14ac:dyDescent="0.25">
      <c r="A914" s="2" t="s">
        <v>334</v>
      </c>
      <c r="B914" s="3">
        <v>893.28</v>
      </c>
    </row>
    <row r="915" spans="1:2" x14ac:dyDescent="0.25">
      <c r="A915" s="2" t="s">
        <v>290</v>
      </c>
      <c r="B915" s="3">
        <v>696.94</v>
      </c>
    </row>
    <row r="916" spans="1:2" x14ac:dyDescent="0.25">
      <c r="A916" s="2" t="s">
        <v>647</v>
      </c>
      <c r="B916" s="3">
        <v>659.14</v>
      </c>
    </row>
    <row r="917" spans="1:2" x14ac:dyDescent="0.25">
      <c r="A917" s="2" t="s">
        <v>216</v>
      </c>
      <c r="B917" s="3">
        <v>785.54</v>
      </c>
    </row>
    <row r="918" spans="1:2" x14ac:dyDescent="0.25">
      <c r="A918" s="2" t="s">
        <v>788</v>
      </c>
      <c r="B918" s="3">
        <v>916.02</v>
      </c>
    </row>
    <row r="919" spans="1:2" x14ac:dyDescent="0.25">
      <c r="A919" s="2" t="s">
        <v>209</v>
      </c>
      <c r="B919" s="3">
        <v>460.57</v>
      </c>
    </row>
    <row r="920" spans="1:2" x14ac:dyDescent="0.25">
      <c r="A920" s="2" t="s">
        <v>178</v>
      </c>
      <c r="B920" s="3">
        <v>1544.35</v>
      </c>
    </row>
    <row r="921" spans="1:2" x14ac:dyDescent="0.25">
      <c r="A921" s="2" t="s">
        <v>869</v>
      </c>
      <c r="B921" s="3">
        <v>1346.7</v>
      </c>
    </row>
    <row r="922" spans="1:2" x14ac:dyDescent="0.25">
      <c r="A922" s="2" t="s">
        <v>748</v>
      </c>
      <c r="B922" s="3">
        <v>989.82</v>
      </c>
    </row>
    <row r="923" spans="1:2" x14ac:dyDescent="0.25">
      <c r="A923" s="2" t="s">
        <v>250</v>
      </c>
      <c r="B923" s="3">
        <v>1667.43</v>
      </c>
    </row>
    <row r="924" spans="1:2" x14ac:dyDescent="0.25">
      <c r="A924" s="2" t="s">
        <v>765</v>
      </c>
      <c r="B924" s="3">
        <v>1113.6500000000001</v>
      </c>
    </row>
    <row r="925" spans="1:2" x14ac:dyDescent="0.25">
      <c r="A925" s="2" t="s">
        <v>350</v>
      </c>
      <c r="B925" s="3">
        <v>484.44</v>
      </c>
    </row>
    <row r="926" spans="1:2" x14ac:dyDescent="0.25">
      <c r="A926" s="2" t="s">
        <v>879</v>
      </c>
      <c r="B926" s="3">
        <v>2267.52</v>
      </c>
    </row>
    <row r="927" spans="1:2" x14ac:dyDescent="0.25">
      <c r="A927" s="2" t="s">
        <v>472</v>
      </c>
      <c r="B927" s="3">
        <v>1306.3699999999999</v>
      </c>
    </row>
    <row r="928" spans="1:2" x14ac:dyDescent="0.25">
      <c r="A928" s="2" t="s">
        <v>762</v>
      </c>
      <c r="B928" s="3">
        <v>736.77</v>
      </c>
    </row>
    <row r="929" spans="1:2" x14ac:dyDescent="0.25">
      <c r="A929" s="2" t="s">
        <v>842</v>
      </c>
      <c r="B929" s="3">
        <v>2692.84</v>
      </c>
    </row>
    <row r="930" spans="1:2" x14ac:dyDescent="0.25">
      <c r="A930" s="2" t="s">
        <v>242</v>
      </c>
      <c r="B930" s="3">
        <v>1344.59</v>
      </c>
    </row>
    <row r="931" spans="1:2" x14ac:dyDescent="0.25">
      <c r="A931" s="2" t="s">
        <v>793</v>
      </c>
      <c r="B931" s="3">
        <v>785.91</v>
      </c>
    </row>
    <row r="932" spans="1:2" x14ac:dyDescent="0.25">
      <c r="A932" s="2" t="s">
        <v>143</v>
      </c>
      <c r="B932" s="3">
        <v>641.04</v>
      </c>
    </row>
    <row r="933" spans="1:2" x14ac:dyDescent="0.25">
      <c r="A933" s="2" t="s">
        <v>609</v>
      </c>
      <c r="B933" s="3">
        <v>1635.73</v>
      </c>
    </row>
    <row r="934" spans="1:2" x14ac:dyDescent="0.25">
      <c r="A934" s="2" t="s">
        <v>544</v>
      </c>
      <c r="B934" s="3">
        <v>1570.69</v>
      </c>
    </row>
    <row r="935" spans="1:2" x14ac:dyDescent="0.25">
      <c r="A935" s="2" t="s">
        <v>577</v>
      </c>
      <c r="B935" s="3">
        <v>2095.25</v>
      </c>
    </row>
    <row r="936" spans="1:2" x14ac:dyDescent="0.25">
      <c r="A936" s="2" t="s">
        <v>247</v>
      </c>
      <c r="B936" s="3">
        <v>2323.08</v>
      </c>
    </row>
    <row r="937" spans="1:2" x14ac:dyDescent="0.25">
      <c r="A937" s="2" t="s">
        <v>70</v>
      </c>
      <c r="B937" s="3">
        <v>2249.2800000000002</v>
      </c>
    </row>
    <row r="938" spans="1:2" x14ac:dyDescent="0.25">
      <c r="A938" s="2" t="s">
        <v>572</v>
      </c>
      <c r="B938" s="3">
        <v>868.36</v>
      </c>
    </row>
    <row r="939" spans="1:2" x14ac:dyDescent="0.25">
      <c r="A939" s="2" t="s">
        <v>724</v>
      </c>
      <c r="B939" s="3">
        <v>818.41</v>
      </c>
    </row>
    <row r="940" spans="1:2" x14ac:dyDescent="0.25">
      <c r="A940" s="2" t="s">
        <v>64</v>
      </c>
      <c r="B940" s="3">
        <v>3115.96</v>
      </c>
    </row>
    <row r="941" spans="1:2" x14ac:dyDescent="0.25">
      <c r="A941" s="2" t="s">
        <v>811</v>
      </c>
      <c r="B941" s="3">
        <v>2281.81</v>
      </c>
    </row>
    <row r="942" spans="1:2" x14ac:dyDescent="0.25">
      <c r="A942" s="2" t="s">
        <v>606</v>
      </c>
      <c r="B942" s="3">
        <v>1719.8600000000001</v>
      </c>
    </row>
    <row r="943" spans="1:2" x14ac:dyDescent="0.25">
      <c r="A943" s="2" t="s">
        <v>776</v>
      </c>
      <c r="B943" s="3">
        <v>2967.31</v>
      </c>
    </row>
    <row r="944" spans="1:2" x14ac:dyDescent="0.25">
      <c r="A944" s="2" t="s">
        <v>886</v>
      </c>
      <c r="B944" s="3">
        <v>1919.8</v>
      </c>
    </row>
    <row r="945" spans="1:2" x14ac:dyDescent="0.25">
      <c r="A945" s="2" t="s">
        <v>341</v>
      </c>
      <c r="B945" s="3">
        <v>2397.11</v>
      </c>
    </row>
    <row r="946" spans="1:2" x14ac:dyDescent="0.25">
      <c r="A946" s="2" t="s">
        <v>728</v>
      </c>
      <c r="B946" s="3">
        <v>2469.04</v>
      </c>
    </row>
    <row r="947" spans="1:2" x14ac:dyDescent="0.25">
      <c r="A947" s="2" t="s">
        <v>857</v>
      </c>
      <c r="B947" s="3">
        <v>2397.02</v>
      </c>
    </row>
    <row r="948" spans="1:2" x14ac:dyDescent="0.25">
      <c r="A948" s="2" t="s">
        <v>142</v>
      </c>
      <c r="B948" s="3">
        <v>2590.92</v>
      </c>
    </row>
    <row r="949" spans="1:2" x14ac:dyDescent="0.25">
      <c r="A949" s="2" t="s">
        <v>601</v>
      </c>
      <c r="B949" s="3">
        <v>3312.21</v>
      </c>
    </row>
    <row r="950" spans="1:2" x14ac:dyDescent="0.25">
      <c r="A950" s="2" t="s">
        <v>900</v>
      </c>
      <c r="B950" s="3">
        <v>3312.21</v>
      </c>
    </row>
    <row r="951" spans="1:2" x14ac:dyDescent="0.25">
      <c r="A951" s="2" t="s">
        <v>133</v>
      </c>
      <c r="B951" s="3">
        <v>2590.92</v>
      </c>
    </row>
    <row r="952" spans="1:2" x14ac:dyDescent="0.25">
      <c r="A952" s="2" t="s">
        <v>2539</v>
      </c>
      <c r="B952" s="3">
        <v>28838525.140000034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5"/>
  <sheetViews>
    <sheetView workbookViewId="0"/>
  </sheetViews>
  <sheetFormatPr defaultRowHeight="15" x14ac:dyDescent="0.25"/>
  <sheetData>
    <row r="1" spans="1:13" x14ac:dyDescent="0.25">
      <c r="A1" t="s">
        <v>951</v>
      </c>
      <c r="B1" t="s">
        <v>952</v>
      </c>
      <c r="C1" t="s">
        <v>953</v>
      </c>
      <c r="D1" t="s">
        <v>954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  <c r="J1" t="s">
        <v>960</v>
      </c>
      <c r="K1" t="s">
        <v>961</v>
      </c>
      <c r="L1" t="s">
        <v>962</v>
      </c>
    </row>
    <row r="2" spans="1:13" x14ac:dyDescent="0.25">
      <c r="A2" t="s">
        <v>940</v>
      </c>
      <c r="B2" t="s">
        <v>2083</v>
      </c>
      <c r="C2" t="s">
        <v>975</v>
      </c>
      <c r="D2" t="s">
        <v>2084</v>
      </c>
      <c r="E2" t="s">
        <v>980</v>
      </c>
      <c r="F2" t="s">
        <v>967</v>
      </c>
      <c r="G2" t="s">
        <v>968</v>
      </c>
      <c r="H2" t="s">
        <v>969</v>
      </c>
      <c r="I2" t="s">
        <v>970</v>
      </c>
      <c r="J2" t="s">
        <v>971</v>
      </c>
      <c r="K2" t="s">
        <v>972</v>
      </c>
      <c r="L2">
        <v>5511.8</v>
      </c>
      <c r="M2">
        <f>+SUMIF(A:A,A2,L:L)</f>
        <v>5511.8</v>
      </c>
    </row>
    <row r="3" spans="1:13" x14ac:dyDescent="0.25">
      <c r="A3" t="s">
        <v>213</v>
      </c>
      <c r="B3" t="s">
        <v>2262</v>
      </c>
      <c r="C3" t="s">
        <v>964</v>
      </c>
      <c r="D3" t="s">
        <v>2263</v>
      </c>
      <c r="E3" t="s">
        <v>980</v>
      </c>
      <c r="F3" t="s">
        <v>967</v>
      </c>
      <c r="G3" t="s">
        <v>968</v>
      </c>
      <c r="H3" t="s">
        <v>969</v>
      </c>
      <c r="I3" t="s">
        <v>970</v>
      </c>
      <c r="J3" t="s">
        <v>971</v>
      </c>
      <c r="K3" t="s">
        <v>972</v>
      </c>
      <c r="L3">
        <v>1862.75</v>
      </c>
      <c r="M3">
        <f t="shared" ref="M3:M66" si="0">+SUMIF(A:A,A3,L:L)</f>
        <v>1862.75</v>
      </c>
    </row>
    <row r="4" spans="1:13" x14ac:dyDescent="0.25">
      <c r="A4" t="s">
        <v>903</v>
      </c>
      <c r="B4" t="s">
        <v>2142</v>
      </c>
      <c r="C4" t="s">
        <v>964</v>
      </c>
      <c r="D4" t="s">
        <v>2134</v>
      </c>
      <c r="E4" t="s">
        <v>966</v>
      </c>
      <c r="F4" t="s">
        <v>967</v>
      </c>
      <c r="G4" t="s">
        <v>968</v>
      </c>
      <c r="H4" t="s">
        <v>969</v>
      </c>
      <c r="I4" t="s">
        <v>970</v>
      </c>
      <c r="J4" t="s">
        <v>971</v>
      </c>
      <c r="K4" t="s">
        <v>972</v>
      </c>
      <c r="L4">
        <v>3781.75</v>
      </c>
      <c r="M4">
        <f t="shared" si="0"/>
        <v>38306.46</v>
      </c>
    </row>
    <row r="5" spans="1:13" x14ac:dyDescent="0.25">
      <c r="A5" t="s">
        <v>903</v>
      </c>
      <c r="B5" t="s">
        <v>2143</v>
      </c>
      <c r="C5" t="s">
        <v>964</v>
      </c>
      <c r="D5" t="s">
        <v>2134</v>
      </c>
      <c r="E5" t="s">
        <v>966</v>
      </c>
      <c r="F5" t="s">
        <v>967</v>
      </c>
      <c r="G5" t="s">
        <v>968</v>
      </c>
      <c r="H5" t="s">
        <v>969</v>
      </c>
      <c r="I5" t="s">
        <v>970</v>
      </c>
      <c r="J5" t="s">
        <v>971</v>
      </c>
      <c r="K5" t="s">
        <v>972</v>
      </c>
      <c r="L5">
        <v>3781.75</v>
      </c>
      <c r="M5">
        <f t="shared" si="0"/>
        <v>38306.46</v>
      </c>
    </row>
    <row r="6" spans="1:13" x14ac:dyDescent="0.25">
      <c r="A6" t="s">
        <v>903</v>
      </c>
      <c r="B6" t="s">
        <v>2144</v>
      </c>
      <c r="C6" t="s">
        <v>964</v>
      </c>
      <c r="D6" t="s">
        <v>2134</v>
      </c>
      <c r="E6" t="s">
        <v>966</v>
      </c>
      <c r="F6" t="s">
        <v>967</v>
      </c>
      <c r="G6" t="s">
        <v>968</v>
      </c>
      <c r="H6" t="s">
        <v>969</v>
      </c>
      <c r="I6" t="s">
        <v>970</v>
      </c>
      <c r="J6" t="s">
        <v>971</v>
      </c>
      <c r="K6" t="s">
        <v>972</v>
      </c>
      <c r="L6">
        <v>3781.75</v>
      </c>
      <c r="M6">
        <f t="shared" si="0"/>
        <v>38306.46</v>
      </c>
    </row>
    <row r="7" spans="1:13" x14ac:dyDescent="0.25">
      <c r="A7" t="s">
        <v>903</v>
      </c>
      <c r="B7" t="s">
        <v>2145</v>
      </c>
      <c r="C7" t="s">
        <v>964</v>
      </c>
      <c r="D7" t="s">
        <v>2134</v>
      </c>
      <c r="E7" t="s">
        <v>966</v>
      </c>
      <c r="F7" t="s">
        <v>967</v>
      </c>
      <c r="G7" t="s">
        <v>968</v>
      </c>
      <c r="H7" t="s">
        <v>969</v>
      </c>
      <c r="I7" t="s">
        <v>970</v>
      </c>
      <c r="J7" t="s">
        <v>971</v>
      </c>
      <c r="K7" t="s">
        <v>972</v>
      </c>
      <c r="L7">
        <v>3781.75</v>
      </c>
      <c r="M7">
        <f t="shared" si="0"/>
        <v>38306.46</v>
      </c>
    </row>
    <row r="8" spans="1:13" x14ac:dyDescent="0.25">
      <c r="A8" t="s">
        <v>903</v>
      </c>
      <c r="B8" t="s">
        <v>2146</v>
      </c>
      <c r="C8" t="s">
        <v>964</v>
      </c>
      <c r="D8" t="s">
        <v>2134</v>
      </c>
      <c r="E8" t="s">
        <v>966</v>
      </c>
      <c r="F8" t="s">
        <v>967</v>
      </c>
      <c r="G8" t="s">
        <v>968</v>
      </c>
      <c r="H8" t="s">
        <v>969</v>
      </c>
      <c r="I8" t="s">
        <v>970</v>
      </c>
      <c r="J8" t="s">
        <v>971</v>
      </c>
      <c r="K8" t="s">
        <v>972</v>
      </c>
      <c r="L8">
        <v>3781.75</v>
      </c>
      <c r="M8">
        <f t="shared" si="0"/>
        <v>38306.46</v>
      </c>
    </row>
    <row r="9" spans="1:13" x14ac:dyDescent="0.25">
      <c r="A9" t="s">
        <v>595</v>
      </c>
      <c r="B9" t="s">
        <v>2148</v>
      </c>
      <c r="C9" t="s">
        <v>975</v>
      </c>
      <c r="D9" t="s">
        <v>2134</v>
      </c>
      <c r="E9" t="s">
        <v>966</v>
      </c>
      <c r="F9" t="s">
        <v>967</v>
      </c>
      <c r="G9" t="s">
        <v>968</v>
      </c>
      <c r="H9" t="s">
        <v>969</v>
      </c>
      <c r="I9" t="s">
        <v>970</v>
      </c>
      <c r="J9" t="s">
        <v>971</v>
      </c>
      <c r="K9" t="s">
        <v>972</v>
      </c>
      <c r="L9">
        <v>3757.91</v>
      </c>
      <c r="M9">
        <f t="shared" si="0"/>
        <v>38306.46</v>
      </c>
    </row>
    <row r="10" spans="1:13" x14ac:dyDescent="0.25">
      <c r="A10" t="s">
        <v>885</v>
      </c>
      <c r="B10" t="s">
        <v>2133</v>
      </c>
      <c r="C10" t="s">
        <v>975</v>
      </c>
      <c r="D10" t="s">
        <v>2134</v>
      </c>
      <c r="E10" t="s">
        <v>966</v>
      </c>
      <c r="F10" t="s">
        <v>967</v>
      </c>
      <c r="G10" t="s">
        <v>968</v>
      </c>
      <c r="H10" t="s">
        <v>969</v>
      </c>
      <c r="I10" t="s">
        <v>970</v>
      </c>
      <c r="J10" t="s">
        <v>971</v>
      </c>
      <c r="K10" t="s">
        <v>972</v>
      </c>
      <c r="L10">
        <v>3909.95</v>
      </c>
      <c r="M10">
        <f t="shared" si="0"/>
        <v>38306.46</v>
      </c>
    </row>
    <row r="11" spans="1:13" x14ac:dyDescent="0.25">
      <c r="A11" t="s">
        <v>885</v>
      </c>
      <c r="B11" t="s">
        <v>2135</v>
      </c>
      <c r="C11" t="s">
        <v>975</v>
      </c>
      <c r="D11" t="s">
        <v>2134</v>
      </c>
      <c r="E11" t="s">
        <v>966</v>
      </c>
      <c r="F11" t="s">
        <v>967</v>
      </c>
      <c r="G11" t="s">
        <v>968</v>
      </c>
      <c r="H11" t="s">
        <v>969</v>
      </c>
      <c r="I11" t="s">
        <v>970</v>
      </c>
      <c r="J11" t="s">
        <v>971</v>
      </c>
      <c r="K11" t="s">
        <v>972</v>
      </c>
      <c r="L11">
        <v>3909.95</v>
      </c>
      <c r="M11">
        <f t="shared" si="0"/>
        <v>38306.46</v>
      </c>
    </row>
    <row r="12" spans="1:13" x14ac:dyDescent="0.25">
      <c r="A12" t="s">
        <v>885</v>
      </c>
      <c r="B12" t="s">
        <v>2136</v>
      </c>
      <c r="C12" t="s">
        <v>975</v>
      </c>
      <c r="D12" t="s">
        <v>2134</v>
      </c>
      <c r="E12" t="s">
        <v>966</v>
      </c>
      <c r="F12" t="s">
        <v>967</v>
      </c>
      <c r="G12" t="s">
        <v>968</v>
      </c>
      <c r="H12" t="s">
        <v>969</v>
      </c>
      <c r="I12" t="s">
        <v>970</v>
      </c>
      <c r="J12" t="s">
        <v>971</v>
      </c>
      <c r="K12" t="s">
        <v>972</v>
      </c>
      <c r="L12">
        <v>3909.95</v>
      </c>
      <c r="M12">
        <f t="shared" si="0"/>
        <v>38306.46</v>
      </c>
    </row>
    <row r="13" spans="1:13" x14ac:dyDescent="0.25">
      <c r="A13" t="s">
        <v>885</v>
      </c>
      <c r="B13" t="s">
        <v>2137</v>
      </c>
      <c r="C13" t="s">
        <v>975</v>
      </c>
      <c r="D13" t="s">
        <v>2134</v>
      </c>
      <c r="E13" t="s">
        <v>966</v>
      </c>
      <c r="F13" t="s">
        <v>967</v>
      </c>
      <c r="G13" t="s">
        <v>968</v>
      </c>
      <c r="H13" t="s">
        <v>969</v>
      </c>
      <c r="I13" t="s">
        <v>970</v>
      </c>
      <c r="J13" t="s">
        <v>971</v>
      </c>
      <c r="K13" t="s">
        <v>972</v>
      </c>
      <c r="L13">
        <v>3909.95</v>
      </c>
      <c r="M13">
        <f t="shared" si="0"/>
        <v>38306.46</v>
      </c>
    </row>
    <row r="14" spans="1:13" x14ac:dyDescent="0.25">
      <c r="A14" t="s">
        <v>418</v>
      </c>
      <c r="B14" t="s">
        <v>1620</v>
      </c>
      <c r="C14" t="s">
        <v>964</v>
      </c>
      <c r="D14" t="s">
        <v>1621</v>
      </c>
      <c r="E14" t="s">
        <v>1369</v>
      </c>
      <c r="F14" t="s">
        <v>967</v>
      </c>
      <c r="G14" t="s">
        <v>968</v>
      </c>
      <c r="H14" t="s">
        <v>969</v>
      </c>
      <c r="I14" t="s">
        <v>970</v>
      </c>
      <c r="J14" t="s">
        <v>971</v>
      </c>
      <c r="K14" t="s">
        <v>972</v>
      </c>
      <c r="L14">
        <v>25621.69</v>
      </c>
      <c r="M14">
        <f t="shared" si="0"/>
        <v>25621.69</v>
      </c>
    </row>
    <row r="15" spans="1:13" x14ac:dyDescent="0.25">
      <c r="A15" t="s">
        <v>289</v>
      </c>
      <c r="B15" t="s">
        <v>2138</v>
      </c>
      <c r="C15" t="s">
        <v>975</v>
      </c>
      <c r="D15" t="s">
        <v>2139</v>
      </c>
      <c r="E15" t="s">
        <v>966</v>
      </c>
      <c r="F15" t="s">
        <v>967</v>
      </c>
      <c r="G15" t="s">
        <v>968</v>
      </c>
      <c r="H15" t="s">
        <v>969</v>
      </c>
      <c r="I15" t="s">
        <v>970</v>
      </c>
      <c r="J15" t="s">
        <v>971</v>
      </c>
      <c r="K15" t="s">
        <v>972</v>
      </c>
      <c r="L15">
        <v>3880.34</v>
      </c>
      <c r="M15">
        <f t="shared" si="0"/>
        <v>3880.34</v>
      </c>
    </row>
    <row r="16" spans="1:13" x14ac:dyDescent="0.25">
      <c r="A16" t="s">
        <v>444</v>
      </c>
      <c r="B16" t="s">
        <v>2092</v>
      </c>
      <c r="C16" t="s">
        <v>964</v>
      </c>
      <c r="D16" t="s">
        <v>2093</v>
      </c>
      <c r="E16" t="s">
        <v>966</v>
      </c>
      <c r="F16" t="s">
        <v>967</v>
      </c>
      <c r="G16" t="s">
        <v>968</v>
      </c>
      <c r="H16" t="s">
        <v>969</v>
      </c>
      <c r="I16" t="s">
        <v>970</v>
      </c>
      <c r="J16" t="s">
        <v>971</v>
      </c>
      <c r="K16" t="s">
        <v>972</v>
      </c>
      <c r="L16">
        <v>5327.44</v>
      </c>
      <c r="M16">
        <f t="shared" si="0"/>
        <v>53274.400000000001</v>
      </c>
    </row>
    <row r="17" spans="1:13" x14ac:dyDescent="0.25">
      <c r="A17" t="s">
        <v>444</v>
      </c>
      <c r="B17" t="s">
        <v>2094</v>
      </c>
      <c r="C17" t="s">
        <v>964</v>
      </c>
      <c r="D17" t="s">
        <v>2093</v>
      </c>
      <c r="E17" t="s">
        <v>966</v>
      </c>
      <c r="F17" t="s">
        <v>967</v>
      </c>
      <c r="G17" t="s">
        <v>968</v>
      </c>
      <c r="H17" t="s">
        <v>969</v>
      </c>
      <c r="I17" t="s">
        <v>970</v>
      </c>
      <c r="J17" t="s">
        <v>971</v>
      </c>
      <c r="K17" t="s">
        <v>972</v>
      </c>
      <c r="L17">
        <v>5327.44</v>
      </c>
      <c r="M17">
        <f t="shared" si="0"/>
        <v>53274.400000000001</v>
      </c>
    </row>
    <row r="18" spans="1:13" x14ac:dyDescent="0.25">
      <c r="A18" t="s">
        <v>444</v>
      </c>
      <c r="B18" t="s">
        <v>2095</v>
      </c>
      <c r="C18" t="s">
        <v>964</v>
      </c>
      <c r="D18" t="s">
        <v>2093</v>
      </c>
      <c r="E18" t="s">
        <v>966</v>
      </c>
      <c r="F18" t="s">
        <v>967</v>
      </c>
      <c r="G18" t="s">
        <v>968</v>
      </c>
      <c r="H18" t="s">
        <v>969</v>
      </c>
      <c r="I18" t="s">
        <v>970</v>
      </c>
      <c r="J18" t="s">
        <v>971</v>
      </c>
      <c r="K18" t="s">
        <v>972</v>
      </c>
      <c r="L18">
        <v>5327.44</v>
      </c>
      <c r="M18">
        <f t="shared" si="0"/>
        <v>53274.400000000001</v>
      </c>
    </row>
    <row r="19" spans="1:13" x14ac:dyDescent="0.25">
      <c r="A19" t="s">
        <v>444</v>
      </c>
      <c r="B19" t="s">
        <v>2096</v>
      </c>
      <c r="C19" t="s">
        <v>964</v>
      </c>
      <c r="D19" t="s">
        <v>2093</v>
      </c>
      <c r="E19" t="s">
        <v>966</v>
      </c>
      <c r="F19" t="s">
        <v>967</v>
      </c>
      <c r="G19" t="s">
        <v>968</v>
      </c>
      <c r="H19" t="s">
        <v>969</v>
      </c>
      <c r="I19" t="s">
        <v>970</v>
      </c>
      <c r="J19" t="s">
        <v>971</v>
      </c>
      <c r="K19" t="s">
        <v>972</v>
      </c>
      <c r="L19">
        <v>5327.44</v>
      </c>
      <c r="M19">
        <f t="shared" si="0"/>
        <v>53274.400000000001</v>
      </c>
    </row>
    <row r="20" spans="1:13" x14ac:dyDescent="0.25">
      <c r="A20" t="s">
        <v>444</v>
      </c>
      <c r="B20" t="s">
        <v>2097</v>
      </c>
      <c r="C20" t="s">
        <v>964</v>
      </c>
      <c r="D20" t="s">
        <v>2093</v>
      </c>
      <c r="E20" t="s">
        <v>966</v>
      </c>
      <c r="F20" t="s">
        <v>967</v>
      </c>
      <c r="G20" t="s">
        <v>968</v>
      </c>
      <c r="H20" t="s">
        <v>969</v>
      </c>
      <c r="I20" t="s">
        <v>970</v>
      </c>
      <c r="J20" t="s">
        <v>971</v>
      </c>
      <c r="K20" t="s">
        <v>972</v>
      </c>
      <c r="L20">
        <v>5327.44</v>
      </c>
      <c r="M20">
        <f t="shared" si="0"/>
        <v>53274.400000000001</v>
      </c>
    </row>
    <row r="21" spans="1:13" x14ac:dyDescent="0.25">
      <c r="A21" t="s">
        <v>444</v>
      </c>
      <c r="B21" t="s">
        <v>2098</v>
      </c>
      <c r="C21" t="s">
        <v>964</v>
      </c>
      <c r="D21" t="s">
        <v>2093</v>
      </c>
      <c r="E21" t="s">
        <v>966</v>
      </c>
      <c r="F21" t="s">
        <v>967</v>
      </c>
      <c r="G21" t="s">
        <v>968</v>
      </c>
      <c r="H21" t="s">
        <v>969</v>
      </c>
      <c r="I21" t="s">
        <v>970</v>
      </c>
      <c r="J21" t="s">
        <v>971</v>
      </c>
      <c r="K21" t="s">
        <v>972</v>
      </c>
      <c r="L21">
        <v>5327.44</v>
      </c>
      <c r="M21">
        <f t="shared" si="0"/>
        <v>53274.400000000001</v>
      </c>
    </row>
    <row r="22" spans="1:13" x14ac:dyDescent="0.25">
      <c r="A22" t="s">
        <v>444</v>
      </c>
      <c r="B22" t="s">
        <v>2099</v>
      </c>
      <c r="C22" t="s">
        <v>964</v>
      </c>
      <c r="D22" t="s">
        <v>2093</v>
      </c>
      <c r="E22" t="s">
        <v>966</v>
      </c>
      <c r="F22" t="s">
        <v>967</v>
      </c>
      <c r="G22" t="s">
        <v>968</v>
      </c>
      <c r="H22" t="s">
        <v>969</v>
      </c>
      <c r="I22" t="s">
        <v>970</v>
      </c>
      <c r="J22" t="s">
        <v>971</v>
      </c>
      <c r="K22" t="s">
        <v>972</v>
      </c>
      <c r="L22">
        <v>5327.44</v>
      </c>
      <c r="M22">
        <f t="shared" si="0"/>
        <v>53274.400000000001</v>
      </c>
    </row>
    <row r="23" spans="1:13" x14ac:dyDescent="0.25">
      <c r="A23" t="s">
        <v>444</v>
      </c>
      <c r="B23" t="s">
        <v>2100</v>
      </c>
      <c r="C23" t="s">
        <v>964</v>
      </c>
      <c r="D23" t="s">
        <v>2093</v>
      </c>
      <c r="E23" t="s">
        <v>966</v>
      </c>
      <c r="F23" t="s">
        <v>967</v>
      </c>
      <c r="G23" t="s">
        <v>968</v>
      </c>
      <c r="H23" t="s">
        <v>969</v>
      </c>
      <c r="I23" t="s">
        <v>970</v>
      </c>
      <c r="J23" t="s">
        <v>971</v>
      </c>
      <c r="K23" t="s">
        <v>972</v>
      </c>
      <c r="L23">
        <v>5327.44</v>
      </c>
      <c r="M23">
        <f t="shared" si="0"/>
        <v>53274.400000000001</v>
      </c>
    </row>
    <row r="24" spans="1:13" x14ac:dyDescent="0.25">
      <c r="A24" t="s">
        <v>444</v>
      </c>
      <c r="B24" t="s">
        <v>2101</v>
      </c>
      <c r="C24" t="s">
        <v>964</v>
      </c>
      <c r="D24" t="s">
        <v>2093</v>
      </c>
      <c r="E24" t="s">
        <v>966</v>
      </c>
      <c r="F24" t="s">
        <v>967</v>
      </c>
      <c r="G24" t="s">
        <v>968</v>
      </c>
      <c r="H24" t="s">
        <v>969</v>
      </c>
      <c r="I24" t="s">
        <v>970</v>
      </c>
      <c r="J24" t="s">
        <v>971</v>
      </c>
      <c r="K24" t="s">
        <v>972</v>
      </c>
      <c r="L24">
        <v>5327.44</v>
      </c>
      <c r="M24">
        <f t="shared" si="0"/>
        <v>53274.400000000001</v>
      </c>
    </row>
    <row r="25" spans="1:13" x14ac:dyDescent="0.25">
      <c r="A25" t="s">
        <v>444</v>
      </c>
      <c r="B25" t="s">
        <v>2102</v>
      </c>
      <c r="C25" t="s">
        <v>964</v>
      </c>
      <c r="D25" t="s">
        <v>2093</v>
      </c>
      <c r="E25" t="s">
        <v>966</v>
      </c>
      <c r="F25" t="s">
        <v>967</v>
      </c>
      <c r="G25" t="s">
        <v>968</v>
      </c>
      <c r="H25" t="s">
        <v>969</v>
      </c>
      <c r="I25" t="s">
        <v>970</v>
      </c>
      <c r="J25" t="s">
        <v>971</v>
      </c>
      <c r="K25" t="s">
        <v>972</v>
      </c>
      <c r="L25">
        <v>5327.44</v>
      </c>
      <c r="M25">
        <f t="shared" si="0"/>
        <v>53274.400000000001</v>
      </c>
    </row>
    <row r="26" spans="1:13" x14ac:dyDescent="0.25">
      <c r="A26" t="s">
        <v>305</v>
      </c>
      <c r="B26" t="s">
        <v>2196</v>
      </c>
      <c r="C26" t="s">
        <v>975</v>
      </c>
      <c r="D26" t="s">
        <v>2093</v>
      </c>
      <c r="E26" t="s">
        <v>966</v>
      </c>
      <c r="F26" t="s">
        <v>967</v>
      </c>
      <c r="G26" t="s">
        <v>968</v>
      </c>
      <c r="H26" t="s">
        <v>969</v>
      </c>
      <c r="I26" t="s">
        <v>970</v>
      </c>
      <c r="J26" t="s">
        <v>971</v>
      </c>
      <c r="K26" t="s">
        <v>972</v>
      </c>
      <c r="L26">
        <v>2934.52</v>
      </c>
      <c r="M26">
        <f t="shared" si="0"/>
        <v>14672.6</v>
      </c>
    </row>
    <row r="27" spans="1:13" x14ac:dyDescent="0.25">
      <c r="A27" t="s">
        <v>305</v>
      </c>
      <c r="B27" t="s">
        <v>2197</v>
      </c>
      <c r="C27" t="s">
        <v>975</v>
      </c>
      <c r="D27" t="s">
        <v>2093</v>
      </c>
      <c r="E27" t="s">
        <v>966</v>
      </c>
      <c r="F27" t="s">
        <v>967</v>
      </c>
      <c r="G27" t="s">
        <v>968</v>
      </c>
      <c r="H27" t="s">
        <v>969</v>
      </c>
      <c r="I27" t="s">
        <v>970</v>
      </c>
      <c r="J27" t="s">
        <v>971</v>
      </c>
      <c r="K27" t="s">
        <v>972</v>
      </c>
      <c r="L27">
        <v>2934.52</v>
      </c>
      <c r="M27">
        <f t="shared" si="0"/>
        <v>14672.6</v>
      </c>
    </row>
    <row r="28" spans="1:13" x14ac:dyDescent="0.25">
      <c r="A28" t="s">
        <v>305</v>
      </c>
      <c r="B28" t="s">
        <v>2198</v>
      </c>
      <c r="C28" t="s">
        <v>975</v>
      </c>
      <c r="D28" t="s">
        <v>2093</v>
      </c>
      <c r="E28" t="s">
        <v>966</v>
      </c>
      <c r="F28" t="s">
        <v>967</v>
      </c>
      <c r="G28" t="s">
        <v>968</v>
      </c>
      <c r="H28" t="s">
        <v>969</v>
      </c>
      <c r="I28" t="s">
        <v>970</v>
      </c>
      <c r="J28" t="s">
        <v>971</v>
      </c>
      <c r="K28" t="s">
        <v>972</v>
      </c>
      <c r="L28">
        <v>2934.52</v>
      </c>
      <c r="M28">
        <f t="shared" si="0"/>
        <v>14672.6</v>
      </c>
    </row>
    <row r="29" spans="1:13" x14ac:dyDescent="0.25">
      <c r="A29" t="s">
        <v>305</v>
      </c>
      <c r="B29" t="s">
        <v>2199</v>
      </c>
      <c r="C29" t="s">
        <v>975</v>
      </c>
      <c r="D29" t="s">
        <v>2093</v>
      </c>
      <c r="E29" t="s">
        <v>966</v>
      </c>
      <c r="F29" t="s">
        <v>967</v>
      </c>
      <c r="G29" t="s">
        <v>968</v>
      </c>
      <c r="H29" t="s">
        <v>969</v>
      </c>
      <c r="I29" t="s">
        <v>970</v>
      </c>
      <c r="J29" t="s">
        <v>971</v>
      </c>
      <c r="K29" t="s">
        <v>972</v>
      </c>
      <c r="L29">
        <v>2934.52</v>
      </c>
      <c r="M29">
        <f t="shared" si="0"/>
        <v>14672.6</v>
      </c>
    </row>
    <row r="30" spans="1:13" x14ac:dyDescent="0.25">
      <c r="A30" t="s">
        <v>305</v>
      </c>
      <c r="B30" t="s">
        <v>2200</v>
      </c>
      <c r="C30" t="s">
        <v>975</v>
      </c>
      <c r="D30" t="s">
        <v>2093</v>
      </c>
      <c r="E30" t="s">
        <v>966</v>
      </c>
      <c r="F30" t="s">
        <v>967</v>
      </c>
      <c r="G30" t="s">
        <v>968</v>
      </c>
      <c r="H30" t="s">
        <v>969</v>
      </c>
      <c r="I30" t="s">
        <v>970</v>
      </c>
      <c r="J30" t="s">
        <v>971</v>
      </c>
      <c r="K30" t="s">
        <v>972</v>
      </c>
      <c r="L30">
        <v>2934.52</v>
      </c>
      <c r="M30">
        <f t="shared" si="0"/>
        <v>14672.6</v>
      </c>
    </row>
    <row r="31" spans="1:13" x14ac:dyDescent="0.25">
      <c r="A31" t="s">
        <v>115</v>
      </c>
      <c r="B31" t="s">
        <v>2340</v>
      </c>
      <c r="C31" t="s">
        <v>975</v>
      </c>
      <c r="D31" t="s">
        <v>2341</v>
      </c>
      <c r="E31" t="s">
        <v>1223</v>
      </c>
      <c r="F31" t="s">
        <v>967</v>
      </c>
      <c r="G31" t="s">
        <v>968</v>
      </c>
      <c r="H31" t="s">
        <v>969</v>
      </c>
      <c r="I31" t="s">
        <v>970</v>
      </c>
      <c r="J31" t="s">
        <v>971</v>
      </c>
      <c r="K31" t="s">
        <v>972</v>
      </c>
      <c r="L31">
        <v>1103.99</v>
      </c>
      <c r="M31">
        <f t="shared" si="0"/>
        <v>2207.98</v>
      </c>
    </row>
    <row r="32" spans="1:13" x14ac:dyDescent="0.25">
      <c r="A32" t="s">
        <v>115</v>
      </c>
      <c r="B32" t="s">
        <v>2342</v>
      </c>
      <c r="C32" t="s">
        <v>975</v>
      </c>
      <c r="D32" t="s">
        <v>2341</v>
      </c>
      <c r="E32" t="s">
        <v>1223</v>
      </c>
      <c r="F32" t="s">
        <v>967</v>
      </c>
      <c r="G32" t="s">
        <v>968</v>
      </c>
      <c r="H32" t="s">
        <v>969</v>
      </c>
      <c r="I32" t="s">
        <v>970</v>
      </c>
      <c r="J32" t="s">
        <v>971</v>
      </c>
      <c r="K32" t="s">
        <v>972</v>
      </c>
      <c r="L32">
        <v>1103.99</v>
      </c>
      <c r="M32">
        <f t="shared" si="0"/>
        <v>2207.98</v>
      </c>
    </row>
    <row r="33" spans="1:13" x14ac:dyDescent="0.25">
      <c r="A33" t="s">
        <v>466</v>
      </c>
      <c r="B33" t="s">
        <v>1925</v>
      </c>
      <c r="C33" t="s">
        <v>1114</v>
      </c>
      <c r="D33" t="s">
        <v>1924</v>
      </c>
      <c r="E33" t="s">
        <v>1223</v>
      </c>
      <c r="F33" t="s">
        <v>967</v>
      </c>
      <c r="G33" t="s">
        <v>968</v>
      </c>
      <c r="H33" t="s">
        <v>969</v>
      </c>
      <c r="I33" t="s">
        <v>970</v>
      </c>
      <c r="J33" t="s">
        <v>971</v>
      </c>
      <c r="K33" t="s">
        <v>972</v>
      </c>
      <c r="L33">
        <v>11023.05</v>
      </c>
      <c r="M33">
        <f t="shared" si="0"/>
        <v>11023.05</v>
      </c>
    </row>
    <row r="34" spans="1:13" x14ac:dyDescent="0.25">
      <c r="A34" t="s">
        <v>423</v>
      </c>
      <c r="B34" t="s">
        <v>2130</v>
      </c>
      <c r="C34" t="s">
        <v>975</v>
      </c>
      <c r="D34" t="s">
        <v>1924</v>
      </c>
      <c r="E34" t="s">
        <v>977</v>
      </c>
      <c r="F34" t="s">
        <v>967</v>
      </c>
      <c r="G34" t="s">
        <v>968</v>
      </c>
      <c r="H34" t="s">
        <v>969</v>
      </c>
      <c r="I34" t="s">
        <v>970</v>
      </c>
      <c r="J34" t="s">
        <v>971</v>
      </c>
      <c r="K34" t="s">
        <v>972</v>
      </c>
      <c r="L34">
        <v>4024.33</v>
      </c>
      <c r="M34">
        <f t="shared" si="0"/>
        <v>4024.33</v>
      </c>
    </row>
    <row r="35" spans="1:13" x14ac:dyDescent="0.25">
      <c r="A35" t="s">
        <v>225</v>
      </c>
      <c r="B35" t="s">
        <v>2129</v>
      </c>
      <c r="C35" t="s">
        <v>975</v>
      </c>
      <c r="D35" t="s">
        <v>1924</v>
      </c>
      <c r="E35" t="s">
        <v>977</v>
      </c>
      <c r="F35" t="s">
        <v>967</v>
      </c>
      <c r="G35" t="s">
        <v>968</v>
      </c>
      <c r="H35" t="s">
        <v>969</v>
      </c>
      <c r="I35" t="s">
        <v>970</v>
      </c>
      <c r="J35" t="s">
        <v>971</v>
      </c>
      <c r="K35" t="s">
        <v>972</v>
      </c>
      <c r="L35">
        <v>4024.33</v>
      </c>
      <c r="M35">
        <f t="shared" si="0"/>
        <v>4024.33</v>
      </c>
    </row>
    <row r="36" spans="1:13" x14ac:dyDescent="0.25">
      <c r="A36" t="s">
        <v>37</v>
      </c>
      <c r="B36" t="s">
        <v>2347</v>
      </c>
      <c r="C36" t="s">
        <v>975</v>
      </c>
      <c r="D36" t="s">
        <v>2348</v>
      </c>
      <c r="E36" t="s">
        <v>977</v>
      </c>
      <c r="F36" t="s">
        <v>967</v>
      </c>
      <c r="G36" t="s">
        <v>968</v>
      </c>
      <c r="H36" t="s">
        <v>969</v>
      </c>
      <c r="I36" t="s">
        <v>970</v>
      </c>
      <c r="J36" t="s">
        <v>971</v>
      </c>
      <c r="K36" t="s">
        <v>972</v>
      </c>
      <c r="L36">
        <v>1103.99</v>
      </c>
      <c r="M36">
        <f t="shared" si="0"/>
        <v>1103.99</v>
      </c>
    </row>
    <row r="37" spans="1:13" x14ac:dyDescent="0.25">
      <c r="A37" t="s">
        <v>408</v>
      </c>
      <c r="B37" t="s">
        <v>2276</v>
      </c>
      <c r="C37" t="s">
        <v>975</v>
      </c>
      <c r="D37" t="s">
        <v>1970</v>
      </c>
      <c r="E37" t="s">
        <v>977</v>
      </c>
      <c r="F37" t="s">
        <v>967</v>
      </c>
      <c r="G37" t="s">
        <v>968</v>
      </c>
      <c r="H37" t="s">
        <v>969</v>
      </c>
      <c r="I37" t="s">
        <v>970</v>
      </c>
      <c r="J37" t="s">
        <v>971</v>
      </c>
      <c r="K37" t="s">
        <v>972</v>
      </c>
      <c r="L37">
        <v>1773.2</v>
      </c>
      <c r="M37">
        <f t="shared" si="0"/>
        <v>7662.7</v>
      </c>
    </row>
    <row r="38" spans="1:13" x14ac:dyDescent="0.25">
      <c r="A38" t="s">
        <v>529</v>
      </c>
      <c r="B38" t="s">
        <v>2113</v>
      </c>
      <c r="C38" t="s">
        <v>975</v>
      </c>
      <c r="D38" t="s">
        <v>2112</v>
      </c>
      <c r="E38" t="s">
        <v>977</v>
      </c>
      <c r="F38" t="s">
        <v>967</v>
      </c>
      <c r="G38" t="s">
        <v>968</v>
      </c>
      <c r="H38" t="s">
        <v>969</v>
      </c>
      <c r="I38" t="s">
        <v>970</v>
      </c>
      <c r="J38" t="s">
        <v>971</v>
      </c>
      <c r="K38" t="s">
        <v>972</v>
      </c>
      <c r="L38">
        <v>4787.08</v>
      </c>
      <c r="M38">
        <f t="shared" si="0"/>
        <v>7662.7</v>
      </c>
    </row>
    <row r="39" spans="1:13" x14ac:dyDescent="0.25">
      <c r="A39" t="s">
        <v>851</v>
      </c>
      <c r="B39" t="s">
        <v>2355</v>
      </c>
      <c r="C39" t="s">
        <v>964</v>
      </c>
      <c r="D39" t="s">
        <v>1970</v>
      </c>
      <c r="E39" t="s">
        <v>977</v>
      </c>
      <c r="F39" t="s">
        <v>967</v>
      </c>
      <c r="G39" t="s">
        <v>968</v>
      </c>
      <c r="H39" t="s">
        <v>969</v>
      </c>
      <c r="I39" t="s">
        <v>970</v>
      </c>
      <c r="J39" t="s">
        <v>971</v>
      </c>
      <c r="K39" t="s">
        <v>972</v>
      </c>
      <c r="L39">
        <v>1102.42</v>
      </c>
      <c r="M39">
        <f t="shared" si="0"/>
        <v>7662.7</v>
      </c>
    </row>
    <row r="40" spans="1:13" x14ac:dyDescent="0.25">
      <c r="A40" t="s">
        <v>367</v>
      </c>
      <c r="B40" t="s">
        <v>1923</v>
      </c>
      <c r="C40" t="s">
        <v>1114</v>
      </c>
      <c r="D40" t="s">
        <v>1924</v>
      </c>
      <c r="E40" t="s">
        <v>1223</v>
      </c>
      <c r="F40" t="s">
        <v>967</v>
      </c>
      <c r="G40" t="s">
        <v>968</v>
      </c>
      <c r="H40" t="s">
        <v>969</v>
      </c>
      <c r="I40" t="s">
        <v>970</v>
      </c>
      <c r="J40" t="s">
        <v>971</v>
      </c>
      <c r="K40" t="s">
        <v>972</v>
      </c>
      <c r="L40">
        <v>11023.05</v>
      </c>
      <c r="M40">
        <f t="shared" si="0"/>
        <v>19117.39</v>
      </c>
    </row>
    <row r="41" spans="1:13" x14ac:dyDescent="0.25">
      <c r="A41" t="s">
        <v>660</v>
      </c>
      <c r="B41" t="s">
        <v>2111</v>
      </c>
      <c r="C41" t="s">
        <v>975</v>
      </c>
      <c r="D41" t="s">
        <v>2112</v>
      </c>
      <c r="E41" t="s">
        <v>977</v>
      </c>
      <c r="F41" t="s">
        <v>967</v>
      </c>
      <c r="G41" t="s">
        <v>968</v>
      </c>
      <c r="H41" t="s">
        <v>969</v>
      </c>
      <c r="I41" t="s">
        <v>970</v>
      </c>
      <c r="J41" t="s">
        <v>971</v>
      </c>
      <c r="K41" t="s">
        <v>972</v>
      </c>
      <c r="L41">
        <v>4787.08</v>
      </c>
      <c r="M41">
        <f t="shared" si="0"/>
        <v>19117.39</v>
      </c>
    </row>
    <row r="42" spans="1:13" x14ac:dyDescent="0.25">
      <c r="A42" t="s">
        <v>883</v>
      </c>
      <c r="B42" t="s">
        <v>2354</v>
      </c>
      <c r="C42" t="s">
        <v>964</v>
      </c>
      <c r="D42" t="s">
        <v>1970</v>
      </c>
      <c r="E42" t="s">
        <v>977</v>
      </c>
      <c r="F42" t="s">
        <v>967</v>
      </c>
      <c r="G42" t="s">
        <v>968</v>
      </c>
      <c r="H42" t="s">
        <v>969</v>
      </c>
      <c r="I42" t="s">
        <v>970</v>
      </c>
      <c r="J42" t="s">
        <v>971</v>
      </c>
      <c r="K42" t="s">
        <v>972</v>
      </c>
      <c r="L42">
        <v>1102.42</v>
      </c>
      <c r="M42">
        <f t="shared" si="0"/>
        <v>19117.39</v>
      </c>
    </row>
    <row r="43" spans="1:13" x14ac:dyDescent="0.25">
      <c r="A43" t="s">
        <v>299</v>
      </c>
      <c r="B43" t="s">
        <v>2353</v>
      </c>
      <c r="C43" t="s">
        <v>964</v>
      </c>
      <c r="D43" t="s">
        <v>1970</v>
      </c>
      <c r="E43" t="s">
        <v>977</v>
      </c>
      <c r="F43" t="s">
        <v>967</v>
      </c>
      <c r="G43" t="s">
        <v>968</v>
      </c>
      <c r="H43" t="s">
        <v>969</v>
      </c>
      <c r="I43" t="s">
        <v>970</v>
      </c>
      <c r="J43" t="s">
        <v>971</v>
      </c>
      <c r="K43" t="s">
        <v>972</v>
      </c>
      <c r="L43">
        <v>1102.42</v>
      </c>
      <c r="M43">
        <f t="shared" si="0"/>
        <v>19117.39</v>
      </c>
    </row>
    <row r="44" spans="1:13" x14ac:dyDescent="0.25">
      <c r="A44" t="s">
        <v>29</v>
      </c>
      <c r="B44" t="s">
        <v>2356</v>
      </c>
      <c r="C44" t="s">
        <v>964</v>
      </c>
      <c r="D44" t="s">
        <v>1970</v>
      </c>
      <c r="E44" t="s">
        <v>977</v>
      </c>
      <c r="F44" t="s">
        <v>967</v>
      </c>
      <c r="G44" t="s">
        <v>968</v>
      </c>
      <c r="H44" t="s">
        <v>969</v>
      </c>
      <c r="I44" t="s">
        <v>970</v>
      </c>
      <c r="J44" t="s">
        <v>971</v>
      </c>
      <c r="K44" t="s">
        <v>972</v>
      </c>
      <c r="L44">
        <v>1102.42</v>
      </c>
      <c r="M44">
        <f t="shared" si="0"/>
        <v>19117.39</v>
      </c>
    </row>
    <row r="45" spans="1:13" x14ac:dyDescent="0.25">
      <c r="A45" t="s">
        <v>221</v>
      </c>
      <c r="B45" t="s">
        <v>2524</v>
      </c>
      <c r="C45" t="s">
        <v>988</v>
      </c>
      <c r="D45" t="s">
        <v>1970</v>
      </c>
      <c r="E45" t="s">
        <v>977</v>
      </c>
      <c r="F45" t="s">
        <v>967</v>
      </c>
      <c r="G45" t="s">
        <v>968</v>
      </c>
      <c r="H45" t="s">
        <v>969</v>
      </c>
      <c r="I45" t="s">
        <v>970</v>
      </c>
      <c r="J45" t="s">
        <v>971</v>
      </c>
      <c r="K45" t="s">
        <v>972</v>
      </c>
      <c r="L45">
        <v>70.959999999999994</v>
      </c>
      <c r="M45">
        <f t="shared" si="0"/>
        <v>70.959999999999994</v>
      </c>
    </row>
    <row r="46" spans="1:13" x14ac:dyDescent="0.25">
      <c r="A46" t="s">
        <v>248</v>
      </c>
      <c r="B46" t="s">
        <v>2149</v>
      </c>
      <c r="C46" t="s">
        <v>964</v>
      </c>
      <c r="D46" t="s">
        <v>2150</v>
      </c>
      <c r="E46" t="s">
        <v>966</v>
      </c>
      <c r="F46" t="s">
        <v>967</v>
      </c>
      <c r="G46" t="s">
        <v>968</v>
      </c>
      <c r="H46" t="s">
        <v>969</v>
      </c>
      <c r="I46" t="s">
        <v>970</v>
      </c>
      <c r="J46" t="s">
        <v>971</v>
      </c>
      <c r="K46" t="s">
        <v>972</v>
      </c>
      <c r="L46">
        <v>3676.57</v>
      </c>
      <c r="M46">
        <f t="shared" si="0"/>
        <v>36765.700000000004</v>
      </c>
    </row>
    <row r="47" spans="1:13" x14ac:dyDescent="0.25">
      <c r="A47" t="s">
        <v>248</v>
      </c>
      <c r="B47" t="s">
        <v>2151</v>
      </c>
      <c r="C47" t="s">
        <v>964</v>
      </c>
      <c r="D47" t="s">
        <v>2150</v>
      </c>
      <c r="E47" t="s">
        <v>966</v>
      </c>
      <c r="F47" t="s">
        <v>967</v>
      </c>
      <c r="G47" t="s">
        <v>968</v>
      </c>
      <c r="H47" t="s">
        <v>969</v>
      </c>
      <c r="I47" t="s">
        <v>970</v>
      </c>
      <c r="J47" t="s">
        <v>971</v>
      </c>
      <c r="K47" t="s">
        <v>972</v>
      </c>
      <c r="L47">
        <v>3676.57</v>
      </c>
      <c r="M47">
        <f t="shared" si="0"/>
        <v>36765.700000000004</v>
      </c>
    </row>
    <row r="48" spans="1:13" x14ac:dyDescent="0.25">
      <c r="A48" t="s">
        <v>248</v>
      </c>
      <c r="B48" t="s">
        <v>2152</v>
      </c>
      <c r="C48" t="s">
        <v>964</v>
      </c>
      <c r="D48" t="s">
        <v>2150</v>
      </c>
      <c r="E48" t="s">
        <v>966</v>
      </c>
      <c r="F48" t="s">
        <v>967</v>
      </c>
      <c r="G48" t="s">
        <v>968</v>
      </c>
      <c r="H48" t="s">
        <v>969</v>
      </c>
      <c r="I48" t="s">
        <v>970</v>
      </c>
      <c r="J48" t="s">
        <v>971</v>
      </c>
      <c r="K48" t="s">
        <v>972</v>
      </c>
      <c r="L48">
        <v>3676.57</v>
      </c>
      <c r="M48">
        <f t="shared" si="0"/>
        <v>36765.700000000004</v>
      </c>
    </row>
    <row r="49" spans="1:13" x14ac:dyDescent="0.25">
      <c r="A49" t="s">
        <v>248</v>
      </c>
      <c r="B49" t="s">
        <v>2153</v>
      </c>
      <c r="C49" t="s">
        <v>964</v>
      </c>
      <c r="D49" t="s">
        <v>2150</v>
      </c>
      <c r="E49" t="s">
        <v>966</v>
      </c>
      <c r="F49" t="s">
        <v>967</v>
      </c>
      <c r="G49" t="s">
        <v>968</v>
      </c>
      <c r="H49" t="s">
        <v>969</v>
      </c>
      <c r="I49" t="s">
        <v>970</v>
      </c>
      <c r="J49" t="s">
        <v>971</v>
      </c>
      <c r="K49" t="s">
        <v>972</v>
      </c>
      <c r="L49">
        <v>3676.57</v>
      </c>
      <c r="M49">
        <f t="shared" si="0"/>
        <v>36765.700000000004</v>
      </c>
    </row>
    <row r="50" spans="1:13" x14ac:dyDescent="0.25">
      <c r="A50" t="s">
        <v>248</v>
      </c>
      <c r="B50" t="s">
        <v>2154</v>
      </c>
      <c r="C50" t="s">
        <v>964</v>
      </c>
      <c r="D50" t="s">
        <v>2150</v>
      </c>
      <c r="E50" t="s">
        <v>966</v>
      </c>
      <c r="F50" t="s">
        <v>967</v>
      </c>
      <c r="G50" t="s">
        <v>968</v>
      </c>
      <c r="H50" t="s">
        <v>969</v>
      </c>
      <c r="I50" t="s">
        <v>970</v>
      </c>
      <c r="J50" t="s">
        <v>971</v>
      </c>
      <c r="K50" t="s">
        <v>972</v>
      </c>
      <c r="L50">
        <v>3676.57</v>
      </c>
      <c r="M50">
        <f t="shared" si="0"/>
        <v>36765.700000000004</v>
      </c>
    </row>
    <row r="51" spans="1:13" x14ac:dyDescent="0.25">
      <c r="A51" t="s">
        <v>248</v>
      </c>
      <c r="B51" t="s">
        <v>2155</v>
      </c>
      <c r="C51" t="s">
        <v>964</v>
      </c>
      <c r="D51" t="s">
        <v>2150</v>
      </c>
      <c r="E51" t="s">
        <v>966</v>
      </c>
      <c r="F51" t="s">
        <v>967</v>
      </c>
      <c r="G51" t="s">
        <v>968</v>
      </c>
      <c r="H51" t="s">
        <v>969</v>
      </c>
      <c r="I51" t="s">
        <v>970</v>
      </c>
      <c r="J51" t="s">
        <v>971</v>
      </c>
      <c r="K51" t="s">
        <v>972</v>
      </c>
      <c r="L51">
        <v>3676.57</v>
      </c>
      <c r="M51">
        <f t="shared" si="0"/>
        <v>36765.700000000004</v>
      </c>
    </row>
    <row r="52" spans="1:13" x14ac:dyDescent="0.25">
      <c r="A52" t="s">
        <v>248</v>
      </c>
      <c r="B52" t="s">
        <v>2156</v>
      </c>
      <c r="C52" t="s">
        <v>964</v>
      </c>
      <c r="D52" t="s">
        <v>2150</v>
      </c>
      <c r="E52" t="s">
        <v>966</v>
      </c>
      <c r="F52" t="s">
        <v>967</v>
      </c>
      <c r="G52" t="s">
        <v>968</v>
      </c>
      <c r="H52" t="s">
        <v>969</v>
      </c>
      <c r="I52" t="s">
        <v>970</v>
      </c>
      <c r="J52" t="s">
        <v>971</v>
      </c>
      <c r="K52" t="s">
        <v>972</v>
      </c>
      <c r="L52">
        <v>3676.57</v>
      </c>
      <c r="M52">
        <f t="shared" si="0"/>
        <v>36765.700000000004</v>
      </c>
    </row>
    <row r="53" spans="1:13" x14ac:dyDescent="0.25">
      <c r="A53" t="s">
        <v>248</v>
      </c>
      <c r="B53" t="s">
        <v>2157</v>
      </c>
      <c r="C53" t="s">
        <v>964</v>
      </c>
      <c r="D53" t="s">
        <v>2150</v>
      </c>
      <c r="E53" t="s">
        <v>966</v>
      </c>
      <c r="F53" t="s">
        <v>967</v>
      </c>
      <c r="G53" t="s">
        <v>968</v>
      </c>
      <c r="H53" t="s">
        <v>969</v>
      </c>
      <c r="I53" t="s">
        <v>970</v>
      </c>
      <c r="J53" t="s">
        <v>971</v>
      </c>
      <c r="K53" t="s">
        <v>972</v>
      </c>
      <c r="L53">
        <v>3676.57</v>
      </c>
      <c r="M53">
        <f t="shared" si="0"/>
        <v>36765.700000000004</v>
      </c>
    </row>
    <row r="54" spans="1:13" x14ac:dyDescent="0.25">
      <c r="A54" t="s">
        <v>248</v>
      </c>
      <c r="B54" t="s">
        <v>2158</v>
      </c>
      <c r="C54" t="s">
        <v>964</v>
      </c>
      <c r="D54" t="s">
        <v>2150</v>
      </c>
      <c r="E54" t="s">
        <v>966</v>
      </c>
      <c r="F54" t="s">
        <v>967</v>
      </c>
      <c r="G54" t="s">
        <v>968</v>
      </c>
      <c r="H54" t="s">
        <v>969</v>
      </c>
      <c r="I54" t="s">
        <v>970</v>
      </c>
      <c r="J54" t="s">
        <v>971</v>
      </c>
      <c r="K54" t="s">
        <v>972</v>
      </c>
      <c r="L54">
        <v>3676.57</v>
      </c>
      <c r="M54">
        <f t="shared" si="0"/>
        <v>36765.700000000004</v>
      </c>
    </row>
    <row r="55" spans="1:13" x14ac:dyDescent="0.25">
      <c r="A55" t="s">
        <v>248</v>
      </c>
      <c r="B55" t="s">
        <v>2159</v>
      </c>
      <c r="C55" t="s">
        <v>964</v>
      </c>
      <c r="D55" t="s">
        <v>2150</v>
      </c>
      <c r="E55" t="s">
        <v>966</v>
      </c>
      <c r="F55" t="s">
        <v>967</v>
      </c>
      <c r="G55" t="s">
        <v>968</v>
      </c>
      <c r="H55" t="s">
        <v>969</v>
      </c>
      <c r="I55" t="s">
        <v>970</v>
      </c>
      <c r="J55" t="s">
        <v>971</v>
      </c>
      <c r="K55" t="s">
        <v>972</v>
      </c>
      <c r="L55">
        <v>3676.57</v>
      </c>
      <c r="M55">
        <f t="shared" si="0"/>
        <v>36765.700000000004</v>
      </c>
    </row>
    <row r="56" spans="1:13" x14ac:dyDescent="0.25">
      <c r="A56" t="s">
        <v>853</v>
      </c>
      <c r="B56" t="s">
        <v>2278</v>
      </c>
      <c r="C56" t="s">
        <v>975</v>
      </c>
      <c r="D56" t="s">
        <v>1970</v>
      </c>
      <c r="E56" t="s">
        <v>977</v>
      </c>
      <c r="F56" t="s">
        <v>967</v>
      </c>
      <c r="G56" t="s">
        <v>968</v>
      </c>
      <c r="H56" t="s">
        <v>969</v>
      </c>
      <c r="I56" t="s">
        <v>970</v>
      </c>
      <c r="J56" t="s">
        <v>971</v>
      </c>
      <c r="K56" t="s">
        <v>972</v>
      </c>
      <c r="L56">
        <v>1768.47</v>
      </c>
      <c r="M56">
        <f t="shared" si="0"/>
        <v>1768.47</v>
      </c>
    </row>
    <row r="57" spans="1:13" x14ac:dyDescent="0.25">
      <c r="A57" t="s">
        <v>935</v>
      </c>
      <c r="B57" t="s">
        <v>2275</v>
      </c>
      <c r="C57" t="s">
        <v>964</v>
      </c>
      <c r="D57" t="s">
        <v>1942</v>
      </c>
      <c r="E57" t="s">
        <v>977</v>
      </c>
      <c r="F57" t="s">
        <v>967</v>
      </c>
      <c r="G57" t="s">
        <v>968</v>
      </c>
      <c r="H57" t="s">
        <v>969</v>
      </c>
      <c r="I57" t="s">
        <v>970</v>
      </c>
      <c r="J57" t="s">
        <v>971</v>
      </c>
      <c r="K57" t="s">
        <v>972</v>
      </c>
      <c r="L57">
        <v>1777.77</v>
      </c>
      <c r="M57">
        <f t="shared" si="0"/>
        <v>1777.77</v>
      </c>
    </row>
    <row r="58" spans="1:13" x14ac:dyDescent="0.25">
      <c r="A58" t="s">
        <v>438</v>
      </c>
      <c r="B58" t="s">
        <v>1971</v>
      </c>
      <c r="C58" t="s">
        <v>964</v>
      </c>
      <c r="D58" t="s">
        <v>1970</v>
      </c>
      <c r="E58" t="s">
        <v>966</v>
      </c>
      <c r="F58" t="s">
        <v>967</v>
      </c>
      <c r="G58" t="s">
        <v>968</v>
      </c>
      <c r="H58" t="s">
        <v>969</v>
      </c>
      <c r="I58" t="s">
        <v>970</v>
      </c>
      <c r="J58" t="s">
        <v>971</v>
      </c>
      <c r="K58" t="s">
        <v>972</v>
      </c>
      <c r="L58">
        <v>9445.86</v>
      </c>
      <c r="M58">
        <f t="shared" si="0"/>
        <v>103904.46</v>
      </c>
    </row>
    <row r="59" spans="1:13" x14ac:dyDescent="0.25">
      <c r="A59" t="s">
        <v>438</v>
      </c>
      <c r="B59" t="s">
        <v>1974</v>
      </c>
      <c r="C59" t="s">
        <v>964</v>
      </c>
      <c r="D59" t="s">
        <v>1970</v>
      </c>
      <c r="E59" t="s">
        <v>966</v>
      </c>
      <c r="F59" t="s">
        <v>967</v>
      </c>
      <c r="G59" t="s">
        <v>968</v>
      </c>
      <c r="H59" t="s">
        <v>969</v>
      </c>
      <c r="I59" t="s">
        <v>970</v>
      </c>
      <c r="J59" t="s">
        <v>971</v>
      </c>
      <c r="K59" t="s">
        <v>972</v>
      </c>
      <c r="L59">
        <v>9445.86</v>
      </c>
      <c r="M59">
        <f t="shared" si="0"/>
        <v>103904.46</v>
      </c>
    </row>
    <row r="60" spans="1:13" x14ac:dyDescent="0.25">
      <c r="A60" t="s">
        <v>438</v>
      </c>
      <c r="B60" t="s">
        <v>1975</v>
      </c>
      <c r="C60" t="s">
        <v>964</v>
      </c>
      <c r="D60" t="s">
        <v>1970</v>
      </c>
      <c r="E60" t="s">
        <v>966</v>
      </c>
      <c r="F60" t="s">
        <v>967</v>
      </c>
      <c r="G60" t="s">
        <v>968</v>
      </c>
      <c r="H60" t="s">
        <v>969</v>
      </c>
      <c r="I60" t="s">
        <v>970</v>
      </c>
      <c r="J60" t="s">
        <v>971</v>
      </c>
      <c r="K60" t="s">
        <v>972</v>
      </c>
      <c r="L60">
        <v>9445.86</v>
      </c>
      <c r="M60">
        <f t="shared" si="0"/>
        <v>103904.46</v>
      </c>
    </row>
    <row r="61" spans="1:13" x14ac:dyDescent="0.25">
      <c r="A61" t="s">
        <v>438</v>
      </c>
      <c r="B61" t="s">
        <v>1978</v>
      </c>
      <c r="C61" t="s">
        <v>964</v>
      </c>
      <c r="D61" t="s">
        <v>1970</v>
      </c>
      <c r="E61" t="s">
        <v>966</v>
      </c>
      <c r="F61" t="s">
        <v>967</v>
      </c>
      <c r="G61" t="s">
        <v>968</v>
      </c>
      <c r="H61" t="s">
        <v>969</v>
      </c>
      <c r="I61" t="s">
        <v>970</v>
      </c>
      <c r="J61" t="s">
        <v>971</v>
      </c>
      <c r="K61" t="s">
        <v>972</v>
      </c>
      <c r="L61">
        <v>9445.86</v>
      </c>
      <c r="M61">
        <f t="shared" si="0"/>
        <v>103904.46</v>
      </c>
    </row>
    <row r="62" spans="1:13" x14ac:dyDescent="0.25">
      <c r="A62" t="s">
        <v>438</v>
      </c>
      <c r="B62" t="s">
        <v>1980</v>
      </c>
      <c r="C62" t="s">
        <v>964</v>
      </c>
      <c r="D62" t="s">
        <v>1970</v>
      </c>
      <c r="E62" t="s">
        <v>966</v>
      </c>
      <c r="F62" t="s">
        <v>967</v>
      </c>
      <c r="G62" t="s">
        <v>968</v>
      </c>
      <c r="H62" t="s">
        <v>969</v>
      </c>
      <c r="I62" t="s">
        <v>970</v>
      </c>
      <c r="J62" t="s">
        <v>971</v>
      </c>
      <c r="K62" t="s">
        <v>972</v>
      </c>
      <c r="L62">
        <v>9445.86</v>
      </c>
      <c r="M62">
        <f t="shared" si="0"/>
        <v>103904.46</v>
      </c>
    </row>
    <row r="63" spans="1:13" x14ac:dyDescent="0.25">
      <c r="A63" t="s">
        <v>183</v>
      </c>
      <c r="B63" t="s">
        <v>1969</v>
      </c>
      <c r="C63" t="s">
        <v>964</v>
      </c>
      <c r="D63" t="s">
        <v>1970</v>
      </c>
      <c r="E63" t="s">
        <v>966</v>
      </c>
      <c r="F63" t="s">
        <v>967</v>
      </c>
      <c r="G63" t="s">
        <v>968</v>
      </c>
      <c r="H63" t="s">
        <v>969</v>
      </c>
      <c r="I63" t="s">
        <v>970</v>
      </c>
      <c r="J63" t="s">
        <v>971</v>
      </c>
      <c r="K63" t="s">
        <v>972</v>
      </c>
      <c r="L63">
        <v>9445.86</v>
      </c>
      <c r="M63">
        <f t="shared" si="0"/>
        <v>103904.46</v>
      </c>
    </row>
    <row r="64" spans="1:13" x14ac:dyDescent="0.25">
      <c r="A64" t="s">
        <v>183</v>
      </c>
      <c r="B64" t="s">
        <v>1972</v>
      </c>
      <c r="C64" t="s">
        <v>964</v>
      </c>
      <c r="D64" t="s">
        <v>1970</v>
      </c>
      <c r="E64" t="s">
        <v>966</v>
      </c>
      <c r="F64" t="s">
        <v>967</v>
      </c>
      <c r="G64" t="s">
        <v>968</v>
      </c>
      <c r="H64" t="s">
        <v>969</v>
      </c>
      <c r="I64" t="s">
        <v>970</v>
      </c>
      <c r="J64" t="s">
        <v>971</v>
      </c>
      <c r="K64" t="s">
        <v>972</v>
      </c>
      <c r="L64">
        <v>9445.86</v>
      </c>
      <c r="M64">
        <f t="shared" si="0"/>
        <v>103904.46</v>
      </c>
    </row>
    <row r="65" spans="1:13" x14ac:dyDescent="0.25">
      <c r="A65" t="s">
        <v>183</v>
      </c>
      <c r="B65" t="s">
        <v>1973</v>
      </c>
      <c r="C65" t="s">
        <v>964</v>
      </c>
      <c r="D65" t="s">
        <v>1970</v>
      </c>
      <c r="E65" t="s">
        <v>966</v>
      </c>
      <c r="F65" t="s">
        <v>967</v>
      </c>
      <c r="G65" t="s">
        <v>968</v>
      </c>
      <c r="H65" t="s">
        <v>969</v>
      </c>
      <c r="I65" t="s">
        <v>970</v>
      </c>
      <c r="J65" t="s">
        <v>971</v>
      </c>
      <c r="K65" t="s">
        <v>972</v>
      </c>
      <c r="L65">
        <v>9445.86</v>
      </c>
      <c r="M65">
        <f t="shared" si="0"/>
        <v>103904.46</v>
      </c>
    </row>
    <row r="66" spans="1:13" x14ac:dyDescent="0.25">
      <c r="A66" t="s">
        <v>183</v>
      </c>
      <c r="B66" t="s">
        <v>1976</v>
      </c>
      <c r="C66" t="s">
        <v>964</v>
      </c>
      <c r="D66" t="s">
        <v>1970</v>
      </c>
      <c r="E66" t="s">
        <v>966</v>
      </c>
      <c r="F66" t="s">
        <v>967</v>
      </c>
      <c r="G66" t="s">
        <v>968</v>
      </c>
      <c r="H66" t="s">
        <v>969</v>
      </c>
      <c r="I66" t="s">
        <v>970</v>
      </c>
      <c r="J66" t="s">
        <v>971</v>
      </c>
      <c r="K66" t="s">
        <v>972</v>
      </c>
      <c r="L66">
        <v>9445.86</v>
      </c>
      <c r="M66">
        <f t="shared" si="0"/>
        <v>103904.46</v>
      </c>
    </row>
    <row r="67" spans="1:13" x14ac:dyDescent="0.25">
      <c r="A67" t="s">
        <v>183</v>
      </c>
      <c r="B67" t="s">
        <v>1977</v>
      </c>
      <c r="C67" t="s">
        <v>964</v>
      </c>
      <c r="D67" t="s">
        <v>1970</v>
      </c>
      <c r="E67" t="s">
        <v>966</v>
      </c>
      <c r="F67" t="s">
        <v>967</v>
      </c>
      <c r="G67" t="s">
        <v>968</v>
      </c>
      <c r="H67" t="s">
        <v>969</v>
      </c>
      <c r="I67" t="s">
        <v>970</v>
      </c>
      <c r="J67" t="s">
        <v>971</v>
      </c>
      <c r="K67" t="s">
        <v>972</v>
      </c>
      <c r="L67">
        <v>9445.86</v>
      </c>
      <c r="M67">
        <f t="shared" ref="M67:M130" si="1">+SUMIF(A:A,A67,L:L)</f>
        <v>103904.46</v>
      </c>
    </row>
    <row r="68" spans="1:13" x14ac:dyDescent="0.25">
      <c r="A68" t="s">
        <v>183</v>
      </c>
      <c r="B68" t="s">
        <v>1979</v>
      </c>
      <c r="C68" t="s">
        <v>964</v>
      </c>
      <c r="D68" t="s">
        <v>1970</v>
      </c>
      <c r="E68" t="s">
        <v>966</v>
      </c>
      <c r="F68" t="s">
        <v>967</v>
      </c>
      <c r="G68" t="s">
        <v>968</v>
      </c>
      <c r="H68" t="s">
        <v>969</v>
      </c>
      <c r="I68" t="s">
        <v>970</v>
      </c>
      <c r="J68" t="s">
        <v>971</v>
      </c>
      <c r="K68" t="s">
        <v>972</v>
      </c>
      <c r="L68">
        <v>9445.86</v>
      </c>
      <c r="M68">
        <f t="shared" si="1"/>
        <v>103904.46</v>
      </c>
    </row>
    <row r="69" spans="1:13" x14ac:dyDescent="0.25">
      <c r="A69" t="s">
        <v>239</v>
      </c>
      <c r="B69" t="s">
        <v>1941</v>
      </c>
      <c r="C69" t="s">
        <v>964</v>
      </c>
      <c r="D69" t="s">
        <v>1942</v>
      </c>
      <c r="E69" t="s">
        <v>966</v>
      </c>
      <c r="F69" t="s">
        <v>967</v>
      </c>
      <c r="G69" t="s">
        <v>968</v>
      </c>
      <c r="H69" t="s">
        <v>969</v>
      </c>
      <c r="I69" t="s">
        <v>970</v>
      </c>
      <c r="J69" t="s">
        <v>971</v>
      </c>
      <c r="K69" t="s">
        <v>972</v>
      </c>
      <c r="L69">
        <v>10526.97</v>
      </c>
      <c r="M69">
        <f t="shared" si="1"/>
        <v>42107.88</v>
      </c>
    </row>
    <row r="70" spans="1:13" x14ac:dyDescent="0.25">
      <c r="A70" t="s">
        <v>239</v>
      </c>
      <c r="B70" t="s">
        <v>1943</v>
      </c>
      <c r="C70" t="s">
        <v>964</v>
      </c>
      <c r="D70" t="s">
        <v>1942</v>
      </c>
      <c r="E70" t="s">
        <v>966</v>
      </c>
      <c r="F70" t="s">
        <v>967</v>
      </c>
      <c r="G70" t="s">
        <v>968</v>
      </c>
      <c r="H70" t="s">
        <v>969</v>
      </c>
      <c r="I70" t="s">
        <v>970</v>
      </c>
      <c r="J70" t="s">
        <v>971</v>
      </c>
      <c r="K70" t="s">
        <v>972</v>
      </c>
      <c r="L70">
        <v>10526.97</v>
      </c>
      <c r="M70">
        <f t="shared" si="1"/>
        <v>42107.88</v>
      </c>
    </row>
    <row r="71" spans="1:13" x14ac:dyDescent="0.25">
      <c r="A71" t="s">
        <v>239</v>
      </c>
      <c r="B71" t="s">
        <v>1944</v>
      </c>
      <c r="C71" t="s">
        <v>964</v>
      </c>
      <c r="D71" t="s">
        <v>1942</v>
      </c>
      <c r="E71" t="s">
        <v>966</v>
      </c>
      <c r="F71" t="s">
        <v>967</v>
      </c>
      <c r="G71" t="s">
        <v>968</v>
      </c>
      <c r="H71" t="s">
        <v>969</v>
      </c>
      <c r="I71" t="s">
        <v>970</v>
      </c>
      <c r="J71" t="s">
        <v>971</v>
      </c>
      <c r="K71" t="s">
        <v>972</v>
      </c>
      <c r="L71">
        <v>10526.97</v>
      </c>
      <c r="M71">
        <f t="shared" si="1"/>
        <v>42107.88</v>
      </c>
    </row>
    <row r="72" spans="1:13" x14ac:dyDescent="0.25">
      <c r="A72" t="s">
        <v>239</v>
      </c>
      <c r="B72" t="s">
        <v>1945</v>
      </c>
      <c r="C72" t="s">
        <v>964</v>
      </c>
      <c r="D72" t="s">
        <v>1942</v>
      </c>
      <c r="E72" t="s">
        <v>966</v>
      </c>
      <c r="F72" t="s">
        <v>967</v>
      </c>
      <c r="G72" t="s">
        <v>968</v>
      </c>
      <c r="H72" t="s">
        <v>969</v>
      </c>
      <c r="I72" t="s">
        <v>970</v>
      </c>
      <c r="J72" t="s">
        <v>971</v>
      </c>
      <c r="K72" t="s">
        <v>972</v>
      </c>
      <c r="L72">
        <v>10526.97</v>
      </c>
      <c r="M72">
        <f t="shared" si="1"/>
        <v>42107.88</v>
      </c>
    </row>
    <row r="73" spans="1:13" x14ac:dyDescent="0.25">
      <c r="A73" t="s">
        <v>533</v>
      </c>
      <c r="B73" t="s">
        <v>2214</v>
      </c>
      <c r="C73" t="s">
        <v>964</v>
      </c>
      <c r="D73" t="s">
        <v>2112</v>
      </c>
      <c r="E73" t="s">
        <v>966</v>
      </c>
      <c r="F73" t="s">
        <v>967</v>
      </c>
      <c r="G73" t="s">
        <v>968</v>
      </c>
      <c r="H73" t="s">
        <v>969</v>
      </c>
      <c r="I73" t="s">
        <v>970</v>
      </c>
      <c r="J73" t="s">
        <v>971</v>
      </c>
      <c r="K73" t="s">
        <v>972</v>
      </c>
      <c r="L73">
        <v>2368.56</v>
      </c>
      <c r="M73">
        <f t="shared" si="1"/>
        <v>9474.24</v>
      </c>
    </row>
    <row r="74" spans="1:13" x14ac:dyDescent="0.25">
      <c r="A74" t="s">
        <v>533</v>
      </c>
      <c r="B74" t="s">
        <v>2215</v>
      </c>
      <c r="C74" t="s">
        <v>964</v>
      </c>
      <c r="D74" t="s">
        <v>2112</v>
      </c>
      <c r="E74" t="s">
        <v>966</v>
      </c>
      <c r="F74" t="s">
        <v>967</v>
      </c>
      <c r="G74" t="s">
        <v>968</v>
      </c>
      <c r="H74" t="s">
        <v>969</v>
      </c>
      <c r="I74" t="s">
        <v>970</v>
      </c>
      <c r="J74" t="s">
        <v>971</v>
      </c>
      <c r="K74" t="s">
        <v>972</v>
      </c>
      <c r="L74">
        <v>2368.56</v>
      </c>
      <c r="M74">
        <f t="shared" si="1"/>
        <v>9474.24</v>
      </c>
    </row>
    <row r="75" spans="1:13" x14ac:dyDescent="0.25">
      <c r="A75" t="s">
        <v>533</v>
      </c>
      <c r="B75" t="s">
        <v>2216</v>
      </c>
      <c r="C75" t="s">
        <v>964</v>
      </c>
      <c r="D75" t="s">
        <v>2112</v>
      </c>
      <c r="E75" t="s">
        <v>966</v>
      </c>
      <c r="F75" t="s">
        <v>967</v>
      </c>
      <c r="G75" t="s">
        <v>968</v>
      </c>
      <c r="H75" t="s">
        <v>969</v>
      </c>
      <c r="I75" t="s">
        <v>970</v>
      </c>
      <c r="J75" t="s">
        <v>971</v>
      </c>
      <c r="K75" t="s">
        <v>972</v>
      </c>
      <c r="L75">
        <v>2368.56</v>
      </c>
      <c r="M75">
        <f t="shared" si="1"/>
        <v>9474.24</v>
      </c>
    </row>
    <row r="76" spans="1:13" x14ac:dyDescent="0.25">
      <c r="A76" t="s">
        <v>533</v>
      </c>
      <c r="B76" t="s">
        <v>2217</v>
      </c>
      <c r="C76" t="s">
        <v>964</v>
      </c>
      <c r="D76" t="s">
        <v>2112</v>
      </c>
      <c r="E76" t="s">
        <v>966</v>
      </c>
      <c r="F76" t="s">
        <v>967</v>
      </c>
      <c r="G76" t="s">
        <v>968</v>
      </c>
      <c r="H76" t="s">
        <v>969</v>
      </c>
      <c r="I76" t="s">
        <v>970</v>
      </c>
      <c r="J76" t="s">
        <v>971</v>
      </c>
      <c r="K76" t="s">
        <v>972</v>
      </c>
      <c r="L76">
        <v>2368.56</v>
      </c>
      <c r="M76">
        <f t="shared" si="1"/>
        <v>9474.24</v>
      </c>
    </row>
    <row r="77" spans="1:13" x14ac:dyDescent="0.25">
      <c r="A77" t="s">
        <v>653</v>
      </c>
      <c r="B77" t="s">
        <v>2057</v>
      </c>
      <c r="C77" t="s">
        <v>975</v>
      </c>
      <c r="D77" t="s">
        <v>2058</v>
      </c>
      <c r="E77" t="s">
        <v>977</v>
      </c>
      <c r="F77" t="s">
        <v>967</v>
      </c>
      <c r="G77" t="s">
        <v>968</v>
      </c>
      <c r="H77" t="s">
        <v>969</v>
      </c>
      <c r="I77" t="s">
        <v>970</v>
      </c>
      <c r="J77" t="s">
        <v>971</v>
      </c>
      <c r="K77" t="s">
        <v>972</v>
      </c>
      <c r="L77">
        <v>6924.05</v>
      </c>
      <c r="M77">
        <f t="shared" si="1"/>
        <v>6924.05</v>
      </c>
    </row>
    <row r="78" spans="1:13" x14ac:dyDescent="0.25">
      <c r="A78" t="s">
        <v>291</v>
      </c>
      <c r="B78" t="s">
        <v>2114</v>
      </c>
      <c r="C78" t="s">
        <v>975</v>
      </c>
      <c r="D78" t="s">
        <v>2058</v>
      </c>
      <c r="E78" t="s">
        <v>977</v>
      </c>
      <c r="F78" t="s">
        <v>967</v>
      </c>
      <c r="G78" t="s">
        <v>968</v>
      </c>
      <c r="H78" t="s">
        <v>969</v>
      </c>
      <c r="I78" t="s">
        <v>970</v>
      </c>
      <c r="J78" t="s">
        <v>971</v>
      </c>
      <c r="K78" t="s">
        <v>972</v>
      </c>
      <c r="L78">
        <v>4750.42</v>
      </c>
      <c r="M78">
        <f t="shared" si="1"/>
        <v>17517.41</v>
      </c>
    </row>
    <row r="79" spans="1:13" x14ac:dyDescent="0.25">
      <c r="A79" t="s">
        <v>946</v>
      </c>
      <c r="B79" t="s">
        <v>1880</v>
      </c>
      <c r="C79" t="s">
        <v>975</v>
      </c>
      <c r="D79" t="s">
        <v>1881</v>
      </c>
      <c r="E79" t="s">
        <v>966</v>
      </c>
      <c r="F79" t="s">
        <v>967</v>
      </c>
      <c r="G79" t="s">
        <v>968</v>
      </c>
      <c r="H79" t="s">
        <v>969</v>
      </c>
      <c r="I79" t="s">
        <v>970</v>
      </c>
      <c r="J79" t="s">
        <v>971</v>
      </c>
      <c r="K79" t="s">
        <v>972</v>
      </c>
      <c r="L79">
        <v>12766.99</v>
      </c>
      <c r="M79">
        <f t="shared" si="1"/>
        <v>17517.41</v>
      </c>
    </row>
    <row r="80" spans="1:13" x14ac:dyDescent="0.25">
      <c r="A80" t="s">
        <v>110</v>
      </c>
      <c r="B80" t="s">
        <v>1657</v>
      </c>
      <c r="C80" t="s">
        <v>975</v>
      </c>
      <c r="D80" t="s">
        <v>1658</v>
      </c>
      <c r="E80" t="s">
        <v>1369</v>
      </c>
      <c r="F80" t="s">
        <v>967</v>
      </c>
      <c r="G80" t="s">
        <v>968</v>
      </c>
      <c r="H80" t="s">
        <v>969</v>
      </c>
      <c r="I80" t="s">
        <v>970</v>
      </c>
      <c r="J80" t="s">
        <v>971</v>
      </c>
      <c r="K80" t="s">
        <v>972</v>
      </c>
      <c r="L80">
        <v>23799.08</v>
      </c>
      <c r="M80">
        <f t="shared" si="1"/>
        <v>27104.760000000002</v>
      </c>
    </row>
    <row r="81" spans="1:13" x14ac:dyDescent="0.25">
      <c r="A81" t="s">
        <v>708</v>
      </c>
      <c r="B81" t="s">
        <v>2173</v>
      </c>
      <c r="C81" t="s">
        <v>964</v>
      </c>
      <c r="D81" t="s">
        <v>2150</v>
      </c>
      <c r="E81" t="s">
        <v>980</v>
      </c>
      <c r="F81" t="s">
        <v>967</v>
      </c>
      <c r="G81" t="s">
        <v>968</v>
      </c>
      <c r="H81" t="s">
        <v>969</v>
      </c>
      <c r="I81" t="s">
        <v>970</v>
      </c>
      <c r="J81" t="s">
        <v>971</v>
      </c>
      <c r="K81" t="s">
        <v>972</v>
      </c>
      <c r="L81">
        <v>3305.68</v>
      </c>
      <c r="M81">
        <f t="shared" si="1"/>
        <v>27104.760000000002</v>
      </c>
    </row>
    <row r="82" spans="1:13" x14ac:dyDescent="0.25">
      <c r="A82" t="s">
        <v>947</v>
      </c>
      <c r="B82" t="s">
        <v>2126</v>
      </c>
      <c r="C82" t="s">
        <v>964</v>
      </c>
      <c r="D82" t="s">
        <v>2058</v>
      </c>
      <c r="E82" t="s">
        <v>977</v>
      </c>
      <c r="F82" t="s">
        <v>967</v>
      </c>
      <c r="G82" t="s">
        <v>968</v>
      </c>
      <c r="H82" t="s">
        <v>969</v>
      </c>
      <c r="I82" t="s">
        <v>970</v>
      </c>
      <c r="J82" t="s">
        <v>971</v>
      </c>
      <c r="K82" t="s">
        <v>972</v>
      </c>
      <c r="L82">
        <v>4144.7700000000004</v>
      </c>
      <c r="M82">
        <f t="shared" si="1"/>
        <v>4144.7700000000004</v>
      </c>
    </row>
    <row r="83" spans="1:13" x14ac:dyDescent="0.25">
      <c r="A83" t="s">
        <v>484</v>
      </c>
      <c r="B83" t="s">
        <v>2108</v>
      </c>
      <c r="C83" t="s">
        <v>975</v>
      </c>
      <c r="D83" t="s">
        <v>1881</v>
      </c>
      <c r="E83" t="s">
        <v>977</v>
      </c>
      <c r="F83" t="s">
        <v>967</v>
      </c>
      <c r="G83" t="s">
        <v>968</v>
      </c>
      <c r="H83" t="s">
        <v>969</v>
      </c>
      <c r="I83" t="s">
        <v>970</v>
      </c>
      <c r="J83" t="s">
        <v>971</v>
      </c>
      <c r="K83" t="s">
        <v>972</v>
      </c>
      <c r="L83">
        <v>4941.78</v>
      </c>
      <c r="M83">
        <f t="shared" si="1"/>
        <v>4941.78</v>
      </c>
    </row>
    <row r="84" spans="1:13" x14ac:dyDescent="0.25">
      <c r="A84" t="s">
        <v>497</v>
      </c>
      <c r="B84" t="s">
        <v>2416</v>
      </c>
      <c r="C84" t="s">
        <v>988</v>
      </c>
      <c r="D84" t="s">
        <v>2417</v>
      </c>
      <c r="E84" t="s">
        <v>980</v>
      </c>
      <c r="F84" t="s">
        <v>967</v>
      </c>
      <c r="G84" t="s">
        <v>968</v>
      </c>
      <c r="H84" t="s">
        <v>969</v>
      </c>
      <c r="I84" t="s">
        <v>970</v>
      </c>
      <c r="J84" t="s">
        <v>971</v>
      </c>
      <c r="K84" t="s">
        <v>972</v>
      </c>
      <c r="L84">
        <v>740.07</v>
      </c>
      <c r="M84">
        <f t="shared" si="1"/>
        <v>740.07</v>
      </c>
    </row>
    <row r="85" spans="1:13" x14ac:dyDescent="0.25">
      <c r="A85" t="s">
        <v>300</v>
      </c>
      <c r="B85" t="s">
        <v>2106</v>
      </c>
      <c r="C85" t="s">
        <v>975</v>
      </c>
      <c r="D85" t="s">
        <v>2107</v>
      </c>
      <c r="E85" t="s">
        <v>977</v>
      </c>
      <c r="F85" t="s">
        <v>967</v>
      </c>
      <c r="G85" t="s">
        <v>968</v>
      </c>
      <c r="H85" t="s">
        <v>969</v>
      </c>
      <c r="I85" t="s">
        <v>970</v>
      </c>
      <c r="J85" t="s">
        <v>971</v>
      </c>
      <c r="K85" t="s">
        <v>972</v>
      </c>
      <c r="L85">
        <v>5171.07</v>
      </c>
      <c r="M85">
        <f t="shared" si="1"/>
        <v>16441.739999999998</v>
      </c>
    </row>
    <row r="86" spans="1:13" x14ac:dyDescent="0.25">
      <c r="A86" t="s">
        <v>140</v>
      </c>
      <c r="B86" t="s">
        <v>1915</v>
      </c>
      <c r="C86" t="s">
        <v>975</v>
      </c>
      <c r="D86" t="s">
        <v>1916</v>
      </c>
      <c r="E86" t="s">
        <v>977</v>
      </c>
      <c r="F86" t="s">
        <v>967</v>
      </c>
      <c r="G86" t="s">
        <v>968</v>
      </c>
      <c r="H86" t="s">
        <v>969</v>
      </c>
      <c r="I86" t="s">
        <v>970</v>
      </c>
      <c r="J86" t="s">
        <v>971</v>
      </c>
      <c r="K86" t="s">
        <v>972</v>
      </c>
      <c r="L86">
        <v>11270.67</v>
      </c>
      <c r="M86">
        <f t="shared" si="1"/>
        <v>16441.739999999998</v>
      </c>
    </row>
    <row r="87" spans="1:13" x14ac:dyDescent="0.25">
      <c r="A87" t="s">
        <v>507</v>
      </c>
      <c r="B87" t="s">
        <v>2087</v>
      </c>
      <c r="C87" t="s">
        <v>975</v>
      </c>
      <c r="D87" t="s">
        <v>1734</v>
      </c>
      <c r="E87" t="s">
        <v>977</v>
      </c>
      <c r="F87" t="s">
        <v>967</v>
      </c>
      <c r="G87" t="s">
        <v>968</v>
      </c>
      <c r="H87" t="s">
        <v>969</v>
      </c>
      <c r="I87" t="s">
        <v>970</v>
      </c>
      <c r="J87" t="s">
        <v>971</v>
      </c>
      <c r="K87" t="s">
        <v>972</v>
      </c>
      <c r="L87">
        <v>5440.53</v>
      </c>
      <c r="M87">
        <f t="shared" si="1"/>
        <v>5440.53</v>
      </c>
    </row>
    <row r="88" spans="1:13" x14ac:dyDescent="0.25">
      <c r="A88" t="s">
        <v>211</v>
      </c>
      <c r="B88" t="s">
        <v>1733</v>
      </c>
      <c r="C88" t="s">
        <v>975</v>
      </c>
      <c r="D88" t="s">
        <v>1734</v>
      </c>
      <c r="E88" t="s">
        <v>977</v>
      </c>
      <c r="F88" t="s">
        <v>967</v>
      </c>
      <c r="G88" t="s">
        <v>968</v>
      </c>
      <c r="H88" t="s">
        <v>969</v>
      </c>
      <c r="I88" t="s">
        <v>970</v>
      </c>
      <c r="J88" t="s">
        <v>971</v>
      </c>
      <c r="K88" t="s">
        <v>972</v>
      </c>
      <c r="L88">
        <v>19202.73</v>
      </c>
      <c r="M88">
        <f t="shared" si="1"/>
        <v>38405.46</v>
      </c>
    </row>
    <row r="89" spans="1:13" x14ac:dyDescent="0.25">
      <c r="A89" t="s">
        <v>123</v>
      </c>
      <c r="B89" t="s">
        <v>1735</v>
      </c>
      <c r="C89" t="s">
        <v>975</v>
      </c>
      <c r="D89" t="s">
        <v>1734</v>
      </c>
      <c r="E89" t="s">
        <v>977</v>
      </c>
      <c r="F89" t="s">
        <v>967</v>
      </c>
      <c r="G89" t="s">
        <v>968</v>
      </c>
      <c r="H89" t="s">
        <v>969</v>
      </c>
      <c r="I89" t="s">
        <v>970</v>
      </c>
      <c r="J89" t="s">
        <v>971</v>
      </c>
      <c r="K89" t="s">
        <v>972</v>
      </c>
      <c r="L89">
        <v>19202.73</v>
      </c>
      <c r="M89">
        <f t="shared" si="1"/>
        <v>38405.46</v>
      </c>
    </row>
    <row r="90" spans="1:13" x14ac:dyDescent="0.25">
      <c r="A90" t="s">
        <v>312</v>
      </c>
      <c r="B90" t="s">
        <v>2056</v>
      </c>
      <c r="C90" t="s">
        <v>975</v>
      </c>
      <c r="D90" t="s">
        <v>1734</v>
      </c>
      <c r="E90" t="s">
        <v>980</v>
      </c>
      <c r="F90" t="s">
        <v>967</v>
      </c>
      <c r="G90" t="s">
        <v>968</v>
      </c>
      <c r="H90" t="s">
        <v>969</v>
      </c>
      <c r="I90" t="s">
        <v>970</v>
      </c>
      <c r="J90" t="s">
        <v>971</v>
      </c>
      <c r="K90" t="s">
        <v>972</v>
      </c>
      <c r="L90">
        <v>6938.11</v>
      </c>
      <c r="M90">
        <f t="shared" si="1"/>
        <v>6938.11</v>
      </c>
    </row>
    <row r="91" spans="1:13" x14ac:dyDescent="0.25">
      <c r="A91" t="s">
        <v>214</v>
      </c>
      <c r="B91" t="s">
        <v>1859</v>
      </c>
      <c r="C91" t="s">
        <v>964</v>
      </c>
      <c r="D91" t="s">
        <v>1860</v>
      </c>
      <c r="E91" t="s">
        <v>980</v>
      </c>
      <c r="F91" t="s">
        <v>967</v>
      </c>
      <c r="G91" t="s">
        <v>968</v>
      </c>
      <c r="H91" t="s">
        <v>969</v>
      </c>
      <c r="I91" t="s">
        <v>970</v>
      </c>
      <c r="J91" t="s">
        <v>971</v>
      </c>
      <c r="K91" t="s">
        <v>972</v>
      </c>
      <c r="L91">
        <v>13937.84</v>
      </c>
      <c r="M91">
        <f t="shared" si="1"/>
        <v>32834.35</v>
      </c>
    </row>
    <row r="92" spans="1:13" x14ac:dyDescent="0.25">
      <c r="A92" t="s">
        <v>902</v>
      </c>
      <c r="B92" t="s">
        <v>1842</v>
      </c>
      <c r="C92" t="s">
        <v>964</v>
      </c>
      <c r="D92" t="s">
        <v>1843</v>
      </c>
      <c r="E92" t="s">
        <v>980</v>
      </c>
      <c r="F92" t="s">
        <v>967</v>
      </c>
      <c r="G92" t="s">
        <v>968</v>
      </c>
      <c r="H92" t="s">
        <v>969</v>
      </c>
      <c r="I92" t="s">
        <v>970</v>
      </c>
      <c r="J92" t="s">
        <v>971</v>
      </c>
      <c r="K92" t="s">
        <v>972</v>
      </c>
      <c r="L92">
        <v>14642.98</v>
      </c>
      <c r="M92">
        <f t="shared" si="1"/>
        <v>32834.35</v>
      </c>
    </row>
    <row r="93" spans="1:13" x14ac:dyDescent="0.25">
      <c r="A93" t="s">
        <v>661</v>
      </c>
      <c r="B93" t="s">
        <v>2249</v>
      </c>
      <c r="C93" t="s">
        <v>975</v>
      </c>
      <c r="D93" t="s">
        <v>1734</v>
      </c>
      <c r="E93" t="s">
        <v>977</v>
      </c>
      <c r="F93" t="s">
        <v>967</v>
      </c>
      <c r="G93" t="s">
        <v>968</v>
      </c>
      <c r="H93" t="s">
        <v>969</v>
      </c>
      <c r="I93" t="s">
        <v>970</v>
      </c>
      <c r="J93" t="s">
        <v>971</v>
      </c>
      <c r="K93" t="s">
        <v>972</v>
      </c>
      <c r="L93">
        <v>1999.48</v>
      </c>
      <c r="M93">
        <f t="shared" si="1"/>
        <v>32834.35</v>
      </c>
    </row>
    <row r="94" spans="1:13" x14ac:dyDescent="0.25">
      <c r="A94" t="s">
        <v>661</v>
      </c>
      <c r="B94" t="s">
        <v>2250</v>
      </c>
      <c r="C94" t="s">
        <v>964</v>
      </c>
      <c r="D94" t="s">
        <v>1734</v>
      </c>
      <c r="E94" t="s">
        <v>977</v>
      </c>
      <c r="F94" t="s">
        <v>967</v>
      </c>
      <c r="G94" t="s">
        <v>968</v>
      </c>
      <c r="H94" t="s">
        <v>969</v>
      </c>
      <c r="I94" t="s">
        <v>970</v>
      </c>
      <c r="J94" t="s">
        <v>971</v>
      </c>
      <c r="K94" t="s">
        <v>972</v>
      </c>
      <c r="L94">
        <v>1999.48</v>
      </c>
      <c r="M94">
        <f t="shared" si="1"/>
        <v>32834.35</v>
      </c>
    </row>
    <row r="95" spans="1:13" x14ac:dyDescent="0.25">
      <c r="A95" t="s">
        <v>782</v>
      </c>
      <c r="B95" t="s">
        <v>2502</v>
      </c>
      <c r="C95" t="s">
        <v>988</v>
      </c>
      <c r="D95" t="s">
        <v>1734</v>
      </c>
      <c r="E95" t="s">
        <v>977</v>
      </c>
      <c r="F95" t="s">
        <v>967</v>
      </c>
      <c r="G95" t="s">
        <v>968</v>
      </c>
      <c r="H95" t="s">
        <v>969</v>
      </c>
      <c r="I95" t="s">
        <v>970</v>
      </c>
      <c r="J95" t="s">
        <v>971</v>
      </c>
      <c r="K95" t="s">
        <v>972</v>
      </c>
      <c r="L95">
        <v>254.57</v>
      </c>
      <c r="M95">
        <f t="shared" si="1"/>
        <v>32834.35</v>
      </c>
    </row>
    <row r="96" spans="1:13" x14ac:dyDescent="0.25">
      <c r="A96" t="s">
        <v>587</v>
      </c>
      <c r="B96" t="s">
        <v>1834</v>
      </c>
      <c r="C96" t="s">
        <v>975</v>
      </c>
      <c r="D96" t="s">
        <v>1835</v>
      </c>
      <c r="E96" t="s">
        <v>966</v>
      </c>
      <c r="F96" t="s">
        <v>967</v>
      </c>
      <c r="G96" t="s">
        <v>968</v>
      </c>
      <c r="H96" t="s">
        <v>969</v>
      </c>
      <c r="I96" t="s">
        <v>970</v>
      </c>
      <c r="J96" t="s">
        <v>971</v>
      </c>
      <c r="K96" t="s">
        <v>972</v>
      </c>
      <c r="L96">
        <v>15038.04</v>
      </c>
      <c r="M96">
        <f t="shared" si="1"/>
        <v>15038.04</v>
      </c>
    </row>
    <row r="97" spans="1:13" x14ac:dyDescent="0.25">
      <c r="A97" t="s">
        <v>337</v>
      </c>
      <c r="B97" t="s">
        <v>2043</v>
      </c>
      <c r="C97" t="s">
        <v>975</v>
      </c>
      <c r="D97" t="s">
        <v>2044</v>
      </c>
      <c r="E97" t="s">
        <v>980</v>
      </c>
      <c r="F97" t="s">
        <v>967</v>
      </c>
      <c r="G97" t="s">
        <v>968</v>
      </c>
      <c r="H97" t="s">
        <v>969</v>
      </c>
      <c r="I97" t="s">
        <v>970</v>
      </c>
      <c r="J97" t="s">
        <v>971</v>
      </c>
      <c r="K97" t="s">
        <v>972</v>
      </c>
      <c r="L97">
        <v>7443.2</v>
      </c>
      <c r="M97">
        <f t="shared" si="1"/>
        <v>7443.2</v>
      </c>
    </row>
    <row r="98" spans="1:13" x14ac:dyDescent="0.25">
      <c r="A98" t="s">
        <v>236</v>
      </c>
      <c r="B98" t="s">
        <v>2357</v>
      </c>
      <c r="C98" t="s">
        <v>975</v>
      </c>
      <c r="D98" t="s">
        <v>1895</v>
      </c>
      <c r="E98" t="s">
        <v>1223</v>
      </c>
      <c r="F98" t="s">
        <v>967</v>
      </c>
      <c r="G98" t="s">
        <v>968</v>
      </c>
      <c r="H98" t="s">
        <v>969</v>
      </c>
      <c r="I98" t="s">
        <v>970</v>
      </c>
      <c r="J98" t="s">
        <v>971</v>
      </c>
      <c r="K98" t="s">
        <v>972</v>
      </c>
      <c r="L98">
        <v>1102.4100000000001</v>
      </c>
      <c r="M98">
        <f t="shared" si="1"/>
        <v>2204.8200000000002</v>
      </c>
    </row>
    <row r="99" spans="1:13" x14ac:dyDescent="0.25">
      <c r="A99" t="s">
        <v>236</v>
      </c>
      <c r="B99" t="s">
        <v>2358</v>
      </c>
      <c r="C99" t="s">
        <v>975</v>
      </c>
      <c r="D99" t="s">
        <v>1895</v>
      </c>
      <c r="E99" t="s">
        <v>1223</v>
      </c>
      <c r="F99" t="s">
        <v>967</v>
      </c>
      <c r="G99" t="s">
        <v>968</v>
      </c>
      <c r="H99" t="s">
        <v>969</v>
      </c>
      <c r="I99" t="s">
        <v>970</v>
      </c>
      <c r="J99" t="s">
        <v>971</v>
      </c>
      <c r="K99" t="s">
        <v>972</v>
      </c>
      <c r="L99">
        <v>1102.4100000000001</v>
      </c>
      <c r="M99">
        <f t="shared" si="1"/>
        <v>2204.8200000000002</v>
      </c>
    </row>
    <row r="100" spans="1:13" x14ac:dyDescent="0.25">
      <c r="A100" t="s">
        <v>16</v>
      </c>
      <c r="B100" t="s">
        <v>2051</v>
      </c>
      <c r="C100" t="s">
        <v>975</v>
      </c>
      <c r="D100" t="s">
        <v>1895</v>
      </c>
      <c r="E100" t="s">
        <v>980</v>
      </c>
      <c r="F100" t="s">
        <v>967</v>
      </c>
      <c r="G100" t="s">
        <v>968</v>
      </c>
      <c r="H100" t="s">
        <v>969</v>
      </c>
      <c r="I100" t="s">
        <v>970</v>
      </c>
      <c r="J100" t="s">
        <v>971</v>
      </c>
      <c r="K100" t="s">
        <v>972</v>
      </c>
      <c r="L100">
        <v>7122.19</v>
      </c>
      <c r="M100">
        <f t="shared" si="1"/>
        <v>41139.22</v>
      </c>
    </row>
    <row r="101" spans="1:13" x14ac:dyDescent="0.25">
      <c r="A101" t="s">
        <v>16</v>
      </c>
      <c r="B101" t="s">
        <v>2052</v>
      </c>
      <c r="C101" t="s">
        <v>964</v>
      </c>
      <c r="D101" t="s">
        <v>1895</v>
      </c>
      <c r="E101" t="s">
        <v>980</v>
      </c>
      <c r="F101" t="s">
        <v>967</v>
      </c>
      <c r="G101" t="s">
        <v>968</v>
      </c>
      <c r="H101" t="s">
        <v>969</v>
      </c>
      <c r="I101" t="s">
        <v>970</v>
      </c>
      <c r="J101" t="s">
        <v>971</v>
      </c>
      <c r="K101" t="s">
        <v>972</v>
      </c>
      <c r="L101">
        <v>7122.19</v>
      </c>
      <c r="M101">
        <f t="shared" si="1"/>
        <v>41139.22</v>
      </c>
    </row>
    <row r="102" spans="1:13" x14ac:dyDescent="0.25">
      <c r="A102" t="s">
        <v>16</v>
      </c>
      <c r="B102" t="s">
        <v>2051</v>
      </c>
      <c r="C102" t="s">
        <v>975</v>
      </c>
      <c r="D102" t="s">
        <v>1895</v>
      </c>
      <c r="E102" t="s">
        <v>980</v>
      </c>
      <c r="F102" t="s">
        <v>967</v>
      </c>
      <c r="G102" t="s">
        <v>968</v>
      </c>
      <c r="H102" t="s">
        <v>969</v>
      </c>
      <c r="I102" t="s">
        <v>970</v>
      </c>
      <c r="J102" t="s">
        <v>971</v>
      </c>
      <c r="K102" t="s">
        <v>972</v>
      </c>
      <c r="L102">
        <v>7122.18</v>
      </c>
      <c r="M102">
        <f t="shared" si="1"/>
        <v>41139.22</v>
      </c>
    </row>
    <row r="103" spans="1:13" x14ac:dyDescent="0.25">
      <c r="A103" t="s">
        <v>16</v>
      </c>
      <c r="B103" t="s">
        <v>2052</v>
      </c>
      <c r="C103" t="s">
        <v>964</v>
      </c>
      <c r="D103" t="s">
        <v>1895</v>
      </c>
      <c r="E103" t="s">
        <v>980</v>
      </c>
      <c r="F103" t="s">
        <v>967</v>
      </c>
      <c r="G103" t="s">
        <v>968</v>
      </c>
      <c r="H103" t="s">
        <v>969</v>
      </c>
      <c r="I103" t="s">
        <v>970</v>
      </c>
      <c r="J103" t="s">
        <v>971</v>
      </c>
      <c r="K103" t="s">
        <v>972</v>
      </c>
      <c r="L103">
        <v>7122.18</v>
      </c>
      <c r="M103">
        <f t="shared" si="1"/>
        <v>41139.22</v>
      </c>
    </row>
    <row r="104" spans="1:13" x14ac:dyDescent="0.25">
      <c r="A104" t="s">
        <v>822</v>
      </c>
      <c r="B104" t="s">
        <v>2489</v>
      </c>
      <c r="C104" t="s">
        <v>988</v>
      </c>
      <c r="D104" t="s">
        <v>1895</v>
      </c>
      <c r="E104" t="s">
        <v>1369</v>
      </c>
      <c r="F104" t="s">
        <v>967</v>
      </c>
      <c r="G104" t="s">
        <v>968</v>
      </c>
      <c r="H104" t="s">
        <v>969</v>
      </c>
      <c r="I104" t="s">
        <v>970</v>
      </c>
      <c r="J104" t="s">
        <v>971</v>
      </c>
      <c r="K104" t="s">
        <v>972</v>
      </c>
      <c r="L104">
        <v>304.68</v>
      </c>
      <c r="M104">
        <f t="shared" si="1"/>
        <v>41139.22</v>
      </c>
    </row>
    <row r="105" spans="1:13" x14ac:dyDescent="0.25">
      <c r="A105" t="s">
        <v>552</v>
      </c>
      <c r="B105" t="s">
        <v>2529</v>
      </c>
      <c r="C105" t="s">
        <v>988</v>
      </c>
      <c r="D105" t="s">
        <v>1951</v>
      </c>
      <c r="E105" t="s">
        <v>977</v>
      </c>
      <c r="F105" t="s">
        <v>967</v>
      </c>
      <c r="G105" t="s">
        <v>968</v>
      </c>
      <c r="H105" t="s">
        <v>969</v>
      </c>
      <c r="I105" t="s">
        <v>970</v>
      </c>
      <c r="J105" t="s">
        <v>971</v>
      </c>
      <c r="K105" t="s">
        <v>972</v>
      </c>
      <c r="L105">
        <v>42.05</v>
      </c>
      <c r="M105">
        <f t="shared" si="1"/>
        <v>41139.22</v>
      </c>
    </row>
    <row r="106" spans="1:13" x14ac:dyDescent="0.25">
      <c r="A106" t="s">
        <v>412</v>
      </c>
      <c r="B106" t="s">
        <v>1894</v>
      </c>
      <c r="C106" t="s">
        <v>975</v>
      </c>
      <c r="D106" t="s">
        <v>1895</v>
      </c>
      <c r="E106" t="s">
        <v>977</v>
      </c>
      <c r="F106" t="s">
        <v>967</v>
      </c>
      <c r="G106" t="s">
        <v>968</v>
      </c>
      <c r="H106" t="s">
        <v>969</v>
      </c>
      <c r="I106" t="s">
        <v>970</v>
      </c>
      <c r="J106" t="s">
        <v>971</v>
      </c>
      <c r="K106" t="s">
        <v>972</v>
      </c>
      <c r="L106">
        <v>12303.75</v>
      </c>
      <c r="M106">
        <f t="shared" si="1"/>
        <v>41139.22</v>
      </c>
    </row>
    <row r="107" spans="1:13" x14ac:dyDescent="0.25">
      <c r="A107" t="s">
        <v>430</v>
      </c>
      <c r="B107" t="s">
        <v>2482</v>
      </c>
      <c r="C107" t="s">
        <v>988</v>
      </c>
      <c r="D107" t="s">
        <v>1961</v>
      </c>
      <c r="E107" t="s">
        <v>977</v>
      </c>
      <c r="F107" t="s">
        <v>967</v>
      </c>
      <c r="G107" t="s">
        <v>968</v>
      </c>
      <c r="H107" t="s">
        <v>969</v>
      </c>
      <c r="I107" t="s">
        <v>970</v>
      </c>
      <c r="J107" t="s">
        <v>971</v>
      </c>
      <c r="K107" t="s">
        <v>972</v>
      </c>
      <c r="L107">
        <v>348.09</v>
      </c>
      <c r="M107">
        <f t="shared" si="1"/>
        <v>696.18</v>
      </c>
    </row>
    <row r="108" spans="1:13" x14ac:dyDescent="0.25">
      <c r="A108" t="s">
        <v>430</v>
      </c>
      <c r="B108" t="s">
        <v>2483</v>
      </c>
      <c r="C108" t="s">
        <v>988</v>
      </c>
      <c r="D108" t="s">
        <v>1961</v>
      </c>
      <c r="E108" t="s">
        <v>977</v>
      </c>
      <c r="F108" t="s">
        <v>967</v>
      </c>
      <c r="G108" t="s">
        <v>968</v>
      </c>
      <c r="H108" t="s">
        <v>969</v>
      </c>
      <c r="I108" t="s">
        <v>970</v>
      </c>
      <c r="J108" t="s">
        <v>971</v>
      </c>
      <c r="K108" t="s">
        <v>972</v>
      </c>
      <c r="L108">
        <v>348.09</v>
      </c>
      <c r="M108">
        <f t="shared" si="1"/>
        <v>696.18</v>
      </c>
    </row>
    <row r="109" spans="1:13" x14ac:dyDescent="0.25">
      <c r="A109" t="s">
        <v>751</v>
      </c>
      <c r="B109" t="s">
        <v>2444</v>
      </c>
      <c r="C109" t="s">
        <v>988</v>
      </c>
      <c r="D109" t="s">
        <v>1661</v>
      </c>
      <c r="E109" t="s">
        <v>980</v>
      </c>
      <c r="F109" t="s">
        <v>967</v>
      </c>
      <c r="G109" t="s">
        <v>968</v>
      </c>
      <c r="H109" t="s">
        <v>969</v>
      </c>
      <c r="I109" t="s">
        <v>970</v>
      </c>
      <c r="J109" t="s">
        <v>971</v>
      </c>
      <c r="K109" t="s">
        <v>972</v>
      </c>
      <c r="L109">
        <v>526.33000000000004</v>
      </c>
      <c r="M109">
        <f t="shared" si="1"/>
        <v>526.33000000000004</v>
      </c>
    </row>
    <row r="110" spans="1:13" x14ac:dyDescent="0.25">
      <c r="A110" t="s">
        <v>119</v>
      </c>
      <c r="B110" t="s">
        <v>2352</v>
      </c>
      <c r="C110" t="s">
        <v>964</v>
      </c>
      <c r="D110" t="s">
        <v>1951</v>
      </c>
      <c r="E110" t="s">
        <v>977</v>
      </c>
      <c r="F110" t="s">
        <v>967</v>
      </c>
      <c r="G110" t="s">
        <v>968</v>
      </c>
      <c r="H110" t="s">
        <v>969</v>
      </c>
      <c r="I110" t="s">
        <v>970</v>
      </c>
      <c r="J110" t="s">
        <v>971</v>
      </c>
      <c r="K110" t="s">
        <v>972</v>
      </c>
      <c r="L110">
        <v>1102.57</v>
      </c>
      <c r="M110">
        <f t="shared" si="1"/>
        <v>1102.57</v>
      </c>
    </row>
    <row r="111" spans="1:13" x14ac:dyDescent="0.25">
      <c r="A111" t="s">
        <v>530</v>
      </c>
      <c r="B111" t="s">
        <v>1962</v>
      </c>
      <c r="C111" t="s">
        <v>964</v>
      </c>
      <c r="D111" t="s">
        <v>1961</v>
      </c>
      <c r="E111" t="s">
        <v>977</v>
      </c>
      <c r="F111" t="s">
        <v>967</v>
      </c>
      <c r="G111" t="s">
        <v>968</v>
      </c>
      <c r="H111" t="s">
        <v>969</v>
      </c>
      <c r="I111" t="s">
        <v>970</v>
      </c>
      <c r="J111" t="s">
        <v>971</v>
      </c>
      <c r="K111" t="s">
        <v>972</v>
      </c>
      <c r="L111">
        <v>9531.1299999999992</v>
      </c>
      <c r="M111">
        <f t="shared" si="1"/>
        <v>280433.34000000003</v>
      </c>
    </row>
    <row r="112" spans="1:13" x14ac:dyDescent="0.25">
      <c r="A112" t="s">
        <v>66</v>
      </c>
      <c r="B112" t="s">
        <v>1963</v>
      </c>
      <c r="C112" t="s">
        <v>964</v>
      </c>
      <c r="D112" t="s">
        <v>1961</v>
      </c>
      <c r="E112" t="s">
        <v>977</v>
      </c>
      <c r="F112" t="s">
        <v>967</v>
      </c>
      <c r="G112" t="s">
        <v>968</v>
      </c>
      <c r="H112" t="s">
        <v>969</v>
      </c>
      <c r="I112" t="s">
        <v>970</v>
      </c>
      <c r="J112" t="s">
        <v>971</v>
      </c>
      <c r="K112" t="s">
        <v>972</v>
      </c>
      <c r="L112">
        <v>9531.1299999999992</v>
      </c>
      <c r="M112">
        <f t="shared" si="1"/>
        <v>280433.34000000003</v>
      </c>
    </row>
    <row r="113" spans="1:13" x14ac:dyDescent="0.25">
      <c r="A113" t="s">
        <v>313</v>
      </c>
      <c r="B113" t="s">
        <v>1966</v>
      </c>
      <c r="C113" t="s">
        <v>964</v>
      </c>
      <c r="D113" t="s">
        <v>1961</v>
      </c>
      <c r="E113" t="s">
        <v>977</v>
      </c>
      <c r="F113" t="s">
        <v>967</v>
      </c>
      <c r="G113" t="s">
        <v>968</v>
      </c>
      <c r="H113" t="s">
        <v>969</v>
      </c>
      <c r="I113" t="s">
        <v>970</v>
      </c>
      <c r="J113" t="s">
        <v>971</v>
      </c>
      <c r="K113" t="s">
        <v>972</v>
      </c>
      <c r="L113">
        <v>9531.1299999999992</v>
      </c>
      <c r="M113">
        <f t="shared" si="1"/>
        <v>280433.34000000003</v>
      </c>
    </row>
    <row r="114" spans="1:13" x14ac:dyDescent="0.25">
      <c r="A114" t="s">
        <v>298</v>
      </c>
      <c r="B114" t="s">
        <v>1964</v>
      </c>
      <c r="C114" t="s">
        <v>964</v>
      </c>
      <c r="D114" t="s">
        <v>1961</v>
      </c>
      <c r="E114" t="s">
        <v>977</v>
      </c>
      <c r="F114" t="s">
        <v>967</v>
      </c>
      <c r="G114" t="s">
        <v>968</v>
      </c>
      <c r="H114" t="s">
        <v>969</v>
      </c>
      <c r="I114" t="s">
        <v>970</v>
      </c>
      <c r="J114" t="s">
        <v>971</v>
      </c>
      <c r="K114" t="s">
        <v>972</v>
      </c>
      <c r="L114">
        <v>9531.1299999999992</v>
      </c>
      <c r="M114">
        <f t="shared" si="1"/>
        <v>280433.34000000003</v>
      </c>
    </row>
    <row r="115" spans="1:13" x14ac:dyDescent="0.25">
      <c r="A115" t="s">
        <v>884</v>
      </c>
      <c r="B115" t="s">
        <v>1960</v>
      </c>
      <c r="C115" t="s">
        <v>964</v>
      </c>
      <c r="D115" t="s">
        <v>1961</v>
      </c>
      <c r="E115" t="s">
        <v>977</v>
      </c>
      <c r="F115" t="s">
        <v>967</v>
      </c>
      <c r="G115" t="s">
        <v>968</v>
      </c>
      <c r="H115" t="s">
        <v>969</v>
      </c>
      <c r="I115" t="s">
        <v>970</v>
      </c>
      <c r="J115" t="s">
        <v>971</v>
      </c>
      <c r="K115" t="s">
        <v>972</v>
      </c>
      <c r="L115">
        <v>9531.1299999999992</v>
      </c>
      <c r="M115">
        <f t="shared" si="1"/>
        <v>280433.34000000003</v>
      </c>
    </row>
    <row r="116" spans="1:13" x14ac:dyDescent="0.25">
      <c r="A116" t="s">
        <v>295</v>
      </c>
      <c r="B116" t="s">
        <v>1965</v>
      </c>
      <c r="C116" t="s">
        <v>964</v>
      </c>
      <c r="D116" t="s">
        <v>1961</v>
      </c>
      <c r="E116" t="s">
        <v>977</v>
      </c>
      <c r="F116" t="s">
        <v>967</v>
      </c>
      <c r="G116" t="s">
        <v>968</v>
      </c>
      <c r="H116" t="s">
        <v>969</v>
      </c>
      <c r="I116" t="s">
        <v>970</v>
      </c>
      <c r="J116" t="s">
        <v>971</v>
      </c>
      <c r="K116" t="s">
        <v>972</v>
      </c>
      <c r="L116">
        <v>9531.1299999999992</v>
      </c>
      <c r="M116">
        <f t="shared" si="1"/>
        <v>280433.34000000003</v>
      </c>
    </row>
    <row r="117" spans="1:13" x14ac:dyDescent="0.25">
      <c r="A117" t="s">
        <v>22</v>
      </c>
      <c r="B117" t="s">
        <v>1563</v>
      </c>
      <c r="C117" t="s">
        <v>975</v>
      </c>
      <c r="D117" t="s">
        <v>1564</v>
      </c>
      <c r="E117" t="s">
        <v>1223</v>
      </c>
      <c r="F117" t="s">
        <v>967</v>
      </c>
      <c r="G117" t="s">
        <v>968</v>
      </c>
      <c r="H117" t="s">
        <v>969</v>
      </c>
      <c r="I117" t="s">
        <v>970</v>
      </c>
      <c r="J117" t="s">
        <v>971</v>
      </c>
      <c r="K117" t="s">
        <v>972</v>
      </c>
      <c r="L117">
        <v>27905.82</v>
      </c>
      <c r="M117">
        <f t="shared" si="1"/>
        <v>280433.34000000003</v>
      </c>
    </row>
    <row r="118" spans="1:13" x14ac:dyDescent="0.25">
      <c r="A118" t="s">
        <v>22</v>
      </c>
      <c r="B118" t="s">
        <v>1565</v>
      </c>
      <c r="C118" t="s">
        <v>964</v>
      </c>
      <c r="D118" t="s">
        <v>1564</v>
      </c>
      <c r="E118" t="s">
        <v>1223</v>
      </c>
      <c r="F118" t="s">
        <v>967</v>
      </c>
      <c r="G118" t="s">
        <v>968</v>
      </c>
      <c r="H118" t="s">
        <v>969</v>
      </c>
      <c r="I118" t="s">
        <v>970</v>
      </c>
      <c r="J118" t="s">
        <v>971</v>
      </c>
      <c r="K118" t="s">
        <v>972</v>
      </c>
      <c r="L118">
        <v>27905.82</v>
      </c>
      <c r="M118">
        <f t="shared" si="1"/>
        <v>280433.34000000003</v>
      </c>
    </row>
    <row r="119" spans="1:13" x14ac:dyDescent="0.25">
      <c r="A119" t="s">
        <v>22</v>
      </c>
      <c r="B119" t="s">
        <v>1566</v>
      </c>
      <c r="C119" t="s">
        <v>975</v>
      </c>
      <c r="D119" t="s">
        <v>1564</v>
      </c>
      <c r="E119" t="s">
        <v>1223</v>
      </c>
      <c r="F119" t="s">
        <v>967</v>
      </c>
      <c r="G119" t="s">
        <v>968</v>
      </c>
      <c r="H119" t="s">
        <v>969</v>
      </c>
      <c r="I119" t="s">
        <v>970</v>
      </c>
      <c r="J119" t="s">
        <v>971</v>
      </c>
      <c r="K119" t="s">
        <v>972</v>
      </c>
      <c r="L119">
        <v>27905.82</v>
      </c>
      <c r="M119">
        <f t="shared" si="1"/>
        <v>280433.34000000003</v>
      </c>
    </row>
    <row r="120" spans="1:13" x14ac:dyDescent="0.25">
      <c r="A120" t="s">
        <v>22</v>
      </c>
      <c r="B120" t="s">
        <v>1567</v>
      </c>
      <c r="C120" t="s">
        <v>975</v>
      </c>
      <c r="D120" t="s">
        <v>1564</v>
      </c>
      <c r="E120" t="s">
        <v>1223</v>
      </c>
      <c r="F120" t="s">
        <v>967</v>
      </c>
      <c r="G120" t="s">
        <v>968</v>
      </c>
      <c r="H120" t="s">
        <v>969</v>
      </c>
      <c r="I120" t="s">
        <v>970</v>
      </c>
      <c r="J120" t="s">
        <v>971</v>
      </c>
      <c r="K120" t="s">
        <v>972</v>
      </c>
      <c r="L120">
        <v>27905.82</v>
      </c>
      <c r="M120">
        <f t="shared" si="1"/>
        <v>280433.34000000003</v>
      </c>
    </row>
    <row r="121" spans="1:13" x14ac:dyDescent="0.25">
      <c r="A121" t="s">
        <v>22</v>
      </c>
      <c r="B121" t="s">
        <v>1568</v>
      </c>
      <c r="C121" t="s">
        <v>964</v>
      </c>
      <c r="D121" t="s">
        <v>1564</v>
      </c>
      <c r="E121" t="s">
        <v>1223</v>
      </c>
      <c r="F121" t="s">
        <v>967</v>
      </c>
      <c r="G121" t="s">
        <v>968</v>
      </c>
      <c r="H121" t="s">
        <v>969</v>
      </c>
      <c r="I121" t="s">
        <v>970</v>
      </c>
      <c r="J121" t="s">
        <v>971</v>
      </c>
      <c r="K121" t="s">
        <v>972</v>
      </c>
      <c r="L121">
        <v>27905.82</v>
      </c>
      <c r="M121">
        <f t="shared" si="1"/>
        <v>280433.34000000003</v>
      </c>
    </row>
    <row r="122" spans="1:13" x14ac:dyDescent="0.25">
      <c r="A122" t="s">
        <v>22</v>
      </c>
      <c r="B122" t="s">
        <v>1569</v>
      </c>
      <c r="C122" t="s">
        <v>975</v>
      </c>
      <c r="D122" t="s">
        <v>1564</v>
      </c>
      <c r="E122" t="s">
        <v>1223</v>
      </c>
      <c r="F122" t="s">
        <v>967</v>
      </c>
      <c r="G122" t="s">
        <v>968</v>
      </c>
      <c r="H122" t="s">
        <v>969</v>
      </c>
      <c r="I122" t="s">
        <v>970</v>
      </c>
      <c r="J122" t="s">
        <v>971</v>
      </c>
      <c r="K122" t="s">
        <v>972</v>
      </c>
      <c r="L122">
        <v>27905.82</v>
      </c>
      <c r="M122">
        <f t="shared" si="1"/>
        <v>280433.34000000003</v>
      </c>
    </row>
    <row r="123" spans="1:13" x14ac:dyDescent="0.25">
      <c r="A123" t="s">
        <v>22</v>
      </c>
      <c r="B123" t="s">
        <v>1570</v>
      </c>
      <c r="C123" t="s">
        <v>964</v>
      </c>
      <c r="D123" t="s">
        <v>1564</v>
      </c>
      <c r="E123" t="s">
        <v>1223</v>
      </c>
      <c r="F123" t="s">
        <v>967</v>
      </c>
      <c r="G123" t="s">
        <v>968</v>
      </c>
      <c r="H123" t="s">
        <v>969</v>
      </c>
      <c r="I123" t="s">
        <v>970</v>
      </c>
      <c r="J123" t="s">
        <v>971</v>
      </c>
      <c r="K123" t="s">
        <v>972</v>
      </c>
      <c r="L123">
        <v>27905.82</v>
      </c>
      <c r="M123">
        <f t="shared" si="1"/>
        <v>280433.34000000003</v>
      </c>
    </row>
    <row r="124" spans="1:13" x14ac:dyDescent="0.25">
      <c r="A124" t="s">
        <v>22</v>
      </c>
      <c r="B124" t="s">
        <v>1571</v>
      </c>
      <c r="C124" t="s">
        <v>964</v>
      </c>
      <c r="D124" t="s">
        <v>1564</v>
      </c>
      <c r="E124" t="s">
        <v>1223</v>
      </c>
      <c r="F124" t="s">
        <v>967</v>
      </c>
      <c r="G124" t="s">
        <v>968</v>
      </c>
      <c r="H124" t="s">
        <v>969</v>
      </c>
      <c r="I124" t="s">
        <v>970</v>
      </c>
      <c r="J124" t="s">
        <v>971</v>
      </c>
      <c r="K124" t="s">
        <v>972</v>
      </c>
      <c r="L124">
        <v>27905.82</v>
      </c>
      <c r="M124">
        <f t="shared" si="1"/>
        <v>280433.34000000003</v>
      </c>
    </row>
    <row r="125" spans="1:13" x14ac:dyDescent="0.25">
      <c r="A125" t="s">
        <v>161</v>
      </c>
      <c r="B125" t="s">
        <v>2458</v>
      </c>
      <c r="C125" t="s">
        <v>988</v>
      </c>
      <c r="D125" t="s">
        <v>1905</v>
      </c>
      <c r="E125" t="s">
        <v>980</v>
      </c>
      <c r="F125" t="s">
        <v>967</v>
      </c>
      <c r="G125" t="s">
        <v>968</v>
      </c>
      <c r="H125" t="s">
        <v>969</v>
      </c>
      <c r="I125" t="s">
        <v>970</v>
      </c>
      <c r="J125" t="s">
        <v>971</v>
      </c>
      <c r="K125" t="s">
        <v>972</v>
      </c>
      <c r="L125">
        <v>464.95</v>
      </c>
      <c r="M125">
        <f t="shared" si="1"/>
        <v>866.87</v>
      </c>
    </row>
    <row r="126" spans="1:13" x14ac:dyDescent="0.25">
      <c r="A126" t="s">
        <v>816</v>
      </c>
      <c r="B126" t="s">
        <v>2468</v>
      </c>
      <c r="C126" t="s">
        <v>988</v>
      </c>
      <c r="D126" t="s">
        <v>1951</v>
      </c>
      <c r="E126" t="s">
        <v>980</v>
      </c>
      <c r="F126" t="s">
        <v>967</v>
      </c>
      <c r="G126" t="s">
        <v>968</v>
      </c>
      <c r="H126" t="s">
        <v>969</v>
      </c>
      <c r="I126" t="s">
        <v>970</v>
      </c>
      <c r="J126" t="s">
        <v>971</v>
      </c>
      <c r="K126" t="s">
        <v>972</v>
      </c>
      <c r="L126">
        <v>401.92</v>
      </c>
      <c r="M126">
        <f t="shared" si="1"/>
        <v>866.87</v>
      </c>
    </row>
    <row r="127" spans="1:13" x14ac:dyDescent="0.25">
      <c r="A127" t="s">
        <v>888</v>
      </c>
      <c r="B127" t="s">
        <v>2252</v>
      </c>
      <c r="C127" t="s">
        <v>975</v>
      </c>
      <c r="D127" t="s">
        <v>2253</v>
      </c>
      <c r="E127" t="s">
        <v>980</v>
      </c>
      <c r="F127" t="s">
        <v>967</v>
      </c>
      <c r="G127" t="s">
        <v>968</v>
      </c>
      <c r="H127" t="s">
        <v>969</v>
      </c>
      <c r="I127" t="s">
        <v>970</v>
      </c>
      <c r="J127" t="s">
        <v>971</v>
      </c>
      <c r="K127" t="s">
        <v>972</v>
      </c>
      <c r="L127">
        <v>1992.84</v>
      </c>
      <c r="M127">
        <f t="shared" si="1"/>
        <v>1992.84</v>
      </c>
    </row>
    <row r="128" spans="1:13" x14ac:dyDescent="0.25">
      <c r="A128" t="s">
        <v>646</v>
      </c>
      <c r="B128" t="s">
        <v>1957</v>
      </c>
      <c r="C128" t="s">
        <v>975</v>
      </c>
      <c r="D128" t="s">
        <v>1958</v>
      </c>
      <c r="E128" t="s">
        <v>977</v>
      </c>
      <c r="F128" t="s">
        <v>967</v>
      </c>
      <c r="G128" t="s">
        <v>968</v>
      </c>
      <c r="H128" t="s">
        <v>969</v>
      </c>
      <c r="I128" t="s">
        <v>970</v>
      </c>
      <c r="J128" t="s">
        <v>971</v>
      </c>
      <c r="K128" t="s">
        <v>972</v>
      </c>
      <c r="L128">
        <v>9584.19</v>
      </c>
      <c r="M128">
        <f t="shared" si="1"/>
        <v>19143.14</v>
      </c>
    </row>
    <row r="129" spans="1:13" x14ac:dyDescent="0.25">
      <c r="A129" t="s">
        <v>736</v>
      </c>
      <c r="B129" t="s">
        <v>1959</v>
      </c>
      <c r="C129" t="s">
        <v>975</v>
      </c>
      <c r="D129" t="s">
        <v>1958</v>
      </c>
      <c r="E129" t="s">
        <v>977</v>
      </c>
      <c r="F129" t="s">
        <v>967</v>
      </c>
      <c r="G129" t="s">
        <v>968</v>
      </c>
      <c r="H129" t="s">
        <v>969</v>
      </c>
      <c r="I129" t="s">
        <v>970</v>
      </c>
      <c r="J129" t="s">
        <v>971</v>
      </c>
      <c r="K129" t="s">
        <v>972</v>
      </c>
      <c r="L129">
        <v>9558.9500000000007</v>
      </c>
      <c r="M129">
        <f t="shared" si="1"/>
        <v>19143.14</v>
      </c>
    </row>
    <row r="130" spans="1:13" x14ac:dyDescent="0.25">
      <c r="A130" t="s">
        <v>277</v>
      </c>
      <c r="B130" t="s">
        <v>1984</v>
      </c>
      <c r="C130" t="s">
        <v>975</v>
      </c>
      <c r="D130" t="s">
        <v>1951</v>
      </c>
      <c r="E130" t="s">
        <v>977</v>
      </c>
      <c r="F130" t="s">
        <v>967</v>
      </c>
      <c r="G130" t="s">
        <v>968</v>
      </c>
      <c r="H130" t="s">
        <v>969</v>
      </c>
      <c r="I130" t="s">
        <v>970</v>
      </c>
      <c r="J130" t="s">
        <v>971</v>
      </c>
      <c r="K130" t="s">
        <v>972</v>
      </c>
      <c r="L130">
        <v>9376.8700000000008</v>
      </c>
      <c r="M130">
        <f t="shared" si="1"/>
        <v>58124.060000000005</v>
      </c>
    </row>
    <row r="131" spans="1:13" x14ac:dyDescent="0.25">
      <c r="A131" t="s">
        <v>833</v>
      </c>
      <c r="B131" t="s">
        <v>1985</v>
      </c>
      <c r="C131" t="s">
        <v>975</v>
      </c>
      <c r="D131" t="s">
        <v>1951</v>
      </c>
      <c r="E131" t="s">
        <v>977</v>
      </c>
      <c r="F131" t="s">
        <v>967</v>
      </c>
      <c r="G131" t="s">
        <v>968</v>
      </c>
      <c r="H131" t="s">
        <v>969</v>
      </c>
      <c r="I131" t="s">
        <v>970</v>
      </c>
      <c r="J131" t="s">
        <v>971</v>
      </c>
      <c r="K131" t="s">
        <v>972</v>
      </c>
      <c r="L131">
        <v>9376.8700000000008</v>
      </c>
      <c r="M131">
        <f t="shared" ref="M131:M194" si="2">+SUMIF(A:A,A131,L:L)</f>
        <v>58124.060000000005</v>
      </c>
    </row>
    <row r="132" spans="1:13" x14ac:dyDescent="0.25">
      <c r="A132" t="s">
        <v>439</v>
      </c>
      <c r="B132" t="s">
        <v>1986</v>
      </c>
      <c r="C132" t="s">
        <v>975</v>
      </c>
      <c r="D132" t="s">
        <v>1951</v>
      </c>
      <c r="E132" t="s">
        <v>977</v>
      </c>
      <c r="F132" t="s">
        <v>967</v>
      </c>
      <c r="G132" t="s">
        <v>968</v>
      </c>
      <c r="H132" t="s">
        <v>969</v>
      </c>
      <c r="I132" t="s">
        <v>970</v>
      </c>
      <c r="J132" t="s">
        <v>971</v>
      </c>
      <c r="K132" t="s">
        <v>972</v>
      </c>
      <c r="L132">
        <v>9376.8700000000008</v>
      </c>
      <c r="M132">
        <f t="shared" si="2"/>
        <v>58124.060000000005</v>
      </c>
    </row>
    <row r="133" spans="1:13" x14ac:dyDescent="0.25">
      <c r="A133" t="s">
        <v>148</v>
      </c>
      <c r="B133" t="s">
        <v>1987</v>
      </c>
      <c r="C133" t="s">
        <v>975</v>
      </c>
      <c r="D133" t="s">
        <v>1951</v>
      </c>
      <c r="E133" t="s">
        <v>977</v>
      </c>
      <c r="F133" t="s">
        <v>967</v>
      </c>
      <c r="G133" t="s">
        <v>968</v>
      </c>
      <c r="H133" t="s">
        <v>969</v>
      </c>
      <c r="I133" t="s">
        <v>970</v>
      </c>
      <c r="J133" t="s">
        <v>971</v>
      </c>
      <c r="K133" t="s">
        <v>972</v>
      </c>
      <c r="L133">
        <v>9376.8700000000008</v>
      </c>
      <c r="M133">
        <f t="shared" si="2"/>
        <v>58124.060000000005</v>
      </c>
    </row>
    <row r="134" spans="1:13" x14ac:dyDescent="0.25">
      <c r="A134" t="s">
        <v>901</v>
      </c>
      <c r="B134" t="s">
        <v>1952</v>
      </c>
      <c r="C134" t="s">
        <v>975</v>
      </c>
      <c r="D134" t="s">
        <v>1951</v>
      </c>
      <c r="E134" t="s">
        <v>977</v>
      </c>
      <c r="F134" t="s">
        <v>967</v>
      </c>
      <c r="G134" t="s">
        <v>968</v>
      </c>
      <c r="H134" t="s">
        <v>969</v>
      </c>
      <c r="I134" t="s">
        <v>970</v>
      </c>
      <c r="J134" t="s">
        <v>971</v>
      </c>
      <c r="K134" t="s">
        <v>972</v>
      </c>
      <c r="L134">
        <v>10308.290000000001</v>
      </c>
      <c r="M134">
        <f t="shared" si="2"/>
        <v>58124.060000000005</v>
      </c>
    </row>
    <row r="135" spans="1:13" x14ac:dyDescent="0.25">
      <c r="A135" t="s">
        <v>550</v>
      </c>
      <c r="B135" t="s">
        <v>1950</v>
      </c>
      <c r="C135" t="s">
        <v>975</v>
      </c>
      <c r="D135" t="s">
        <v>1951</v>
      </c>
      <c r="E135" t="s">
        <v>977</v>
      </c>
      <c r="F135" t="s">
        <v>967</v>
      </c>
      <c r="G135" t="s">
        <v>968</v>
      </c>
      <c r="H135" t="s">
        <v>969</v>
      </c>
      <c r="I135" t="s">
        <v>970</v>
      </c>
      <c r="J135" t="s">
        <v>971</v>
      </c>
      <c r="K135" t="s">
        <v>972</v>
      </c>
      <c r="L135">
        <v>10308.290000000001</v>
      </c>
      <c r="M135">
        <f t="shared" si="2"/>
        <v>58124.060000000005</v>
      </c>
    </row>
    <row r="136" spans="1:13" x14ac:dyDescent="0.25">
      <c r="A136" t="s">
        <v>563</v>
      </c>
      <c r="B136" t="s">
        <v>1896</v>
      </c>
      <c r="C136" t="s">
        <v>975</v>
      </c>
      <c r="D136" t="s">
        <v>1897</v>
      </c>
      <c r="E136" t="s">
        <v>980</v>
      </c>
      <c r="F136" t="s">
        <v>967</v>
      </c>
      <c r="G136" t="s">
        <v>968</v>
      </c>
      <c r="H136" t="s">
        <v>969</v>
      </c>
      <c r="I136" t="s">
        <v>970</v>
      </c>
      <c r="J136" t="s">
        <v>971</v>
      </c>
      <c r="K136" t="s">
        <v>972</v>
      </c>
      <c r="L136">
        <v>12143.1</v>
      </c>
      <c r="M136">
        <f t="shared" si="2"/>
        <v>12143.1</v>
      </c>
    </row>
    <row r="137" spans="1:13" x14ac:dyDescent="0.25">
      <c r="A137" t="s">
        <v>372</v>
      </c>
      <c r="B137" t="s">
        <v>1908</v>
      </c>
      <c r="C137" t="s">
        <v>975</v>
      </c>
      <c r="D137" t="s">
        <v>1897</v>
      </c>
      <c r="E137" t="s">
        <v>980</v>
      </c>
      <c r="F137" t="s">
        <v>967</v>
      </c>
      <c r="G137" t="s">
        <v>968</v>
      </c>
      <c r="H137" t="s">
        <v>969</v>
      </c>
      <c r="I137" t="s">
        <v>970</v>
      </c>
      <c r="J137" t="s">
        <v>971</v>
      </c>
      <c r="K137" t="s">
        <v>972</v>
      </c>
      <c r="L137">
        <v>11491.96</v>
      </c>
      <c r="M137">
        <f t="shared" si="2"/>
        <v>11491.96</v>
      </c>
    </row>
    <row r="138" spans="1:13" x14ac:dyDescent="0.25">
      <c r="A138" t="s">
        <v>847</v>
      </c>
      <c r="B138" t="s">
        <v>1902</v>
      </c>
      <c r="C138" t="s">
        <v>964</v>
      </c>
      <c r="D138" t="s">
        <v>1903</v>
      </c>
      <c r="E138" t="s">
        <v>977</v>
      </c>
      <c r="F138" t="s">
        <v>967</v>
      </c>
      <c r="G138" t="s">
        <v>968</v>
      </c>
      <c r="H138" t="s">
        <v>969</v>
      </c>
      <c r="I138" t="s">
        <v>970</v>
      </c>
      <c r="J138" t="s">
        <v>971</v>
      </c>
      <c r="K138" t="s">
        <v>972</v>
      </c>
      <c r="L138">
        <v>12010.84</v>
      </c>
      <c r="M138">
        <f t="shared" si="2"/>
        <v>12010.84</v>
      </c>
    </row>
    <row r="139" spans="1:13" x14ac:dyDescent="0.25">
      <c r="A139" t="s">
        <v>591</v>
      </c>
      <c r="B139" t="s">
        <v>2195</v>
      </c>
      <c r="C139" t="s">
        <v>975</v>
      </c>
      <c r="D139" t="s">
        <v>1661</v>
      </c>
      <c r="E139" t="s">
        <v>977</v>
      </c>
      <c r="F139" t="s">
        <v>967</v>
      </c>
      <c r="G139" t="s">
        <v>968</v>
      </c>
      <c r="H139" t="s">
        <v>969</v>
      </c>
      <c r="I139" t="s">
        <v>970</v>
      </c>
      <c r="J139" t="s">
        <v>971</v>
      </c>
      <c r="K139" t="s">
        <v>972</v>
      </c>
      <c r="L139">
        <v>2936.56</v>
      </c>
      <c r="M139">
        <f t="shared" si="2"/>
        <v>5873.12</v>
      </c>
    </row>
    <row r="140" spans="1:13" x14ac:dyDescent="0.25">
      <c r="A140" t="s">
        <v>795</v>
      </c>
      <c r="B140" t="s">
        <v>2194</v>
      </c>
      <c r="C140" t="s">
        <v>975</v>
      </c>
      <c r="D140" t="s">
        <v>1661</v>
      </c>
      <c r="E140" t="s">
        <v>977</v>
      </c>
      <c r="F140" t="s">
        <v>967</v>
      </c>
      <c r="G140" t="s">
        <v>968</v>
      </c>
      <c r="H140" t="s">
        <v>969</v>
      </c>
      <c r="I140" t="s">
        <v>970</v>
      </c>
      <c r="J140" t="s">
        <v>971</v>
      </c>
      <c r="K140" t="s">
        <v>972</v>
      </c>
      <c r="L140">
        <v>2936.56</v>
      </c>
      <c r="M140">
        <f t="shared" si="2"/>
        <v>5873.12</v>
      </c>
    </row>
    <row r="141" spans="1:13" x14ac:dyDescent="0.25">
      <c r="A141" t="s">
        <v>478</v>
      </c>
      <c r="B141" t="s">
        <v>2246</v>
      </c>
      <c r="C141" t="s">
        <v>975</v>
      </c>
      <c r="D141" t="s">
        <v>1905</v>
      </c>
      <c r="E141" t="s">
        <v>977</v>
      </c>
      <c r="F141" t="s">
        <v>967</v>
      </c>
      <c r="G141" t="s">
        <v>968</v>
      </c>
      <c r="H141" t="s">
        <v>969</v>
      </c>
      <c r="I141" t="s">
        <v>970</v>
      </c>
      <c r="J141" t="s">
        <v>971</v>
      </c>
      <c r="K141" t="s">
        <v>972</v>
      </c>
      <c r="L141">
        <v>2066.56</v>
      </c>
      <c r="M141">
        <f t="shared" si="2"/>
        <v>2066.56</v>
      </c>
    </row>
    <row r="142" spans="1:13" x14ac:dyDescent="0.25">
      <c r="A142" t="s">
        <v>537</v>
      </c>
      <c r="B142" t="s">
        <v>2115</v>
      </c>
      <c r="C142" t="s">
        <v>964</v>
      </c>
      <c r="D142" t="s">
        <v>1860</v>
      </c>
      <c r="E142" t="s">
        <v>980</v>
      </c>
      <c r="F142" t="s">
        <v>967</v>
      </c>
      <c r="G142" t="s">
        <v>968</v>
      </c>
      <c r="H142" t="s">
        <v>969</v>
      </c>
      <c r="I142" t="s">
        <v>970</v>
      </c>
      <c r="J142" t="s">
        <v>971</v>
      </c>
      <c r="K142" t="s">
        <v>972</v>
      </c>
      <c r="L142">
        <v>4727.46</v>
      </c>
      <c r="M142">
        <f t="shared" si="2"/>
        <v>17058.12</v>
      </c>
    </row>
    <row r="143" spans="1:13" x14ac:dyDescent="0.25">
      <c r="A143" t="s">
        <v>537</v>
      </c>
      <c r="B143" t="s">
        <v>2116</v>
      </c>
      <c r="C143" t="s">
        <v>964</v>
      </c>
      <c r="D143" t="s">
        <v>1860</v>
      </c>
      <c r="E143" t="s">
        <v>980</v>
      </c>
      <c r="F143" t="s">
        <v>967</v>
      </c>
      <c r="G143" t="s">
        <v>968</v>
      </c>
      <c r="H143" t="s">
        <v>969</v>
      </c>
      <c r="I143" t="s">
        <v>970</v>
      </c>
      <c r="J143" t="s">
        <v>971</v>
      </c>
      <c r="K143" t="s">
        <v>972</v>
      </c>
      <c r="L143">
        <v>4727.46</v>
      </c>
      <c r="M143">
        <f t="shared" si="2"/>
        <v>17058.12</v>
      </c>
    </row>
    <row r="144" spans="1:13" x14ac:dyDescent="0.25">
      <c r="A144" t="s">
        <v>499</v>
      </c>
      <c r="B144" t="s">
        <v>2140</v>
      </c>
      <c r="C144" t="s">
        <v>964</v>
      </c>
      <c r="D144" t="s">
        <v>1892</v>
      </c>
      <c r="E144" t="s">
        <v>980</v>
      </c>
      <c r="F144" t="s">
        <v>967</v>
      </c>
      <c r="G144" t="s">
        <v>968</v>
      </c>
      <c r="H144" t="s">
        <v>969</v>
      </c>
      <c r="I144" t="s">
        <v>970</v>
      </c>
      <c r="J144" t="s">
        <v>971</v>
      </c>
      <c r="K144" t="s">
        <v>972</v>
      </c>
      <c r="L144">
        <v>3801.6</v>
      </c>
      <c r="M144">
        <f t="shared" si="2"/>
        <v>17058.12</v>
      </c>
    </row>
    <row r="145" spans="1:13" x14ac:dyDescent="0.25">
      <c r="A145" t="s">
        <v>499</v>
      </c>
      <c r="B145" t="s">
        <v>2141</v>
      </c>
      <c r="C145" t="s">
        <v>964</v>
      </c>
      <c r="D145" t="s">
        <v>1892</v>
      </c>
      <c r="E145" t="s">
        <v>980</v>
      </c>
      <c r="F145" t="s">
        <v>967</v>
      </c>
      <c r="G145" t="s">
        <v>968</v>
      </c>
      <c r="H145" t="s">
        <v>969</v>
      </c>
      <c r="I145" t="s">
        <v>970</v>
      </c>
      <c r="J145" t="s">
        <v>971</v>
      </c>
      <c r="K145" t="s">
        <v>972</v>
      </c>
      <c r="L145">
        <v>3801.6</v>
      </c>
      <c r="M145">
        <f t="shared" si="2"/>
        <v>17058.12</v>
      </c>
    </row>
    <row r="146" spans="1:13" x14ac:dyDescent="0.25">
      <c r="A146" t="s">
        <v>111</v>
      </c>
      <c r="B146" t="s">
        <v>2204</v>
      </c>
      <c r="C146" t="s">
        <v>964</v>
      </c>
      <c r="D146" t="s">
        <v>1905</v>
      </c>
      <c r="E146" t="s">
        <v>977</v>
      </c>
      <c r="F146" t="s">
        <v>967</v>
      </c>
      <c r="G146" t="s">
        <v>968</v>
      </c>
      <c r="H146" t="s">
        <v>969</v>
      </c>
      <c r="I146" t="s">
        <v>970</v>
      </c>
      <c r="J146" t="s">
        <v>971</v>
      </c>
      <c r="K146" t="s">
        <v>972</v>
      </c>
      <c r="L146">
        <v>2742.17</v>
      </c>
      <c r="M146">
        <f t="shared" si="2"/>
        <v>24350.31</v>
      </c>
    </row>
    <row r="147" spans="1:13" x14ac:dyDescent="0.25">
      <c r="A147" t="s">
        <v>477</v>
      </c>
      <c r="B147" t="s">
        <v>1914</v>
      </c>
      <c r="C147" t="s">
        <v>975</v>
      </c>
      <c r="D147" t="s">
        <v>1903</v>
      </c>
      <c r="E147" t="s">
        <v>977</v>
      </c>
      <c r="F147" t="s">
        <v>967</v>
      </c>
      <c r="G147" t="s">
        <v>968</v>
      </c>
      <c r="H147" t="s">
        <v>969</v>
      </c>
      <c r="I147" t="s">
        <v>970</v>
      </c>
      <c r="J147" t="s">
        <v>971</v>
      </c>
      <c r="K147" t="s">
        <v>972</v>
      </c>
      <c r="L147">
        <v>11273.12</v>
      </c>
      <c r="M147">
        <f t="shared" si="2"/>
        <v>24350.31</v>
      </c>
    </row>
    <row r="148" spans="1:13" x14ac:dyDescent="0.25">
      <c r="A148" t="s">
        <v>27</v>
      </c>
      <c r="B148" t="s">
        <v>1948</v>
      </c>
      <c r="C148" t="s">
        <v>975</v>
      </c>
      <c r="D148" t="s">
        <v>1905</v>
      </c>
      <c r="E148" t="s">
        <v>980</v>
      </c>
      <c r="F148" t="s">
        <v>967</v>
      </c>
      <c r="G148" t="s">
        <v>968</v>
      </c>
      <c r="H148" t="s">
        <v>969</v>
      </c>
      <c r="I148" t="s">
        <v>970</v>
      </c>
      <c r="J148" t="s">
        <v>971</v>
      </c>
      <c r="K148" t="s">
        <v>972</v>
      </c>
      <c r="L148">
        <v>10335.02</v>
      </c>
      <c r="M148">
        <f t="shared" si="2"/>
        <v>24350.31</v>
      </c>
    </row>
    <row r="149" spans="1:13" x14ac:dyDescent="0.25">
      <c r="A149" t="s">
        <v>84</v>
      </c>
      <c r="B149" t="s">
        <v>2515</v>
      </c>
      <c r="C149" t="s">
        <v>982</v>
      </c>
      <c r="D149" t="s">
        <v>1892</v>
      </c>
      <c r="E149" t="s">
        <v>977</v>
      </c>
      <c r="F149" t="s">
        <v>967</v>
      </c>
      <c r="G149" t="s">
        <v>968</v>
      </c>
      <c r="H149" t="s">
        <v>969</v>
      </c>
      <c r="I149" t="s">
        <v>970</v>
      </c>
      <c r="J149" t="s">
        <v>971</v>
      </c>
      <c r="K149" t="s">
        <v>972</v>
      </c>
      <c r="L149">
        <v>188.72</v>
      </c>
      <c r="M149">
        <f t="shared" si="2"/>
        <v>188.72</v>
      </c>
    </row>
    <row r="150" spans="1:13" x14ac:dyDescent="0.25">
      <c r="A150" t="s">
        <v>58</v>
      </c>
      <c r="B150" t="s">
        <v>1891</v>
      </c>
      <c r="C150" t="s">
        <v>975</v>
      </c>
      <c r="D150" t="s">
        <v>1892</v>
      </c>
      <c r="E150" t="s">
        <v>980</v>
      </c>
      <c r="F150" t="s">
        <v>967</v>
      </c>
      <c r="G150" t="s">
        <v>968</v>
      </c>
      <c r="H150" t="s">
        <v>969</v>
      </c>
      <c r="I150" t="s">
        <v>970</v>
      </c>
      <c r="J150" t="s">
        <v>971</v>
      </c>
      <c r="K150" t="s">
        <v>972</v>
      </c>
      <c r="L150">
        <v>12444.86</v>
      </c>
      <c r="M150">
        <f t="shared" si="2"/>
        <v>24380.120000000003</v>
      </c>
    </row>
    <row r="151" spans="1:13" x14ac:dyDescent="0.25">
      <c r="A151" t="s">
        <v>72</v>
      </c>
      <c r="B151" t="s">
        <v>1904</v>
      </c>
      <c r="C151" t="s">
        <v>975</v>
      </c>
      <c r="D151" t="s">
        <v>1905</v>
      </c>
      <c r="E151" t="s">
        <v>977</v>
      </c>
      <c r="F151" t="s">
        <v>967</v>
      </c>
      <c r="G151" t="s">
        <v>968</v>
      </c>
      <c r="H151" t="s">
        <v>969</v>
      </c>
      <c r="I151" t="s">
        <v>970</v>
      </c>
      <c r="J151" t="s">
        <v>971</v>
      </c>
      <c r="K151" t="s">
        <v>972</v>
      </c>
      <c r="L151">
        <v>11935.26</v>
      </c>
      <c r="M151">
        <f t="shared" si="2"/>
        <v>24380.120000000003</v>
      </c>
    </row>
    <row r="152" spans="1:13" x14ac:dyDescent="0.25">
      <c r="A152" t="s">
        <v>777</v>
      </c>
      <c r="B152" t="s">
        <v>1858</v>
      </c>
      <c r="C152" t="s">
        <v>975</v>
      </c>
      <c r="D152" t="s">
        <v>1843</v>
      </c>
      <c r="E152" t="s">
        <v>980</v>
      </c>
      <c r="F152" t="s">
        <v>967</v>
      </c>
      <c r="G152" t="s">
        <v>968</v>
      </c>
      <c r="H152" t="s">
        <v>969</v>
      </c>
      <c r="I152" t="s">
        <v>970</v>
      </c>
      <c r="J152" t="s">
        <v>971</v>
      </c>
      <c r="K152" t="s">
        <v>972</v>
      </c>
      <c r="L152">
        <v>13938.32</v>
      </c>
      <c r="M152">
        <f t="shared" si="2"/>
        <v>13938.32</v>
      </c>
    </row>
    <row r="153" spans="1:13" x14ac:dyDescent="0.25">
      <c r="A153" t="s">
        <v>360</v>
      </c>
      <c r="B153" t="s">
        <v>1935</v>
      </c>
      <c r="C153" t="s">
        <v>975</v>
      </c>
      <c r="D153" t="s">
        <v>1661</v>
      </c>
      <c r="E153" t="s">
        <v>980</v>
      </c>
      <c r="F153" t="s">
        <v>967</v>
      </c>
      <c r="G153" t="s">
        <v>968</v>
      </c>
      <c r="H153" t="s">
        <v>969</v>
      </c>
      <c r="I153" t="s">
        <v>970</v>
      </c>
      <c r="J153" t="s">
        <v>971</v>
      </c>
      <c r="K153" t="s">
        <v>972</v>
      </c>
      <c r="L153">
        <v>10728.65</v>
      </c>
      <c r="M153">
        <f t="shared" si="2"/>
        <v>10728.65</v>
      </c>
    </row>
    <row r="154" spans="1:13" x14ac:dyDescent="0.25">
      <c r="A154" t="s">
        <v>756</v>
      </c>
      <c r="B154" t="s">
        <v>2514</v>
      </c>
      <c r="C154" t="s">
        <v>982</v>
      </c>
      <c r="D154" t="s">
        <v>1860</v>
      </c>
      <c r="E154" t="s">
        <v>980</v>
      </c>
      <c r="F154" t="s">
        <v>967</v>
      </c>
      <c r="G154" t="s">
        <v>968</v>
      </c>
      <c r="H154" t="s">
        <v>969</v>
      </c>
      <c r="I154" t="s">
        <v>970</v>
      </c>
      <c r="J154" t="s">
        <v>971</v>
      </c>
      <c r="K154" t="s">
        <v>972</v>
      </c>
      <c r="L154">
        <v>191.54</v>
      </c>
      <c r="M154">
        <f t="shared" si="2"/>
        <v>191.54</v>
      </c>
    </row>
    <row r="155" spans="1:13" x14ac:dyDescent="0.25">
      <c r="A155" t="s">
        <v>546</v>
      </c>
      <c r="B155" t="s">
        <v>1660</v>
      </c>
      <c r="C155" t="s">
        <v>975</v>
      </c>
      <c r="D155" t="s">
        <v>1661</v>
      </c>
      <c r="E155" t="s">
        <v>977</v>
      </c>
      <c r="F155" t="s">
        <v>967</v>
      </c>
      <c r="G155" t="s">
        <v>968</v>
      </c>
      <c r="H155" t="s">
        <v>969</v>
      </c>
      <c r="I155" t="s">
        <v>970</v>
      </c>
      <c r="J155" t="s">
        <v>971</v>
      </c>
      <c r="K155" t="s">
        <v>972</v>
      </c>
      <c r="L155">
        <v>23452.76</v>
      </c>
      <c r="M155">
        <f t="shared" si="2"/>
        <v>23452.76</v>
      </c>
    </row>
    <row r="156" spans="1:13" x14ac:dyDescent="0.25">
      <c r="A156" t="s">
        <v>732</v>
      </c>
      <c r="B156" t="s">
        <v>1868</v>
      </c>
      <c r="C156" t="s">
        <v>964</v>
      </c>
      <c r="D156" t="s">
        <v>1661</v>
      </c>
      <c r="E156" t="s">
        <v>966</v>
      </c>
      <c r="F156" t="s">
        <v>967</v>
      </c>
      <c r="G156" t="s">
        <v>968</v>
      </c>
      <c r="H156" t="s">
        <v>969</v>
      </c>
      <c r="I156" t="s">
        <v>970</v>
      </c>
      <c r="J156" t="s">
        <v>971</v>
      </c>
      <c r="K156" t="s">
        <v>972</v>
      </c>
      <c r="L156">
        <v>13406.32</v>
      </c>
      <c r="M156">
        <f t="shared" si="2"/>
        <v>13406.32</v>
      </c>
    </row>
    <row r="157" spans="1:13" x14ac:dyDescent="0.25">
      <c r="A157" t="s">
        <v>54</v>
      </c>
      <c r="B157" t="s">
        <v>2031</v>
      </c>
      <c r="C157" t="s">
        <v>1400</v>
      </c>
      <c r="D157" t="s">
        <v>2032</v>
      </c>
      <c r="E157" t="s">
        <v>966</v>
      </c>
      <c r="F157" t="s">
        <v>967</v>
      </c>
      <c r="G157" t="s">
        <v>968</v>
      </c>
      <c r="H157" t="s">
        <v>969</v>
      </c>
      <c r="I157" t="s">
        <v>970</v>
      </c>
      <c r="J157" t="s">
        <v>971</v>
      </c>
      <c r="K157" t="s">
        <v>972</v>
      </c>
      <c r="L157">
        <v>7656.46</v>
      </c>
      <c r="M157">
        <f t="shared" si="2"/>
        <v>76564.600000000006</v>
      </c>
    </row>
    <row r="158" spans="1:13" x14ac:dyDescent="0.25">
      <c r="A158" t="s">
        <v>54</v>
      </c>
      <c r="B158" t="s">
        <v>2033</v>
      </c>
      <c r="C158" t="s">
        <v>964</v>
      </c>
      <c r="D158" t="s">
        <v>2032</v>
      </c>
      <c r="E158" t="s">
        <v>966</v>
      </c>
      <c r="F158" t="s">
        <v>967</v>
      </c>
      <c r="G158" t="s">
        <v>968</v>
      </c>
      <c r="H158" t="s">
        <v>969</v>
      </c>
      <c r="I158" t="s">
        <v>970</v>
      </c>
      <c r="J158" t="s">
        <v>971</v>
      </c>
      <c r="K158" t="s">
        <v>972</v>
      </c>
      <c r="L158">
        <v>7656.46</v>
      </c>
      <c r="M158">
        <f t="shared" si="2"/>
        <v>76564.600000000006</v>
      </c>
    </row>
    <row r="159" spans="1:13" x14ac:dyDescent="0.25">
      <c r="A159" t="s">
        <v>54</v>
      </c>
      <c r="B159" t="s">
        <v>2034</v>
      </c>
      <c r="C159" t="s">
        <v>964</v>
      </c>
      <c r="D159" t="s">
        <v>2032</v>
      </c>
      <c r="E159" t="s">
        <v>966</v>
      </c>
      <c r="F159" t="s">
        <v>967</v>
      </c>
      <c r="G159" t="s">
        <v>968</v>
      </c>
      <c r="H159" t="s">
        <v>969</v>
      </c>
      <c r="I159" t="s">
        <v>970</v>
      </c>
      <c r="J159" t="s">
        <v>971</v>
      </c>
      <c r="K159" t="s">
        <v>972</v>
      </c>
      <c r="L159">
        <v>7656.46</v>
      </c>
      <c r="M159">
        <f t="shared" si="2"/>
        <v>76564.600000000006</v>
      </c>
    </row>
    <row r="160" spans="1:13" x14ac:dyDescent="0.25">
      <c r="A160" t="s">
        <v>54</v>
      </c>
      <c r="B160" t="s">
        <v>2035</v>
      </c>
      <c r="C160" t="s">
        <v>964</v>
      </c>
      <c r="D160" t="s">
        <v>2032</v>
      </c>
      <c r="E160" t="s">
        <v>966</v>
      </c>
      <c r="F160" t="s">
        <v>967</v>
      </c>
      <c r="G160" t="s">
        <v>968</v>
      </c>
      <c r="H160" t="s">
        <v>969</v>
      </c>
      <c r="I160" t="s">
        <v>970</v>
      </c>
      <c r="J160" t="s">
        <v>971</v>
      </c>
      <c r="K160" t="s">
        <v>972</v>
      </c>
      <c r="L160">
        <v>7656.46</v>
      </c>
      <c r="M160">
        <f t="shared" si="2"/>
        <v>76564.600000000006</v>
      </c>
    </row>
    <row r="161" spans="1:13" x14ac:dyDescent="0.25">
      <c r="A161" t="s">
        <v>54</v>
      </c>
      <c r="B161" t="s">
        <v>2036</v>
      </c>
      <c r="C161" t="s">
        <v>964</v>
      </c>
      <c r="D161" t="s">
        <v>2032</v>
      </c>
      <c r="E161" t="s">
        <v>966</v>
      </c>
      <c r="F161" t="s">
        <v>967</v>
      </c>
      <c r="G161" t="s">
        <v>968</v>
      </c>
      <c r="H161" t="s">
        <v>969</v>
      </c>
      <c r="I161" t="s">
        <v>970</v>
      </c>
      <c r="J161" t="s">
        <v>971</v>
      </c>
      <c r="K161" t="s">
        <v>972</v>
      </c>
      <c r="L161">
        <v>7656.46</v>
      </c>
      <c r="M161">
        <f t="shared" si="2"/>
        <v>76564.600000000006</v>
      </c>
    </row>
    <row r="162" spans="1:13" x14ac:dyDescent="0.25">
      <c r="A162" t="s">
        <v>54</v>
      </c>
      <c r="B162" t="s">
        <v>2037</v>
      </c>
      <c r="C162" t="s">
        <v>1400</v>
      </c>
      <c r="D162" t="s">
        <v>2032</v>
      </c>
      <c r="E162" t="s">
        <v>966</v>
      </c>
      <c r="F162" t="s">
        <v>967</v>
      </c>
      <c r="G162" t="s">
        <v>968</v>
      </c>
      <c r="H162" t="s">
        <v>969</v>
      </c>
      <c r="I162" t="s">
        <v>970</v>
      </c>
      <c r="J162" t="s">
        <v>971</v>
      </c>
      <c r="K162" t="s">
        <v>972</v>
      </c>
      <c r="L162">
        <v>7656.46</v>
      </c>
      <c r="M162">
        <f t="shared" si="2"/>
        <v>76564.600000000006</v>
      </c>
    </row>
    <row r="163" spans="1:13" x14ac:dyDescent="0.25">
      <c r="A163" t="s">
        <v>54</v>
      </c>
      <c r="B163" t="s">
        <v>2038</v>
      </c>
      <c r="C163" t="s">
        <v>1400</v>
      </c>
      <c r="D163" t="s">
        <v>2032</v>
      </c>
      <c r="E163" t="s">
        <v>966</v>
      </c>
      <c r="F163" t="s">
        <v>967</v>
      </c>
      <c r="G163" t="s">
        <v>968</v>
      </c>
      <c r="H163" t="s">
        <v>969</v>
      </c>
      <c r="I163" t="s">
        <v>970</v>
      </c>
      <c r="J163" t="s">
        <v>971</v>
      </c>
      <c r="K163" t="s">
        <v>972</v>
      </c>
      <c r="L163">
        <v>7656.46</v>
      </c>
      <c r="M163">
        <f t="shared" si="2"/>
        <v>76564.600000000006</v>
      </c>
    </row>
    <row r="164" spans="1:13" x14ac:dyDescent="0.25">
      <c r="A164" t="s">
        <v>54</v>
      </c>
      <c r="B164" t="s">
        <v>2039</v>
      </c>
      <c r="C164" t="s">
        <v>1400</v>
      </c>
      <c r="D164" t="s">
        <v>2032</v>
      </c>
      <c r="E164" t="s">
        <v>966</v>
      </c>
      <c r="F164" t="s">
        <v>967</v>
      </c>
      <c r="G164" t="s">
        <v>968</v>
      </c>
      <c r="H164" t="s">
        <v>969</v>
      </c>
      <c r="I164" t="s">
        <v>970</v>
      </c>
      <c r="J164" t="s">
        <v>971</v>
      </c>
      <c r="K164" t="s">
        <v>972</v>
      </c>
      <c r="L164">
        <v>7656.46</v>
      </c>
      <c r="M164">
        <f t="shared" si="2"/>
        <v>76564.600000000006</v>
      </c>
    </row>
    <row r="165" spans="1:13" x14ac:dyDescent="0.25">
      <c r="A165" t="s">
        <v>54</v>
      </c>
      <c r="B165" t="s">
        <v>2040</v>
      </c>
      <c r="C165" t="s">
        <v>1400</v>
      </c>
      <c r="D165" t="s">
        <v>2032</v>
      </c>
      <c r="E165" t="s">
        <v>966</v>
      </c>
      <c r="F165" t="s">
        <v>967</v>
      </c>
      <c r="G165" t="s">
        <v>968</v>
      </c>
      <c r="H165" t="s">
        <v>969</v>
      </c>
      <c r="I165" t="s">
        <v>970</v>
      </c>
      <c r="J165" t="s">
        <v>971</v>
      </c>
      <c r="K165" t="s">
        <v>972</v>
      </c>
      <c r="L165">
        <v>7656.46</v>
      </c>
      <c r="M165">
        <f t="shared" si="2"/>
        <v>76564.600000000006</v>
      </c>
    </row>
    <row r="166" spans="1:13" x14ac:dyDescent="0.25">
      <c r="A166" t="s">
        <v>54</v>
      </c>
      <c r="B166" t="s">
        <v>2041</v>
      </c>
      <c r="C166" t="s">
        <v>964</v>
      </c>
      <c r="D166" t="s">
        <v>2032</v>
      </c>
      <c r="E166" t="s">
        <v>966</v>
      </c>
      <c r="F166" t="s">
        <v>967</v>
      </c>
      <c r="G166" t="s">
        <v>968</v>
      </c>
      <c r="H166" t="s">
        <v>969</v>
      </c>
      <c r="I166" t="s">
        <v>970</v>
      </c>
      <c r="J166" t="s">
        <v>971</v>
      </c>
      <c r="K166" t="s">
        <v>972</v>
      </c>
      <c r="L166">
        <v>7656.46</v>
      </c>
      <c r="M166">
        <f t="shared" si="2"/>
        <v>76564.600000000006</v>
      </c>
    </row>
    <row r="167" spans="1:13" x14ac:dyDescent="0.25">
      <c r="A167" t="s">
        <v>60</v>
      </c>
      <c r="B167" t="s">
        <v>2338</v>
      </c>
      <c r="C167" t="s">
        <v>964</v>
      </c>
      <c r="D167" t="s">
        <v>2339</v>
      </c>
      <c r="E167" t="s">
        <v>977</v>
      </c>
      <c r="F167" t="s">
        <v>967</v>
      </c>
      <c r="G167" t="s">
        <v>968</v>
      </c>
      <c r="H167" t="s">
        <v>969</v>
      </c>
      <c r="I167" t="s">
        <v>970</v>
      </c>
      <c r="J167" t="s">
        <v>971</v>
      </c>
      <c r="K167" t="s">
        <v>972</v>
      </c>
      <c r="L167">
        <v>1103.99</v>
      </c>
      <c r="M167">
        <f t="shared" si="2"/>
        <v>2115.0100000000002</v>
      </c>
    </row>
    <row r="168" spans="1:13" x14ac:dyDescent="0.25">
      <c r="A168" t="s">
        <v>445</v>
      </c>
      <c r="B168" t="s">
        <v>2374</v>
      </c>
      <c r="C168" t="s">
        <v>982</v>
      </c>
      <c r="D168" t="s">
        <v>2339</v>
      </c>
      <c r="E168" t="s">
        <v>977</v>
      </c>
      <c r="F168" t="s">
        <v>967</v>
      </c>
      <c r="G168" t="s">
        <v>968</v>
      </c>
      <c r="H168" t="s">
        <v>969</v>
      </c>
      <c r="I168" t="s">
        <v>970</v>
      </c>
      <c r="J168" t="s">
        <v>971</v>
      </c>
      <c r="K168" t="s">
        <v>972</v>
      </c>
      <c r="L168">
        <v>1011.02</v>
      </c>
      <c r="M168">
        <f t="shared" si="2"/>
        <v>2115.0100000000002</v>
      </c>
    </row>
    <row r="169" spans="1:13" x14ac:dyDescent="0.25">
      <c r="A169" t="s">
        <v>877</v>
      </c>
      <c r="B169" t="s">
        <v>1736</v>
      </c>
      <c r="C169" t="s">
        <v>975</v>
      </c>
      <c r="D169" t="s">
        <v>1737</v>
      </c>
      <c r="E169" t="s">
        <v>977</v>
      </c>
      <c r="F169" t="s">
        <v>967</v>
      </c>
      <c r="G169" t="s">
        <v>968</v>
      </c>
      <c r="H169" t="s">
        <v>969</v>
      </c>
      <c r="I169" t="s">
        <v>970</v>
      </c>
      <c r="J169" t="s">
        <v>971</v>
      </c>
      <c r="K169" t="s">
        <v>972</v>
      </c>
      <c r="L169">
        <v>19201.88</v>
      </c>
      <c r="M169">
        <f t="shared" si="2"/>
        <v>19201.88</v>
      </c>
    </row>
    <row r="170" spans="1:13" x14ac:dyDescent="0.25">
      <c r="A170" t="s">
        <v>223</v>
      </c>
      <c r="B170" t="s">
        <v>2478</v>
      </c>
      <c r="C170" t="s">
        <v>988</v>
      </c>
      <c r="D170" t="s">
        <v>1822</v>
      </c>
      <c r="E170" t="s">
        <v>977</v>
      </c>
      <c r="F170" t="s">
        <v>967</v>
      </c>
      <c r="G170" t="s">
        <v>968</v>
      </c>
      <c r="H170" t="s">
        <v>969</v>
      </c>
      <c r="I170" t="s">
        <v>970</v>
      </c>
      <c r="J170" t="s">
        <v>971</v>
      </c>
      <c r="K170" t="s">
        <v>972</v>
      </c>
      <c r="L170">
        <v>353.33</v>
      </c>
      <c r="M170">
        <f t="shared" si="2"/>
        <v>1059.99</v>
      </c>
    </row>
    <row r="171" spans="1:13" x14ac:dyDescent="0.25">
      <c r="A171" t="s">
        <v>223</v>
      </c>
      <c r="B171" t="s">
        <v>2479</v>
      </c>
      <c r="C171" t="s">
        <v>988</v>
      </c>
      <c r="D171" t="s">
        <v>1822</v>
      </c>
      <c r="E171" t="s">
        <v>977</v>
      </c>
      <c r="F171" t="s">
        <v>967</v>
      </c>
      <c r="G171" t="s">
        <v>968</v>
      </c>
      <c r="H171" t="s">
        <v>969</v>
      </c>
      <c r="I171" t="s">
        <v>970</v>
      </c>
      <c r="J171" t="s">
        <v>971</v>
      </c>
      <c r="K171" t="s">
        <v>972</v>
      </c>
      <c r="L171">
        <v>353.33</v>
      </c>
      <c r="M171">
        <f t="shared" si="2"/>
        <v>1059.99</v>
      </c>
    </row>
    <row r="172" spans="1:13" x14ac:dyDescent="0.25">
      <c r="A172" t="s">
        <v>223</v>
      </c>
      <c r="B172" t="s">
        <v>2480</v>
      </c>
      <c r="C172" t="s">
        <v>988</v>
      </c>
      <c r="D172" t="s">
        <v>1822</v>
      </c>
      <c r="E172" t="s">
        <v>977</v>
      </c>
      <c r="F172" t="s">
        <v>967</v>
      </c>
      <c r="G172" t="s">
        <v>968</v>
      </c>
      <c r="H172" t="s">
        <v>969</v>
      </c>
      <c r="I172" t="s">
        <v>970</v>
      </c>
      <c r="J172" t="s">
        <v>971</v>
      </c>
      <c r="K172" t="s">
        <v>972</v>
      </c>
      <c r="L172">
        <v>353.33</v>
      </c>
      <c r="M172">
        <f t="shared" si="2"/>
        <v>1059.99</v>
      </c>
    </row>
    <row r="173" spans="1:13" x14ac:dyDescent="0.25">
      <c r="A173" t="s">
        <v>594</v>
      </c>
      <c r="B173" t="s">
        <v>2518</v>
      </c>
      <c r="C173" t="s">
        <v>988</v>
      </c>
      <c r="D173" t="s">
        <v>2032</v>
      </c>
      <c r="E173" t="s">
        <v>1369</v>
      </c>
      <c r="F173" t="s">
        <v>967</v>
      </c>
      <c r="G173" t="s">
        <v>968</v>
      </c>
      <c r="H173" t="s">
        <v>969</v>
      </c>
      <c r="I173" t="s">
        <v>970</v>
      </c>
      <c r="J173" t="s">
        <v>971</v>
      </c>
      <c r="K173" t="s">
        <v>972</v>
      </c>
      <c r="L173">
        <v>148.18</v>
      </c>
      <c r="M173">
        <f t="shared" si="2"/>
        <v>5657.6500000000005</v>
      </c>
    </row>
    <row r="174" spans="1:13" x14ac:dyDescent="0.25">
      <c r="A174" t="s">
        <v>303</v>
      </c>
      <c r="B174" t="s">
        <v>2085</v>
      </c>
      <c r="C174" t="s">
        <v>964</v>
      </c>
      <c r="D174" t="s">
        <v>2032</v>
      </c>
      <c r="E174" t="s">
        <v>980</v>
      </c>
      <c r="F174" t="s">
        <v>967</v>
      </c>
      <c r="G174" t="s">
        <v>968</v>
      </c>
      <c r="H174" t="s">
        <v>969</v>
      </c>
      <c r="I174" t="s">
        <v>970</v>
      </c>
      <c r="J174" t="s">
        <v>971</v>
      </c>
      <c r="K174" t="s">
        <v>972</v>
      </c>
      <c r="L174">
        <v>5509.47</v>
      </c>
      <c r="M174">
        <f t="shared" si="2"/>
        <v>5657.6500000000005</v>
      </c>
    </row>
    <row r="175" spans="1:13" x14ac:dyDescent="0.25">
      <c r="A175" t="s">
        <v>286</v>
      </c>
      <c r="B175" t="s">
        <v>2361</v>
      </c>
      <c r="C175" t="s">
        <v>975</v>
      </c>
      <c r="D175" t="s">
        <v>2032</v>
      </c>
      <c r="E175" t="s">
        <v>977</v>
      </c>
      <c r="F175" t="s">
        <v>967</v>
      </c>
      <c r="G175" t="s">
        <v>968</v>
      </c>
      <c r="H175" t="s">
        <v>969</v>
      </c>
      <c r="I175" t="s">
        <v>970</v>
      </c>
      <c r="J175" t="s">
        <v>971</v>
      </c>
      <c r="K175" t="s">
        <v>972</v>
      </c>
      <c r="L175">
        <v>1101.99</v>
      </c>
      <c r="M175">
        <f t="shared" si="2"/>
        <v>17020.47</v>
      </c>
    </row>
    <row r="176" spans="1:13" x14ac:dyDescent="0.25">
      <c r="A176" t="s">
        <v>607</v>
      </c>
      <c r="B176" t="s">
        <v>1819</v>
      </c>
      <c r="C176" t="s">
        <v>975</v>
      </c>
      <c r="D176" t="s">
        <v>1737</v>
      </c>
      <c r="E176" t="s">
        <v>980</v>
      </c>
      <c r="F176" t="s">
        <v>967</v>
      </c>
      <c r="G176" t="s">
        <v>968</v>
      </c>
      <c r="H176" t="s">
        <v>969</v>
      </c>
      <c r="I176" t="s">
        <v>970</v>
      </c>
      <c r="J176" t="s">
        <v>971</v>
      </c>
      <c r="K176" t="s">
        <v>972</v>
      </c>
      <c r="L176">
        <v>15918.48</v>
      </c>
      <c r="M176">
        <f t="shared" si="2"/>
        <v>17020.47</v>
      </c>
    </row>
    <row r="177" spans="1:13" x14ac:dyDescent="0.25">
      <c r="A177" t="s">
        <v>636</v>
      </c>
      <c r="B177" t="s">
        <v>1618</v>
      </c>
      <c r="C177" t="s">
        <v>975</v>
      </c>
      <c r="D177" t="s">
        <v>1619</v>
      </c>
      <c r="E177" t="s">
        <v>980</v>
      </c>
      <c r="F177" t="s">
        <v>967</v>
      </c>
      <c r="G177" t="s">
        <v>968</v>
      </c>
      <c r="H177" t="s">
        <v>969</v>
      </c>
      <c r="I177" t="s">
        <v>970</v>
      </c>
      <c r="J177" t="s">
        <v>971</v>
      </c>
      <c r="K177" t="s">
        <v>972</v>
      </c>
      <c r="L177">
        <v>25768.63</v>
      </c>
      <c r="M177">
        <f t="shared" si="2"/>
        <v>25768.63</v>
      </c>
    </row>
    <row r="178" spans="1:13" x14ac:dyDescent="0.25">
      <c r="A178" t="s">
        <v>562</v>
      </c>
      <c r="B178" t="s">
        <v>2105</v>
      </c>
      <c r="C178" t="s">
        <v>975</v>
      </c>
      <c r="D178" t="s">
        <v>1619</v>
      </c>
      <c r="E178" t="s">
        <v>977</v>
      </c>
      <c r="F178" t="s">
        <v>967</v>
      </c>
      <c r="G178" t="s">
        <v>968</v>
      </c>
      <c r="H178" t="s">
        <v>969</v>
      </c>
      <c r="I178" t="s">
        <v>970</v>
      </c>
      <c r="J178" t="s">
        <v>971</v>
      </c>
      <c r="K178" t="s">
        <v>972</v>
      </c>
      <c r="L178">
        <v>5204.78</v>
      </c>
      <c r="M178">
        <f t="shared" si="2"/>
        <v>56573.719999999994</v>
      </c>
    </row>
    <row r="179" spans="1:13" x14ac:dyDescent="0.25">
      <c r="A179" t="s">
        <v>234</v>
      </c>
      <c r="B179" t="s">
        <v>2436</v>
      </c>
      <c r="C179" t="s">
        <v>988</v>
      </c>
      <c r="D179" t="s">
        <v>1737</v>
      </c>
      <c r="E179" t="s">
        <v>980</v>
      </c>
      <c r="F179" t="s">
        <v>967</v>
      </c>
      <c r="G179" t="s">
        <v>968</v>
      </c>
      <c r="H179" t="s">
        <v>969</v>
      </c>
      <c r="I179" t="s">
        <v>970</v>
      </c>
      <c r="J179" t="s">
        <v>971</v>
      </c>
      <c r="K179" t="s">
        <v>972</v>
      </c>
      <c r="L179">
        <v>619.36</v>
      </c>
      <c r="M179">
        <f t="shared" si="2"/>
        <v>56573.719999999994</v>
      </c>
    </row>
    <row r="180" spans="1:13" x14ac:dyDescent="0.25">
      <c r="A180" t="s">
        <v>812</v>
      </c>
      <c r="B180" t="s">
        <v>1747</v>
      </c>
      <c r="C180" t="s">
        <v>975</v>
      </c>
      <c r="D180" t="s">
        <v>1748</v>
      </c>
      <c r="E180" t="s">
        <v>966</v>
      </c>
      <c r="F180" t="s">
        <v>967</v>
      </c>
      <c r="G180" t="s">
        <v>968</v>
      </c>
      <c r="H180" t="s">
        <v>969</v>
      </c>
      <c r="I180" t="s">
        <v>970</v>
      </c>
      <c r="J180" t="s">
        <v>971</v>
      </c>
      <c r="K180" t="s">
        <v>972</v>
      </c>
      <c r="L180">
        <v>18983.939999999999</v>
      </c>
      <c r="M180">
        <f t="shared" si="2"/>
        <v>56573.719999999994</v>
      </c>
    </row>
    <row r="181" spans="1:13" x14ac:dyDescent="0.25">
      <c r="A181" t="s">
        <v>557</v>
      </c>
      <c r="B181" t="s">
        <v>1821</v>
      </c>
      <c r="C181" t="s">
        <v>964</v>
      </c>
      <c r="D181" t="s">
        <v>1822</v>
      </c>
      <c r="E181" t="s">
        <v>966</v>
      </c>
      <c r="F181" t="s">
        <v>967</v>
      </c>
      <c r="G181" t="s">
        <v>968</v>
      </c>
      <c r="H181" t="s">
        <v>969</v>
      </c>
      <c r="I181" t="s">
        <v>970</v>
      </c>
      <c r="J181" t="s">
        <v>971</v>
      </c>
      <c r="K181" t="s">
        <v>972</v>
      </c>
      <c r="L181">
        <v>15882.82</v>
      </c>
      <c r="M181">
        <f t="shared" si="2"/>
        <v>56573.719999999994</v>
      </c>
    </row>
    <row r="182" spans="1:13" x14ac:dyDescent="0.25">
      <c r="A182" t="s">
        <v>557</v>
      </c>
      <c r="B182" t="s">
        <v>1823</v>
      </c>
      <c r="C182" t="s">
        <v>964</v>
      </c>
      <c r="D182" t="s">
        <v>1822</v>
      </c>
      <c r="E182" t="s">
        <v>966</v>
      </c>
      <c r="F182" t="s">
        <v>967</v>
      </c>
      <c r="G182" t="s">
        <v>968</v>
      </c>
      <c r="H182" t="s">
        <v>969</v>
      </c>
      <c r="I182" t="s">
        <v>970</v>
      </c>
      <c r="J182" t="s">
        <v>971</v>
      </c>
      <c r="K182" t="s">
        <v>972</v>
      </c>
      <c r="L182">
        <v>15882.82</v>
      </c>
      <c r="M182">
        <f t="shared" si="2"/>
        <v>56573.719999999994</v>
      </c>
    </row>
    <row r="183" spans="1:13" x14ac:dyDescent="0.25">
      <c r="A183" t="s">
        <v>892</v>
      </c>
      <c r="B183" t="s">
        <v>1796</v>
      </c>
      <c r="C183" t="s">
        <v>975</v>
      </c>
      <c r="D183" t="s">
        <v>1619</v>
      </c>
      <c r="E183" t="s">
        <v>980</v>
      </c>
      <c r="F183" t="s">
        <v>967</v>
      </c>
      <c r="G183" t="s">
        <v>968</v>
      </c>
      <c r="H183" t="s">
        <v>969</v>
      </c>
      <c r="I183" t="s">
        <v>970</v>
      </c>
      <c r="J183" t="s">
        <v>971</v>
      </c>
      <c r="K183" t="s">
        <v>972</v>
      </c>
      <c r="L183">
        <v>16715.490000000002</v>
      </c>
      <c r="M183">
        <f t="shared" si="2"/>
        <v>16715.490000000002</v>
      </c>
    </row>
    <row r="184" spans="1:13" x14ac:dyDescent="0.25">
      <c r="A184" t="s">
        <v>251</v>
      </c>
      <c r="B184" t="s">
        <v>1761</v>
      </c>
      <c r="C184" t="s">
        <v>975</v>
      </c>
      <c r="D184" t="s">
        <v>1762</v>
      </c>
      <c r="E184" t="s">
        <v>980</v>
      </c>
      <c r="F184" t="s">
        <v>967</v>
      </c>
      <c r="G184" t="s">
        <v>968</v>
      </c>
      <c r="H184" t="s">
        <v>969</v>
      </c>
      <c r="I184" t="s">
        <v>970</v>
      </c>
      <c r="J184" t="s">
        <v>971</v>
      </c>
      <c r="K184" t="s">
        <v>972</v>
      </c>
      <c r="L184">
        <v>18202.54</v>
      </c>
      <c r="M184">
        <f t="shared" si="2"/>
        <v>18202.54</v>
      </c>
    </row>
    <row r="185" spans="1:13" x14ac:dyDescent="0.25">
      <c r="A185" t="s">
        <v>485</v>
      </c>
      <c r="B185" t="s">
        <v>2427</v>
      </c>
      <c r="C185" t="s">
        <v>988</v>
      </c>
      <c r="D185" t="s">
        <v>2425</v>
      </c>
      <c r="E185" t="s">
        <v>980</v>
      </c>
      <c r="F185" t="s">
        <v>967</v>
      </c>
      <c r="G185" t="s">
        <v>968</v>
      </c>
      <c r="H185" t="s">
        <v>969</v>
      </c>
      <c r="I185" t="s">
        <v>970</v>
      </c>
      <c r="J185" t="s">
        <v>971</v>
      </c>
      <c r="K185" t="s">
        <v>972</v>
      </c>
      <c r="L185">
        <v>685.39</v>
      </c>
      <c r="M185">
        <f t="shared" si="2"/>
        <v>48301.97</v>
      </c>
    </row>
    <row r="186" spans="1:13" x14ac:dyDescent="0.25">
      <c r="A186" t="s">
        <v>796</v>
      </c>
      <c r="B186" t="s">
        <v>2424</v>
      </c>
      <c r="C186" t="s">
        <v>988</v>
      </c>
      <c r="D186" t="s">
        <v>2425</v>
      </c>
      <c r="E186" t="s">
        <v>980</v>
      </c>
      <c r="F186" t="s">
        <v>967</v>
      </c>
      <c r="G186" t="s">
        <v>968</v>
      </c>
      <c r="H186" t="s">
        <v>969</v>
      </c>
      <c r="I186" t="s">
        <v>970</v>
      </c>
      <c r="J186" t="s">
        <v>971</v>
      </c>
      <c r="K186" t="s">
        <v>972</v>
      </c>
      <c r="L186">
        <v>685.39</v>
      </c>
      <c r="M186">
        <f t="shared" si="2"/>
        <v>48301.97</v>
      </c>
    </row>
    <row r="187" spans="1:13" x14ac:dyDescent="0.25">
      <c r="A187" t="s">
        <v>21</v>
      </c>
      <c r="B187" t="s">
        <v>2426</v>
      </c>
      <c r="C187" t="s">
        <v>988</v>
      </c>
      <c r="D187" t="s">
        <v>2425</v>
      </c>
      <c r="E187" t="s">
        <v>980</v>
      </c>
      <c r="F187" t="s">
        <v>967</v>
      </c>
      <c r="G187" t="s">
        <v>968</v>
      </c>
      <c r="H187" t="s">
        <v>969</v>
      </c>
      <c r="I187" t="s">
        <v>970</v>
      </c>
      <c r="J187" t="s">
        <v>971</v>
      </c>
      <c r="K187" t="s">
        <v>972</v>
      </c>
      <c r="L187">
        <v>685.39</v>
      </c>
      <c r="M187">
        <f t="shared" si="2"/>
        <v>48301.97</v>
      </c>
    </row>
    <row r="188" spans="1:13" x14ac:dyDescent="0.25">
      <c r="A188" t="s">
        <v>31</v>
      </c>
      <c r="B188" t="s">
        <v>2201</v>
      </c>
      <c r="C188" t="s">
        <v>975</v>
      </c>
      <c r="D188" t="s">
        <v>1762</v>
      </c>
      <c r="E188" t="s">
        <v>980</v>
      </c>
      <c r="F188" t="s">
        <v>967</v>
      </c>
      <c r="G188" t="s">
        <v>968</v>
      </c>
      <c r="H188" t="s">
        <v>969</v>
      </c>
      <c r="I188" t="s">
        <v>970</v>
      </c>
      <c r="J188" t="s">
        <v>971</v>
      </c>
      <c r="K188" t="s">
        <v>972</v>
      </c>
      <c r="L188">
        <v>2905.82</v>
      </c>
      <c r="M188">
        <f t="shared" si="2"/>
        <v>48301.97</v>
      </c>
    </row>
    <row r="189" spans="1:13" x14ac:dyDescent="0.25">
      <c r="A189" t="s">
        <v>925</v>
      </c>
      <c r="B189" t="s">
        <v>2512</v>
      </c>
      <c r="C189" t="s">
        <v>2171</v>
      </c>
      <c r="D189" t="s">
        <v>1762</v>
      </c>
      <c r="E189" t="s">
        <v>977</v>
      </c>
      <c r="F189" t="s">
        <v>967</v>
      </c>
      <c r="G189" t="s">
        <v>968</v>
      </c>
      <c r="H189" t="s">
        <v>2390</v>
      </c>
      <c r="I189" t="s">
        <v>970</v>
      </c>
      <c r="J189" t="s">
        <v>971</v>
      </c>
      <c r="K189" t="s">
        <v>972</v>
      </c>
      <c r="L189">
        <v>212.01</v>
      </c>
      <c r="M189">
        <f t="shared" si="2"/>
        <v>48301.97</v>
      </c>
    </row>
    <row r="190" spans="1:13" x14ac:dyDescent="0.25">
      <c r="A190" t="s">
        <v>798</v>
      </c>
      <c r="B190" t="s">
        <v>2484</v>
      </c>
      <c r="C190" t="s">
        <v>988</v>
      </c>
      <c r="D190" t="s">
        <v>1619</v>
      </c>
      <c r="E190" t="s">
        <v>977</v>
      </c>
      <c r="F190" t="s">
        <v>967</v>
      </c>
      <c r="G190" t="s">
        <v>968</v>
      </c>
      <c r="H190" t="s">
        <v>969</v>
      </c>
      <c r="I190" t="s">
        <v>970</v>
      </c>
      <c r="J190" t="s">
        <v>971</v>
      </c>
      <c r="K190" t="s">
        <v>972</v>
      </c>
      <c r="L190">
        <v>342.96</v>
      </c>
      <c r="M190">
        <f t="shared" si="2"/>
        <v>48301.97</v>
      </c>
    </row>
    <row r="191" spans="1:13" x14ac:dyDescent="0.25">
      <c r="A191" t="s">
        <v>798</v>
      </c>
      <c r="B191" t="s">
        <v>2485</v>
      </c>
      <c r="C191" t="s">
        <v>988</v>
      </c>
      <c r="D191" t="s">
        <v>1619</v>
      </c>
      <c r="E191" t="s">
        <v>977</v>
      </c>
      <c r="F191" t="s">
        <v>967</v>
      </c>
      <c r="G191" t="s">
        <v>968</v>
      </c>
      <c r="H191" t="s">
        <v>969</v>
      </c>
      <c r="I191" t="s">
        <v>970</v>
      </c>
      <c r="J191" t="s">
        <v>971</v>
      </c>
      <c r="K191" t="s">
        <v>972</v>
      </c>
      <c r="L191">
        <v>342.96</v>
      </c>
      <c r="M191">
        <f t="shared" si="2"/>
        <v>48301.97</v>
      </c>
    </row>
    <row r="192" spans="1:13" x14ac:dyDescent="0.25">
      <c r="A192" t="s">
        <v>260</v>
      </c>
      <c r="B192" t="s">
        <v>2003</v>
      </c>
      <c r="C192" t="s">
        <v>975</v>
      </c>
      <c r="D192" t="s">
        <v>1619</v>
      </c>
      <c r="E192" t="s">
        <v>966</v>
      </c>
      <c r="F192" t="s">
        <v>967</v>
      </c>
      <c r="G192" t="s">
        <v>968</v>
      </c>
      <c r="H192" t="s">
        <v>969</v>
      </c>
      <c r="I192" t="s">
        <v>970</v>
      </c>
      <c r="J192" t="s">
        <v>971</v>
      </c>
      <c r="K192" t="s">
        <v>972</v>
      </c>
      <c r="L192">
        <v>8488.41</v>
      </c>
      <c r="M192">
        <f t="shared" si="2"/>
        <v>48301.97</v>
      </c>
    </row>
    <row r="193" spans="1:13" x14ac:dyDescent="0.25">
      <c r="A193" t="s">
        <v>260</v>
      </c>
      <c r="B193" t="s">
        <v>2004</v>
      </c>
      <c r="C193" t="s">
        <v>975</v>
      </c>
      <c r="D193" t="s">
        <v>1619</v>
      </c>
      <c r="E193" t="s">
        <v>966</v>
      </c>
      <c r="F193" t="s">
        <v>967</v>
      </c>
      <c r="G193" t="s">
        <v>968</v>
      </c>
      <c r="H193" t="s">
        <v>969</v>
      </c>
      <c r="I193" t="s">
        <v>970</v>
      </c>
      <c r="J193" t="s">
        <v>971</v>
      </c>
      <c r="K193" t="s">
        <v>972</v>
      </c>
      <c r="L193">
        <v>8488.41</v>
      </c>
      <c r="M193">
        <f t="shared" si="2"/>
        <v>48301.97</v>
      </c>
    </row>
    <row r="194" spans="1:13" x14ac:dyDescent="0.25">
      <c r="A194" t="s">
        <v>260</v>
      </c>
      <c r="B194" t="s">
        <v>2005</v>
      </c>
      <c r="C194" t="s">
        <v>975</v>
      </c>
      <c r="D194" t="s">
        <v>1619</v>
      </c>
      <c r="E194" t="s">
        <v>966</v>
      </c>
      <c r="F194" t="s">
        <v>967</v>
      </c>
      <c r="G194" t="s">
        <v>968</v>
      </c>
      <c r="H194" t="s">
        <v>969</v>
      </c>
      <c r="I194" t="s">
        <v>970</v>
      </c>
      <c r="J194" t="s">
        <v>971</v>
      </c>
      <c r="K194" t="s">
        <v>972</v>
      </c>
      <c r="L194">
        <v>8488.41</v>
      </c>
      <c r="M194">
        <f t="shared" si="2"/>
        <v>48301.97</v>
      </c>
    </row>
    <row r="195" spans="1:13" x14ac:dyDescent="0.25">
      <c r="A195" t="s">
        <v>260</v>
      </c>
      <c r="B195" t="s">
        <v>2006</v>
      </c>
      <c r="C195" t="s">
        <v>975</v>
      </c>
      <c r="D195" t="s">
        <v>1619</v>
      </c>
      <c r="E195" t="s">
        <v>966</v>
      </c>
      <c r="F195" t="s">
        <v>967</v>
      </c>
      <c r="G195" t="s">
        <v>968</v>
      </c>
      <c r="H195" t="s">
        <v>969</v>
      </c>
      <c r="I195" t="s">
        <v>970</v>
      </c>
      <c r="J195" t="s">
        <v>971</v>
      </c>
      <c r="K195" t="s">
        <v>972</v>
      </c>
      <c r="L195">
        <v>8488.41</v>
      </c>
      <c r="M195">
        <f t="shared" ref="M195:M258" si="3">+SUMIF(A:A,A195,L:L)</f>
        <v>48301.97</v>
      </c>
    </row>
    <row r="196" spans="1:13" x14ac:dyDescent="0.25">
      <c r="A196" t="s">
        <v>260</v>
      </c>
      <c r="B196" t="s">
        <v>2007</v>
      </c>
      <c r="C196" t="s">
        <v>975</v>
      </c>
      <c r="D196" t="s">
        <v>1619</v>
      </c>
      <c r="E196" t="s">
        <v>966</v>
      </c>
      <c r="F196" t="s">
        <v>967</v>
      </c>
      <c r="G196" t="s">
        <v>968</v>
      </c>
      <c r="H196" t="s">
        <v>969</v>
      </c>
      <c r="I196" t="s">
        <v>970</v>
      </c>
      <c r="J196" t="s">
        <v>971</v>
      </c>
      <c r="K196" t="s">
        <v>972</v>
      </c>
      <c r="L196">
        <v>8488.41</v>
      </c>
      <c r="M196">
        <f t="shared" si="3"/>
        <v>48301.97</v>
      </c>
    </row>
    <row r="197" spans="1:13" x14ac:dyDescent="0.25">
      <c r="A197" t="s">
        <v>220</v>
      </c>
      <c r="B197" t="s">
        <v>2009</v>
      </c>
      <c r="C197" t="s">
        <v>975</v>
      </c>
      <c r="D197" t="s">
        <v>1731</v>
      </c>
      <c r="E197" t="s">
        <v>977</v>
      </c>
      <c r="F197" t="s">
        <v>967</v>
      </c>
      <c r="G197" t="s">
        <v>968</v>
      </c>
      <c r="H197" t="s">
        <v>969</v>
      </c>
      <c r="I197" t="s">
        <v>970</v>
      </c>
      <c r="J197" t="s">
        <v>971</v>
      </c>
      <c r="K197" t="s">
        <v>972</v>
      </c>
      <c r="L197">
        <v>8309.6299999999992</v>
      </c>
      <c r="M197">
        <f t="shared" si="3"/>
        <v>12164.029999999999</v>
      </c>
    </row>
    <row r="198" spans="1:13" x14ac:dyDescent="0.25">
      <c r="A198" t="s">
        <v>737</v>
      </c>
      <c r="B198" t="s">
        <v>2434</v>
      </c>
      <c r="C198" t="s">
        <v>988</v>
      </c>
      <c r="D198" t="s">
        <v>1762</v>
      </c>
      <c r="E198" t="s">
        <v>977</v>
      </c>
      <c r="F198" t="s">
        <v>967</v>
      </c>
      <c r="G198" t="s">
        <v>968</v>
      </c>
      <c r="H198" t="s">
        <v>969</v>
      </c>
      <c r="I198" t="s">
        <v>970</v>
      </c>
      <c r="J198" t="s">
        <v>971</v>
      </c>
      <c r="K198" t="s">
        <v>972</v>
      </c>
      <c r="L198">
        <v>634.79</v>
      </c>
      <c r="M198">
        <f t="shared" si="3"/>
        <v>12164.029999999999</v>
      </c>
    </row>
    <row r="199" spans="1:13" x14ac:dyDescent="0.25">
      <c r="A199" t="s">
        <v>63</v>
      </c>
      <c r="B199" t="s">
        <v>2174</v>
      </c>
      <c r="C199" t="s">
        <v>975</v>
      </c>
      <c r="D199" t="s">
        <v>1658</v>
      </c>
      <c r="E199" t="s">
        <v>977</v>
      </c>
      <c r="F199" t="s">
        <v>967</v>
      </c>
      <c r="G199" t="s">
        <v>968</v>
      </c>
      <c r="H199" t="s">
        <v>969</v>
      </c>
      <c r="I199" t="s">
        <v>970</v>
      </c>
      <c r="J199" t="s">
        <v>971</v>
      </c>
      <c r="K199" t="s">
        <v>972</v>
      </c>
      <c r="L199">
        <v>3219.61</v>
      </c>
      <c r="M199">
        <f t="shared" si="3"/>
        <v>12164.029999999999</v>
      </c>
    </row>
    <row r="200" spans="1:13" x14ac:dyDescent="0.25">
      <c r="A200" t="s">
        <v>910</v>
      </c>
      <c r="B200" t="s">
        <v>1879</v>
      </c>
      <c r="C200" t="s">
        <v>975</v>
      </c>
      <c r="D200" t="s">
        <v>1762</v>
      </c>
      <c r="E200" t="s">
        <v>977</v>
      </c>
      <c r="F200" t="s">
        <v>967</v>
      </c>
      <c r="G200" t="s">
        <v>968</v>
      </c>
      <c r="H200" t="s">
        <v>969</v>
      </c>
      <c r="I200" t="s">
        <v>970</v>
      </c>
      <c r="J200" t="s">
        <v>971</v>
      </c>
      <c r="K200" t="s">
        <v>972</v>
      </c>
      <c r="L200">
        <v>12884.01</v>
      </c>
      <c r="M200">
        <f t="shared" si="3"/>
        <v>31922.28</v>
      </c>
    </row>
    <row r="201" spans="1:13" x14ac:dyDescent="0.25">
      <c r="A201" t="s">
        <v>475</v>
      </c>
      <c r="B201" t="s">
        <v>1742</v>
      </c>
      <c r="C201" t="s">
        <v>975</v>
      </c>
      <c r="D201" t="s">
        <v>1658</v>
      </c>
      <c r="E201" t="s">
        <v>980</v>
      </c>
      <c r="F201" t="s">
        <v>967</v>
      </c>
      <c r="G201" t="s">
        <v>968</v>
      </c>
      <c r="H201" t="s">
        <v>969</v>
      </c>
      <c r="I201" t="s">
        <v>970</v>
      </c>
      <c r="J201" t="s">
        <v>971</v>
      </c>
      <c r="K201" t="s">
        <v>972</v>
      </c>
      <c r="L201">
        <v>19038.27</v>
      </c>
      <c r="M201">
        <f t="shared" si="3"/>
        <v>31922.28</v>
      </c>
    </row>
    <row r="202" spans="1:13" x14ac:dyDescent="0.25">
      <c r="A202" t="s">
        <v>47</v>
      </c>
      <c r="B202" t="s">
        <v>1898</v>
      </c>
      <c r="C202" t="s">
        <v>975</v>
      </c>
      <c r="D202" t="s">
        <v>1658</v>
      </c>
      <c r="E202" t="s">
        <v>966</v>
      </c>
      <c r="F202" t="s">
        <v>967</v>
      </c>
      <c r="G202" t="s">
        <v>968</v>
      </c>
      <c r="H202" t="s">
        <v>969</v>
      </c>
      <c r="I202" t="s">
        <v>970</v>
      </c>
      <c r="J202" t="s">
        <v>971</v>
      </c>
      <c r="K202" t="s">
        <v>972</v>
      </c>
      <c r="L202">
        <v>12012.53</v>
      </c>
      <c r="M202">
        <f t="shared" si="3"/>
        <v>24025.06</v>
      </c>
    </row>
    <row r="203" spans="1:13" x14ac:dyDescent="0.25">
      <c r="A203" t="s">
        <v>139</v>
      </c>
      <c r="B203" t="s">
        <v>1900</v>
      </c>
      <c r="C203" t="s">
        <v>975</v>
      </c>
      <c r="D203" t="s">
        <v>1658</v>
      </c>
      <c r="E203" t="s">
        <v>966</v>
      </c>
      <c r="F203" t="s">
        <v>967</v>
      </c>
      <c r="G203" t="s">
        <v>968</v>
      </c>
      <c r="H203" t="s">
        <v>969</v>
      </c>
      <c r="I203" t="s">
        <v>970</v>
      </c>
      <c r="J203" t="s">
        <v>971</v>
      </c>
      <c r="K203" t="s">
        <v>972</v>
      </c>
      <c r="L203">
        <v>12012.53</v>
      </c>
      <c r="M203">
        <f t="shared" si="3"/>
        <v>24025.06</v>
      </c>
    </row>
    <row r="204" spans="1:13" x14ac:dyDescent="0.25">
      <c r="A204" t="s">
        <v>442</v>
      </c>
      <c r="B204" t="s">
        <v>1695</v>
      </c>
      <c r="C204" t="s">
        <v>975</v>
      </c>
      <c r="D204" t="s">
        <v>1696</v>
      </c>
      <c r="E204" t="s">
        <v>977</v>
      </c>
      <c r="F204" t="s">
        <v>967</v>
      </c>
      <c r="G204" t="s">
        <v>968</v>
      </c>
      <c r="H204" t="s">
        <v>969</v>
      </c>
      <c r="I204" t="s">
        <v>970</v>
      </c>
      <c r="J204" t="s">
        <v>971</v>
      </c>
      <c r="K204" t="s">
        <v>972</v>
      </c>
      <c r="L204">
        <v>20628.439999999999</v>
      </c>
      <c r="M204">
        <f t="shared" si="3"/>
        <v>90566.720000000001</v>
      </c>
    </row>
    <row r="205" spans="1:13" x14ac:dyDescent="0.25">
      <c r="A205" t="s">
        <v>791</v>
      </c>
      <c r="B205" t="s">
        <v>1778</v>
      </c>
      <c r="C205" t="s">
        <v>964</v>
      </c>
      <c r="D205" t="s">
        <v>1748</v>
      </c>
      <c r="E205" t="s">
        <v>977</v>
      </c>
      <c r="F205" t="s">
        <v>967</v>
      </c>
      <c r="G205" t="s">
        <v>968</v>
      </c>
      <c r="H205" t="s">
        <v>969</v>
      </c>
      <c r="I205" t="s">
        <v>970</v>
      </c>
      <c r="J205" t="s">
        <v>971</v>
      </c>
      <c r="K205" t="s">
        <v>972</v>
      </c>
      <c r="L205">
        <v>17484.57</v>
      </c>
      <c r="M205">
        <f t="shared" si="3"/>
        <v>90566.720000000001</v>
      </c>
    </row>
    <row r="206" spans="1:13" x14ac:dyDescent="0.25">
      <c r="A206" t="s">
        <v>791</v>
      </c>
      <c r="B206" t="s">
        <v>1779</v>
      </c>
      <c r="C206" t="s">
        <v>975</v>
      </c>
      <c r="D206" t="s">
        <v>1748</v>
      </c>
      <c r="E206" t="s">
        <v>977</v>
      </c>
      <c r="F206" t="s">
        <v>967</v>
      </c>
      <c r="G206" t="s">
        <v>968</v>
      </c>
      <c r="H206" t="s">
        <v>969</v>
      </c>
      <c r="I206" t="s">
        <v>970</v>
      </c>
      <c r="J206" t="s">
        <v>971</v>
      </c>
      <c r="K206" t="s">
        <v>972</v>
      </c>
      <c r="L206">
        <v>17484.57</v>
      </c>
      <c r="M206">
        <f t="shared" si="3"/>
        <v>90566.720000000001</v>
      </c>
    </row>
    <row r="207" spans="1:13" x14ac:dyDescent="0.25">
      <c r="A207" t="s">
        <v>791</v>
      </c>
      <c r="B207" t="s">
        <v>1780</v>
      </c>
      <c r="C207" t="s">
        <v>975</v>
      </c>
      <c r="D207" t="s">
        <v>1748</v>
      </c>
      <c r="E207" t="s">
        <v>977</v>
      </c>
      <c r="F207" t="s">
        <v>967</v>
      </c>
      <c r="G207" t="s">
        <v>968</v>
      </c>
      <c r="H207" t="s">
        <v>969</v>
      </c>
      <c r="I207" t="s">
        <v>970</v>
      </c>
      <c r="J207" t="s">
        <v>971</v>
      </c>
      <c r="K207" t="s">
        <v>972</v>
      </c>
      <c r="L207">
        <v>17484.57</v>
      </c>
      <c r="M207">
        <f t="shared" si="3"/>
        <v>90566.720000000001</v>
      </c>
    </row>
    <row r="208" spans="1:13" x14ac:dyDescent="0.25">
      <c r="A208" t="s">
        <v>791</v>
      </c>
      <c r="B208" t="s">
        <v>1781</v>
      </c>
      <c r="C208" t="s">
        <v>964</v>
      </c>
      <c r="D208" t="s">
        <v>1748</v>
      </c>
      <c r="E208" t="s">
        <v>977</v>
      </c>
      <c r="F208" t="s">
        <v>967</v>
      </c>
      <c r="G208" t="s">
        <v>968</v>
      </c>
      <c r="H208" t="s">
        <v>969</v>
      </c>
      <c r="I208" t="s">
        <v>970</v>
      </c>
      <c r="J208" t="s">
        <v>971</v>
      </c>
      <c r="K208" t="s">
        <v>972</v>
      </c>
      <c r="L208">
        <v>17484.57</v>
      </c>
      <c r="M208">
        <f t="shared" si="3"/>
        <v>90566.720000000001</v>
      </c>
    </row>
    <row r="209" spans="1:13" x14ac:dyDescent="0.25">
      <c r="A209" t="s">
        <v>424</v>
      </c>
      <c r="B209" t="s">
        <v>1991</v>
      </c>
      <c r="C209" t="s">
        <v>975</v>
      </c>
      <c r="D209" t="s">
        <v>1658</v>
      </c>
      <c r="E209" t="s">
        <v>977</v>
      </c>
      <c r="F209" t="s">
        <v>967</v>
      </c>
      <c r="G209" t="s">
        <v>968</v>
      </c>
      <c r="H209" t="s">
        <v>969</v>
      </c>
      <c r="I209" t="s">
        <v>970</v>
      </c>
      <c r="J209" t="s">
        <v>971</v>
      </c>
      <c r="K209" t="s">
        <v>972</v>
      </c>
      <c r="L209">
        <v>9083.5300000000007</v>
      </c>
      <c r="M209">
        <f t="shared" si="3"/>
        <v>18167.060000000001</v>
      </c>
    </row>
    <row r="210" spans="1:13" x14ac:dyDescent="0.25">
      <c r="A210" t="s">
        <v>548</v>
      </c>
      <c r="B210" t="s">
        <v>1990</v>
      </c>
      <c r="C210" t="s">
        <v>975</v>
      </c>
      <c r="D210" t="s">
        <v>1658</v>
      </c>
      <c r="E210" t="s">
        <v>977</v>
      </c>
      <c r="F210" t="s">
        <v>967</v>
      </c>
      <c r="G210" t="s">
        <v>968</v>
      </c>
      <c r="H210" t="s">
        <v>969</v>
      </c>
      <c r="I210" t="s">
        <v>970</v>
      </c>
      <c r="J210" t="s">
        <v>971</v>
      </c>
      <c r="K210" t="s">
        <v>972</v>
      </c>
      <c r="L210">
        <v>9083.5300000000007</v>
      </c>
      <c r="M210">
        <f t="shared" si="3"/>
        <v>18167.060000000001</v>
      </c>
    </row>
    <row r="211" spans="1:13" x14ac:dyDescent="0.25">
      <c r="A211" t="s">
        <v>96</v>
      </c>
      <c r="B211" t="s">
        <v>2410</v>
      </c>
      <c r="C211" t="s">
        <v>988</v>
      </c>
      <c r="D211" t="s">
        <v>2411</v>
      </c>
      <c r="E211" t="s">
        <v>980</v>
      </c>
      <c r="F211" t="s">
        <v>967</v>
      </c>
      <c r="G211" t="s">
        <v>968</v>
      </c>
      <c r="H211" t="s">
        <v>969</v>
      </c>
      <c r="I211" t="s">
        <v>970</v>
      </c>
      <c r="J211" t="s">
        <v>971</v>
      </c>
      <c r="K211" t="s">
        <v>972</v>
      </c>
      <c r="L211">
        <v>748.95</v>
      </c>
      <c r="M211">
        <f t="shared" si="3"/>
        <v>748.95</v>
      </c>
    </row>
    <row r="212" spans="1:13" x14ac:dyDescent="0.25">
      <c r="A212" t="s">
        <v>784</v>
      </c>
      <c r="B212" t="s">
        <v>2412</v>
      </c>
      <c r="C212" t="s">
        <v>988</v>
      </c>
      <c r="D212" t="s">
        <v>2411</v>
      </c>
      <c r="E212" t="s">
        <v>980</v>
      </c>
      <c r="F212" t="s">
        <v>967</v>
      </c>
      <c r="G212" t="s">
        <v>968</v>
      </c>
      <c r="H212" t="s">
        <v>969</v>
      </c>
      <c r="I212" t="s">
        <v>970</v>
      </c>
      <c r="J212" t="s">
        <v>971</v>
      </c>
      <c r="K212" t="s">
        <v>972</v>
      </c>
      <c r="L212">
        <v>748.95</v>
      </c>
      <c r="M212">
        <f t="shared" si="3"/>
        <v>45454.19</v>
      </c>
    </row>
    <row r="213" spans="1:13" x14ac:dyDescent="0.25">
      <c r="A213" t="s">
        <v>874</v>
      </c>
      <c r="B213" t="s">
        <v>1693</v>
      </c>
      <c r="C213" t="s">
        <v>964</v>
      </c>
      <c r="D213" t="s">
        <v>1694</v>
      </c>
      <c r="E213" t="s">
        <v>977</v>
      </c>
      <c r="F213" t="s">
        <v>967</v>
      </c>
      <c r="G213" t="s">
        <v>968</v>
      </c>
      <c r="H213" t="s">
        <v>969</v>
      </c>
      <c r="I213" t="s">
        <v>970</v>
      </c>
      <c r="J213" t="s">
        <v>971</v>
      </c>
      <c r="K213" t="s">
        <v>972</v>
      </c>
      <c r="L213">
        <v>20680.18</v>
      </c>
      <c r="M213">
        <f t="shared" si="3"/>
        <v>45454.19</v>
      </c>
    </row>
    <row r="214" spans="1:13" x14ac:dyDescent="0.25">
      <c r="A214" t="s">
        <v>921</v>
      </c>
      <c r="B214" t="s">
        <v>1901</v>
      </c>
      <c r="C214" t="s">
        <v>975</v>
      </c>
      <c r="D214" t="s">
        <v>1658</v>
      </c>
      <c r="E214" t="s">
        <v>966</v>
      </c>
      <c r="F214" t="s">
        <v>967</v>
      </c>
      <c r="G214" t="s">
        <v>968</v>
      </c>
      <c r="H214" t="s">
        <v>969</v>
      </c>
      <c r="I214" t="s">
        <v>970</v>
      </c>
      <c r="J214" t="s">
        <v>971</v>
      </c>
      <c r="K214" t="s">
        <v>972</v>
      </c>
      <c r="L214">
        <v>12012.53</v>
      </c>
      <c r="M214">
        <f t="shared" si="3"/>
        <v>45454.19</v>
      </c>
    </row>
    <row r="215" spans="1:13" x14ac:dyDescent="0.25">
      <c r="A215" t="s">
        <v>429</v>
      </c>
      <c r="B215" t="s">
        <v>1899</v>
      </c>
      <c r="C215" t="s">
        <v>975</v>
      </c>
      <c r="D215" t="s">
        <v>1658</v>
      </c>
      <c r="E215" t="s">
        <v>966</v>
      </c>
      <c r="F215" t="s">
        <v>967</v>
      </c>
      <c r="G215" t="s">
        <v>968</v>
      </c>
      <c r="H215" t="s">
        <v>969</v>
      </c>
      <c r="I215" t="s">
        <v>970</v>
      </c>
      <c r="J215" t="s">
        <v>971</v>
      </c>
      <c r="K215" t="s">
        <v>972</v>
      </c>
      <c r="L215">
        <v>12012.53</v>
      </c>
      <c r="M215">
        <f t="shared" si="3"/>
        <v>45454.19</v>
      </c>
    </row>
    <row r="216" spans="1:13" x14ac:dyDescent="0.25">
      <c r="A216" t="s">
        <v>804</v>
      </c>
      <c r="B216" t="s">
        <v>1929</v>
      </c>
      <c r="C216" t="s">
        <v>975</v>
      </c>
      <c r="D216" t="s">
        <v>1612</v>
      </c>
      <c r="E216" t="s">
        <v>977</v>
      </c>
      <c r="F216" t="s">
        <v>967</v>
      </c>
      <c r="G216" t="s">
        <v>968</v>
      </c>
      <c r="H216" t="s">
        <v>969</v>
      </c>
      <c r="I216" t="s">
        <v>970</v>
      </c>
      <c r="J216" t="s">
        <v>971</v>
      </c>
      <c r="K216" t="s">
        <v>972</v>
      </c>
      <c r="L216">
        <v>10896.63</v>
      </c>
      <c r="M216">
        <f t="shared" si="3"/>
        <v>53559.58</v>
      </c>
    </row>
    <row r="217" spans="1:13" x14ac:dyDescent="0.25">
      <c r="A217" t="s">
        <v>804</v>
      </c>
      <c r="B217" t="s">
        <v>1930</v>
      </c>
      <c r="C217" t="s">
        <v>975</v>
      </c>
      <c r="D217" t="s">
        <v>1612</v>
      </c>
      <c r="E217" t="s">
        <v>977</v>
      </c>
      <c r="F217" t="s">
        <v>967</v>
      </c>
      <c r="G217" t="s">
        <v>968</v>
      </c>
      <c r="H217" t="s">
        <v>969</v>
      </c>
      <c r="I217" t="s">
        <v>970</v>
      </c>
      <c r="J217" t="s">
        <v>971</v>
      </c>
      <c r="K217" t="s">
        <v>972</v>
      </c>
      <c r="L217">
        <v>10896.63</v>
      </c>
      <c r="M217">
        <f t="shared" si="3"/>
        <v>53559.58</v>
      </c>
    </row>
    <row r="218" spans="1:13" x14ac:dyDescent="0.25">
      <c r="A218" t="s">
        <v>231</v>
      </c>
      <c r="B218" t="s">
        <v>1488</v>
      </c>
      <c r="C218" t="s">
        <v>975</v>
      </c>
      <c r="D218" t="s">
        <v>1489</v>
      </c>
      <c r="E218" t="s">
        <v>977</v>
      </c>
      <c r="F218" t="s">
        <v>967</v>
      </c>
      <c r="G218" t="s">
        <v>968</v>
      </c>
      <c r="H218" t="s">
        <v>969</v>
      </c>
      <c r="I218" t="s">
        <v>970</v>
      </c>
      <c r="J218" t="s">
        <v>971</v>
      </c>
      <c r="K218" t="s">
        <v>972</v>
      </c>
      <c r="L218">
        <v>31766.32</v>
      </c>
      <c r="M218">
        <f t="shared" si="3"/>
        <v>53559.58</v>
      </c>
    </row>
    <row r="219" spans="1:13" x14ac:dyDescent="0.25">
      <c r="A219" t="s">
        <v>944</v>
      </c>
      <c r="B219" t="s">
        <v>1877</v>
      </c>
      <c r="C219" t="s">
        <v>964</v>
      </c>
      <c r="D219" t="s">
        <v>1612</v>
      </c>
      <c r="E219" t="s">
        <v>977</v>
      </c>
      <c r="F219" t="s">
        <v>967</v>
      </c>
      <c r="G219" t="s">
        <v>968</v>
      </c>
      <c r="H219" t="s">
        <v>969</v>
      </c>
      <c r="I219" t="s">
        <v>970</v>
      </c>
      <c r="J219" t="s">
        <v>971</v>
      </c>
      <c r="K219" t="s">
        <v>972</v>
      </c>
      <c r="L219">
        <v>12932.32</v>
      </c>
      <c r="M219">
        <f t="shared" si="3"/>
        <v>41285.17</v>
      </c>
    </row>
    <row r="220" spans="1:13" x14ac:dyDescent="0.25">
      <c r="A220" t="s">
        <v>944</v>
      </c>
      <c r="B220" t="s">
        <v>1878</v>
      </c>
      <c r="C220" t="s">
        <v>964</v>
      </c>
      <c r="D220" t="s">
        <v>1612</v>
      </c>
      <c r="E220" t="s">
        <v>977</v>
      </c>
      <c r="F220" t="s">
        <v>967</v>
      </c>
      <c r="G220" t="s">
        <v>968</v>
      </c>
      <c r="H220" t="s">
        <v>969</v>
      </c>
      <c r="I220" t="s">
        <v>970</v>
      </c>
      <c r="J220" t="s">
        <v>971</v>
      </c>
      <c r="K220" t="s">
        <v>972</v>
      </c>
      <c r="L220">
        <v>12932.32</v>
      </c>
      <c r="M220">
        <f t="shared" si="3"/>
        <v>41285.17</v>
      </c>
    </row>
    <row r="221" spans="1:13" x14ac:dyDescent="0.25">
      <c r="A221" t="s">
        <v>267</v>
      </c>
      <c r="B221" t="s">
        <v>1956</v>
      </c>
      <c r="C221" t="s">
        <v>975</v>
      </c>
      <c r="D221" t="s">
        <v>1694</v>
      </c>
      <c r="E221" t="s">
        <v>977</v>
      </c>
      <c r="F221" t="s">
        <v>967</v>
      </c>
      <c r="G221" t="s">
        <v>968</v>
      </c>
      <c r="H221" t="s">
        <v>969</v>
      </c>
      <c r="I221" t="s">
        <v>970</v>
      </c>
      <c r="J221" t="s">
        <v>971</v>
      </c>
      <c r="K221" t="s">
        <v>972</v>
      </c>
      <c r="L221">
        <v>10148.19</v>
      </c>
      <c r="M221">
        <f t="shared" si="3"/>
        <v>41285.17</v>
      </c>
    </row>
    <row r="222" spans="1:13" x14ac:dyDescent="0.25">
      <c r="A222" t="s">
        <v>335</v>
      </c>
      <c r="B222" t="s">
        <v>2104</v>
      </c>
      <c r="C222" t="s">
        <v>975</v>
      </c>
      <c r="D222" t="s">
        <v>1694</v>
      </c>
      <c r="E222" t="s">
        <v>977</v>
      </c>
      <c r="F222" t="s">
        <v>967</v>
      </c>
      <c r="G222" t="s">
        <v>968</v>
      </c>
      <c r="H222" t="s">
        <v>969</v>
      </c>
      <c r="I222" t="s">
        <v>970</v>
      </c>
      <c r="J222" t="s">
        <v>971</v>
      </c>
      <c r="K222" t="s">
        <v>972</v>
      </c>
      <c r="L222">
        <v>5272.34</v>
      </c>
      <c r="M222">
        <f t="shared" si="3"/>
        <v>41285.17</v>
      </c>
    </row>
    <row r="223" spans="1:13" x14ac:dyDescent="0.25">
      <c r="A223" t="s">
        <v>688</v>
      </c>
      <c r="B223" t="s">
        <v>1927</v>
      </c>
      <c r="C223" t="s">
        <v>964</v>
      </c>
      <c r="D223" t="s">
        <v>1612</v>
      </c>
      <c r="E223" t="s">
        <v>977</v>
      </c>
      <c r="F223" t="s">
        <v>967</v>
      </c>
      <c r="G223" t="s">
        <v>968</v>
      </c>
      <c r="H223" t="s">
        <v>969</v>
      </c>
      <c r="I223" t="s">
        <v>970</v>
      </c>
      <c r="J223" t="s">
        <v>971</v>
      </c>
      <c r="K223" t="s">
        <v>972</v>
      </c>
      <c r="L223">
        <v>10896.65</v>
      </c>
      <c r="M223">
        <f t="shared" si="3"/>
        <v>32587.85</v>
      </c>
    </row>
    <row r="224" spans="1:13" x14ac:dyDescent="0.25">
      <c r="A224" t="s">
        <v>688</v>
      </c>
      <c r="B224" t="s">
        <v>1928</v>
      </c>
      <c r="C224" t="s">
        <v>964</v>
      </c>
      <c r="D224" t="s">
        <v>1612</v>
      </c>
      <c r="E224" t="s">
        <v>977</v>
      </c>
      <c r="F224" t="s">
        <v>967</v>
      </c>
      <c r="G224" t="s">
        <v>968</v>
      </c>
      <c r="H224" t="s">
        <v>969</v>
      </c>
      <c r="I224" t="s">
        <v>970</v>
      </c>
      <c r="J224" t="s">
        <v>971</v>
      </c>
      <c r="K224" t="s">
        <v>972</v>
      </c>
      <c r="L224">
        <v>10896.65</v>
      </c>
      <c r="M224">
        <f t="shared" si="3"/>
        <v>32587.85</v>
      </c>
    </row>
    <row r="225" spans="1:13" x14ac:dyDescent="0.25">
      <c r="A225" t="s">
        <v>309</v>
      </c>
      <c r="B225" t="s">
        <v>1932</v>
      </c>
      <c r="C225" t="s">
        <v>975</v>
      </c>
      <c r="D225" t="s">
        <v>1694</v>
      </c>
      <c r="E225" t="s">
        <v>977</v>
      </c>
      <c r="F225" t="s">
        <v>967</v>
      </c>
      <c r="G225" t="s">
        <v>968</v>
      </c>
      <c r="H225" t="s">
        <v>969</v>
      </c>
      <c r="I225" t="s">
        <v>970</v>
      </c>
      <c r="J225" t="s">
        <v>971</v>
      </c>
      <c r="K225" t="s">
        <v>972</v>
      </c>
      <c r="L225">
        <v>10794.55</v>
      </c>
      <c r="M225">
        <f t="shared" si="3"/>
        <v>32587.85</v>
      </c>
    </row>
    <row r="226" spans="1:13" x14ac:dyDescent="0.25">
      <c r="A226" t="s">
        <v>503</v>
      </c>
      <c r="B226" t="s">
        <v>1611</v>
      </c>
      <c r="C226" t="s">
        <v>975</v>
      </c>
      <c r="D226" t="s">
        <v>1612</v>
      </c>
      <c r="E226" t="s">
        <v>980</v>
      </c>
      <c r="F226" t="s">
        <v>967</v>
      </c>
      <c r="G226" t="s">
        <v>968</v>
      </c>
      <c r="H226" t="s">
        <v>969</v>
      </c>
      <c r="I226" t="s">
        <v>970</v>
      </c>
      <c r="J226" t="s">
        <v>971</v>
      </c>
      <c r="K226" t="s">
        <v>972</v>
      </c>
      <c r="L226">
        <v>26016.38</v>
      </c>
      <c r="M226">
        <f t="shared" si="3"/>
        <v>104065.52</v>
      </c>
    </row>
    <row r="227" spans="1:13" x14ac:dyDescent="0.25">
      <c r="A227" t="s">
        <v>503</v>
      </c>
      <c r="B227" t="s">
        <v>1613</v>
      </c>
      <c r="C227" t="s">
        <v>975</v>
      </c>
      <c r="D227" t="s">
        <v>1612</v>
      </c>
      <c r="E227" t="s">
        <v>980</v>
      </c>
      <c r="F227" t="s">
        <v>967</v>
      </c>
      <c r="G227" t="s">
        <v>968</v>
      </c>
      <c r="H227" t="s">
        <v>969</v>
      </c>
      <c r="I227" t="s">
        <v>970</v>
      </c>
      <c r="J227" t="s">
        <v>971</v>
      </c>
      <c r="K227" t="s">
        <v>972</v>
      </c>
      <c r="L227">
        <v>26016.38</v>
      </c>
      <c r="M227">
        <f t="shared" si="3"/>
        <v>104065.52</v>
      </c>
    </row>
    <row r="228" spans="1:13" x14ac:dyDescent="0.25">
      <c r="A228" t="s">
        <v>503</v>
      </c>
      <c r="B228" t="s">
        <v>1614</v>
      </c>
      <c r="C228" t="s">
        <v>975</v>
      </c>
      <c r="D228" t="s">
        <v>1612</v>
      </c>
      <c r="E228" t="s">
        <v>980</v>
      </c>
      <c r="F228" t="s">
        <v>967</v>
      </c>
      <c r="G228" t="s">
        <v>968</v>
      </c>
      <c r="H228" t="s">
        <v>969</v>
      </c>
      <c r="I228" t="s">
        <v>970</v>
      </c>
      <c r="J228" t="s">
        <v>971</v>
      </c>
      <c r="K228" t="s">
        <v>972</v>
      </c>
      <c r="L228">
        <v>26016.38</v>
      </c>
      <c r="M228">
        <f t="shared" si="3"/>
        <v>104065.52</v>
      </c>
    </row>
    <row r="229" spans="1:13" x14ac:dyDescent="0.25">
      <c r="A229" t="s">
        <v>503</v>
      </c>
      <c r="B229" t="s">
        <v>1615</v>
      </c>
      <c r="C229" t="s">
        <v>975</v>
      </c>
      <c r="D229" t="s">
        <v>1612</v>
      </c>
      <c r="E229" t="s">
        <v>980</v>
      </c>
      <c r="F229" t="s">
        <v>967</v>
      </c>
      <c r="G229" t="s">
        <v>968</v>
      </c>
      <c r="H229" t="s">
        <v>969</v>
      </c>
      <c r="I229" t="s">
        <v>970</v>
      </c>
      <c r="J229" t="s">
        <v>971</v>
      </c>
      <c r="K229" t="s">
        <v>972</v>
      </c>
      <c r="L229">
        <v>26016.38</v>
      </c>
      <c r="M229">
        <f t="shared" si="3"/>
        <v>104065.52</v>
      </c>
    </row>
    <row r="230" spans="1:13" x14ac:dyDescent="0.25">
      <c r="A230" t="s">
        <v>585</v>
      </c>
      <c r="B230" t="s">
        <v>1815</v>
      </c>
      <c r="C230" t="s">
        <v>975</v>
      </c>
      <c r="D230" t="s">
        <v>1612</v>
      </c>
      <c r="E230" t="s">
        <v>977</v>
      </c>
      <c r="F230" t="s">
        <v>967</v>
      </c>
      <c r="G230" t="s">
        <v>968</v>
      </c>
      <c r="H230" t="s">
        <v>969</v>
      </c>
      <c r="I230" t="s">
        <v>970</v>
      </c>
      <c r="J230" t="s">
        <v>971</v>
      </c>
      <c r="K230" t="s">
        <v>972</v>
      </c>
      <c r="L230">
        <v>16150.91</v>
      </c>
      <c r="M230">
        <f t="shared" si="3"/>
        <v>244297.75999999995</v>
      </c>
    </row>
    <row r="231" spans="1:13" x14ac:dyDescent="0.25">
      <c r="A231" t="s">
        <v>693</v>
      </c>
      <c r="B231" t="s">
        <v>1772</v>
      </c>
      <c r="C231" t="s">
        <v>975</v>
      </c>
      <c r="D231" t="s">
        <v>1770</v>
      </c>
      <c r="E231" t="s">
        <v>966</v>
      </c>
      <c r="F231" t="s">
        <v>967</v>
      </c>
      <c r="G231" t="s">
        <v>968</v>
      </c>
      <c r="H231" t="s">
        <v>969</v>
      </c>
      <c r="I231" t="s">
        <v>970</v>
      </c>
      <c r="J231" t="s">
        <v>971</v>
      </c>
      <c r="K231" t="s">
        <v>972</v>
      </c>
      <c r="L231">
        <v>17512.03</v>
      </c>
      <c r="M231">
        <f t="shared" si="3"/>
        <v>244297.75999999995</v>
      </c>
    </row>
    <row r="232" spans="1:13" x14ac:dyDescent="0.25">
      <c r="A232" t="s">
        <v>709</v>
      </c>
      <c r="B232" t="s">
        <v>1771</v>
      </c>
      <c r="C232" t="s">
        <v>975</v>
      </c>
      <c r="D232" t="s">
        <v>1770</v>
      </c>
      <c r="E232" t="s">
        <v>966</v>
      </c>
      <c r="F232" t="s">
        <v>967</v>
      </c>
      <c r="G232" t="s">
        <v>968</v>
      </c>
      <c r="H232" t="s">
        <v>969</v>
      </c>
      <c r="I232" t="s">
        <v>970</v>
      </c>
      <c r="J232" t="s">
        <v>971</v>
      </c>
      <c r="K232" t="s">
        <v>972</v>
      </c>
      <c r="L232">
        <v>17512.03</v>
      </c>
      <c r="M232">
        <f t="shared" si="3"/>
        <v>244297.75999999995</v>
      </c>
    </row>
    <row r="233" spans="1:13" x14ac:dyDescent="0.25">
      <c r="A233" t="s">
        <v>169</v>
      </c>
      <c r="B233" t="s">
        <v>1769</v>
      </c>
      <c r="C233" t="s">
        <v>975</v>
      </c>
      <c r="D233" t="s">
        <v>1770</v>
      </c>
      <c r="E233" t="s">
        <v>966</v>
      </c>
      <c r="F233" t="s">
        <v>967</v>
      </c>
      <c r="G233" t="s">
        <v>968</v>
      </c>
      <c r="H233" t="s">
        <v>969</v>
      </c>
      <c r="I233" t="s">
        <v>970</v>
      </c>
      <c r="J233" t="s">
        <v>971</v>
      </c>
      <c r="K233" t="s">
        <v>972</v>
      </c>
      <c r="L233">
        <v>17512.03</v>
      </c>
      <c r="M233">
        <f t="shared" si="3"/>
        <v>244297.75999999995</v>
      </c>
    </row>
    <row r="234" spans="1:13" x14ac:dyDescent="0.25">
      <c r="A234" t="s">
        <v>173</v>
      </c>
      <c r="B234" t="s">
        <v>1774</v>
      </c>
      <c r="C234" t="s">
        <v>975</v>
      </c>
      <c r="D234" t="s">
        <v>1770</v>
      </c>
      <c r="E234" t="s">
        <v>966</v>
      </c>
      <c r="F234" t="s">
        <v>967</v>
      </c>
      <c r="G234" t="s">
        <v>968</v>
      </c>
      <c r="H234" t="s">
        <v>969</v>
      </c>
      <c r="I234" t="s">
        <v>970</v>
      </c>
      <c r="J234" t="s">
        <v>971</v>
      </c>
      <c r="K234" t="s">
        <v>972</v>
      </c>
      <c r="L234">
        <v>17512.009999999998</v>
      </c>
      <c r="M234">
        <f t="shared" si="3"/>
        <v>244297.75999999995</v>
      </c>
    </row>
    <row r="235" spans="1:13" x14ac:dyDescent="0.25">
      <c r="A235" t="s">
        <v>157</v>
      </c>
      <c r="B235" t="s">
        <v>1776</v>
      </c>
      <c r="C235" t="s">
        <v>975</v>
      </c>
      <c r="D235" t="s">
        <v>1770</v>
      </c>
      <c r="E235" t="s">
        <v>966</v>
      </c>
      <c r="F235" t="s">
        <v>967</v>
      </c>
      <c r="G235" t="s">
        <v>968</v>
      </c>
      <c r="H235" t="s">
        <v>969</v>
      </c>
      <c r="I235" t="s">
        <v>970</v>
      </c>
      <c r="J235" t="s">
        <v>971</v>
      </c>
      <c r="K235" t="s">
        <v>972</v>
      </c>
      <c r="L235">
        <v>17512.009999999998</v>
      </c>
      <c r="M235">
        <f t="shared" si="3"/>
        <v>244297.75999999995</v>
      </c>
    </row>
    <row r="236" spans="1:13" x14ac:dyDescent="0.25">
      <c r="A236" t="s">
        <v>285</v>
      </c>
      <c r="B236" t="s">
        <v>1773</v>
      </c>
      <c r="C236" t="s">
        <v>975</v>
      </c>
      <c r="D236" t="s">
        <v>1770</v>
      </c>
      <c r="E236" t="s">
        <v>966</v>
      </c>
      <c r="F236" t="s">
        <v>967</v>
      </c>
      <c r="G236" t="s">
        <v>968</v>
      </c>
      <c r="H236" t="s">
        <v>969</v>
      </c>
      <c r="I236" t="s">
        <v>970</v>
      </c>
      <c r="J236" t="s">
        <v>971</v>
      </c>
      <c r="K236" t="s">
        <v>972</v>
      </c>
      <c r="L236">
        <v>17512.009999999998</v>
      </c>
      <c r="M236">
        <f t="shared" si="3"/>
        <v>244297.75999999995</v>
      </c>
    </row>
    <row r="237" spans="1:13" x14ac:dyDescent="0.25">
      <c r="A237" t="s">
        <v>435</v>
      </c>
      <c r="B237" t="s">
        <v>1775</v>
      </c>
      <c r="C237" t="s">
        <v>975</v>
      </c>
      <c r="D237" t="s">
        <v>1770</v>
      </c>
      <c r="E237" t="s">
        <v>966</v>
      </c>
      <c r="F237" t="s">
        <v>967</v>
      </c>
      <c r="G237" t="s">
        <v>968</v>
      </c>
      <c r="H237" t="s">
        <v>969</v>
      </c>
      <c r="I237" t="s">
        <v>970</v>
      </c>
      <c r="J237" t="s">
        <v>971</v>
      </c>
      <c r="K237" t="s">
        <v>972</v>
      </c>
      <c r="L237">
        <v>17512.009999999998</v>
      </c>
      <c r="M237">
        <f t="shared" si="3"/>
        <v>244297.75999999995</v>
      </c>
    </row>
    <row r="238" spans="1:13" x14ac:dyDescent="0.25">
      <c r="A238" t="s">
        <v>454</v>
      </c>
      <c r="B238" t="s">
        <v>1594</v>
      </c>
      <c r="C238" t="s">
        <v>975</v>
      </c>
      <c r="D238" t="s">
        <v>1595</v>
      </c>
      <c r="E238" t="s">
        <v>977</v>
      </c>
      <c r="F238" t="s">
        <v>967</v>
      </c>
      <c r="G238" t="s">
        <v>968</v>
      </c>
      <c r="H238" t="s">
        <v>969</v>
      </c>
      <c r="I238" t="s">
        <v>970</v>
      </c>
      <c r="J238" t="s">
        <v>971</v>
      </c>
      <c r="K238" t="s">
        <v>972</v>
      </c>
      <c r="L238">
        <v>26390.68</v>
      </c>
      <c r="M238">
        <f t="shared" si="3"/>
        <v>244297.75999999995</v>
      </c>
    </row>
    <row r="239" spans="1:13" x14ac:dyDescent="0.25">
      <c r="A239" t="s">
        <v>191</v>
      </c>
      <c r="B239" t="s">
        <v>1597</v>
      </c>
      <c r="C239" t="s">
        <v>975</v>
      </c>
      <c r="D239" t="s">
        <v>1595</v>
      </c>
      <c r="E239" t="s">
        <v>977</v>
      </c>
      <c r="F239" t="s">
        <v>967</v>
      </c>
      <c r="G239" t="s">
        <v>968</v>
      </c>
      <c r="H239" t="s">
        <v>969</v>
      </c>
      <c r="I239" t="s">
        <v>970</v>
      </c>
      <c r="J239" t="s">
        <v>971</v>
      </c>
      <c r="K239" t="s">
        <v>972</v>
      </c>
      <c r="L239">
        <v>26390.68</v>
      </c>
      <c r="M239">
        <f t="shared" si="3"/>
        <v>244297.75999999995</v>
      </c>
    </row>
    <row r="240" spans="1:13" x14ac:dyDescent="0.25">
      <c r="A240" t="s">
        <v>814</v>
      </c>
      <c r="B240" t="s">
        <v>1598</v>
      </c>
      <c r="C240" t="s">
        <v>975</v>
      </c>
      <c r="D240" t="s">
        <v>1595</v>
      </c>
      <c r="E240" t="s">
        <v>977</v>
      </c>
      <c r="F240" t="s">
        <v>967</v>
      </c>
      <c r="G240" t="s">
        <v>968</v>
      </c>
      <c r="H240" t="s">
        <v>969</v>
      </c>
      <c r="I240" t="s">
        <v>970</v>
      </c>
      <c r="J240" t="s">
        <v>971</v>
      </c>
      <c r="K240" t="s">
        <v>972</v>
      </c>
      <c r="L240">
        <v>26390.68</v>
      </c>
      <c r="M240">
        <f t="shared" si="3"/>
        <v>244297.75999999995</v>
      </c>
    </row>
    <row r="241" spans="1:13" x14ac:dyDescent="0.25">
      <c r="A241" t="s">
        <v>725</v>
      </c>
      <c r="B241" t="s">
        <v>1596</v>
      </c>
      <c r="C241" t="s">
        <v>975</v>
      </c>
      <c r="D241" t="s">
        <v>1595</v>
      </c>
      <c r="E241" t="s">
        <v>977</v>
      </c>
      <c r="F241" t="s">
        <v>967</v>
      </c>
      <c r="G241" t="s">
        <v>968</v>
      </c>
      <c r="H241" t="s">
        <v>969</v>
      </c>
      <c r="I241" t="s">
        <v>970</v>
      </c>
      <c r="J241" t="s">
        <v>971</v>
      </c>
      <c r="K241" t="s">
        <v>972</v>
      </c>
      <c r="L241">
        <v>26390.68</v>
      </c>
      <c r="M241">
        <f t="shared" si="3"/>
        <v>244297.75999999995</v>
      </c>
    </row>
    <row r="242" spans="1:13" x14ac:dyDescent="0.25">
      <c r="A242" t="s">
        <v>244</v>
      </c>
      <c r="B242" t="s">
        <v>1777</v>
      </c>
      <c r="C242" t="s">
        <v>975</v>
      </c>
      <c r="D242" t="s">
        <v>1770</v>
      </c>
      <c r="E242" t="s">
        <v>966</v>
      </c>
      <c r="F242" t="s">
        <v>967</v>
      </c>
      <c r="G242" t="s">
        <v>968</v>
      </c>
      <c r="H242" t="s">
        <v>969</v>
      </c>
      <c r="I242" t="s">
        <v>970</v>
      </c>
      <c r="J242" t="s">
        <v>971</v>
      </c>
      <c r="K242" t="s">
        <v>972</v>
      </c>
      <c r="L242">
        <v>17512.009999999998</v>
      </c>
      <c r="M242">
        <f t="shared" si="3"/>
        <v>49411.040000000001</v>
      </c>
    </row>
    <row r="243" spans="1:13" x14ac:dyDescent="0.25">
      <c r="A243" t="s">
        <v>82</v>
      </c>
      <c r="B243" t="s">
        <v>1937</v>
      </c>
      <c r="C243" t="s">
        <v>975</v>
      </c>
      <c r="D243" t="s">
        <v>1612</v>
      </c>
      <c r="E243" t="s">
        <v>977</v>
      </c>
      <c r="F243" t="s">
        <v>967</v>
      </c>
      <c r="G243" t="s">
        <v>968</v>
      </c>
      <c r="H243" t="s">
        <v>969</v>
      </c>
      <c r="I243" t="s">
        <v>970</v>
      </c>
      <c r="J243" t="s">
        <v>971</v>
      </c>
      <c r="K243" t="s">
        <v>972</v>
      </c>
      <c r="L243">
        <v>10633.01</v>
      </c>
      <c r="M243">
        <f t="shared" si="3"/>
        <v>49411.040000000001</v>
      </c>
    </row>
    <row r="244" spans="1:13" x14ac:dyDescent="0.25">
      <c r="A244" t="s">
        <v>82</v>
      </c>
      <c r="B244" t="s">
        <v>1938</v>
      </c>
      <c r="C244" t="s">
        <v>975</v>
      </c>
      <c r="D244" t="s">
        <v>1612</v>
      </c>
      <c r="E244" t="s">
        <v>977</v>
      </c>
      <c r="F244" t="s">
        <v>967</v>
      </c>
      <c r="G244" t="s">
        <v>968</v>
      </c>
      <c r="H244" t="s">
        <v>969</v>
      </c>
      <c r="I244" t="s">
        <v>970</v>
      </c>
      <c r="J244" t="s">
        <v>971</v>
      </c>
      <c r="K244" t="s">
        <v>972</v>
      </c>
      <c r="L244">
        <v>10633.01</v>
      </c>
      <c r="M244">
        <f t="shared" si="3"/>
        <v>49411.040000000001</v>
      </c>
    </row>
    <row r="245" spans="1:13" x14ac:dyDescent="0.25">
      <c r="A245" t="s">
        <v>82</v>
      </c>
      <c r="B245" t="s">
        <v>1939</v>
      </c>
      <c r="C245" t="s">
        <v>975</v>
      </c>
      <c r="D245" t="s">
        <v>1612</v>
      </c>
      <c r="E245" t="s">
        <v>977</v>
      </c>
      <c r="F245" t="s">
        <v>967</v>
      </c>
      <c r="G245" t="s">
        <v>968</v>
      </c>
      <c r="H245" t="s">
        <v>969</v>
      </c>
      <c r="I245" t="s">
        <v>970</v>
      </c>
      <c r="J245" t="s">
        <v>971</v>
      </c>
      <c r="K245" t="s">
        <v>972</v>
      </c>
      <c r="L245">
        <v>10633.01</v>
      </c>
      <c r="M245">
        <f t="shared" si="3"/>
        <v>49411.040000000001</v>
      </c>
    </row>
    <row r="246" spans="1:13" x14ac:dyDescent="0.25">
      <c r="A246" t="s">
        <v>677</v>
      </c>
      <c r="B246" t="s">
        <v>2403</v>
      </c>
      <c r="C246" t="s">
        <v>988</v>
      </c>
      <c r="D246" t="s">
        <v>1696</v>
      </c>
      <c r="E246" t="s">
        <v>980</v>
      </c>
      <c r="F246" t="s">
        <v>967</v>
      </c>
      <c r="G246" t="s">
        <v>968</v>
      </c>
      <c r="H246" t="s">
        <v>969</v>
      </c>
      <c r="I246" t="s">
        <v>970</v>
      </c>
      <c r="J246" t="s">
        <v>971</v>
      </c>
      <c r="K246" t="s">
        <v>972</v>
      </c>
      <c r="L246">
        <v>812.64</v>
      </c>
      <c r="M246">
        <f t="shared" si="3"/>
        <v>812.64</v>
      </c>
    </row>
    <row r="247" spans="1:13" x14ac:dyDescent="0.25">
      <c r="A247" t="s">
        <v>186</v>
      </c>
      <c r="B247" t="s">
        <v>2441</v>
      </c>
      <c r="C247" t="s">
        <v>988</v>
      </c>
      <c r="D247" t="s">
        <v>1595</v>
      </c>
      <c r="E247" t="s">
        <v>977</v>
      </c>
      <c r="F247" t="s">
        <v>967</v>
      </c>
      <c r="G247" t="s">
        <v>968</v>
      </c>
      <c r="H247" t="s">
        <v>969</v>
      </c>
      <c r="I247" t="s">
        <v>970</v>
      </c>
      <c r="J247" t="s">
        <v>971</v>
      </c>
      <c r="K247" t="s">
        <v>972</v>
      </c>
      <c r="L247">
        <v>536.29999999999995</v>
      </c>
      <c r="M247">
        <f t="shared" si="3"/>
        <v>28562.799999999999</v>
      </c>
    </row>
    <row r="248" spans="1:13" x14ac:dyDescent="0.25">
      <c r="A248" t="s">
        <v>610</v>
      </c>
      <c r="B248" t="s">
        <v>1593</v>
      </c>
      <c r="C248" t="s">
        <v>975</v>
      </c>
      <c r="D248" t="s">
        <v>1489</v>
      </c>
      <c r="E248" t="s">
        <v>977</v>
      </c>
      <c r="F248" t="s">
        <v>967</v>
      </c>
      <c r="G248" t="s">
        <v>968</v>
      </c>
      <c r="H248" t="s">
        <v>969</v>
      </c>
      <c r="I248" t="s">
        <v>970</v>
      </c>
      <c r="J248" t="s">
        <v>971</v>
      </c>
      <c r="K248" t="s">
        <v>972</v>
      </c>
      <c r="L248">
        <v>26531.5</v>
      </c>
      <c r="M248">
        <f t="shared" si="3"/>
        <v>28562.799999999999</v>
      </c>
    </row>
    <row r="249" spans="1:13" x14ac:dyDescent="0.25">
      <c r="A249" t="s">
        <v>403</v>
      </c>
      <c r="B249" t="s">
        <v>2404</v>
      </c>
      <c r="C249" t="s">
        <v>988</v>
      </c>
      <c r="D249" t="s">
        <v>1489</v>
      </c>
      <c r="E249" t="s">
        <v>980</v>
      </c>
      <c r="F249" t="s">
        <v>967</v>
      </c>
      <c r="G249" t="s">
        <v>968</v>
      </c>
      <c r="H249" t="s">
        <v>969</v>
      </c>
      <c r="I249" t="s">
        <v>970</v>
      </c>
      <c r="J249" t="s">
        <v>971</v>
      </c>
      <c r="K249" t="s">
        <v>972</v>
      </c>
      <c r="L249">
        <v>811.2</v>
      </c>
      <c r="M249">
        <f t="shared" si="3"/>
        <v>28562.799999999999</v>
      </c>
    </row>
    <row r="250" spans="1:13" x14ac:dyDescent="0.25">
      <c r="A250" t="s">
        <v>930</v>
      </c>
      <c r="B250" t="s">
        <v>2428</v>
      </c>
      <c r="C250" t="s">
        <v>988</v>
      </c>
      <c r="D250" t="s">
        <v>1696</v>
      </c>
      <c r="E250" t="s">
        <v>980</v>
      </c>
      <c r="F250" t="s">
        <v>967</v>
      </c>
      <c r="G250" t="s">
        <v>968</v>
      </c>
      <c r="H250" t="s">
        <v>969</v>
      </c>
      <c r="I250" t="s">
        <v>970</v>
      </c>
      <c r="J250" t="s">
        <v>971</v>
      </c>
      <c r="K250" t="s">
        <v>972</v>
      </c>
      <c r="L250">
        <v>683.8</v>
      </c>
      <c r="M250">
        <f t="shared" si="3"/>
        <v>28562.799999999999</v>
      </c>
    </row>
    <row r="251" spans="1:13" x14ac:dyDescent="0.25">
      <c r="A251" t="s">
        <v>192</v>
      </c>
      <c r="B251" t="s">
        <v>1749</v>
      </c>
      <c r="C251" t="s">
        <v>975</v>
      </c>
      <c r="D251" t="s">
        <v>1612</v>
      </c>
      <c r="E251" t="s">
        <v>977</v>
      </c>
      <c r="F251" t="s">
        <v>967</v>
      </c>
      <c r="G251" t="s">
        <v>968</v>
      </c>
      <c r="H251" t="s">
        <v>969</v>
      </c>
      <c r="I251" t="s">
        <v>970</v>
      </c>
      <c r="J251" t="s">
        <v>971</v>
      </c>
      <c r="K251" t="s">
        <v>972</v>
      </c>
      <c r="L251">
        <v>18769.310000000001</v>
      </c>
      <c r="M251">
        <f t="shared" si="3"/>
        <v>71521.670000000013</v>
      </c>
    </row>
    <row r="252" spans="1:13" x14ac:dyDescent="0.25">
      <c r="A252" t="s">
        <v>717</v>
      </c>
      <c r="B252" t="s">
        <v>1599</v>
      </c>
      <c r="C252" t="s">
        <v>964</v>
      </c>
      <c r="D252" t="s">
        <v>1595</v>
      </c>
      <c r="E252" t="s">
        <v>977</v>
      </c>
      <c r="F252" t="s">
        <v>967</v>
      </c>
      <c r="G252" t="s">
        <v>968</v>
      </c>
      <c r="H252" t="s">
        <v>969</v>
      </c>
      <c r="I252" t="s">
        <v>970</v>
      </c>
      <c r="J252" t="s">
        <v>971</v>
      </c>
      <c r="K252" t="s">
        <v>972</v>
      </c>
      <c r="L252">
        <v>26376.18</v>
      </c>
      <c r="M252">
        <f t="shared" si="3"/>
        <v>71521.670000000013</v>
      </c>
    </row>
    <row r="253" spans="1:13" x14ac:dyDescent="0.25">
      <c r="A253" t="s">
        <v>697</v>
      </c>
      <c r="B253" t="s">
        <v>1600</v>
      </c>
      <c r="C253" t="s">
        <v>964</v>
      </c>
      <c r="D253" t="s">
        <v>1595</v>
      </c>
      <c r="E253" t="s">
        <v>977</v>
      </c>
      <c r="F253" t="s">
        <v>967</v>
      </c>
      <c r="G253" t="s">
        <v>968</v>
      </c>
      <c r="H253" t="s">
        <v>969</v>
      </c>
      <c r="I253" t="s">
        <v>970</v>
      </c>
      <c r="J253" t="s">
        <v>971</v>
      </c>
      <c r="K253" t="s">
        <v>972</v>
      </c>
      <c r="L253">
        <v>26376.18</v>
      </c>
      <c r="M253">
        <f t="shared" si="3"/>
        <v>71521.670000000013</v>
      </c>
    </row>
    <row r="254" spans="1:13" x14ac:dyDescent="0.25">
      <c r="A254" t="s">
        <v>433</v>
      </c>
      <c r="B254" t="s">
        <v>2409</v>
      </c>
      <c r="C254" t="s">
        <v>988</v>
      </c>
      <c r="D254" t="s">
        <v>1489</v>
      </c>
      <c r="E254" t="s">
        <v>977</v>
      </c>
      <c r="F254" t="s">
        <v>967</v>
      </c>
      <c r="G254" t="s">
        <v>968</v>
      </c>
      <c r="H254" t="s">
        <v>969</v>
      </c>
      <c r="I254" t="s">
        <v>970</v>
      </c>
      <c r="J254" t="s">
        <v>971</v>
      </c>
      <c r="K254" t="s">
        <v>972</v>
      </c>
      <c r="L254">
        <v>755.71</v>
      </c>
      <c r="M254">
        <f t="shared" si="3"/>
        <v>755.71</v>
      </c>
    </row>
    <row r="255" spans="1:13" x14ac:dyDescent="0.25">
      <c r="A255" t="s">
        <v>447</v>
      </c>
      <c r="B255" t="s">
        <v>1836</v>
      </c>
      <c r="C255" t="s">
        <v>964</v>
      </c>
      <c r="D255" t="s">
        <v>1595</v>
      </c>
      <c r="E255" t="s">
        <v>977</v>
      </c>
      <c r="F255" t="s">
        <v>967</v>
      </c>
      <c r="G255" t="s">
        <v>968</v>
      </c>
      <c r="H255" t="s">
        <v>969</v>
      </c>
      <c r="I255" t="s">
        <v>970</v>
      </c>
      <c r="J255" t="s">
        <v>971</v>
      </c>
      <c r="K255" t="s">
        <v>972</v>
      </c>
      <c r="L255">
        <v>14996.54</v>
      </c>
      <c r="M255">
        <f t="shared" si="3"/>
        <v>14996.54</v>
      </c>
    </row>
    <row r="256" spans="1:13" x14ac:dyDescent="0.25">
      <c r="A256" t="s">
        <v>448</v>
      </c>
      <c r="B256" t="s">
        <v>1691</v>
      </c>
      <c r="C256" t="s">
        <v>975</v>
      </c>
      <c r="D256" t="s">
        <v>1489</v>
      </c>
      <c r="E256" t="s">
        <v>977</v>
      </c>
      <c r="F256" t="s">
        <v>967</v>
      </c>
      <c r="G256" t="s">
        <v>968</v>
      </c>
      <c r="H256" t="s">
        <v>969</v>
      </c>
      <c r="I256" t="s">
        <v>970</v>
      </c>
      <c r="J256" t="s">
        <v>971</v>
      </c>
      <c r="K256" t="s">
        <v>972</v>
      </c>
      <c r="L256">
        <v>21074.9</v>
      </c>
      <c r="M256">
        <f t="shared" si="3"/>
        <v>21074.9</v>
      </c>
    </row>
    <row r="257" spans="1:13" x14ac:dyDescent="0.25">
      <c r="A257" t="s">
        <v>914</v>
      </c>
      <c r="B257" t="s">
        <v>2061</v>
      </c>
      <c r="C257" t="s">
        <v>975</v>
      </c>
      <c r="D257" t="s">
        <v>1489</v>
      </c>
      <c r="E257" t="s">
        <v>977</v>
      </c>
      <c r="F257" t="s">
        <v>967</v>
      </c>
      <c r="G257" t="s">
        <v>968</v>
      </c>
      <c r="H257" t="s">
        <v>969</v>
      </c>
      <c r="I257" t="s">
        <v>970</v>
      </c>
      <c r="J257" t="s">
        <v>971</v>
      </c>
      <c r="K257" t="s">
        <v>972</v>
      </c>
      <c r="L257">
        <v>6689.93</v>
      </c>
      <c r="M257">
        <f t="shared" si="3"/>
        <v>6689.93</v>
      </c>
    </row>
    <row r="258" spans="1:13" x14ac:dyDescent="0.25">
      <c r="A258" t="s">
        <v>56</v>
      </c>
      <c r="B258" t="s">
        <v>1710</v>
      </c>
      <c r="C258" t="s">
        <v>975</v>
      </c>
      <c r="D258" t="s">
        <v>1489</v>
      </c>
      <c r="E258" t="s">
        <v>977</v>
      </c>
      <c r="F258" t="s">
        <v>967</v>
      </c>
      <c r="G258" t="s">
        <v>968</v>
      </c>
      <c r="H258" t="s">
        <v>969</v>
      </c>
      <c r="I258" t="s">
        <v>970</v>
      </c>
      <c r="J258" t="s">
        <v>971</v>
      </c>
      <c r="K258" t="s">
        <v>972</v>
      </c>
      <c r="L258">
        <v>19506.11</v>
      </c>
      <c r="M258">
        <f t="shared" si="3"/>
        <v>77199.790000000008</v>
      </c>
    </row>
    <row r="259" spans="1:13" x14ac:dyDescent="0.25">
      <c r="A259" t="s">
        <v>755</v>
      </c>
      <c r="B259" t="s">
        <v>1909</v>
      </c>
      <c r="C259" t="s">
        <v>964</v>
      </c>
      <c r="D259" t="s">
        <v>1595</v>
      </c>
      <c r="E259" t="s">
        <v>977</v>
      </c>
      <c r="F259" t="s">
        <v>967</v>
      </c>
      <c r="G259" t="s">
        <v>968</v>
      </c>
      <c r="H259" t="s">
        <v>969</v>
      </c>
      <c r="I259" t="s">
        <v>970</v>
      </c>
      <c r="J259" t="s">
        <v>971</v>
      </c>
      <c r="K259" t="s">
        <v>972</v>
      </c>
      <c r="L259">
        <v>11370.58</v>
      </c>
      <c r="M259">
        <f t="shared" ref="M259:M322" si="4">+SUMIF(A:A,A259,L:L)</f>
        <v>77199.790000000008</v>
      </c>
    </row>
    <row r="260" spans="1:13" x14ac:dyDescent="0.25">
      <c r="A260" t="s">
        <v>755</v>
      </c>
      <c r="B260" t="s">
        <v>1910</v>
      </c>
      <c r="C260" t="s">
        <v>964</v>
      </c>
      <c r="D260" t="s">
        <v>1595</v>
      </c>
      <c r="E260" t="s">
        <v>977</v>
      </c>
      <c r="F260" t="s">
        <v>967</v>
      </c>
      <c r="G260" t="s">
        <v>968</v>
      </c>
      <c r="H260" t="s">
        <v>969</v>
      </c>
      <c r="I260" t="s">
        <v>970</v>
      </c>
      <c r="J260" t="s">
        <v>971</v>
      </c>
      <c r="K260" t="s">
        <v>972</v>
      </c>
      <c r="L260">
        <v>11370.58</v>
      </c>
      <c r="M260">
        <f t="shared" si="4"/>
        <v>77199.790000000008</v>
      </c>
    </row>
    <row r="261" spans="1:13" x14ac:dyDescent="0.25">
      <c r="A261" t="s">
        <v>755</v>
      </c>
      <c r="B261" t="s">
        <v>1911</v>
      </c>
      <c r="C261" t="s">
        <v>964</v>
      </c>
      <c r="D261" t="s">
        <v>1595</v>
      </c>
      <c r="E261" t="s">
        <v>977</v>
      </c>
      <c r="F261" t="s">
        <v>967</v>
      </c>
      <c r="G261" t="s">
        <v>968</v>
      </c>
      <c r="H261" t="s">
        <v>969</v>
      </c>
      <c r="I261" t="s">
        <v>970</v>
      </c>
      <c r="J261" t="s">
        <v>971</v>
      </c>
      <c r="K261" t="s">
        <v>972</v>
      </c>
      <c r="L261">
        <v>11370.58</v>
      </c>
      <c r="M261">
        <f t="shared" si="4"/>
        <v>77199.790000000008</v>
      </c>
    </row>
    <row r="262" spans="1:13" x14ac:dyDescent="0.25">
      <c r="A262" t="s">
        <v>755</v>
      </c>
      <c r="B262" t="s">
        <v>1912</v>
      </c>
      <c r="C262" t="s">
        <v>964</v>
      </c>
      <c r="D262" t="s">
        <v>1595</v>
      </c>
      <c r="E262" t="s">
        <v>977</v>
      </c>
      <c r="F262" t="s">
        <v>967</v>
      </c>
      <c r="G262" t="s">
        <v>968</v>
      </c>
      <c r="H262" t="s">
        <v>969</v>
      </c>
      <c r="I262" t="s">
        <v>970</v>
      </c>
      <c r="J262" t="s">
        <v>971</v>
      </c>
      <c r="K262" t="s">
        <v>972</v>
      </c>
      <c r="L262">
        <v>11370.58</v>
      </c>
      <c r="M262">
        <f t="shared" si="4"/>
        <v>77199.790000000008</v>
      </c>
    </row>
    <row r="263" spans="1:13" x14ac:dyDescent="0.25">
      <c r="A263" t="s">
        <v>755</v>
      </c>
      <c r="B263" t="s">
        <v>1913</v>
      </c>
      <c r="C263" t="s">
        <v>964</v>
      </c>
      <c r="D263" t="s">
        <v>1595</v>
      </c>
      <c r="E263" t="s">
        <v>977</v>
      </c>
      <c r="F263" t="s">
        <v>967</v>
      </c>
      <c r="G263" t="s">
        <v>968</v>
      </c>
      <c r="H263" t="s">
        <v>969</v>
      </c>
      <c r="I263" t="s">
        <v>970</v>
      </c>
      <c r="J263" t="s">
        <v>971</v>
      </c>
      <c r="K263" t="s">
        <v>972</v>
      </c>
      <c r="L263">
        <v>11370.58</v>
      </c>
      <c r="M263">
        <f t="shared" si="4"/>
        <v>77199.790000000008</v>
      </c>
    </row>
    <row r="264" spans="1:13" x14ac:dyDescent="0.25">
      <c r="A264" t="s">
        <v>576</v>
      </c>
      <c r="B264" t="s">
        <v>2399</v>
      </c>
      <c r="C264" t="s">
        <v>988</v>
      </c>
      <c r="D264" t="s">
        <v>1595</v>
      </c>
      <c r="E264" t="s">
        <v>977</v>
      </c>
      <c r="F264" t="s">
        <v>967</v>
      </c>
      <c r="G264" t="s">
        <v>968</v>
      </c>
      <c r="H264" t="s">
        <v>969</v>
      </c>
      <c r="I264" t="s">
        <v>970</v>
      </c>
      <c r="J264" t="s">
        <v>971</v>
      </c>
      <c r="K264" t="s">
        <v>972</v>
      </c>
      <c r="L264">
        <v>840.78</v>
      </c>
      <c r="M264">
        <f t="shared" si="4"/>
        <v>77199.790000000008</v>
      </c>
    </row>
    <row r="265" spans="1:13" x14ac:dyDescent="0.25">
      <c r="A265" t="s">
        <v>392</v>
      </c>
      <c r="B265" t="s">
        <v>1692</v>
      </c>
      <c r="C265" t="s">
        <v>975</v>
      </c>
      <c r="D265" t="s">
        <v>1489</v>
      </c>
      <c r="E265" t="s">
        <v>980</v>
      </c>
      <c r="F265" t="s">
        <v>967</v>
      </c>
      <c r="G265" t="s">
        <v>968</v>
      </c>
      <c r="H265" t="s">
        <v>969</v>
      </c>
      <c r="I265" t="s">
        <v>970</v>
      </c>
      <c r="J265" t="s">
        <v>971</v>
      </c>
      <c r="K265" t="s">
        <v>972</v>
      </c>
      <c r="L265">
        <v>20834.419999999998</v>
      </c>
      <c r="M265">
        <f t="shared" si="4"/>
        <v>20834.419999999998</v>
      </c>
    </row>
    <row r="266" spans="1:13" x14ac:dyDescent="0.25">
      <c r="A266" t="s">
        <v>265</v>
      </c>
      <c r="B266" t="s">
        <v>2054</v>
      </c>
      <c r="C266" t="s">
        <v>975</v>
      </c>
      <c r="D266" t="s">
        <v>1829</v>
      </c>
      <c r="E266" t="s">
        <v>980</v>
      </c>
      <c r="F266" t="s">
        <v>967</v>
      </c>
      <c r="G266" t="s">
        <v>968</v>
      </c>
      <c r="H266" t="s">
        <v>969</v>
      </c>
      <c r="I266" t="s">
        <v>970</v>
      </c>
      <c r="J266" t="s">
        <v>971</v>
      </c>
      <c r="K266" t="s">
        <v>972</v>
      </c>
      <c r="L266">
        <v>7040.98</v>
      </c>
      <c r="M266">
        <f t="shared" si="4"/>
        <v>7040.98</v>
      </c>
    </row>
    <row r="267" spans="1:13" x14ac:dyDescent="0.25">
      <c r="A267" t="s">
        <v>398</v>
      </c>
      <c r="B267" t="s">
        <v>2520</v>
      </c>
      <c r="C267" t="s">
        <v>982</v>
      </c>
      <c r="D267" t="s">
        <v>1954</v>
      </c>
      <c r="E267" t="s">
        <v>977</v>
      </c>
      <c r="F267" t="s">
        <v>967</v>
      </c>
      <c r="G267" t="s">
        <v>968</v>
      </c>
      <c r="H267" t="s">
        <v>969</v>
      </c>
      <c r="I267" t="s">
        <v>970</v>
      </c>
      <c r="J267" t="s">
        <v>971</v>
      </c>
      <c r="K267" t="s">
        <v>972</v>
      </c>
      <c r="L267">
        <v>120.1</v>
      </c>
      <c r="M267">
        <f t="shared" si="4"/>
        <v>120.1</v>
      </c>
    </row>
    <row r="268" spans="1:13" x14ac:dyDescent="0.25">
      <c r="A268" t="s">
        <v>691</v>
      </c>
      <c r="B268" t="s">
        <v>1828</v>
      </c>
      <c r="C268" t="s">
        <v>975</v>
      </c>
      <c r="D268" t="s">
        <v>1829</v>
      </c>
      <c r="E268" t="s">
        <v>1799</v>
      </c>
      <c r="F268" t="s">
        <v>967</v>
      </c>
      <c r="G268" t="s">
        <v>968</v>
      </c>
      <c r="H268" t="s">
        <v>969</v>
      </c>
      <c r="I268" t="s">
        <v>970</v>
      </c>
      <c r="J268" t="s">
        <v>971</v>
      </c>
      <c r="K268" t="s">
        <v>972</v>
      </c>
      <c r="L268">
        <v>15526.79</v>
      </c>
      <c r="M268">
        <f t="shared" si="4"/>
        <v>62107.16</v>
      </c>
    </row>
    <row r="269" spans="1:13" x14ac:dyDescent="0.25">
      <c r="A269" t="s">
        <v>691</v>
      </c>
      <c r="B269" t="s">
        <v>1830</v>
      </c>
      <c r="C269" t="s">
        <v>975</v>
      </c>
      <c r="D269" t="s">
        <v>1829</v>
      </c>
      <c r="E269" t="s">
        <v>1799</v>
      </c>
      <c r="F269" t="s">
        <v>967</v>
      </c>
      <c r="G269" t="s">
        <v>968</v>
      </c>
      <c r="H269" t="s">
        <v>969</v>
      </c>
      <c r="I269" t="s">
        <v>970</v>
      </c>
      <c r="J269" t="s">
        <v>971</v>
      </c>
      <c r="K269" t="s">
        <v>972</v>
      </c>
      <c r="L269">
        <v>15526.79</v>
      </c>
      <c r="M269">
        <f t="shared" si="4"/>
        <v>62107.16</v>
      </c>
    </row>
    <row r="270" spans="1:13" x14ac:dyDescent="0.25">
      <c r="A270" t="s">
        <v>691</v>
      </c>
      <c r="B270" t="s">
        <v>1831</v>
      </c>
      <c r="C270" t="s">
        <v>975</v>
      </c>
      <c r="D270" t="s">
        <v>1829</v>
      </c>
      <c r="E270" t="s">
        <v>1799</v>
      </c>
      <c r="F270" t="s">
        <v>967</v>
      </c>
      <c r="G270" t="s">
        <v>968</v>
      </c>
      <c r="H270" t="s">
        <v>969</v>
      </c>
      <c r="I270" t="s">
        <v>970</v>
      </c>
      <c r="J270" t="s">
        <v>971</v>
      </c>
      <c r="K270" t="s">
        <v>972</v>
      </c>
      <c r="L270">
        <v>15526.79</v>
      </c>
      <c r="M270">
        <f t="shared" si="4"/>
        <v>62107.16</v>
      </c>
    </row>
    <row r="271" spans="1:13" x14ac:dyDescent="0.25">
      <c r="A271" t="s">
        <v>691</v>
      </c>
      <c r="B271" t="s">
        <v>1832</v>
      </c>
      <c r="C271" t="s">
        <v>975</v>
      </c>
      <c r="D271" t="s">
        <v>1829</v>
      </c>
      <c r="E271" t="s">
        <v>1799</v>
      </c>
      <c r="F271" t="s">
        <v>967</v>
      </c>
      <c r="G271" t="s">
        <v>968</v>
      </c>
      <c r="H271" t="s">
        <v>969</v>
      </c>
      <c r="I271" t="s">
        <v>970</v>
      </c>
      <c r="J271" t="s">
        <v>971</v>
      </c>
      <c r="K271" t="s">
        <v>972</v>
      </c>
      <c r="L271">
        <v>15526.79</v>
      </c>
      <c r="M271">
        <f t="shared" si="4"/>
        <v>62107.16</v>
      </c>
    </row>
    <row r="272" spans="1:13" x14ac:dyDescent="0.25">
      <c r="A272" t="s">
        <v>147</v>
      </c>
      <c r="B272" t="s">
        <v>1849</v>
      </c>
      <c r="C272" t="s">
        <v>975</v>
      </c>
      <c r="D272" t="s">
        <v>1724</v>
      </c>
      <c r="E272" t="s">
        <v>977</v>
      </c>
      <c r="F272" t="s">
        <v>967</v>
      </c>
      <c r="G272" t="s">
        <v>968</v>
      </c>
      <c r="H272" t="s">
        <v>969</v>
      </c>
      <c r="I272" t="s">
        <v>970</v>
      </c>
      <c r="J272" t="s">
        <v>971</v>
      </c>
      <c r="K272" t="s">
        <v>972</v>
      </c>
      <c r="L272">
        <v>14392.28</v>
      </c>
      <c r="M272">
        <f t="shared" si="4"/>
        <v>57569.120000000003</v>
      </c>
    </row>
    <row r="273" spans="1:13" x14ac:dyDescent="0.25">
      <c r="A273" t="s">
        <v>147</v>
      </c>
      <c r="B273" t="s">
        <v>1850</v>
      </c>
      <c r="C273" t="s">
        <v>975</v>
      </c>
      <c r="D273" t="s">
        <v>1724</v>
      </c>
      <c r="E273" t="s">
        <v>977</v>
      </c>
      <c r="F273" t="s">
        <v>967</v>
      </c>
      <c r="G273" t="s">
        <v>968</v>
      </c>
      <c r="H273" t="s">
        <v>969</v>
      </c>
      <c r="I273" t="s">
        <v>970</v>
      </c>
      <c r="J273" t="s">
        <v>971</v>
      </c>
      <c r="K273" t="s">
        <v>972</v>
      </c>
      <c r="L273">
        <v>14392.28</v>
      </c>
      <c r="M273">
        <f t="shared" si="4"/>
        <v>57569.120000000003</v>
      </c>
    </row>
    <row r="274" spans="1:13" x14ac:dyDescent="0.25">
      <c r="A274" t="s">
        <v>147</v>
      </c>
      <c r="B274" t="s">
        <v>1851</v>
      </c>
      <c r="C274" t="s">
        <v>975</v>
      </c>
      <c r="D274" t="s">
        <v>1724</v>
      </c>
      <c r="E274" t="s">
        <v>977</v>
      </c>
      <c r="F274" t="s">
        <v>967</v>
      </c>
      <c r="G274" t="s">
        <v>968</v>
      </c>
      <c r="H274" t="s">
        <v>969</v>
      </c>
      <c r="I274" t="s">
        <v>970</v>
      </c>
      <c r="J274" t="s">
        <v>971</v>
      </c>
      <c r="K274" t="s">
        <v>972</v>
      </c>
      <c r="L274">
        <v>14392.28</v>
      </c>
      <c r="M274">
        <f t="shared" si="4"/>
        <v>57569.120000000003</v>
      </c>
    </row>
    <row r="275" spans="1:13" x14ac:dyDescent="0.25">
      <c r="A275" t="s">
        <v>147</v>
      </c>
      <c r="B275" t="s">
        <v>1852</v>
      </c>
      <c r="C275" t="s">
        <v>975</v>
      </c>
      <c r="D275" t="s">
        <v>1724</v>
      </c>
      <c r="E275" t="s">
        <v>977</v>
      </c>
      <c r="F275" t="s">
        <v>967</v>
      </c>
      <c r="G275" t="s">
        <v>968</v>
      </c>
      <c r="H275" t="s">
        <v>969</v>
      </c>
      <c r="I275" t="s">
        <v>970</v>
      </c>
      <c r="J275" t="s">
        <v>971</v>
      </c>
      <c r="K275" t="s">
        <v>972</v>
      </c>
      <c r="L275">
        <v>14392.28</v>
      </c>
      <c r="M275">
        <f t="shared" si="4"/>
        <v>57569.120000000003</v>
      </c>
    </row>
    <row r="276" spans="1:13" x14ac:dyDescent="0.25">
      <c r="A276" t="s">
        <v>324</v>
      </c>
      <c r="B276" t="s">
        <v>992</v>
      </c>
      <c r="C276" t="s">
        <v>975</v>
      </c>
      <c r="D276" t="s">
        <v>993</v>
      </c>
      <c r="E276" t="s">
        <v>966</v>
      </c>
      <c r="F276" t="s">
        <v>967</v>
      </c>
      <c r="G276" t="s">
        <v>968</v>
      </c>
      <c r="H276" t="s">
        <v>969</v>
      </c>
      <c r="I276" t="s">
        <v>970</v>
      </c>
      <c r="J276" t="s">
        <v>971</v>
      </c>
      <c r="K276" t="s">
        <v>972</v>
      </c>
      <c r="L276">
        <v>1102</v>
      </c>
      <c r="M276">
        <f t="shared" si="4"/>
        <v>6612</v>
      </c>
    </row>
    <row r="277" spans="1:13" x14ac:dyDescent="0.25">
      <c r="A277" t="s">
        <v>324</v>
      </c>
      <c r="B277" t="s">
        <v>994</v>
      </c>
      <c r="C277" t="s">
        <v>975</v>
      </c>
      <c r="D277" t="s">
        <v>993</v>
      </c>
      <c r="E277" t="s">
        <v>966</v>
      </c>
      <c r="F277" t="s">
        <v>967</v>
      </c>
      <c r="G277" t="s">
        <v>968</v>
      </c>
      <c r="H277" t="s">
        <v>969</v>
      </c>
      <c r="I277" t="s">
        <v>970</v>
      </c>
      <c r="J277" t="s">
        <v>971</v>
      </c>
      <c r="K277" t="s">
        <v>972</v>
      </c>
      <c r="L277">
        <v>1102</v>
      </c>
      <c r="M277">
        <f t="shared" si="4"/>
        <v>6612</v>
      </c>
    </row>
    <row r="278" spans="1:13" x14ac:dyDescent="0.25">
      <c r="A278" t="s">
        <v>324</v>
      </c>
      <c r="B278" t="s">
        <v>995</v>
      </c>
      <c r="C278" t="s">
        <v>975</v>
      </c>
      <c r="D278" t="s">
        <v>993</v>
      </c>
      <c r="E278" t="s">
        <v>966</v>
      </c>
      <c r="F278" t="s">
        <v>967</v>
      </c>
      <c r="G278" t="s">
        <v>968</v>
      </c>
      <c r="H278" t="s">
        <v>969</v>
      </c>
      <c r="I278" t="s">
        <v>970</v>
      </c>
      <c r="J278" t="s">
        <v>971</v>
      </c>
      <c r="K278" t="s">
        <v>972</v>
      </c>
      <c r="L278">
        <v>1102</v>
      </c>
      <c r="M278">
        <f t="shared" si="4"/>
        <v>6612</v>
      </c>
    </row>
    <row r="279" spans="1:13" x14ac:dyDescent="0.25">
      <c r="A279" t="s">
        <v>324</v>
      </c>
      <c r="B279" t="s">
        <v>996</v>
      </c>
      <c r="C279" t="s">
        <v>975</v>
      </c>
      <c r="D279" t="s">
        <v>993</v>
      </c>
      <c r="E279" t="s">
        <v>966</v>
      </c>
      <c r="F279" t="s">
        <v>967</v>
      </c>
      <c r="G279" t="s">
        <v>968</v>
      </c>
      <c r="H279" t="s">
        <v>969</v>
      </c>
      <c r="I279" t="s">
        <v>970</v>
      </c>
      <c r="J279" t="s">
        <v>971</v>
      </c>
      <c r="K279" t="s">
        <v>972</v>
      </c>
      <c r="L279">
        <v>1102</v>
      </c>
      <c r="M279">
        <f t="shared" si="4"/>
        <v>6612</v>
      </c>
    </row>
    <row r="280" spans="1:13" x14ac:dyDescent="0.25">
      <c r="A280" t="s">
        <v>324</v>
      </c>
      <c r="B280" t="s">
        <v>2359</v>
      </c>
      <c r="C280" t="s">
        <v>975</v>
      </c>
      <c r="D280" t="s">
        <v>993</v>
      </c>
      <c r="E280" t="s">
        <v>966</v>
      </c>
      <c r="F280" t="s">
        <v>967</v>
      </c>
      <c r="G280" t="s">
        <v>968</v>
      </c>
      <c r="H280" t="s">
        <v>969</v>
      </c>
      <c r="I280" t="s">
        <v>970</v>
      </c>
      <c r="J280" t="s">
        <v>971</v>
      </c>
      <c r="K280" t="s">
        <v>972</v>
      </c>
      <c r="L280">
        <v>1102</v>
      </c>
      <c r="M280">
        <f t="shared" si="4"/>
        <v>6612</v>
      </c>
    </row>
    <row r="281" spans="1:13" x14ac:dyDescent="0.25">
      <c r="A281" t="s">
        <v>324</v>
      </c>
      <c r="B281" t="s">
        <v>2360</v>
      </c>
      <c r="C281" t="s">
        <v>975</v>
      </c>
      <c r="D281" t="s">
        <v>993</v>
      </c>
      <c r="E281" t="s">
        <v>966</v>
      </c>
      <c r="F281" t="s">
        <v>967</v>
      </c>
      <c r="G281" t="s">
        <v>968</v>
      </c>
      <c r="H281" t="s">
        <v>969</v>
      </c>
      <c r="I281" t="s">
        <v>970</v>
      </c>
      <c r="J281" t="s">
        <v>971</v>
      </c>
      <c r="K281" t="s">
        <v>972</v>
      </c>
      <c r="L281">
        <v>1102</v>
      </c>
      <c r="M281">
        <f t="shared" si="4"/>
        <v>6612</v>
      </c>
    </row>
    <row r="282" spans="1:13" x14ac:dyDescent="0.25">
      <c r="A282" t="s">
        <v>17</v>
      </c>
      <c r="B282" t="s">
        <v>2474</v>
      </c>
      <c r="C282" t="s">
        <v>988</v>
      </c>
      <c r="D282" t="s">
        <v>2334</v>
      </c>
      <c r="E282" t="s">
        <v>977</v>
      </c>
      <c r="F282" t="s">
        <v>967</v>
      </c>
      <c r="G282" t="s">
        <v>968</v>
      </c>
      <c r="H282" t="s">
        <v>969</v>
      </c>
      <c r="I282" t="s">
        <v>970</v>
      </c>
      <c r="J282" t="s">
        <v>971</v>
      </c>
      <c r="K282" t="s">
        <v>972</v>
      </c>
      <c r="L282">
        <v>365.96</v>
      </c>
      <c r="M282">
        <f t="shared" si="4"/>
        <v>365.96</v>
      </c>
    </row>
    <row r="283" spans="1:13" x14ac:dyDescent="0.25">
      <c r="A283" t="s">
        <v>534</v>
      </c>
      <c r="B283" t="s">
        <v>2528</v>
      </c>
      <c r="C283" t="s">
        <v>988</v>
      </c>
      <c r="D283" t="s">
        <v>2346</v>
      </c>
      <c r="E283" t="s">
        <v>980</v>
      </c>
      <c r="F283" t="s">
        <v>967</v>
      </c>
      <c r="G283" t="s">
        <v>968</v>
      </c>
      <c r="H283" t="s">
        <v>969</v>
      </c>
      <c r="I283" t="s">
        <v>970</v>
      </c>
      <c r="J283" t="s">
        <v>971</v>
      </c>
      <c r="K283" t="s">
        <v>972</v>
      </c>
      <c r="L283">
        <v>42.13</v>
      </c>
      <c r="M283">
        <f t="shared" si="4"/>
        <v>84.17</v>
      </c>
    </row>
    <row r="284" spans="1:13" x14ac:dyDescent="0.25">
      <c r="A284" t="s">
        <v>160</v>
      </c>
      <c r="B284" t="s">
        <v>2530</v>
      </c>
      <c r="C284" t="s">
        <v>988</v>
      </c>
      <c r="D284" t="s">
        <v>993</v>
      </c>
      <c r="E284" t="s">
        <v>980</v>
      </c>
      <c r="F284" t="s">
        <v>967</v>
      </c>
      <c r="G284" t="s">
        <v>968</v>
      </c>
      <c r="H284" t="s">
        <v>969</v>
      </c>
      <c r="I284" t="s">
        <v>970</v>
      </c>
      <c r="J284" t="s">
        <v>971</v>
      </c>
      <c r="K284" t="s">
        <v>972</v>
      </c>
      <c r="L284">
        <v>42.04</v>
      </c>
      <c r="M284">
        <f t="shared" si="4"/>
        <v>84.17</v>
      </c>
    </row>
    <row r="285" spans="1:13" x14ac:dyDescent="0.25">
      <c r="A285" t="s">
        <v>580</v>
      </c>
      <c r="B285" t="s">
        <v>2202</v>
      </c>
      <c r="C285" t="s">
        <v>964</v>
      </c>
      <c r="D285" t="s">
        <v>2123</v>
      </c>
      <c r="E285" t="s">
        <v>977</v>
      </c>
      <c r="F285" t="s">
        <v>967</v>
      </c>
      <c r="G285" t="s">
        <v>968</v>
      </c>
      <c r="H285" t="s">
        <v>969</v>
      </c>
      <c r="I285" t="s">
        <v>970</v>
      </c>
      <c r="J285" t="s">
        <v>971</v>
      </c>
      <c r="K285" t="s">
        <v>972</v>
      </c>
      <c r="L285">
        <v>2876.23</v>
      </c>
      <c r="M285">
        <f t="shared" si="4"/>
        <v>2876.23</v>
      </c>
    </row>
    <row r="286" spans="1:13" x14ac:dyDescent="0.25">
      <c r="A286" t="s">
        <v>210</v>
      </c>
      <c r="B286" t="s">
        <v>2531</v>
      </c>
      <c r="C286" t="s">
        <v>988</v>
      </c>
      <c r="D286" t="s">
        <v>993</v>
      </c>
      <c r="E286" t="s">
        <v>980</v>
      </c>
      <c r="F286" t="s">
        <v>967</v>
      </c>
      <c r="G286" t="s">
        <v>968</v>
      </c>
      <c r="H286" t="s">
        <v>969</v>
      </c>
      <c r="I286" t="s">
        <v>970</v>
      </c>
      <c r="J286" t="s">
        <v>971</v>
      </c>
      <c r="K286" t="s">
        <v>972</v>
      </c>
      <c r="L286">
        <v>42.04</v>
      </c>
      <c r="M286">
        <f t="shared" si="4"/>
        <v>9071.73</v>
      </c>
    </row>
    <row r="287" spans="1:13" x14ac:dyDescent="0.25">
      <c r="A287" t="s">
        <v>658</v>
      </c>
      <c r="B287" t="s">
        <v>2533</v>
      </c>
      <c r="C287" t="s">
        <v>988</v>
      </c>
      <c r="D287" t="s">
        <v>993</v>
      </c>
      <c r="E287" t="s">
        <v>980</v>
      </c>
      <c r="F287" t="s">
        <v>967</v>
      </c>
      <c r="G287" t="s">
        <v>968</v>
      </c>
      <c r="H287" t="s">
        <v>969</v>
      </c>
      <c r="I287" t="s">
        <v>970</v>
      </c>
      <c r="J287" t="s">
        <v>971</v>
      </c>
      <c r="K287" t="s">
        <v>972</v>
      </c>
      <c r="L287">
        <v>42.04</v>
      </c>
      <c r="M287">
        <f t="shared" si="4"/>
        <v>9071.73</v>
      </c>
    </row>
    <row r="288" spans="1:13" x14ac:dyDescent="0.25">
      <c r="A288" t="s">
        <v>293</v>
      </c>
      <c r="B288" t="s">
        <v>2532</v>
      </c>
      <c r="C288" t="s">
        <v>988</v>
      </c>
      <c r="D288" t="s">
        <v>993</v>
      </c>
      <c r="E288" t="s">
        <v>980</v>
      </c>
      <c r="F288" t="s">
        <v>967</v>
      </c>
      <c r="G288" t="s">
        <v>968</v>
      </c>
      <c r="H288" t="s">
        <v>969</v>
      </c>
      <c r="I288" t="s">
        <v>970</v>
      </c>
      <c r="J288" t="s">
        <v>971</v>
      </c>
      <c r="K288" t="s">
        <v>972</v>
      </c>
      <c r="L288">
        <v>42.04</v>
      </c>
      <c r="M288">
        <f t="shared" si="4"/>
        <v>9071.73</v>
      </c>
    </row>
    <row r="289" spans="1:13" x14ac:dyDescent="0.25">
      <c r="A289" t="s">
        <v>411</v>
      </c>
      <c r="B289" t="s">
        <v>2203</v>
      </c>
      <c r="C289" t="s">
        <v>975</v>
      </c>
      <c r="D289" t="s">
        <v>2123</v>
      </c>
      <c r="E289" t="s">
        <v>977</v>
      </c>
      <c r="F289" t="s">
        <v>967</v>
      </c>
      <c r="G289" t="s">
        <v>968</v>
      </c>
      <c r="H289" t="s">
        <v>969</v>
      </c>
      <c r="I289" t="s">
        <v>970</v>
      </c>
      <c r="J289" t="s">
        <v>971</v>
      </c>
      <c r="K289" t="s">
        <v>972</v>
      </c>
      <c r="L289">
        <v>2867.25</v>
      </c>
      <c r="M289">
        <f t="shared" si="4"/>
        <v>9071.73</v>
      </c>
    </row>
    <row r="290" spans="1:13" x14ac:dyDescent="0.25">
      <c r="A290" t="s">
        <v>352</v>
      </c>
      <c r="B290" t="s">
        <v>2176</v>
      </c>
      <c r="C290" t="s">
        <v>964</v>
      </c>
      <c r="D290" t="s">
        <v>1954</v>
      </c>
      <c r="E290" t="s">
        <v>977</v>
      </c>
      <c r="F290" t="s">
        <v>967</v>
      </c>
      <c r="G290" t="s">
        <v>968</v>
      </c>
      <c r="H290" t="s">
        <v>969</v>
      </c>
      <c r="I290" t="s">
        <v>970</v>
      </c>
      <c r="J290" t="s">
        <v>971</v>
      </c>
      <c r="K290" t="s">
        <v>972</v>
      </c>
      <c r="L290">
        <v>3039.18</v>
      </c>
      <c r="M290">
        <f t="shared" si="4"/>
        <v>9071.73</v>
      </c>
    </row>
    <row r="291" spans="1:13" x14ac:dyDescent="0.25">
      <c r="A291" t="s">
        <v>352</v>
      </c>
      <c r="B291" t="s">
        <v>2177</v>
      </c>
      <c r="C291" t="s">
        <v>975</v>
      </c>
      <c r="D291" t="s">
        <v>1954</v>
      </c>
      <c r="E291" t="s">
        <v>977</v>
      </c>
      <c r="F291" t="s">
        <v>967</v>
      </c>
      <c r="G291" t="s">
        <v>968</v>
      </c>
      <c r="H291" t="s">
        <v>969</v>
      </c>
      <c r="I291" t="s">
        <v>970</v>
      </c>
      <c r="J291" t="s">
        <v>971</v>
      </c>
      <c r="K291" t="s">
        <v>972</v>
      </c>
      <c r="L291">
        <v>3039.18</v>
      </c>
      <c r="M291">
        <f t="shared" si="4"/>
        <v>9071.73</v>
      </c>
    </row>
    <row r="292" spans="1:13" x14ac:dyDescent="0.25">
      <c r="A292" t="s">
        <v>194</v>
      </c>
      <c r="B292" t="s">
        <v>2345</v>
      </c>
      <c r="C292" t="s">
        <v>975</v>
      </c>
      <c r="D292" t="s">
        <v>2346</v>
      </c>
      <c r="E292" t="s">
        <v>980</v>
      </c>
      <c r="F292" t="s">
        <v>967</v>
      </c>
      <c r="G292" t="s">
        <v>968</v>
      </c>
      <c r="H292" t="s">
        <v>969</v>
      </c>
      <c r="I292" t="s">
        <v>970</v>
      </c>
      <c r="J292" t="s">
        <v>971</v>
      </c>
      <c r="K292" t="s">
        <v>972</v>
      </c>
      <c r="L292">
        <v>1103.99</v>
      </c>
      <c r="M292">
        <f t="shared" si="4"/>
        <v>11314.140000000001</v>
      </c>
    </row>
    <row r="293" spans="1:13" x14ac:dyDescent="0.25">
      <c r="A293" t="s">
        <v>870</v>
      </c>
      <c r="B293" t="s">
        <v>2537</v>
      </c>
      <c r="C293" t="s">
        <v>2171</v>
      </c>
      <c r="D293" t="s">
        <v>993</v>
      </c>
      <c r="E293" t="s">
        <v>977</v>
      </c>
      <c r="F293" t="s">
        <v>967</v>
      </c>
      <c r="G293" t="s">
        <v>968</v>
      </c>
      <c r="H293" t="s">
        <v>969</v>
      </c>
      <c r="I293" t="s">
        <v>970</v>
      </c>
      <c r="J293" t="s">
        <v>971</v>
      </c>
      <c r="K293" t="s">
        <v>972</v>
      </c>
      <c r="L293">
        <v>0.12</v>
      </c>
      <c r="M293">
        <f t="shared" si="4"/>
        <v>11314.140000000001</v>
      </c>
    </row>
    <row r="294" spans="1:13" x14ac:dyDescent="0.25">
      <c r="A294" t="s">
        <v>590</v>
      </c>
      <c r="B294" t="s">
        <v>1953</v>
      </c>
      <c r="C294" t="s">
        <v>975</v>
      </c>
      <c r="D294" t="s">
        <v>1954</v>
      </c>
      <c r="E294" t="s">
        <v>980</v>
      </c>
      <c r="F294" t="s">
        <v>967</v>
      </c>
      <c r="G294" t="s">
        <v>968</v>
      </c>
      <c r="H294" t="s">
        <v>969</v>
      </c>
      <c r="I294" t="s">
        <v>970</v>
      </c>
      <c r="J294" t="s">
        <v>971</v>
      </c>
      <c r="K294" t="s">
        <v>972</v>
      </c>
      <c r="L294">
        <v>10210.030000000001</v>
      </c>
      <c r="M294">
        <f t="shared" si="4"/>
        <v>11314.140000000001</v>
      </c>
    </row>
    <row r="295" spans="1:13" x14ac:dyDescent="0.25">
      <c r="A295" t="s">
        <v>695</v>
      </c>
      <c r="B295" t="s">
        <v>2364</v>
      </c>
      <c r="C295" t="s">
        <v>975</v>
      </c>
      <c r="D295" t="s">
        <v>993</v>
      </c>
      <c r="E295" t="s">
        <v>980</v>
      </c>
      <c r="F295" t="s">
        <v>967</v>
      </c>
      <c r="G295" t="s">
        <v>968</v>
      </c>
      <c r="H295" t="s">
        <v>969</v>
      </c>
      <c r="I295" t="s">
        <v>970</v>
      </c>
      <c r="J295" t="s">
        <v>971</v>
      </c>
      <c r="K295" t="s">
        <v>972</v>
      </c>
      <c r="L295">
        <v>1101.8</v>
      </c>
      <c r="M295">
        <f t="shared" si="4"/>
        <v>1101.8</v>
      </c>
    </row>
    <row r="296" spans="1:13" x14ac:dyDescent="0.25">
      <c r="A296" t="s">
        <v>948</v>
      </c>
      <c r="B296" t="s">
        <v>2245</v>
      </c>
      <c r="C296" t="s">
        <v>964</v>
      </c>
      <c r="D296" t="s">
        <v>2063</v>
      </c>
      <c r="E296" t="s">
        <v>977</v>
      </c>
      <c r="F296" t="s">
        <v>967</v>
      </c>
      <c r="G296" t="s">
        <v>968</v>
      </c>
      <c r="H296" t="s">
        <v>969</v>
      </c>
      <c r="I296" t="s">
        <v>970</v>
      </c>
      <c r="J296" t="s">
        <v>971</v>
      </c>
      <c r="K296" t="s">
        <v>972</v>
      </c>
      <c r="L296">
        <v>2076.0500000000002</v>
      </c>
      <c r="M296">
        <f t="shared" si="4"/>
        <v>10268.459999999999</v>
      </c>
    </row>
    <row r="297" spans="1:13" x14ac:dyDescent="0.25">
      <c r="A297" t="s">
        <v>77</v>
      </c>
      <c r="B297" t="s">
        <v>2161</v>
      </c>
      <c r="C297" t="s">
        <v>964</v>
      </c>
      <c r="D297" t="s">
        <v>2162</v>
      </c>
      <c r="E297" t="s">
        <v>977</v>
      </c>
      <c r="F297" t="s">
        <v>967</v>
      </c>
      <c r="G297" t="s">
        <v>968</v>
      </c>
      <c r="H297" t="s">
        <v>969</v>
      </c>
      <c r="I297" t="s">
        <v>970</v>
      </c>
      <c r="J297" t="s">
        <v>971</v>
      </c>
      <c r="K297" t="s">
        <v>972</v>
      </c>
      <c r="L297">
        <v>3597.94</v>
      </c>
      <c r="M297">
        <f t="shared" si="4"/>
        <v>10268.459999999999</v>
      </c>
    </row>
    <row r="298" spans="1:13" x14ac:dyDescent="0.25">
      <c r="A298" t="s">
        <v>569</v>
      </c>
      <c r="B298" t="s">
        <v>2122</v>
      </c>
      <c r="C298" t="s">
        <v>964</v>
      </c>
      <c r="D298" t="s">
        <v>2123</v>
      </c>
      <c r="E298" t="s">
        <v>977</v>
      </c>
      <c r="F298" t="s">
        <v>967</v>
      </c>
      <c r="G298" t="s">
        <v>968</v>
      </c>
      <c r="H298" t="s">
        <v>969</v>
      </c>
      <c r="I298" t="s">
        <v>970</v>
      </c>
      <c r="J298" t="s">
        <v>971</v>
      </c>
      <c r="K298" t="s">
        <v>972</v>
      </c>
      <c r="L298">
        <v>4594.47</v>
      </c>
      <c r="M298">
        <f t="shared" si="4"/>
        <v>10268.459999999999</v>
      </c>
    </row>
    <row r="299" spans="1:13" x14ac:dyDescent="0.25">
      <c r="A299" t="s">
        <v>188</v>
      </c>
      <c r="B299" t="s">
        <v>2089</v>
      </c>
      <c r="C299" t="s">
        <v>964</v>
      </c>
      <c r="D299" t="s">
        <v>2013</v>
      </c>
      <c r="E299" t="s">
        <v>977</v>
      </c>
      <c r="F299" t="s">
        <v>967</v>
      </c>
      <c r="G299" t="s">
        <v>968</v>
      </c>
      <c r="H299" t="s">
        <v>969</v>
      </c>
      <c r="I299" t="s">
        <v>970</v>
      </c>
      <c r="J299" t="s">
        <v>971</v>
      </c>
      <c r="K299" t="s">
        <v>972</v>
      </c>
      <c r="L299">
        <v>5405.45</v>
      </c>
      <c r="M299">
        <f t="shared" si="4"/>
        <v>11737.619999999999</v>
      </c>
    </row>
    <row r="300" spans="1:13" x14ac:dyDescent="0.25">
      <c r="A300" t="s">
        <v>120</v>
      </c>
      <c r="B300" t="s">
        <v>2062</v>
      </c>
      <c r="C300" t="s">
        <v>964</v>
      </c>
      <c r="D300" t="s">
        <v>2063</v>
      </c>
      <c r="E300" t="s">
        <v>980</v>
      </c>
      <c r="F300" t="s">
        <v>967</v>
      </c>
      <c r="G300" t="s">
        <v>968</v>
      </c>
      <c r="H300" t="s">
        <v>969</v>
      </c>
      <c r="I300" t="s">
        <v>970</v>
      </c>
      <c r="J300" t="s">
        <v>971</v>
      </c>
      <c r="K300" t="s">
        <v>972</v>
      </c>
      <c r="L300">
        <v>6332.17</v>
      </c>
      <c r="M300">
        <f t="shared" si="4"/>
        <v>11737.619999999999</v>
      </c>
    </row>
    <row r="301" spans="1:13" x14ac:dyDescent="0.25">
      <c r="A301" t="s">
        <v>431</v>
      </c>
      <c r="B301" t="s">
        <v>2248</v>
      </c>
      <c r="C301" t="s">
        <v>975</v>
      </c>
      <c r="D301" t="s">
        <v>2063</v>
      </c>
      <c r="E301" t="s">
        <v>977</v>
      </c>
      <c r="F301" t="s">
        <v>967</v>
      </c>
      <c r="G301" t="s">
        <v>968</v>
      </c>
      <c r="H301" t="s">
        <v>969</v>
      </c>
      <c r="I301" t="s">
        <v>970</v>
      </c>
      <c r="J301" t="s">
        <v>971</v>
      </c>
      <c r="K301" t="s">
        <v>972</v>
      </c>
      <c r="L301">
        <v>2037.1</v>
      </c>
      <c r="M301">
        <f t="shared" si="4"/>
        <v>2037.1</v>
      </c>
    </row>
    <row r="302" spans="1:13" x14ac:dyDescent="0.25">
      <c r="A302" t="s">
        <v>166</v>
      </c>
      <c r="B302" t="s">
        <v>2117</v>
      </c>
      <c r="C302" t="s">
        <v>975</v>
      </c>
      <c r="D302" t="s">
        <v>2013</v>
      </c>
      <c r="E302" t="s">
        <v>977</v>
      </c>
      <c r="F302" t="s">
        <v>967</v>
      </c>
      <c r="G302" t="s">
        <v>968</v>
      </c>
      <c r="H302" t="s">
        <v>969</v>
      </c>
      <c r="I302" t="s">
        <v>970</v>
      </c>
      <c r="J302" t="s">
        <v>971</v>
      </c>
      <c r="K302" t="s">
        <v>972</v>
      </c>
      <c r="L302">
        <v>4707.72</v>
      </c>
      <c r="M302">
        <f t="shared" si="4"/>
        <v>8267.9500000000007</v>
      </c>
    </row>
    <row r="303" spans="1:13" x14ac:dyDescent="0.25">
      <c r="A303" t="s">
        <v>180</v>
      </c>
      <c r="B303" t="s">
        <v>2163</v>
      </c>
      <c r="C303" t="s">
        <v>975</v>
      </c>
      <c r="D303" t="s">
        <v>1954</v>
      </c>
      <c r="E303" t="s">
        <v>966</v>
      </c>
      <c r="F303" t="s">
        <v>967</v>
      </c>
      <c r="G303" t="s">
        <v>968</v>
      </c>
      <c r="H303" t="s">
        <v>969</v>
      </c>
      <c r="I303" t="s">
        <v>970</v>
      </c>
      <c r="J303" t="s">
        <v>971</v>
      </c>
      <c r="K303" t="s">
        <v>972</v>
      </c>
      <c r="L303">
        <v>3560.23</v>
      </c>
      <c r="M303">
        <f t="shared" si="4"/>
        <v>8267.9500000000007</v>
      </c>
    </row>
    <row r="304" spans="1:13" x14ac:dyDescent="0.25">
      <c r="A304" t="s">
        <v>284</v>
      </c>
      <c r="B304" t="s">
        <v>2015</v>
      </c>
      <c r="C304" t="s">
        <v>975</v>
      </c>
      <c r="D304" t="s">
        <v>2013</v>
      </c>
      <c r="E304" t="s">
        <v>977</v>
      </c>
      <c r="F304" t="s">
        <v>967</v>
      </c>
      <c r="G304" t="s">
        <v>968</v>
      </c>
      <c r="H304" t="s">
        <v>969</v>
      </c>
      <c r="I304" t="s">
        <v>970</v>
      </c>
      <c r="J304" t="s">
        <v>971</v>
      </c>
      <c r="K304" t="s">
        <v>972</v>
      </c>
      <c r="L304">
        <v>7859.39</v>
      </c>
      <c r="M304">
        <f t="shared" si="4"/>
        <v>7859.39</v>
      </c>
    </row>
    <row r="305" spans="1:13" x14ac:dyDescent="0.25">
      <c r="A305" t="s">
        <v>809</v>
      </c>
      <c r="B305" t="s">
        <v>2368</v>
      </c>
      <c r="C305" t="s">
        <v>975</v>
      </c>
      <c r="D305" t="s">
        <v>2123</v>
      </c>
      <c r="E305" t="s">
        <v>966</v>
      </c>
      <c r="F305" t="s">
        <v>967</v>
      </c>
      <c r="G305" t="s">
        <v>968</v>
      </c>
      <c r="H305" t="s">
        <v>969</v>
      </c>
      <c r="I305" t="s">
        <v>970</v>
      </c>
      <c r="J305" t="s">
        <v>971</v>
      </c>
      <c r="K305" t="s">
        <v>972</v>
      </c>
      <c r="L305">
        <v>1094.58</v>
      </c>
      <c r="M305">
        <f t="shared" si="4"/>
        <v>50165.84</v>
      </c>
    </row>
    <row r="306" spans="1:13" x14ac:dyDescent="0.25">
      <c r="A306" t="s">
        <v>881</v>
      </c>
      <c r="B306" t="s">
        <v>2367</v>
      </c>
      <c r="C306" t="s">
        <v>975</v>
      </c>
      <c r="D306" t="s">
        <v>2123</v>
      </c>
      <c r="E306" t="s">
        <v>966</v>
      </c>
      <c r="F306" t="s">
        <v>967</v>
      </c>
      <c r="G306" t="s">
        <v>968</v>
      </c>
      <c r="H306" t="s">
        <v>969</v>
      </c>
      <c r="I306" t="s">
        <v>970</v>
      </c>
      <c r="J306" t="s">
        <v>971</v>
      </c>
      <c r="K306" t="s">
        <v>972</v>
      </c>
      <c r="L306">
        <v>1094.58</v>
      </c>
      <c r="M306">
        <f t="shared" si="4"/>
        <v>50165.84</v>
      </c>
    </row>
    <row r="307" spans="1:13" x14ac:dyDescent="0.25">
      <c r="A307" t="s">
        <v>623</v>
      </c>
      <c r="B307" t="s">
        <v>2466</v>
      </c>
      <c r="C307" t="s">
        <v>2171</v>
      </c>
      <c r="D307" t="s">
        <v>1954</v>
      </c>
      <c r="E307" t="s">
        <v>980</v>
      </c>
      <c r="F307" t="s">
        <v>967</v>
      </c>
      <c r="G307" t="s">
        <v>968</v>
      </c>
      <c r="H307" t="s">
        <v>969</v>
      </c>
      <c r="I307" t="s">
        <v>970</v>
      </c>
      <c r="J307" t="s">
        <v>971</v>
      </c>
      <c r="K307" t="s">
        <v>972</v>
      </c>
      <c r="L307">
        <v>411.27</v>
      </c>
      <c r="M307">
        <f t="shared" si="4"/>
        <v>50165.84</v>
      </c>
    </row>
    <row r="308" spans="1:13" x14ac:dyDescent="0.25">
      <c r="A308" t="s">
        <v>102</v>
      </c>
      <c r="B308" t="s">
        <v>2244</v>
      </c>
      <c r="C308" t="s">
        <v>964</v>
      </c>
      <c r="D308" t="s">
        <v>2063</v>
      </c>
      <c r="E308" t="s">
        <v>977</v>
      </c>
      <c r="F308" t="s">
        <v>967</v>
      </c>
      <c r="G308" t="s">
        <v>968</v>
      </c>
      <c r="H308" t="s">
        <v>969</v>
      </c>
      <c r="I308" t="s">
        <v>970</v>
      </c>
      <c r="J308" t="s">
        <v>971</v>
      </c>
      <c r="K308" t="s">
        <v>972</v>
      </c>
      <c r="L308">
        <v>2076.0500000000002</v>
      </c>
      <c r="M308">
        <f t="shared" si="4"/>
        <v>50165.84</v>
      </c>
    </row>
    <row r="309" spans="1:13" x14ac:dyDescent="0.25">
      <c r="A309" t="s">
        <v>665</v>
      </c>
      <c r="B309" t="s">
        <v>2183</v>
      </c>
      <c r="C309" t="s">
        <v>975</v>
      </c>
      <c r="D309" t="s">
        <v>1954</v>
      </c>
      <c r="E309" t="s">
        <v>966</v>
      </c>
      <c r="F309" t="s">
        <v>967</v>
      </c>
      <c r="G309" t="s">
        <v>968</v>
      </c>
      <c r="H309" t="s">
        <v>969</v>
      </c>
      <c r="I309" t="s">
        <v>970</v>
      </c>
      <c r="J309" t="s">
        <v>971</v>
      </c>
      <c r="K309" t="s">
        <v>972</v>
      </c>
      <c r="L309">
        <v>3027.76</v>
      </c>
      <c r="M309">
        <f t="shared" si="4"/>
        <v>50165.84</v>
      </c>
    </row>
    <row r="310" spans="1:13" x14ac:dyDescent="0.25">
      <c r="A310" t="s">
        <v>665</v>
      </c>
      <c r="B310" t="s">
        <v>2184</v>
      </c>
      <c r="C310" t="s">
        <v>975</v>
      </c>
      <c r="D310" t="s">
        <v>1954</v>
      </c>
      <c r="E310" t="s">
        <v>966</v>
      </c>
      <c r="F310" t="s">
        <v>967</v>
      </c>
      <c r="G310" t="s">
        <v>968</v>
      </c>
      <c r="H310" t="s">
        <v>969</v>
      </c>
      <c r="I310" t="s">
        <v>970</v>
      </c>
      <c r="J310" t="s">
        <v>971</v>
      </c>
      <c r="K310" t="s">
        <v>972</v>
      </c>
      <c r="L310">
        <v>3027.76</v>
      </c>
      <c r="M310">
        <f t="shared" si="4"/>
        <v>50165.84</v>
      </c>
    </row>
    <row r="311" spans="1:13" x14ac:dyDescent="0.25">
      <c r="A311" t="s">
        <v>665</v>
      </c>
      <c r="B311" t="s">
        <v>2185</v>
      </c>
      <c r="C311" t="s">
        <v>975</v>
      </c>
      <c r="D311" t="s">
        <v>1954</v>
      </c>
      <c r="E311" t="s">
        <v>966</v>
      </c>
      <c r="F311" t="s">
        <v>967</v>
      </c>
      <c r="G311" t="s">
        <v>968</v>
      </c>
      <c r="H311" t="s">
        <v>969</v>
      </c>
      <c r="I311" t="s">
        <v>970</v>
      </c>
      <c r="J311" t="s">
        <v>971</v>
      </c>
      <c r="K311" t="s">
        <v>972</v>
      </c>
      <c r="L311">
        <v>3027.76</v>
      </c>
      <c r="M311">
        <f t="shared" si="4"/>
        <v>50165.84</v>
      </c>
    </row>
    <row r="312" spans="1:13" x14ac:dyDescent="0.25">
      <c r="A312" t="s">
        <v>665</v>
      </c>
      <c r="B312" t="s">
        <v>2186</v>
      </c>
      <c r="C312" t="s">
        <v>975</v>
      </c>
      <c r="D312" t="s">
        <v>1954</v>
      </c>
      <c r="E312" t="s">
        <v>966</v>
      </c>
      <c r="F312" t="s">
        <v>967</v>
      </c>
      <c r="G312" t="s">
        <v>968</v>
      </c>
      <c r="H312" t="s">
        <v>969</v>
      </c>
      <c r="I312" t="s">
        <v>970</v>
      </c>
      <c r="J312" t="s">
        <v>971</v>
      </c>
      <c r="K312" t="s">
        <v>972</v>
      </c>
      <c r="L312">
        <v>3027.76</v>
      </c>
      <c r="M312">
        <f t="shared" si="4"/>
        <v>50165.84</v>
      </c>
    </row>
    <row r="313" spans="1:13" x14ac:dyDescent="0.25">
      <c r="A313" t="s">
        <v>665</v>
      </c>
      <c r="B313" t="s">
        <v>2187</v>
      </c>
      <c r="C313" t="s">
        <v>975</v>
      </c>
      <c r="D313" t="s">
        <v>1954</v>
      </c>
      <c r="E313" t="s">
        <v>966</v>
      </c>
      <c r="F313" t="s">
        <v>967</v>
      </c>
      <c r="G313" t="s">
        <v>968</v>
      </c>
      <c r="H313" t="s">
        <v>969</v>
      </c>
      <c r="I313" t="s">
        <v>970</v>
      </c>
      <c r="J313" t="s">
        <v>971</v>
      </c>
      <c r="K313" t="s">
        <v>972</v>
      </c>
      <c r="L313">
        <v>3027.76</v>
      </c>
      <c r="M313">
        <f t="shared" si="4"/>
        <v>50165.84</v>
      </c>
    </row>
    <row r="314" spans="1:13" x14ac:dyDescent="0.25">
      <c r="A314" t="s">
        <v>665</v>
      </c>
      <c r="B314" t="s">
        <v>2188</v>
      </c>
      <c r="C314" t="s">
        <v>975</v>
      </c>
      <c r="D314" t="s">
        <v>1954</v>
      </c>
      <c r="E314" t="s">
        <v>966</v>
      </c>
      <c r="F314" t="s">
        <v>967</v>
      </c>
      <c r="G314" t="s">
        <v>968</v>
      </c>
      <c r="H314" t="s">
        <v>969</v>
      </c>
      <c r="I314" t="s">
        <v>970</v>
      </c>
      <c r="J314" t="s">
        <v>971</v>
      </c>
      <c r="K314" t="s">
        <v>972</v>
      </c>
      <c r="L314">
        <v>3027.76</v>
      </c>
      <c r="M314">
        <f t="shared" si="4"/>
        <v>50165.84</v>
      </c>
    </row>
    <row r="315" spans="1:13" x14ac:dyDescent="0.25">
      <c r="A315" t="s">
        <v>665</v>
      </c>
      <c r="B315" t="s">
        <v>2189</v>
      </c>
      <c r="C315" t="s">
        <v>975</v>
      </c>
      <c r="D315" t="s">
        <v>1954</v>
      </c>
      <c r="E315" t="s">
        <v>966</v>
      </c>
      <c r="F315" t="s">
        <v>967</v>
      </c>
      <c r="G315" t="s">
        <v>968</v>
      </c>
      <c r="H315" t="s">
        <v>969</v>
      </c>
      <c r="I315" t="s">
        <v>970</v>
      </c>
      <c r="J315" t="s">
        <v>971</v>
      </c>
      <c r="K315" t="s">
        <v>972</v>
      </c>
      <c r="L315">
        <v>3027.76</v>
      </c>
      <c r="M315">
        <f t="shared" si="4"/>
        <v>50165.84</v>
      </c>
    </row>
    <row r="316" spans="1:13" x14ac:dyDescent="0.25">
      <c r="A316" t="s">
        <v>665</v>
      </c>
      <c r="B316" t="s">
        <v>2190</v>
      </c>
      <c r="C316" t="s">
        <v>975</v>
      </c>
      <c r="D316" t="s">
        <v>1954</v>
      </c>
      <c r="E316" t="s">
        <v>966</v>
      </c>
      <c r="F316" t="s">
        <v>967</v>
      </c>
      <c r="G316" t="s">
        <v>968</v>
      </c>
      <c r="H316" t="s">
        <v>969</v>
      </c>
      <c r="I316" t="s">
        <v>970</v>
      </c>
      <c r="J316" t="s">
        <v>971</v>
      </c>
      <c r="K316" t="s">
        <v>972</v>
      </c>
      <c r="L316">
        <v>3027.76</v>
      </c>
      <c r="M316">
        <f t="shared" si="4"/>
        <v>50165.84</v>
      </c>
    </row>
    <row r="317" spans="1:13" x14ac:dyDescent="0.25">
      <c r="A317" t="s">
        <v>665</v>
      </c>
      <c r="B317" t="s">
        <v>2191</v>
      </c>
      <c r="C317" t="s">
        <v>975</v>
      </c>
      <c r="D317" t="s">
        <v>1954</v>
      </c>
      <c r="E317" t="s">
        <v>966</v>
      </c>
      <c r="F317" t="s">
        <v>967</v>
      </c>
      <c r="G317" t="s">
        <v>968</v>
      </c>
      <c r="H317" t="s">
        <v>969</v>
      </c>
      <c r="I317" t="s">
        <v>970</v>
      </c>
      <c r="J317" t="s">
        <v>971</v>
      </c>
      <c r="K317" t="s">
        <v>972</v>
      </c>
      <c r="L317">
        <v>3027.76</v>
      </c>
      <c r="M317">
        <f t="shared" si="4"/>
        <v>50165.84</v>
      </c>
    </row>
    <row r="318" spans="1:13" x14ac:dyDescent="0.25">
      <c r="A318" t="s">
        <v>665</v>
      </c>
      <c r="B318" t="s">
        <v>2192</v>
      </c>
      <c r="C318" t="s">
        <v>975</v>
      </c>
      <c r="D318" t="s">
        <v>1954</v>
      </c>
      <c r="E318" t="s">
        <v>966</v>
      </c>
      <c r="F318" t="s">
        <v>967</v>
      </c>
      <c r="G318" t="s">
        <v>968</v>
      </c>
      <c r="H318" t="s">
        <v>969</v>
      </c>
      <c r="I318" t="s">
        <v>970</v>
      </c>
      <c r="J318" t="s">
        <v>971</v>
      </c>
      <c r="K318" t="s">
        <v>972</v>
      </c>
      <c r="L318">
        <v>3027.76</v>
      </c>
      <c r="M318">
        <f t="shared" si="4"/>
        <v>50165.84</v>
      </c>
    </row>
    <row r="319" spans="1:13" x14ac:dyDescent="0.25">
      <c r="A319" t="s">
        <v>596</v>
      </c>
      <c r="B319" t="s">
        <v>2523</v>
      </c>
      <c r="C319" t="s">
        <v>988</v>
      </c>
      <c r="D319" t="s">
        <v>2123</v>
      </c>
      <c r="E319" t="s">
        <v>977</v>
      </c>
      <c r="F319" t="s">
        <v>967</v>
      </c>
      <c r="G319" t="s">
        <v>968</v>
      </c>
      <c r="H319" t="s">
        <v>969</v>
      </c>
      <c r="I319" t="s">
        <v>970</v>
      </c>
      <c r="J319" t="s">
        <v>971</v>
      </c>
      <c r="K319" t="s">
        <v>972</v>
      </c>
      <c r="L319">
        <v>72.91</v>
      </c>
      <c r="M319">
        <f t="shared" si="4"/>
        <v>50165.84</v>
      </c>
    </row>
    <row r="320" spans="1:13" x14ac:dyDescent="0.25">
      <c r="A320" t="s">
        <v>520</v>
      </c>
      <c r="B320" t="s">
        <v>2178</v>
      </c>
      <c r="C320" t="s">
        <v>975</v>
      </c>
      <c r="D320" t="s">
        <v>1954</v>
      </c>
      <c r="E320" t="s">
        <v>966</v>
      </c>
      <c r="F320" t="s">
        <v>967</v>
      </c>
      <c r="G320" t="s">
        <v>968</v>
      </c>
      <c r="H320" t="s">
        <v>969</v>
      </c>
      <c r="I320" t="s">
        <v>970</v>
      </c>
      <c r="J320" t="s">
        <v>971</v>
      </c>
      <c r="K320" t="s">
        <v>972</v>
      </c>
      <c r="L320">
        <v>3027.77</v>
      </c>
      <c r="M320">
        <f t="shared" si="4"/>
        <v>50165.84</v>
      </c>
    </row>
    <row r="321" spans="1:13" x14ac:dyDescent="0.25">
      <c r="A321" t="s">
        <v>520</v>
      </c>
      <c r="B321" t="s">
        <v>2179</v>
      </c>
      <c r="C321" t="s">
        <v>975</v>
      </c>
      <c r="D321" t="s">
        <v>1954</v>
      </c>
      <c r="E321" t="s">
        <v>966</v>
      </c>
      <c r="F321" t="s">
        <v>967</v>
      </c>
      <c r="G321" t="s">
        <v>968</v>
      </c>
      <c r="H321" t="s">
        <v>969</v>
      </c>
      <c r="I321" t="s">
        <v>970</v>
      </c>
      <c r="J321" t="s">
        <v>971</v>
      </c>
      <c r="K321" t="s">
        <v>972</v>
      </c>
      <c r="L321">
        <v>3027.77</v>
      </c>
      <c r="M321">
        <f t="shared" si="4"/>
        <v>50165.84</v>
      </c>
    </row>
    <row r="322" spans="1:13" x14ac:dyDescent="0.25">
      <c r="A322" t="s">
        <v>520</v>
      </c>
      <c r="B322" t="s">
        <v>2180</v>
      </c>
      <c r="C322" t="s">
        <v>975</v>
      </c>
      <c r="D322" t="s">
        <v>1954</v>
      </c>
      <c r="E322" t="s">
        <v>966</v>
      </c>
      <c r="F322" t="s">
        <v>967</v>
      </c>
      <c r="G322" t="s">
        <v>968</v>
      </c>
      <c r="H322" t="s">
        <v>969</v>
      </c>
      <c r="I322" t="s">
        <v>970</v>
      </c>
      <c r="J322" t="s">
        <v>971</v>
      </c>
      <c r="K322" t="s">
        <v>972</v>
      </c>
      <c r="L322">
        <v>3027.77</v>
      </c>
      <c r="M322">
        <f t="shared" si="4"/>
        <v>50165.84</v>
      </c>
    </row>
    <row r="323" spans="1:13" x14ac:dyDescent="0.25">
      <c r="A323" t="s">
        <v>520</v>
      </c>
      <c r="B323" t="s">
        <v>2181</v>
      </c>
      <c r="C323" t="s">
        <v>975</v>
      </c>
      <c r="D323" t="s">
        <v>1954</v>
      </c>
      <c r="E323" t="s">
        <v>966</v>
      </c>
      <c r="F323" t="s">
        <v>967</v>
      </c>
      <c r="G323" t="s">
        <v>968</v>
      </c>
      <c r="H323" t="s">
        <v>969</v>
      </c>
      <c r="I323" t="s">
        <v>970</v>
      </c>
      <c r="J323" t="s">
        <v>971</v>
      </c>
      <c r="K323" t="s">
        <v>972</v>
      </c>
      <c r="L323">
        <v>3027.77</v>
      </c>
      <c r="M323">
        <f t="shared" ref="M323:M386" si="5">+SUMIF(A:A,A323,L:L)</f>
        <v>50165.84</v>
      </c>
    </row>
    <row r="324" spans="1:13" x14ac:dyDescent="0.25">
      <c r="A324" t="s">
        <v>520</v>
      </c>
      <c r="B324" t="s">
        <v>2182</v>
      </c>
      <c r="C324" t="s">
        <v>975</v>
      </c>
      <c r="D324" t="s">
        <v>1954</v>
      </c>
      <c r="E324" t="s">
        <v>966</v>
      </c>
      <c r="F324" t="s">
        <v>967</v>
      </c>
      <c r="G324" t="s">
        <v>968</v>
      </c>
      <c r="H324" t="s">
        <v>969</v>
      </c>
      <c r="I324" t="s">
        <v>970</v>
      </c>
      <c r="J324" t="s">
        <v>971</v>
      </c>
      <c r="K324" t="s">
        <v>972</v>
      </c>
      <c r="L324">
        <v>3027.77</v>
      </c>
      <c r="M324">
        <f t="shared" si="5"/>
        <v>50165.84</v>
      </c>
    </row>
    <row r="325" spans="1:13" x14ac:dyDescent="0.25">
      <c r="A325" t="s">
        <v>332</v>
      </c>
      <c r="B325" t="s">
        <v>2147</v>
      </c>
      <c r="C325" t="s">
        <v>975</v>
      </c>
      <c r="D325" t="s">
        <v>2013</v>
      </c>
      <c r="E325" t="s">
        <v>980</v>
      </c>
      <c r="F325" t="s">
        <v>967</v>
      </c>
      <c r="G325" t="s">
        <v>968</v>
      </c>
      <c r="H325" t="s">
        <v>969</v>
      </c>
      <c r="I325" t="s">
        <v>970</v>
      </c>
      <c r="J325" t="s">
        <v>971</v>
      </c>
      <c r="K325" t="s">
        <v>972</v>
      </c>
      <c r="L325">
        <v>3771.71</v>
      </c>
      <c r="M325">
        <f t="shared" si="5"/>
        <v>3771.71</v>
      </c>
    </row>
    <row r="326" spans="1:13" x14ac:dyDescent="0.25">
      <c r="A326" t="s">
        <v>347</v>
      </c>
      <c r="B326" t="s">
        <v>2522</v>
      </c>
      <c r="C326" t="s">
        <v>982</v>
      </c>
      <c r="D326" t="s">
        <v>1875</v>
      </c>
      <c r="E326" t="s">
        <v>977</v>
      </c>
      <c r="F326" t="s">
        <v>967</v>
      </c>
      <c r="G326" t="s">
        <v>968</v>
      </c>
      <c r="H326" t="s">
        <v>2390</v>
      </c>
      <c r="I326" t="s">
        <v>970</v>
      </c>
      <c r="J326" t="s">
        <v>971</v>
      </c>
      <c r="K326" t="s">
        <v>972</v>
      </c>
      <c r="L326">
        <v>78.72</v>
      </c>
      <c r="M326">
        <f t="shared" si="5"/>
        <v>143018.28</v>
      </c>
    </row>
    <row r="327" spans="1:13" x14ac:dyDescent="0.25">
      <c r="A327" t="s">
        <v>249</v>
      </c>
      <c r="B327" t="s">
        <v>1649</v>
      </c>
      <c r="C327" t="s">
        <v>975</v>
      </c>
      <c r="D327" t="s">
        <v>1650</v>
      </c>
      <c r="E327" t="s">
        <v>977</v>
      </c>
      <c r="F327" t="s">
        <v>967</v>
      </c>
      <c r="G327" t="s">
        <v>968</v>
      </c>
      <c r="H327" t="s">
        <v>969</v>
      </c>
      <c r="I327" t="s">
        <v>970</v>
      </c>
      <c r="J327" t="s">
        <v>971</v>
      </c>
      <c r="K327" t="s">
        <v>972</v>
      </c>
      <c r="L327">
        <v>23823.26</v>
      </c>
      <c r="M327">
        <f t="shared" si="5"/>
        <v>143018.28</v>
      </c>
    </row>
    <row r="328" spans="1:13" x14ac:dyDescent="0.25">
      <c r="A328" t="s">
        <v>249</v>
      </c>
      <c r="B328" t="s">
        <v>1651</v>
      </c>
      <c r="C328" t="s">
        <v>975</v>
      </c>
      <c r="D328" t="s">
        <v>1650</v>
      </c>
      <c r="E328" t="s">
        <v>977</v>
      </c>
      <c r="F328" t="s">
        <v>967</v>
      </c>
      <c r="G328" t="s">
        <v>968</v>
      </c>
      <c r="H328" t="s">
        <v>969</v>
      </c>
      <c r="I328" t="s">
        <v>970</v>
      </c>
      <c r="J328" t="s">
        <v>971</v>
      </c>
      <c r="K328" t="s">
        <v>972</v>
      </c>
      <c r="L328">
        <v>23823.26</v>
      </c>
      <c r="M328">
        <f t="shared" si="5"/>
        <v>143018.28</v>
      </c>
    </row>
    <row r="329" spans="1:13" x14ac:dyDescent="0.25">
      <c r="A329" t="s">
        <v>249</v>
      </c>
      <c r="B329" t="s">
        <v>1652</v>
      </c>
      <c r="C329" t="s">
        <v>975</v>
      </c>
      <c r="D329" t="s">
        <v>1650</v>
      </c>
      <c r="E329" t="s">
        <v>977</v>
      </c>
      <c r="F329" t="s">
        <v>967</v>
      </c>
      <c r="G329" t="s">
        <v>968</v>
      </c>
      <c r="H329" t="s">
        <v>969</v>
      </c>
      <c r="I329" t="s">
        <v>970</v>
      </c>
      <c r="J329" t="s">
        <v>971</v>
      </c>
      <c r="K329" t="s">
        <v>972</v>
      </c>
      <c r="L329">
        <v>23823.26</v>
      </c>
      <c r="M329">
        <f t="shared" si="5"/>
        <v>143018.28</v>
      </c>
    </row>
    <row r="330" spans="1:13" x14ac:dyDescent="0.25">
      <c r="A330" t="s">
        <v>249</v>
      </c>
      <c r="B330" t="s">
        <v>1653</v>
      </c>
      <c r="C330" t="s">
        <v>975</v>
      </c>
      <c r="D330" t="s">
        <v>1650</v>
      </c>
      <c r="E330" t="s">
        <v>977</v>
      </c>
      <c r="F330" t="s">
        <v>967</v>
      </c>
      <c r="G330" t="s">
        <v>968</v>
      </c>
      <c r="H330" t="s">
        <v>969</v>
      </c>
      <c r="I330" t="s">
        <v>970</v>
      </c>
      <c r="J330" t="s">
        <v>971</v>
      </c>
      <c r="K330" t="s">
        <v>972</v>
      </c>
      <c r="L330">
        <v>23823.26</v>
      </c>
      <c r="M330">
        <f t="shared" si="5"/>
        <v>143018.28</v>
      </c>
    </row>
    <row r="331" spans="1:13" x14ac:dyDescent="0.25">
      <c r="A331" t="s">
        <v>249</v>
      </c>
      <c r="B331" t="s">
        <v>1654</v>
      </c>
      <c r="C331" t="s">
        <v>975</v>
      </c>
      <c r="D331" t="s">
        <v>1650</v>
      </c>
      <c r="E331" t="s">
        <v>977</v>
      </c>
      <c r="F331" t="s">
        <v>967</v>
      </c>
      <c r="G331" t="s">
        <v>968</v>
      </c>
      <c r="H331" t="s">
        <v>969</v>
      </c>
      <c r="I331" t="s">
        <v>970</v>
      </c>
      <c r="J331" t="s">
        <v>971</v>
      </c>
      <c r="K331" t="s">
        <v>972</v>
      </c>
      <c r="L331">
        <v>23823.26</v>
      </c>
      <c r="M331">
        <f t="shared" si="5"/>
        <v>143018.28</v>
      </c>
    </row>
    <row r="332" spans="1:13" x14ac:dyDescent="0.25">
      <c r="A332" t="s">
        <v>249</v>
      </c>
      <c r="B332" t="s">
        <v>1655</v>
      </c>
      <c r="C332" t="s">
        <v>975</v>
      </c>
      <c r="D332" t="s">
        <v>1650</v>
      </c>
      <c r="E332" t="s">
        <v>977</v>
      </c>
      <c r="F332" t="s">
        <v>967</v>
      </c>
      <c r="G332" t="s">
        <v>968</v>
      </c>
      <c r="H332" t="s">
        <v>969</v>
      </c>
      <c r="I332" t="s">
        <v>970</v>
      </c>
      <c r="J332" t="s">
        <v>971</v>
      </c>
      <c r="K332" t="s">
        <v>972</v>
      </c>
      <c r="L332">
        <v>23823.26</v>
      </c>
      <c r="M332">
        <f t="shared" si="5"/>
        <v>143018.28</v>
      </c>
    </row>
    <row r="333" spans="1:13" x14ac:dyDescent="0.25">
      <c r="A333" t="s">
        <v>386</v>
      </c>
      <c r="B333" t="s">
        <v>1723</v>
      </c>
      <c r="C333" t="s">
        <v>975</v>
      </c>
      <c r="D333" t="s">
        <v>1724</v>
      </c>
      <c r="E333" t="s">
        <v>980</v>
      </c>
      <c r="F333" t="s">
        <v>967</v>
      </c>
      <c r="G333" t="s">
        <v>968</v>
      </c>
      <c r="H333" t="s">
        <v>969</v>
      </c>
      <c r="I333" t="s">
        <v>970</v>
      </c>
      <c r="J333" t="s">
        <v>971</v>
      </c>
      <c r="K333" t="s">
        <v>972</v>
      </c>
      <c r="L333">
        <v>19270.89</v>
      </c>
      <c r="M333">
        <f t="shared" si="5"/>
        <v>19270.89</v>
      </c>
    </row>
    <row r="334" spans="1:13" x14ac:dyDescent="0.25">
      <c r="A334" t="s">
        <v>354</v>
      </c>
      <c r="B334" t="s">
        <v>2086</v>
      </c>
      <c r="C334" t="s">
        <v>975</v>
      </c>
      <c r="D334" t="s">
        <v>1875</v>
      </c>
      <c r="E334" t="s">
        <v>977</v>
      </c>
      <c r="F334" t="s">
        <v>967</v>
      </c>
      <c r="G334" t="s">
        <v>968</v>
      </c>
      <c r="H334" t="s">
        <v>969</v>
      </c>
      <c r="I334" t="s">
        <v>970</v>
      </c>
      <c r="J334" t="s">
        <v>971</v>
      </c>
      <c r="K334" t="s">
        <v>972</v>
      </c>
      <c r="L334">
        <v>5490.26</v>
      </c>
      <c r="M334">
        <f t="shared" si="5"/>
        <v>13696.78</v>
      </c>
    </row>
    <row r="335" spans="1:13" x14ac:dyDescent="0.25">
      <c r="A335" t="s">
        <v>11</v>
      </c>
      <c r="B335" t="s">
        <v>2127</v>
      </c>
      <c r="C335" t="s">
        <v>975</v>
      </c>
      <c r="D335" t="s">
        <v>1650</v>
      </c>
      <c r="E335" t="s">
        <v>977</v>
      </c>
      <c r="F335" t="s">
        <v>967</v>
      </c>
      <c r="G335" t="s">
        <v>968</v>
      </c>
      <c r="H335" t="s">
        <v>969</v>
      </c>
      <c r="I335" t="s">
        <v>970</v>
      </c>
      <c r="J335" t="s">
        <v>971</v>
      </c>
      <c r="K335" t="s">
        <v>972</v>
      </c>
      <c r="L335">
        <v>4103.26</v>
      </c>
      <c r="M335">
        <f t="shared" si="5"/>
        <v>13696.78</v>
      </c>
    </row>
    <row r="336" spans="1:13" x14ac:dyDescent="0.25">
      <c r="A336" t="s">
        <v>11</v>
      </c>
      <c r="B336" t="s">
        <v>2128</v>
      </c>
      <c r="C336" t="s">
        <v>964</v>
      </c>
      <c r="D336" t="s">
        <v>1650</v>
      </c>
      <c r="E336" t="s">
        <v>977</v>
      </c>
      <c r="F336" t="s">
        <v>967</v>
      </c>
      <c r="G336" t="s">
        <v>968</v>
      </c>
      <c r="H336" t="s">
        <v>969</v>
      </c>
      <c r="I336" t="s">
        <v>970</v>
      </c>
      <c r="J336" t="s">
        <v>971</v>
      </c>
      <c r="K336" t="s">
        <v>972</v>
      </c>
      <c r="L336">
        <v>4103.26</v>
      </c>
      <c r="M336">
        <f t="shared" si="5"/>
        <v>13696.78</v>
      </c>
    </row>
    <row r="337" spans="1:13" x14ac:dyDescent="0.25">
      <c r="A337" t="s">
        <v>501</v>
      </c>
      <c r="B337" t="s">
        <v>2517</v>
      </c>
      <c r="C337" t="s">
        <v>2171</v>
      </c>
      <c r="D337" t="s">
        <v>2013</v>
      </c>
      <c r="E337" t="s">
        <v>977</v>
      </c>
      <c r="F337" t="s">
        <v>967</v>
      </c>
      <c r="G337" t="s">
        <v>968</v>
      </c>
      <c r="H337" t="s">
        <v>969</v>
      </c>
      <c r="I337" t="s">
        <v>970</v>
      </c>
      <c r="J337" t="s">
        <v>971</v>
      </c>
      <c r="K337" t="s">
        <v>972</v>
      </c>
      <c r="L337">
        <v>171.77</v>
      </c>
      <c r="M337">
        <f t="shared" si="5"/>
        <v>8035.7200000000012</v>
      </c>
    </row>
    <row r="338" spans="1:13" x14ac:dyDescent="0.25">
      <c r="A338" t="s">
        <v>269</v>
      </c>
      <c r="B338" t="s">
        <v>2125</v>
      </c>
      <c r="C338" t="s">
        <v>975</v>
      </c>
      <c r="D338" t="s">
        <v>2110</v>
      </c>
      <c r="E338" t="s">
        <v>980</v>
      </c>
      <c r="F338" t="s">
        <v>967</v>
      </c>
      <c r="G338" t="s">
        <v>968</v>
      </c>
      <c r="H338" t="s">
        <v>969</v>
      </c>
      <c r="I338" t="s">
        <v>970</v>
      </c>
      <c r="J338" t="s">
        <v>971</v>
      </c>
      <c r="K338" t="s">
        <v>972</v>
      </c>
      <c r="L338">
        <v>4416.1400000000003</v>
      </c>
      <c r="M338">
        <f t="shared" si="5"/>
        <v>8035.7200000000012</v>
      </c>
    </row>
    <row r="339" spans="1:13" x14ac:dyDescent="0.25">
      <c r="A339" t="s">
        <v>775</v>
      </c>
      <c r="B339" t="s">
        <v>2167</v>
      </c>
      <c r="C339" t="s">
        <v>975</v>
      </c>
      <c r="D339" t="s">
        <v>2013</v>
      </c>
      <c r="E339" t="s">
        <v>977</v>
      </c>
      <c r="F339" t="s">
        <v>967</v>
      </c>
      <c r="G339" t="s">
        <v>968</v>
      </c>
      <c r="H339" t="s">
        <v>969</v>
      </c>
      <c r="I339" t="s">
        <v>970</v>
      </c>
      <c r="J339" t="s">
        <v>971</v>
      </c>
      <c r="K339" t="s">
        <v>972</v>
      </c>
      <c r="L339">
        <v>3447.81</v>
      </c>
      <c r="M339">
        <f t="shared" si="5"/>
        <v>8035.7200000000012</v>
      </c>
    </row>
    <row r="340" spans="1:13" x14ac:dyDescent="0.25">
      <c r="A340" t="s">
        <v>266</v>
      </c>
      <c r="B340" t="s">
        <v>2516</v>
      </c>
      <c r="C340" t="s">
        <v>988</v>
      </c>
      <c r="D340" t="s">
        <v>2110</v>
      </c>
      <c r="E340" t="s">
        <v>980</v>
      </c>
      <c r="F340" t="s">
        <v>967</v>
      </c>
      <c r="G340" t="s">
        <v>968</v>
      </c>
      <c r="H340" t="s">
        <v>969</v>
      </c>
      <c r="I340" t="s">
        <v>970</v>
      </c>
      <c r="J340" t="s">
        <v>971</v>
      </c>
      <c r="K340" t="s">
        <v>972</v>
      </c>
      <c r="L340">
        <v>182.96</v>
      </c>
      <c r="M340">
        <f t="shared" si="5"/>
        <v>20004.09</v>
      </c>
    </row>
    <row r="341" spans="1:13" x14ac:dyDescent="0.25">
      <c r="A341" t="s">
        <v>856</v>
      </c>
      <c r="B341" t="s">
        <v>2511</v>
      </c>
      <c r="C341" t="s">
        <v>988</v>
      </c>
      <c r="D341" t="s">
        <v>1875</v>
      </c>
      <c r="E341" t="s">
        <v>980</v>
      </c>
      <c r="F341" t="s">
        <v>967</v>
      </c>
      <c r="G341" t="s">
        <v>968</v>
      </c>
      <c r="H341" t="s">
        <v>969</v>
      </c>
      <c r="I341" t="s">
        <v>970</v>
      </c>
      <c r="J341" t="s">
        <v>971</v>
      </c>
      <c r="K341" t="s">
        <v>972</v>
      </c>
      <c r="L341">
        <v>213.91</v>
      </c>
      <c r="M341">
        <f t="shared" si="5"/>
        <v>20004.09</v>
      </c>
    </row>
    <row r="342" spans="1:13" x14ac:dyDescent="0.25">
      <c r="A342" t="s">
        <v>361</v>
      </c>
      <c r="B342" t="s">
        <v>2109</v>
      </c>
      <c r="C342" t="s">
        <v>975</v>
      </c>
      <c r="D342" t="s">
        <v>2110</v>
      </c>
      <c r="E342" t="s">
        <v>980</v>
      </c>
      <c r="F342" t="s">
        <v>967</v>
      </c>
      <c r="G342" t="s">
        <v>968</v>
      </c>
      <c r="H342" t="s">
        <v>969</v>
      </c>
      <c r="I342" t="s">
        <v>970</v>
      </c>
      <c r="J342" t="s">
        <v>971</v>
      </c>
      <c r="K342" t="s">
        <v>972</v>
      </c>
      <c r="L342">
        <v>4869.17</v>
      </c>
      <c r="M342">
        <f t="shared" si="5"/>
        <v>20004.09</v>
      </c>
    </row>
    <row r="343" spans="1:13" x14ac:dyDescent="0.25">
      <c r="A343" t="s">
        <v>772</v>
      </c>
      <c r="B343" t="s">
        <v>2060</v>
      </c>
      <c r="C343" t="s">
        <v>975</v>
      </c>
      <c r="D343" t="s">
        <v>1744</v>
      </c>
      <c r="E343" t="s">
        <v>980</v>
      </c>
      <c r="F343" t="s">
        <v>967</v>
      </c>
      <c r="G343" t="s">
        <v>968</v>
      </c>
      <c r="H343" t="s">
        <v>969</v>
      </c>
      <c r="I343" t="s">
        <v>970</v>
      </c>
      <c r="J343" t="s">
        <v>971</v>
      </c>
      <c r="K343" t="s">
        <v>972</v>
      </c>
      <c r="L343">
        <v>6756.75</v>
      </c>
      <c r="M343">
        <f t="shared" si="5"/>
        <v>20004.09</v>
      </c>
    </row>
    <row r="344" spans="1:13" x14ac:dyDescent="0.25">
      <c r="A344" t="s">
        <v>476</v>
      </c>
      <c r="B344" t="s">
        <v>2131</v>
      </c>
      <c r="C344" t="s">
        <v>975</v>
      </c>
      <c r="D344" t="s">
        <v>2013</v>
      </c>
      <c r="E344" t="s">
        <v>980</v>
      </c>
      <c r="F344" t="s">
        <v>967</v>
      </c>
      <c r="G344" t="s">
        <v>968</v>
      </c>
      <c r="H344" t="s">
        <v>969</v>
      </c>
      <c r="I344" t="s">
        <v>970</v>
      </c>
      <c r="J344" t="s">
        <v>971</v>
      </c>
      <c r="K344" t="s">
        <v>972</v>
      </c>
      <c r="L344">
        <v>3990.65</v>
      </c>
      <c r="M344">
        <f t="shared" si="5"/>
        <v>20004.09</v>
      </c>
    </row>
    <row r="345" spans="1:13" x14ac:dyDescent="0.25">
      <c r="A345" t="s">
        <v>476</v>
      </c>
      <c r="B345" t="s">
        <v>2132</v>
      </c>
      <c r="C345" t="s">
        <v>975</v>
      </c>
      <c r="D345" t="s">
        <v>2013</v>
      </c>
      <c r="E345" t="s">
        <v>980</v>
      </c>
      <c r="F345" t="s">
        <v>967</v>
      </c>
      <c r="G345" t="s">
        <v>968</v>
      </c>
      <c r="H345" t="s">
        <v>969</v>
      </c>
      <c r="I345" t="s">
        <v>970</v>
      </c>
      <c r="J345" t="s">
        <v>971</v>
      </c>
      <c r="K345" t="s">
        <v>972</v>
      </c>
      <c r="L345">
        <v>3990.65</v>
      </c>
      <c r="M345">
        <f t="shared" si="5"/>
        <v>20004.09</v>
      </c>
    </row>
    <row r="346" spans="1:13" x14ac:dyDescent="0.25">
      <c r="A346" t="s">
        <v>570</v>
      </c>
      <c r="B346" t="s">
        <v>2118</v>
      </c>
      <c r="C346" t="s">
        <v>975</v>
      </c>
      <c r="D346" t="s">
        <v>1650</v>
      </c>
      <c r="E346" t="s">
        <v>977</v>
      </c>
      <c r="F346" t="s">
        <v>967</v>
      </c>
      <c r="G346" t="s">
        <v>968</v>
      </c>
      <c r="H346" t="s">
        <v>969</v>
      </c>
      <c r="I346" t="s">
        <v>970</v>
      </c>
      <c r="J346" t="s">
        <v>971</v>
      </c>
      <c r="K346" t="s">
        <v>972</v>
      </c>
      <c r="L346">
        <v>4659.1400000000003</v>
      </c>
      <c r="M346">
        <f t="shared" si="5"/>
        <v>104084.03</v>
      </c>
    </row>
    <row r="347" spans="1:13" x14ac:dyDescent="0.25">
      <c r="A347" t="s">
        <v>570</v>
      </c>
      <c r="B347" t="s">
        <v>2119</v>
      </c>
      <c r="C347" t="s">
        <v>975</v>
      </c>
      <c r="D347" t="s">
        <v>1650</v>
      </c>
      <c r="E347" t="s">
        <v>977</v>
      </c>
      <c r="F347" t="s">
        <v>967</v>
      </c>
      <c r="G347" t="s">
        <v>968</v>
      </c>
      <c r="H347" t="s">
        <v>969</v>
      </c>
      <c r="I347" t="s">
        <v>970</v>
      </c>
      <c r="J347" t="s">
        <v>971</v>
      </c>
      <c r="K347" t="s">
        <v>972</v>
      </c>
      <c r="L347">
        <v>4659.1400000000003</v>
      </c>
      <c r="M347">
        <f t="shared" si="5"/>
        <v>104084.03</v>
      </c>
    </row>
    <row r="348" spans="1:13" x14ac:dyDescent="0.25">
      <c r="A348" t="s">
        <v>570</v>
      </c>
      <c r="B348" t="s">
        <v>2120</v>
      </c>
      <c r="C348" t="s">
        <v>975</v>
      </c>
      <c r="D348" t="s">
        <v>1650</v>
      </c>
      <c r="E348" t="s">
        <v>977</v>
      </c>
      <c r="F348" t="s">
        <v>967</v>
      </c>
      <c r="G348" t="s">
        <v>968</v>
      </c>
      <c r="H348" t="s">
        <v>969</v>
      </c>
      <c r="I348" t="s">
        <v>970</v>
      </c>
      <c r="J348" t="s">
        <v>971</v>
      </c>
      <c r="K348" t="s">
        <v>972</v>
      </c>
      <c r="L348">
        <v>4659.1400000000003</v>
      </c>
      <c r="M348">
        <f t="shared" si="5"/>
        <v>104084.03</v>
      </c>
    </row>
    <row r="349" spans="1:13" x14ac:dyDescent="0.25">
      <c r="A349" t="s">
        <v>893</v>
      </c>
      <c r="B349" t="s">
        <v>2503</v>
      </c>
      <c r="C349" t="s">
        <v>988</v>
      </c>
      <c r="D349" t="s">
        <v>2334</v>
      </c>
      <c r="E349" t="s">
        <v>980</v>
      </c>
      <c r="F349" t="s">
        <v>967</v>
      </c>
      <c r="G349" t="s">
        <v>968</v>
      </c>
      <c r="H349" t="s">
        <v>969</v>
      </c>
      <c r="I349" t="s">
        <v>970</v>
      </c>
      <c r="J349" t="s">
        <v>971</v>
      </c>
      <c r="K349" t="s">
        <v>972</v>
      </c>
      <c r="L349">
        <v>248.13</v>
      </c>
      <c r="M349">
        <f t="shared" si="5"/>
        <v>104084.03</v>
      </c>
    </row>
    <row r="350" spans="1:13" x14ac:dyDescent="0.25">
      <c r="A350" t="s">
        <v>24</v>
      </c>
      <c r="B350" t="s">
        <v>2079</v>
      </c>
      <c r="C350" t="s">
        <v>964</v>
      </c>
      <c r="D350" t="s">
        <v>2078</v>
      </c>
      <c r="E350" t="s">
        <v>980</v>
      </c>
      <c r="F350" t="s">
        <v>967</v>
      </c>
      <c r="G350" t="s">
        <v>968</v>
      </c>
      <c r="H350" t="s">
        <v>969</v>
      </c>
      <c r="I350" t="s">
        <v>970</v>
      </c>
      <c r="J350" t="s">
        <v>971</v>
      </c>
      <c r="K350" t="s">
        <v>972</v>
      </c>
      <c r="L350">
        <v>5619.08</v>
      </c>
      <c r="M350">
        <f t="shared" si="5"/>
        <v>104084.03</v>
      </c>
    </row>
    <row r="351" spans="1:13" x14ac:dyDescent="0.25">
      <c r="A351" t="s">
        <v>672</v>
      </c>
      <c r="B351" t="s">
        <v>2077</v>
      </c>
      <c r="C351" t="s">
        <v>964</v>
      </c>
      <c r="D351" t="s">
        <v>2078</v>
      </c>
      <c r="E351" t="s">
        <v>980</v>
      </c>
      <c r="F351" t="s">
        <v>967</v>
      </c>
      <c r="G351" t="s">
        <v>968</v>
      </c>
      <c r="H351" t="s">
        <v>969</v>
      </c>
      <c r="I351" t="s">
        <v>970</v>
      </c>
      <c r="J351" t="s">
        <v>971</v>
      </c>
      <c r="K351" t="s">
        <v>972</v>
      </c>
      <c r="L351">
        <v>5619.08</v>
      </c>
      <c r="M351">
        <f t="shared" si="5"/>
        <v>104084.03</v>
      </c>
    </row>
    <row r="352" spans="1:13" x14ac:dyDescent="0.25">
      <c r="A352" t="s">
        <v>240</v>
      </c>
      <c r="B352" t="s">
        <v>2080</v>
      </c>
      <c r="C352" t="s">
        <v>964</v>
      </c>
      <c r="D352" t="s">
        <v>2078</v>
      </c>
      <c r="E352" t="s">
        <v>977</v>
      </c>
      <c r="F352" t="s">
        <v>967</v>
      </c>
      <c r="G352" t="s">
        <v>968</v>
      </c>
      <c r="H352" t="s">
        <v>969</v>
      </c>
      <c r="I352" t="s">
        <v>970</v>
      </c>
      <c r="J352" t="s">
        <v>971</v>
      </c>
      <c r="K352" t="s">
        <v>972</v>
      </c>
      <c r="L352">
        <v>5548.24</v>
      </c>
      <c r="M352">
        <f t="shared" si="5"/>
        <v>104084.03</v>
      </c>
    </row>
    <row r="353" spans="1:13" x14ac:dyDescent="0.25">
      <c r="A353" t="s">
        <v>252</v>
      </c>
      <c r="B353" t="s">
        <v>2019</v>
      </c>
      <c r="C353" t="s">
        <v>975</v>
      </c>
      <c r="D353" t="s">
        <v>2013</v>
      </c>
      <c r="E353" t="s">
        <v>977</v>
      </c>
      <c r="F353" t="s">
        <v>967</v>
      </c>
      <c r="G353" t="s">
        <v>968</v>
      </c>
      <c r="H353" t="s">
        <v>969</v>
      </c>
      <c r="I353" t="s">
        <v>970</v>
      </c>
      <c r="J353" t="s">
        <v>971</v>
      </c>
      <c r="K353" t="s">
        <v>972</v>
      </c>
      <c r="L353">
        <v>7859.39</v>
      </c>
      <c r="M353">
        <f t="shared" si="5"/>
        <v>104084.03</v>
      </c>
    </row>
    <row r="354" spans="1:13" x14ac:dyDescent="0.25">
      <c r="A354" t="s">
        <v>715</v>
      </c>
      <c r="B354" t="s">
        <v>2016</v>
      </c>
      <c r="C354" t="s">
        <v>975</v>
      </c>
      <c r="D354" t="s">
        <v>2013</v>
      </c>
      <c r="E354" t="s">
        <v>977</v>
      </c>
      <c r="F354" t="s">
        <v>967</v>
      </c>
      <c r="G354" t="s">
        <v>968</v>
      </c>
      <c r="H354" t="s">
        <v>969</v>
      </c>
      <c r="I354" t="s">
        <v>970</v>
      </c>
      <c r="J354" t="s">
        <v>971</v>
      </c>
      <c r="K354" t="s">
        <v>972</v>
      </c>
      <c r="L354">
        <v>7859.39</v>
      </c>
      <c r="M354">
        <f t="shared" si="5"/>
        <v>104084.03</v>
      </c>
    </row>
    <row r="355" spans="1:13" x14ac:dyDescent="0.25">
      <c r="A355" t="s">
        <v>328</v>
      </c>
      <c r="B355" t="s">
        <v>2017</v>
      </c>
      <c r="C355" t="s">
        <v>975</v>
      </c>
      <c r="D355" t="s">
        <v>2013</v>
      </c>
      <c r="E355" t="s">
        <v>977</v>
      </c>
      <c r="F355" t="s">
        <v>967</v>
      </c>
      <c r="G355" t="s">
        <v>968</v>
      </c>
      <c r="H355" t="s">
        <v>969</v>
      </c>
      <c r="I355" t="s">
        <v>970</v>
      </c>
      <c r="J355" t="s">
        <v>971</v>
      </c>
      <c r="K355" t="s">
        <v>972</v>
      </c>
      <c r="L355">
        <v>7859.39</v>
      </c>
      <c r="M355">
        <f t="shared" si="5"/>
        <v>104084.03</v>
      </c>
    </row>
    <row r="356" spans="1:13" x14ac:dyDescent="0.25">
      <c r="A356" t="s">
        <v>108</v>
      </c>
      <c r="B356" t="s">
        <v>2012</v>
      </c>
      <c r="C356" t="s">
        <v>975</v>
      </c>
      <c r="D356" t="s">
        <v>2013</v>
      </c>
      <c r="E356" t="s">
        <v>977</v>
      </c>
      <c r="F356" t="s">
        <v>967</v>
      </c>
      <c r="G356" t="s">
        <v>968</v>
      </c>
      <c r="H356" t="s">
        <v>969</v>
      </c>
      <c r="I356" t="s">
        <v>970</v>
      </c>
      <c r="J356" t="s">
        <v>971</v>
      </c>
      <c r="K356" t="s">
        <v>972</v>
      </c>
      <c r="L356">
        <v>7859.39</v>
      </c>
      <c r="M356">
        <f t="shared" si="5"/>
        <v>104084.03</v>
      </c>
    </row>
    <row r="357" spans="1:13" x14ac:dyDescent="0.25">
      <c r="A357" t="s">
        <v>78</v>
      </c>
      <c r="B357" t="s">
        <v>2014</v>
      </c>
      <c r="C357" t="s">
        <v>975</v>
      </c>
      <c r="D357" t="s">
        <v>2013</v>
      </c>
      <c r="E357" t="s">
        <v>977</v>
      </c>
      <c r="F357" t="s">
        <v>967</v>
      </c>
      <c r="G357" t="s">
        <v>968</v>
      </c>
      <c r="H357" t="s">
        <v>969</v>
      </c>
      <c r="I357" t="s">
        <v>970</v>
      </c>
      <c r="J357" t="s">
        <v>971</v>
      </c>
      <c r="K357" t="s">
        <v>972</v>
      </c>
      <c r="L357">
        <v>7859.39</v>
      </c>
      <c r="M357">
        <f t="shared" si="5"/>
        <v>104084.03</v>
      </c>
    </row>
    <row r="358" spans="1:13" x14ac:dyDescent="0.25">
      <c r="A358" t="s">
        <v>155</v>
      </c>
      <c r="B358" t="s">
        <v>2018</v>
      </c>
      <c r="C358" t="s">
        <v>975</v>
      </c>
      <c r="D358" t="s">
        <v>2013</v>
      </c>
      <c r="E358" t="s">
        <v>977</v>
      </c>
      <c r="F358" t="s">
        <v>967</v>
      </c>
      <c r="G358" t="s">
        <v>968</v>
      </c>
      <c r="H358" t="s">
        <v>969</v>
      </c>
      <c r="I358" t="s">
        <v>970</v>
      </c>
      <c r="J358" t="s">
        <v>971</v>
      </c>
      <c r="K358" t="s">
        <v>972</v>
      </c>
      <c r="L358">
        <v>7859.39</v>
      </c>
      <c r="M358">
        <f t="shared" si="5"/>
        <v>104084.03</v>
      </c>
    </row>
    <row r="359" spans="1:13" x14ac:dyDescent="0.25">
      <c r="A359" t="s">
        <v>622</v>
      </c>
      <c r="B359" t="s">
        <v>2001</v>
      </c>
      <c r="C359" t="s">
        <v>975</v>
      </c>
      <c r="D359" t="s">
        <v>1650</v>
      </c>
      <c r="E359" t="s">
        <v>977</v>
      </c>
      <c r="F359" t="s">
        <v>967</v>
      </c>
      <c r="G359" t="s">
        <v>968</v>
      </c>
      <c r="H359" t="s">
        <v>969</v>
      </c>
      <c r="I359" t="s">
        <v>970</v>
      </c>
      <c r="J359" t="s">
        <v>971</v>
      </c>
      <c r="K359" t="s">
        <v>972</v>
      </c>
      <c r="L359">
        <v>8638.58</v>
      </c>
      <c r="M359">
        <f t="shared" si="5"/>
        <v>104084.03</v>
      </c>
    </row>
    <row r="360" spans="1:13" x14ac:dyDescent="0.25">
      <c r="A360" t="s">
        <v>923</v>
      </c>
      <c r="B360" t="s">
        <v>2002</v>
      </c>
      <c r="C360" t="s">
        <v>975</v>
      </c>
      <c r="D360" t="s">
        <v>1650</v>
      </c>
      <c r="E360" t="s">
        <v>977</v>
      </c>
      <c r="F360" t="s">
        <v>967</v>
      </c>
      <c r="G360" t="s">
        <v>968</v>
      </c>
      <c r="H360" t="s">
        <v>969</v>
      </c>
      <c r="I360" t="s">
        <v>970</v>
      </c>
      <c r="J360" t="s">
        <v>971</v>
      </c>
      <c r="K360" t="s">
        <v>972</v>
      </c>
      <c r="L360">
        <v>8638.58</v>
      </c>
      <c r="M360">
        <f t="shared" si="5"/>
        <v>104084.03</v>
      </c>
    </row>
    <row r="361" spans="1:13" x14ac:dyDescent="0.25">
      <c r="A361" t="s">
        <v>741</v>
      </c>
      <c r="B361" t="s">
        <v>2000</v>
      </c>
      <c r="C361" t="s">
        <v>975</v>
      </c>
      <c r="D361" t="s">
        <v>1650</v>
      </c>
      <c r="E361" t="s">
        <v>977</v>
      </c>
      <c r="F361" t="s">
        <v>967</v>
      </c>
      <c r="G361" t="s">
        <v>968</v>
      </c>
      <c r="H361" t="s">
        <v>969</v>
      </c>
      <c r="I361" t="s">
        <v>970</v>
      </c>
      <c r="J361" t="s">
        <v>971</v>
      </c>
      <c r="K361" t="s">
        <v>972</v>
      </c>
      <c r="L361">
        <v>8638.58</v>
      </c>
      <c r="M361">
        <f t="shared" si="5"/>
        <v>104084.03</v>
      </c>
    </row>
    <row r="362" spans="1:13" x14ac:dyDescent="0.25">
      <c r="A362" t="s">
        <v>860</v>
      </c>
      <c r="B362" t="s">
        <v>2218</v>
      </c>
      <c r="C362" t="s">
        <v>975</v>
      </c>
      <c r="D362" t="s">
        <v>2110</v>
      </c>
      <c r="E362" t="s">
        <v>980</v>
      </c>
      <c r="F362" t="s">
        <v>967</v>
      </c>
      <c r="G362" t="s">
        <v>968</v>
      </c>
      <c r="H362" t="s">
        <v>969</v>
      </c>
      <c r="I362" t="s">
        <v>970</v>
      </c>
      <c r="J362" t="s">
        <v>971</v>
      </c>
      <c r="K362" t="s">
        <v>972</v>
      </c>
      <c r="L362">
        <v>2354.87</v>
      </c>
      <c r="M362">
        <f t="shared" si="5"/>
        <v>43092.03</v>
      </c>
    </row>
    <row r="363" spans="1:13" x14ac:dyDescent="0.25">
      <c r="A363" t="s">
        <v>860</v>
      </c>
      <c r="B363" t="s">
        <v>2219</v>
      </c>
      <c r="C363" t="s">
        <v>975</v>
      </c>
      <c r="D363" t="s">
        <v>2110</v>
      </c>
      <c r="E363" t="s">
        <v>980</v>
      </c>
      <c r="F363" t="s">
        <v>967</v>
      </c>
      <c r="G363" t="s">
        <v>968</v>
      </c>
      <c r="H363" t="s">
        <v>969</v>
      </c>
      <c r="I363" t="s">
        <v>970</v>
      </c>
      <c r="J363" t="s">
        <v>971</v>
      </c>
      <c r="K363" t="s">
        <v>972</v>
      </c>
      <c r="L363">
        <v>2354.87</v>
      </c>
      <c r="M363">
        <f t="shared" si="5"/>
        <v>43092.03</v>
      </c>
    </row>
    <row r="364" spans="1:13" x14ac:dyDescent="0.25">
      <c r="A364" t="s">
        <v>567</v>
      </c>
      <c r="B364" t="s">
        <v>2074</v>
      </c>
      <c r="C364" t="s">
        <v>964</v>
      </c>
      <c r="D364" t="s">
        <v>1875</v>
      </c>
      <c r="E364" t="s">
        <v>980</v>
      </c>
      <c r="F364" t="s">
        <v>967</v>
      </c>
      <c r="G364" t="s">
        <v>968</v>
      </c>
      <c r="H364" t="s">
        <v>969</v>
      </c>
      <c r="I364" t="s">
        <v>970</v>
      </c>
      <c r="J364" t="s">
        <v>971</v>
      </c>
      <c r="K364" t="s">
        <v>972</v>
      </c>
      <c r="L364">
        <v>5637.43</v>
      </c>
      <c r="M364">
        <f t="shared" si="5"/>
        <v>43092.03</v>
      </c>
    </row>
    <row r="365" spans="1:13" x14ac:dyDescent="0.25">
      <c r="A365" t="s">
        <v>567</v>
      </c>
      <c r="B365" t="s">
        <v>2075</v>
      </c>
      <c r="C365" t="s">
        <v>964</v>
      </c>
      <c r="D365" t="s">
        <v>1875</v>
      </c>
      <c r="E365" t="s">
        <v>980</v>
      </c>
      <c r="F365" t="s">
        <v>967</v>
      </c>
      <c r="G365" t="s">
        <v>968</v>
      </c>
      <c r="H365" t="s">
        <v>969</v>
      </c>
      <c r="I365" t="s">
        <v>970</v>
      </c>
      <c r="J365" t="s">
        <v>971</v>
      </c>
      <c r="K365" t="s">
        <v>972</v>
      </c>
      <c r="L365">
        <v>5637.43</v>
      </c>
      <c r="M365">
        <f t="shared" si="5"/>
        <v>43092.03</v>
      </c>
    </row>
    <row r="366" spans="1:13" x14ac:dyDescent="0.25">
      <c r="A366" t="s">
        <v>567</v>
      </c>
      <c r="B366" t="s">
        <v>2076</v>
      </c>
      <c r="C366" t="s">
        <v>964</v>
      </c>
      <c r="D366" t="s">
        <v>1875</v>
      </c>
      <c r="E366" t="s">
        <v>980</v>
      </c>
      <c r="F366" t="s">
        <v>967</v>
      </c>
      <c r="G366" t="s">
        <v>968</v>
      </c>
      <c r="H366" t="s">
        <v>969</v>
      </c>
      <c r="I366" t="s">
        <v>970</v>
      </c>
      <c r="J366" t="s">
        <v>971</v>
      </c>
      <c r="K366" t="s">
        <v>972</v>
      </c>
      <c r="L366">
        <v>5637.43</v>
      </c>
      <c r="M366">
        <f t="shared" si="5"/>
        <v>43092.03</v>
      </c>
    </row>
    <row r="367" spans="1:13" x14ac:dyDescent="0.25">
      <c r="A367" t="s">
        <v>25</v>
      </c>
      <c r="B367" t="s">
        <v>2090</v>
      </c>
      <c r="C367" t="s">
        <v>975</v>
      </c>
      <c r="D367" t="s">
        <v>2078</v>
      </c>
      <c r="E367" t="s">
        <v>977</v>
      </c>
      <c r="F367" t="s">
        <v>967</v>
      </c>
      <c r="G367" t="s">
        <v>968</v>
      </c>
      <c r="H367" t="s">
        <v>969</v>
      </c>
      <c r="I367" t="s">
        <v>970</v>
      </c>
      <c r="J367" t="s">
        <v>971</v>
      </c>
      <c r="K367" t="s">
        <v>972</v>
      </c>
      <c r="L367">
        <v>5367.51</v>
      </c>
      <c r="M367">
        <f t="shared" si="5"/>
        <v>43092.03</v>
      </c>
    </row>
    <row r="368" spans="1:13" x14ac:dyDescent="0.25">
      <c r="A368" t="s">
        <v>25</v>
      </c>
      <c r="B368" t="s">
        <v>2091</v>
      </c>
      <c r="C368" t="s">
        <v>975</v>
      </c>
      <c r="D368" t="s">
        <v>2078</v>
      </c>
      <c r="E368" t="s">
        <v>977</v>
      </c>
      <c r="F368" t="s">
        <v>967</v>
      </c>
      <c r="G368" t="s">
        <v>968</v>
      </c>
      <c r="H368" t="s">
        <v>969</v>
      </c>
      <c r="I368" t="s">
        <v>970</v>
      </c>
      <c r="J368" t="s">
        <v>971</v>
      </c>
      <c r="K368" t="s">
        <v>972</v>
      </c>
      <c r="L368">
        <v>5367.51</v>
      </c>
      <c r="M368">
        <f t="shared" si="5"/>
        <v>43092.03</v>
      </c>
    </row>
    <row r="369" spans="1:13" x14ac:dyDescent="0.25">
      <c r="A369" t="s">
        <v>25</v>
      </c>
      <c r="B369" t="s">
        <v>2090</v>
      </c>
      <c r="C369" t="s">
        <v>975</v>
      </c>
      <c r="D369" t="s">
        <v>2078</v>
      </c>
      <c r="E369" t="s">
        <v>977</v>
      </c>
      <c r="F369" t="s">
        <v>967</v>
      </c>
      <c r="G369" t="s">
        <v>968</v>
      </c>
      <c r="H369" t="s">
        <v>969</v>
      </c>
      <c r="I369" t="s">
        <v>970</v>
      </c>
      <c r="J369" t="s">
        <v>971</v>
      </c>
      <c r="K369" t="s">
        <v>972</v>
      </c>
      <c r="L369">
        <v>5367.49</v>
      </c>
      <c r="M369">
        <f t="shared" si="5"/>
        <v>43092.03</v>
      </c>
    </row>
    <row r="370" spans="1:13" x14ac:dyDescent="0.25">
      <c r="A370" t="s">
        <v>25</v>
      </c>
      <c r="B370" t="s">
        <v>2091</v>
      </c>
      <c r="C370" t="s">
        <v>975</v>
      </c>
      <c r="D370" t="s">
        <v>2078</v>
      </c>
      <c r="E370" t="s">
        <v>977</v>
      </c>
      <c r="F370" t="s">
        <v>967</v>
      </c>
      <c r="G370" t="s">
        <v>968</v>
      </c>
      <c r="H370" t="s">
        <v>969</v>
      </c>
      <c r="I370" t="s">
        <v>970</v>
      </c>
      <c r="J370" t="s">
        <v>971</v>
      </c>
      <c r="K370" t="s">
        <v>972</v>
      </c>
      <c r="L370">
        <v>5367.49</v>
      </c>
      <c r="M370">
        <f t="shared" si="5"/>
        <v>43092.03</v>
      </c>
    </row>
    <row r="371" spans="1:13" x14ac:dyDescent="0.25">
      <c r="A371" t="s">
        <v>4</v>
      </c>
      <c r="B371" t="s">
        <v>2121</v>
      </c>
      <c r="C371" t="s">
        <v>975</v>
      </c>
      <c r="D371" t="s">
        <v>1650</v>
      </c>
      <c r="E371" t="s">
        <v>977</v>
      </c>
      <c r="F371" t="s">
        <v>967</v>
      </c>
      <c r="G371" t="s">
        <v>968</v>
      </c>
      <c r="H371" t="s">
        <v>969</v>
      </c>
      <c r="I371" t="s">
        <v>970</v>
      </c>
      <c r="J371" t="s">
        <v>971</v>
      </c>
      <c r="K371" t="s">
        <v>972</v>
      </c>
      <c r="L371">
        <v>4647.16</v>
      </c>
      <c r="M371">
        <f t="shared" si="5"/>
        <v>4647.16</v>
      </c>
    </row>
    <row r="372" spans="1:13" x14ac:dyDescent="0.25">
      <c r="A372" t="s">
        <v>278</v>
      </c>
      <c r="B372" t="s">
        <v>1745</v>
      </c>
      <c r="C372" t="s">
        <v>975</v>
      </c>
      <c r="D372" t="s">
        <v>1744</v>
      </c>
      <c r="E372" t="s">
        <v>977</v>
      </c>
      <c r="F372" t="s">
        <v>967</v>
      </c>
      <c r="G372" t="s">
        <v>968</v>
      </c>
      <c r="H372" t="s">
        <v>969</v>
      </c>
      <c r="I372" t="s">
        <v>970</v>
      </c>
      <c r="J372" t="s">
        <v>971</v>
      </c>
      <c r="K372" t="s">
        <v>972</v>
      </c>
      <c r="L372">
        <v>19028.57</v>
      </c>
      <c r="M372">
        <f t="shared" si="5"/>
        <v>64151.44</v>
      </c>
    </row>
    <row r="373" spans="1:13" x14ac:dyDescent="0.25">
      <c r="A373" t="s">
        <v>185</v>
      </c>
      <c r="B373" t="s">
        <v>1743</v>
      </c>
      <c r="C373" t="s">
        <v>975</v>
      </c>
      <c r="D373" t="s">
        <v>1744</v>
      </c>
      <c r="E373" t="s">
        <v>977</v>
      </c>
      <c r="F373" t="s">
        <v>967</v>
      </c>
      <c r="G373" t="s">
        <v>968</v>
      </c>
      <c r="H373" t="s">
        <v>969</v>
      </c>
      <c r="I373" t="s">
        <v>970</v>
      </c>
      <c r="J373" t="s">
        <v>971</v>
      </c>
      <c r="K373" t="s">
        <v>972</v>
      </c>
      <c r="L373">
        <v>19028.57</v>
      </c>
      <c r="M373">
        <f t="shared" si="5"/>
        <v>64151.44</v>
      </c>
    </row>
    <row r="374" spans="1:13" x14ac:dyDescent="0.25">
      <c r="A374" t="s">
        <v>821</v>
      </c>
      <c r="B374" t="s">
        <v>1746</v>
      </c>
      <c r="C374" t="s">
        <v>975</v>
      </c>
      <c r="D374" t="s">
        <v>1744</v>
      </c>
      <c r="E374" t="s">
        <v>977</v>
      </c>
      <c r="F374" t="s">
        <v>967</v>
      </c>
      <c r="G374" t="s">
        <v>968</v>
      </c>
      <c r="H374" t="s">
        <v>969</v>
      </c>
      <c r="I374" t="s">
        <v>970</v>
      </c>
      <c r="J374" t="s">
        <v>971</v>
      </c>
      <c r="K374" t="s">
        <v>972</v>
      </c>
      <c r="L374">
        <v>19028.57</v>
      </c>
      <c r="M374">
        <f t="shared" si="5"/>
        <v>64151.44</v>
      </c>
    </row>
    <row r="375" spans="1:13" x14ac:dyDescent="0.25">
      <c r="A375" t="s">
        <v>440</v>
      </c>
      <c r="B375" t="s">
        <v>2053</v>
      </c>
      <c r="C375" t="s">
        <v>964</v>
      </c>
      <c r="D375" t="s">
        <v>1875</v>
      </c>
      <c r="E375" t="s">
        <v>977</v>
      </c>
      <c r="F375" t="s">
        <v>967</v>
      </c>
      <c r="G375" t="s">
        <v>968</v>
      </c>
      <c r="H375" t="s">
        <v>969</v>
      </c>
      <c r="I375" t="s">
        <v>970</v>
      </c>
      <c r="J375" t="s">
        <v>971</v>
      </c>
      <c r="K375" t="s">
        <v>972</v>
      </c>
      <c r="L375">
        <v>7065.73</v>
      </c>
      <c r="M375">
        <f t="shared" si="5"/>
        <v>64151.44</v>
      </c>
    </row>
    <row r="376" spans="1:13" x14ac:dyDescent="0.25">
      <c r="A376" t="s">
        <v>113</v>
      </c>
      <c r="B376" t="s">
        <v>2513</v>
      </c>
      <c r="C376" t="s">
        <v>988</v>
      </c>
      <c r="D376" t="s">
        <v>2078</v>
      </c>
      <c r="E376" t="s">
        <v>977</v>
      </c>
      <c r="F376" t="s">
        <v>967</v>
      </c>
      <c r="G376" t="s">
        <v>968</v>
      </c>
      <c r="H376" t="s">
        <v>969</v>
      </c>
      <c r="I376" t="s">
        <v>970</v>
      </c>
      <c r="J376" t="s">
        <v>971</v>
      </c>
      <c r="K376" t="s">
        <v>972</v>
      </c>
      <c r="L376">
        <v>204.61</v>
      </c>
      <c r="M376">
        <f t="shared" si="5"/>
        <v>12163.84</v>
      </c>
    </row>
    <row r="377" spans="1:13" x14ac:dyDescent="0.25">
      <c r="A377" t="s">
        <v>44</v>
      </c>
      <c r="B377" t="s">
        <v>2070</v>
      </c>
      <c r="C377" t="s">
        <v>964</v>
      </c>
      <c r="D377" t="s">
        <v>1744</v>
      </c>
      <c r="E377" t="s">
        <v>980</v>
      </c>
      <c r="F377" t="s">
        <v>967</v>
      </c>
      <c r="G377" t="s">
        <v>968</v>
      </c>
      <c r="H377" t="s">
        <v>969</v>
      </c>
      <c r="I377" t="s">
        <v>970</v>
      </c>
      <c r="J377" t="s">
        <v>971</v>
      </c>
      <c r="K377" t="s">
        <v>972</v>
      </c>
      <c r="L377">
        <v>5974.49</v>
      </c>
      <c r="M377">
        <f t="shared" si="5"/>
        <v>12163.84</v>
      </c>
    </row>
    <row r="378" spans="1:13" x14ac:dyDescent="0.25">
      <c r="A378" t="s">
        <v>922</v>
      </c>
      <c r="B378" t="s">
        <v>2069</v>
      </c>
      <c r="C378" t="s">
        <v>964</v>
      </c>
      <c r="D378" t="s">
        <v>1875</v>
      </c>
      <c r="E378" t="s">
        <v>977</v>
      </c>
      <c r="F378" t="s">
        <v>967</v>
      </c>
      <c r="G378" t="s">
        <v>968</v>
      </c>
      <c r="H378" t="s">
        <v>969</v>
      </c>
      <c r="I378" t="s">
        <v>970</v>
      </c>
      <c r="J378" t="s">
        <v>971</v>
      </c>
      <c r="K378" t="s">
        <v>972</v>
      </c>
      <c r="L378">
        <v>5984.74</v>
      </c>
      <c r="M378">
        <f t="shared" si="5"/>
        <v>12163.84</v>
      </c>
    </row>
    <row r="379" spans="1:13" x14ac:dyDescent="0.25">
      <c r="A379" t="s">
        <v>453</v>
      </c>
      <c r="B379" t="s">
        <v>1946</v>
      </c>
      <c r="C379" t="s">
        <v>975</v>
      </c>
      <c r="D379" t="s">
        <v>1589</v>
      </c>
      <c r="E379" t="s">
        <v>980</v>
      </c>
      <c r="F379" t="s">
        <v>967</v>
      </c>
      <c r="G379" t="s">
        <v>968</v>
      </c>
      <c r="H379" t="s">
        <v>969</v>
      </c>
      <c r="I379" t="s">
        <v>970</v>
      </c>
      <c r="J379" t="s">
        <v>971</v>
      </c>
      <c r="K379" t="s">
        <v>972</v>
      </c>
      <c r="L379">
        <v>10525.83</v>
      </c>
      <c r="M379">
        <f t="shared" si="5"/>
        <v>10525.83</v>
      </c>
    </row>
    <row r="380" spans="1:13" x14ac:dyDescent="0.25">
      <c r="A380" t="s">
        <v>176</v>
      </c>
      <c r="B380" t="s">
        <v>2071</v>
      </c>
      <c r="C380" t="s">
        <v>964</v>
      </c>
      <c r="D380" t="s">
        <v>1875</v>
      </c>
      <c r="E380" t="s">
        <v>966</v>
      </c>
      <c r="F380" t="s">
        <v>967</v>
      </c>
      <c r="G380" t="s">
        <v>968</v>
      </c>
      <c r="H380" t="s">
        <v>969</v>
      </c>
      <c r="I380" t="s">
        <v>970</v>
      </c>
      <c r="J380" t="s">
        <v>971</v>
      </c>
      <c r="K380" t="s">
        <v>972</v>
      </c>
      <c r="L380">
        <v>5931.71</v>
      </c>
      <c r="M380">
        <f t="shared" si="5"/>
        <v>12082.150000000001</v>
      </c>
    </row>
    <row r="381" spans="1:13" x14ac:dyDescent="0.25">
      <c r="A381" t="s">
        <v>863</v>
      </c>
      <c r="B381" t="s">
        <v>2073</v>
      </c>
      <c r="C381" t="s">
        <v>975</v>
      </c>
      <c r="D381" t="s">
        <v>1875</v>
      </c>
      <c r="E381" t="s">
        <v>977</v>
      </c>
      <c r="F381" t="s">
        <v>967</v>
      </c>
      <c r="G381" t="s">
        <v>968</v>
      </c>
      <c r="H381" t="s">
        <v>969</v>
      </c>
      <c r="I381" t="s">
        <v>970</v>
      </c>
      <c r="J381" t="s">
        <v>971</v>
      </c>
      <c r="K381" t="s">
        <v>972</v>
      </c>
      <c r="L381">
        <v>5905.33</v>
      </c>
      <c r="M381">
        <f t="shared" si="5"/>
        <v>12082.150000000001</v>
      </c>
    </row>
    <row r="382" spans="1:13" x14ac:dyDescent="0.25">
      <c r="A382" t="s">
        <v>690</v>
      </c>
      <c r="B382" t="s">
        <v>2504</v>
      </c>
      <c r="C382" t="s">
        <v>988</v>
      </c>
      <c r="D382" t="s">
        <v>1744</v>
      </c>
      <c r="E382" t="s">
        <v>980</v>
      </c>
      <c r="F382" t="s">
        <v>967</v>
      </c>
      <c r="G382" t="s">
        <v>968</v>
      </c>
      <c r="H382" t="s">
        <v>969</v>
      </c>
      <c r="I382" t="s">
        <v>970</v>
      </c>
      <c r="J382" t="s">
        <v>971</v>
      </c>
      <c r="K382" t="s">
        <v>972</v>
      </c>
      <c r="L382">
        <v>245.11</v>
      </c>
      <c r="M382">
        <f t="shared" si="5"/>
        <v>12082.150000000001</v>
      </c>
    </row>
    <row r="383" spans="1:13" x14ac:dyDescent="0.25">
      <c r="A383" t="s">
        <v>131</v>
      </c>
      <c r="B383" t="s">
        <v>2088</v>
      </c>
      <c r="C383" t="s">
        <v>1400</v>
      </c>
      <c r="D383" t="s">
        <v>1875</v>
      </c>
      <c r="E383" t="s">
        <v>977</v>
      </c>
      <c r="F383" t="s">
        <v>967</v>
      </c>
      <c r="G383" t="s">
        <v>968</v>
      </c>
      <c r="H383" t="s">
        <v>969</v>
      </c>
      <c r="I383" t="s">
        <v>970</v>
      </c>
      <c r="J383" t="s">
        <v>971</v>
      </c>
      <c r="K383" t="s">
        <v>972</v>
      </c>
      <c r="L383">
        <v>5406.42</v>
      </c>
      <c r="M383">
        <f t="shared" si="5"/>
        <v>5406.42</v>
      </c>
    </row>
    <row r="384" spans="1:13" x14ac:dyDescent="0.25">
      <c r="A384" t="s">
        <v>938</v>
      </c>
      <c r="B384" t="s">
        <v>1876</v>
      </c>
      <c r="C384" t="s">
        <v>975</v>
      </c>
      <c r="D384" t="s">
        <v>1875</v>
      </c>
      <c r="E384" t="s">
        <v>977</v>
      </c>
      <c r="F384" t="s">
        <v>967</v>
      </c>
      <c r="G384" t="s">
        <v>968</v>
      </c>
      <c r="H384" t="s">
        <v>969</v>
      </c>
      <c r="I384" t="s">
        <v>970</v>
      </c>
      <c r="J384" t="s">
        <v>971</v>
      </c>
      <c r="K384" t="s">
        <v>972</v>
      </c>
      <c r="L384">
        <v>13018.25</v>
      </c>
      <c r="M384">
        <f t="shared" si="5"/>
        <v>132796.82999999999</v>
      </c>
    </row>
    <row r="385" spans="1:13" x14ac:dyDescent="0.25">
      <c r="A385" t="s">
        <v>390</v>
      </c>
      <c r="B385" t="s">
        <v>1874</v>
      </c>
      <c r="C385" t="s">
        <v>975</v>
      </c>
      <c r="D385" t="s">
        <v>1875</v>
      </c>
      <c r="E385" t="s">
        <v>977</v>
      </c>
      <c r="F385" t="s">
        <v>967</v>
      </c>
      <c r="G385" t="s">
        <v>968</v>
      </c>
      <c r="H385" t="s">
        <v>969</v>
      </c>
      <c r="I385" t="s">
        <v>970</v>
      </c>
      <c r="J385" t="s">
        <v>971</v>
      </c>
      <c r="K385" t="s">
        <v>972</v>
      </c>
      <c r="L385">
        <v>13018.25</v>
      </c>
      <c r="M385">
        <f t="shared" si="5"/>
        <v>132796.82999999999</v>
      </c>
    </row>
    <row r="386" spans="1:13" x14ac:dyDescent="0.25">
      <c r="A386" t="s">
        <v>346</v>
      </c>
      <c r="B386" t="s">
        <v>2492</v>
      </c>
      <c r="C386" t="s">
        <v>988</v>
      </c>
      <c r="D386" t="s">
        <v>2048</v>
      </c>
      <c r="E386" t="s">
        <v>977</v>
      </c>
      <c r="F386" t="s">
        <v>967</v>
      </c>
      <c r="G386" t="s">
        <v>968</v>
      </c>
      <c r="H386" t="s">
        <v>969</v>
      </c>
      <c r="I386" t="s">
        <v>970</v>
      </c>
      <c r="J386" t="s">
        <v>971</v>
      </c>
      <c r="K386" t="s">
        <v>972</v>
      </c>
      <c r="L386">
        <v>288.91000000000003</v>
      </c>
      <c r="M386">
        <f t="shared" si="5"/>
        <v>132796.82999999999</v>
      </c>
    </row>
    <row r="387" spans="1:13" x14ac:dyDescent="0.25">
      <c r="A387" t="s">
        <v>650</v>
      </c>
      <c r="B387" t="s">
        <v>1591</v>
      </c>
      <c r="C387" t="s">
        <v>975</v>
      </c>
      <c r="D387" t="s">
        <v>1589</v>
      </c>
      <c r="E387" t="s">
        <v>977</v>
      </c>
      <c r="F387" t="s">
        <v>967</v>
      </c>
      <c r="G387" t="s">
        <v>968</v>
      </c>
      <c r="H387" t="s">
        <v>969</v>
      </c>
      <c r="I387" t="s">
        <v>970</v>
      </c>
      <c r="J387" t="s">
        <v>971</v>
      </c>
      <c r="K387" t="s">
        <v>972</v>
      </c>
      <c r="L387">
        <v>26617.85</v>
      </c>
      <c r="M387">
        <f t="shared" ref="M387:M450" si="6">+SUMIF(A:A,A387,L:L)</f>
        <v>132796.82999999999</v>
      </c>
    </row>
    <row r="388" spans="1:13" x14ac:dyDescent="0.25">
      <c r="A388" t="s">
        <v>650</v>
      </c>
      <c r="B388" t="s">
        <v>1592</v>
      </c>
      <c r="C388" t="s">
        <v>975</v>
      </c>
      <c r="D388" t="s">
        <v>1589</v>
      </c>
      <c r="E388" t="s">
        <v>977</v>
      </c>
      <c r="F388" t="s">
        <v>967</v>
      </c>
      <c r="G388" t="s">
        <v>968</v>
      </c>
      <c r="H388" t="s">
        <v>969</v>
      </c>
      <c r="I388" t="s">
        <v>970</v>
      </c>
      <c r="J388" t="s">
        <v>971</v>
      </c>
      <c r="K388" t="s">
        <v>972</v>
      </c>
      <c r="L388">
        <v>26617.85</v>
      </c>
      <c r="M388">
        <f t="shared" si="6"/>
        <v>132796.82999999999</v>
      </c>
    </row>
    <row r="389" spans="1:13" x14ac:dyDescent="0.25">
      <c r="A389" t="s">
        <v>813</v>
      </c>
      <c r="B389" t="s">
        <v>1588</v>
      </c>
      <c r="C389" t="s">
        <v>975</v>
      </c>
      <c r="D389" t="s">
        <v>1589</v>
      </c>
      <c r="E389" t="s">
        <v>977</v>
      </c>
      <c r="F389" t="s">
        <v>967</v>
      </c>
      <c r="G389" t="s">
        <v>968</v>
      </c>
      <c r="H389" t="s">
        <v>969</v>
      </c>
      <c r="I389" t="s">
        <v>970</v>
      </c>
      <c r="J389" t="s">
        <v>971</v>
      </c>
      <c r="K389" t="s">
        <v>972</v>
      </c>
      <c r="L389">
        <v>26617.86</v>
      </c>
      <c r="M389">
        <f t="shared" si="6"/>
        <v>132796.82999999999</v>
      </c>
    </row>
    <row r="390" spans="1:13" x14ac:dyDescent="0.25">
      <c r="A390" t="s">
        <v>813</v>
      </c>
      <c r="B390" t="s">
        <v>1590</v>
      </c>
      <c r="C390" t="s">
        <v>975</v>
      </c>
      <c r="D390" t="s">
        <v>1589</v>
      </c>
      <c r="E390" t="s">
        <v>977</v>
      </c>
      <c r="F390" t="s">
        <v>967</v>
      </c>
      <c r="G390" t="s">
        <v>968</v>
      </c>
      <c r="H390" t="s">
        <v>969</v>
      </c>
      <c r="I390" t="s">
        <v>970</v>
      </c>
      <c r="J390" t="s">
        <v>971</v>
      </c>
      <c r="K390" t="s">
        <v>972</v>
      </c>
      <c r="L390">
        <v>26617.86</v>
      </c>
      <c r="M390">
        <f t="shared" si="6"/>
        <v>132796.82999999999</v>
      </c>
    </row>
    <row r="391" spans="1:13" x14ac:dyDescent="0.25">
      <c r="A391" t="s">
        <v>434</v>
      </c>
      <c r="B391" t="s">
        <v>2481</v>
      </c>
      <c r="C391" t="s">
        <v>988</v>
      </c>
      <c r="D391" t="s">
        <v>1808</v>
      </c>
      <c r="E391" t="s">
        <v>1799</v>
      </c>
      <c r="F391" t="s">
        <v>967</v>
      </c>
      <c r="G391" t="s">
        <v>968</v>
      </c>
      <c r="H391" t="s">
        <v>969</v>
      </c>
      <c r="I391" t="s">
        <v>970</v>
      </c>
      <c r="J391" t="s">
        <v>971</v>
      </c>
      <c r="K391" t="s">
        <v>972</v>
      </c>
      <c r="L391">
        <v>349.28</v>
      </c>
      <c r="M391">
        <f t="shared" si="6"/>
        <v>5636.73</v>
      </c>
    </row>
    <row r="392" spans="1:13" x14ac:dyDescent="0.25">
      <c r="A392" t="s">
        <v>787</v>
      </c>
      <c r="B392" t="s">
        <v>2103</v>
      </c>
      <c r="C392" t="s">
        <v>975</v>
      </c>
      <c r="D392" t="s">
        <v>1875</v>
      </c>
      <c r="E392" t="s">
        <v>977</v>
      </c>
      <c r="F392" t="s">
        <v>967</v>
      </c>
      <c r="G392" t="s">
        <v>968</v>
      </c>
      <c r="H392" t="s">
        <v>969</v>
      </c>
      <c r="I392" t="s">
        <v>970</v>
      </c>
      <c r="J392" t="s">
        <v>971</v>
      </c>
      <c r="K392" t="s">
        <v>972</v>
      </c>
      <c r="L392">
        <v>5287.45</v>
      </c>
      <c r="M392">
        <f t="shared" si="6"/>
        <v>5636.73</v>
      </c>
    </row>
    <row r="393" spans="1:13" x14ac:dyDescent="0.25">
      <c r="A393" t="s">
        <v>288</v>
      </c>
      <c r="B393" t="s">
        <v>2055</v>
      </c>
      <c r="C393" t="s">
        <v>975</v>
      </c>
      <c r="D393" t="s">
        <v>1589</v>
      </c>
      <c r="E393" t="s">
        <v>980</v>
      </c>
      <c r="F393" t="s">
        <v>967</v>
      </c>
      <c r="G393" t="s">
        <v>968</v>
      </c>
      <c r="H393" t="s">
        <v>969</v>
      </c>
      <c r="I393" t="s">
        <v>970</v>
      </c>
      <c r="J393" t="s">
        <v>971</v>
      </c>
      <c r="K393" t="s">
        <v>972</v>
      </c>
      <c r="L393">
        <v>7039.39</v>
      </c>
      <c r="M393">
        <f t="shared" si="6"/>
        <v>21547.370000000003</v>
      </c>
    </row>
    <row r="394" spans="1:13" x14ac:dyDescent="0.25">
      <c r="A394" t="s">
        <v>747</v>
      </c>
      <c r="B394" t="s">
        <v>2047</v>
      </c>
      <c r="C394" t="s">
        <v>975</v>
      </c>
      <c r="D394" t="s">
        <v>2048</v>
      </c>
      <c r="E394" t="s">
        <v>977</v>
      </c>
      <c r="F394" t="s">
        <v>967</v>
      </c>
      <c r="G394" t="s">
        <v>968</v>
      </c>
      <c r="H394" t="s">
        <v>969</v>
      </c>
      <c r="I394" t="s">
        <v>970</v>
      </c>
      <c r="J394" t="s">
        <v>971</v>
      </c>
      <c r="K394" t="s">
        <v>972</v>
      </c>
      <c r="L394">
        <v>7253.99</v>
      </c>
      <c r="M394">
        <f t="shared" si="6"/>
        <v>21547.370000000003</v>
      </c>
    </row>
    <row r="395" spans="1:13" x14ac:dyDescent="0.25">
      <c r="A395" t="s">
        <v>747</v>
      </c>
      <c r="B395" t="s">
        <v>2049</v>
      </c>
      <c r="C395" t="s">
        <v>975</v>
      </c>
      <c r="D395" t="s">
        <v>2048</v>
      </c>
      <c r="E395" t="s">
        <v>977</v>
      </c>
      <c r="F395" t="s">
        <v>967</v>
      </c>
      <c r="G395" t="s">
        <v>968</v>
      </c>
      <c r="H395" t="s">
        <v>969</v>
      </c>
      <c r="I395" t="s">
        <v>970</v>
      </c>
      <c r="J395" t="s">
        <v>971</v>
      </c>
      <c r="K395" t="s">
        <v>972</v>
      </c>
      <c r="L395">
        <v>7253.99</v>
      </c>
      <c r="M395">
        <f t="shared" si="6"/>
        <v>21547.370000000003</v>
      </c>
    </row>
    <row r="396" spans="1:13" x14ac:dyDescent="0.25">
      <c r="A396" t="s">
        <v>512</v>
      </c>
      <c r="B396" t="s">
        <v>1999</v>
      </c>
      <c r="C396" t="s">
        <v>975</v>
      </c>
      <c r="D396" t="s">
        <v>1589</v>
      </c>
      <c r="E396" t="s">
        <v>980</v>
      </c>
      <c r="F396" t="s">
        <v>967</v>
      </c>
      <c r="G396" t="s">
        <v>968</v>
      </c>
      <c r="H396" t="s">
        <v>969</v>
      </c>
      <c r="I396" t="s">
        <v>970</v>
      </c>
      <c r="J396" t="s">
        <v>971</v>
      </c>
      <c r="K396" t="s">
        <v>972</v>
      </c>
      <c r="L396">
        <v>8701.17</v>
      </c>
      <c r="M396">
        <f t="shared" si="6"/>
        <v>9812.5400000000009</v>
      </c>
    </row>
    <row r="397" spans="1:13" x14ac:dyDescent="0.25">
      <c r="A397" t="s">
        <v>197</v>
      </c>
      <c r="B397" t="s">
        <v>2333</v>
      </c>
      <c r="C397" t="s">
        <v>2171</v>
      </c>
      <c r="D397" t="s">
        <v>2334</v>
      </c>
      <c r="E397" t="s">
        <v>980</v>
      </c>
      <c r="F397" t="s">
        <v>967</v>
      </c>
      <c r="G397" t="s">
        <v>968</v>
      </c>
      <c r="H397" t="s">
        <v>969</v>
      </c>
      <c r="I397" t="s">
        <v>970</v>
      </c>
      <c r="J397" t="s">
        <v>971</v>
      </c>
      <c r="K397" t="s">
        <v>972</v>
      </c>
      <c r="L397">
        <v>1111.3699999999999</v>
      </c>
      <c r="M397">
        <f t="shared" si="6"/>
        <v>9812.5400000000009</v>
      </c>
    </row>
    <row r="398" spans="1:13" x14ac:dyDescent="0.25">
      <c r="A398" t="s">
        <v>473</v>
      </c>
      <c r="B398" t="s">
        <v>1993</v>
      </c>
      <c r="C398" t="s">
        <v>975</v>
      </c>
      <c r="D398" t="s">
        <v>1994</v>
      </c>
      <c r="E398" t="s">
        <v>977</v>
      </c>
      <c r="F398" t="s">
        <v>967</v>
      </c>
      <c r="G398" t="s">
        <v>968</v>
      </c>
      <c r="H398" t="s">
        <v>969</v>
      </c>
      <c r="I398" t="s">
        <v>970</v>
      </c>
      <c r="J398" t="s">
        <v>971</v>
      </c>
      <c r="K398" t="s">
        <v>972</v>
      </c>
      <c r="L398">
        <v>8884.82</v>
      </c>
      <c r="M398">
        <f t="shared" si="6"/>
        <v>17769.64</v>
      </c>
    </row>
    <row r="399" spans="1:13" x14ac:dyDescent="0.25">
      <c r="A399" t="s">
        <v>473</v>
      </c>
      <c r="B399" t="s">
        <v>1995</v>
      </c>
      <c r="C399" t="s">
        <v>975</v>
      </c>
      <c r="D399" t="s">
        <v>1994</v>
      </c>
      <c r="E399" t="s">
        <v>977</v>
      </c>
      <c r="F399" t="s">
        <v>967</v>
      </c>
      <c r="G399" t="s">
        <v>968</v>
      </c>
      <c r="H399" t="s">
        <v>969</v>
      </c>
      <c r="I399" t="s">
        <v>970</v>
      </c>
      <c r="J399" t="s">
        <v>971</v>
      </c>
      <c r="K399" t="s">
        <v>972</v>
      </c>
      <c r="L399">
        <v>8884.82</v>
      </c>
      <c r="M399">
        <f t="shared" si="6"/>
        <v>17769.64</v>
      </c>
    </row>
    <row r="400" spans="1:13" x14ac:dyDescent="0.25">
      <c r="A400" t="s">
        <v>644</v>
      </c>
      <c r="B400" t="s">
        <v>2046</v>
      </c>
      <c r="C400" t="s">
        <v>975</v>
      </c>
      <c r="D400" t="s">
        <v>1997</v>
      </c>
      <c r="E400" t="s">
        <v>977</v>
      </c>
      <c r="F400" t="s">
        <v>967</v>
      </c>
      <c r="G400" t="s">
        <v>968</v>
      </c>
      <c r="H400" t="s">
        <v>969</v>
      </c>
      <c r="I400" t="s">
        <v>970</v>
      </c>
      <c r="J400" t="s">
        <v>971</v>
      </c>
      <c r="K400" t="s">
        <v>972</v>
      </c>
      <c r="L400">
        <v>7325.64</v>
      </c>
      <c r="M400">
        <f t="shared" si="6"/>
        <v>7325.64</v>
      </c>
    </row>
    <row r="401" spans="1:13" x14ac:dyDescent="0.25">
      <c r="A401" t="s">
        <v>364</v>
      </c>
      <c r="B401" t="s">
        <v>1921</v>
      </c>
      <c r="C401" t="s">
        <v>964</v>
      </c>
      <c r="D401" t="s">
        <v>1589</v>
      </c>
      <c r="E401" t="s">
        <v>980</v>
      </c>
      <c r="F401" t="s">
        <v>967</v>
      </c>
      <c r="G401" t="s">
        <v>968</v>
      </c>
      <c r="H401" t="s">
        <v>969</v>
      </c>
      <c r="I401" t="s">
        <v>970</v>
      </c>
      <c r="J401" t="s">
        <v>971</v>
      </c>
      <c r="K401" t="s">
        <v>972</v>
      </c>
      <c r="L401">
        <v>11155.91</v>
      </c>
      <c r="M401">
        <f t="shared" si="6"/>
        <v>21609.15</v>
      </c>
    </row>
    <row r="402" spans="1:13" x14ac:dyDescent="0.25">
      <c r="A402" t="s">
        <v>602</v>
      </c>
      <c r="B402" t="s">
        <v>1947</v>
      </c>
      <c r="C402" t="s">
        <v>964</v>
      </c>
      <c r="D402" t="s">
        <v>1798</v>
      </c>
      <c r="E402" t="s">
        <v>980</v>
      </c>
      <c r="F402" t="s">
        <v>967</v>
      </c>
      <c r="G402" t="s">
        <v>968</v>
      </c>
      <c r="H402" t="s">
        <v>969</v>
      </c>
      <c r="I402" t="s">
        <v>970</v>
      </c>
      <c r="J402" t="s">
        <v>971</v>
      </c>
      <c r="K402" t="s">
        <v>972</v>
      </c>
      <c r="L402">
        <v>10453.24</v>
      </c>
      <c r="M402">
        <f t="shared" si="6"/>
        <v>21609.15</v>
      </c>
    </row>
    <row r="403" spans="1:13" x14ac:dyDescent="0.25">
      <c r="A403" t="s">
        <v>245</v>
      </c>
      <c r="B403" t="s">
        <v>1992</v>
      </c>
      <c r="C403" t="s">
        <v>975</v>
      </c>
      <c r="D403" t="s">
        <v>1798</v>
      </c>
      <c r="E403" t="s">
        <v>977</v>
      </c>
      <c r="F403" t="s">
        <v>967</v>
      </c>
      <c r="G403" t="s">
        <v>968</v>
      </c>
      <c r="H403" t="s">
        <v>969</v>
      </c>
      <c r="I403" t="s">
        <v>970</v>
      </c>
      <c r="J403" t="s">
        <v>971</v>
      </c>
      <c r="K403" t="s">
        <v>972</v>
      </c>
      <c r="L403">
        <v>8933.49</v>
      </c>
      <c r="M403">
        <f t="shared" si="6"/>
        <v>8933.49</v>
      </c>
    </row>
    <row r="404" spans="1:13" x14ac:dyDescent="0.25">
      <c r="A404" t="s">
        <v>905</v>
      </c>
      <c r="B404" t="s">
        <v>1998</v>
      </c>
      <c r="C404" t="s">
        <v>975</v>
      </c>
      <c r="D404" t="s">
        <v>1997</v>
      </c>
      <c r="E404" t="s">
        <v>966</v>
      </c>
      <c r="F404" t="s">
        <v>967</v>
      </c>
      <c r="G404" t="s">
        <v>968</v>
      </c>
      <c r="H404" t="s">
        <v>969</v>
      </c>
      <c r="I404" t="s">
        <v>970</v>
      </c>
      <c r="J404" t="s">
        <v>971</v>
      </c>
      <c r="K404" t="s">
        <v>972</v>
      </c>
      <c r="L404">
        <v>8760.68</v>
      </c>
      <c r="M404">
        <f t="shared" si="6"/>
        <v>34203.870000000003</v>
      </c>
    </row>
    <row r="405" spans="1:13" x14ac:dyDescent="0.25">
      <c r="A405" t="s">
        <v>358</v>
      </c>
      <c r="B405" t="s">
        <v>1996</v>
      </c>
      <c r="C405" t="s">
        <v>975</v>
      </c>
      <c r="D405" t="s">
        <v>1997</v>
      </c>
      <c r="E405" t="s">
        <v>966</v>
      </c>
      <c r="F405" t="s">
        <v>967</v>
      </c>
      <c r="G405" t="s">
        <v>968</v>
      </c>
      <c r="H405" t="s">
        <v>969</v>
      </c>
      <c r="I405" t="s">
        <v>970</v>
      </c>
      <c r="J405" t="s">
        <v>971</v>
      </c>
      <c r="K405" t="s">
        <v>972</v>
      </c>
      <c r="L405">
        <v>8760.68</v>
      </c>
      <c r="M405">
        <f t="shared" si="6"/>
        <v>34203.870000000003</v>
      </c>
    </row>
    <row r="406" spans="1:13" x14ac:dyDescent="0.25">
      <c r="A406" t="s">
        <v>513</v>
      </c>
      <c r="B406" t="s">
        <v>2463</v>
      </c>
      <c r="C406" t="s">
        <v>988</v>
      </c>
      <c r="D406" t="s">
        <v>1798</v>
      </c>
      <c r="E406" t="s">
        <v>977</v>
      </c>
      <c r="F406" t="s">
        <v>967</v>
      </c>
      <c r="G406" t="s">
        <v>968</v>
      </c>
      <c r="H406" t="s">
        <v>969</v>
      </c>
      <c r="I406" t="s">
        <v>970</v>
      </c>
      <c r="J406" t="s">
        <v>971</v>
      </c>
      <c r="K406" t="s">
        <v>972</v>
      </c>
      <c r="L406">
        <v>438.57</v>
      </c>
      <c r="M406">
        <f t="shared" si="6"/>
        <v>34203.870000000003</v>
      </c>
    </row>
    <row r="407" spans="1:13" x14ac:dyDescent="0.25">
      <c r="A407" t="s">
        <v>218</v>
      </c>
      <c r="B407" t="s">
        <v>2008</v>
      </c>
      <c r="C407" t="s">
        <v>975</v>
      </c>
      <c r="D407" t="s">
        <v>1994</v>
      </c>
      <c r="E407" t="s">
        <v>980</v>
      </c>
      <c r="F407" t="s">
        <v>967</v>
      </c>
      <c r="G407" t="s">
        <v>968</v>
      </c>
      <c r="H407" t="s">
        <v>969</v>
      </c>
      <c r="I407" t="s">
        <v>970</v>
      </c>
      <c r="J407" t="s">
        <v>971</v>
      </c>
      <c r="K407" t="s">
        <v>972</v>
      </c>
      <c r="L407">
        <v>8327.26</v>
      </c>
      <c r="M407">
        <f t="shared" si="6"/>
        <v>34203.870000000003</v>
      </c>
    </row>
    <row r="408" spans="1:13" x14ac:dyDescent="0.25">
      <c r="A408" t="s">
        <v>867</v>
      </c>
      <c r="B408" t="s">
        <v>2011</v>
      </c>
      <c r="C408" t="s">
        <v>975</v>
      </c>
      <c r="D408" t="s">
        <v>1994</v>
      </c>
      <c r="E408" t="s">
        <v>980</v>
      </c>
      <c r="F408" t="s">
        <v>967</v>
      </c>
      <c r="G408" t="s">
        <v>968</v>
      </c>
      <c r="H408" t="s">
        <v>969</v>
      </c>
      <c r="I408" t="s">
        <v>970</v>
      </c>
      <c r="J408" t="s">
        <v>971</v>
      </c>
      <c r="K408" t="s">
        <v>972</v>
      </c>
      <c r="L408">
        <v>7916.68</v>
      </c>
      <c r="M408">
        <f t="shared" si="6"/>
        <v>34203.870000000003</v>
      </c>
    </row>
    <row r="409" spans="1:13" x14ac:dyDescent="0.25">
      <c r="A409" t="s">
        <v>937</v>
      </c>
      <c r="B409" t="s">
        <v>1967</v>
      </c>
      <c r="C409" t="s">
        <v>975</v>
      </c>
      <c r="D409" t="s">
        <v>1798</v>
      </c>
      <c r="E409" t="s">
        <v>977</v>
      </c>
      <c r="F409" t="s">
        <v>967</v>
      </c>
      <c r="G409" t="s">
        <v>968</v>
      </c>
      <c r="H409" t="s">
        <v>969</v>
      </c>
      <c r="I409" t="s">
        <v>970</v>
      </c>
      <c r="J409" t="s">
        <v>971</v>
      </c>
      <c r="K409" t="s">
        <v>972</v>
      </c>
      <c r="L409">
        <v>9521.1</v>
      </c>
      <c r="M409">
        <f t="shared" si="6"/>
        <v>19042.2</v>
      </c>
    </row>
    <row r="410" spans="1:13" x14ac:dyDescent="0.25">
      <c r="A410" t="s">
        <v>937</v>
      </c>
      <c r="B410" t="s">
        <v>1968</v>
      </c>
      <c r="C410" t="s">
        <v>975</v>
      </c>
      <c r="D410" t="s">
        <v>1798</v>
      </c>
      <c r="E410" t="s">
        <v>977</v>
      </c>
      <c r="F410" t="s">
        <v>967</v>
      </c>
      <c r="G410" t="s">
        <v>968</v>
      </c>
      <c r="H410" t="s">
        <v>969</v>
      </c>
      <c r="I410" t="s">
        <v>970</v>
      </c>
      <c r="J410" t="s">
        <v>971</v>
      </c>
      <c r="K410" t="s">
        <v>972</v>
      </c>
      <c r="L410">
        <v>9521.1</v>
      </c>
      <c r="M410">
        <f t="shared" si="6"/>
        <v>19042.2</v>
      </c>
    </row>
    <row r="411" spans="1:13" x14ac:dyDescent="0.25">
      <c r="A411" t="s">
        <v>834</v>
      </c>
      <c r="B411" t="s">
        <v>2067</v>
      </c>
      <c r="C411" t="s">
        <v>1189</v>
      </c>
      <c r="D411" t="s">
        <v>2068</v>
      </c>
      <c r="E411" t="s">
        <v>977</v>
      </c>
      <c r="F411" t="s">
        <v>967</v>
      </c>
      <c r="G411" t="s">
        <v>968</v>
      </c>
      <c r="H411" t="s">
        <v>969</v>
      </c>
      <c r="I411" t="s">
        <v>970</v>
      </c>
      <c r="J411" t="s">
        <v>971</v>
      </c>
      <c r="K411" t="s">
        <v>972</v>
      </c>
      <c r="L411">
        <v>5994.57</v>
      </c>
      <c r="M411">
        <f t="shared" si="6"/>
        <v>33007.409999999996</v>
      </c>
    </row>
    <row r="412" spans="1:13" x14ac:dyDescent="0.25">
      <c r="A412" t="s">
        <v>126</v>
      </c>
      <c r="B412" t="s">
        <v>1824</v>
      </c>
      <c r="C412" t="s">
        <v>975</v>
      </c>
      <c r="D412" t="s">
        <v>1028</v>
      </c>
      <c r="E412" t="s">
        <v>977</v>
      </c>
      <c r="F412" t="s">
        <v>967</v>
      </c>
      <c r="G412" t="s">
        <v>968</v>
      </c>
      <c r="H412" t="s">
        <v>969</v>
      </c>
      <c r="I412" t="s">
        <v>970</v>
      </c>
      <c r="J412" t="s">
        <v>971</v>
      </c>
      <c r="K412" t="s">
        <v>972</v>
      </c>
      <c r="L412">
        <v>15870.38</v>
      </c>
      <c r="M412">
        <f t="shared" si="6"/>
        <v>33007.409999999996</v>
      </c>
    </row>
    <row r="413" spans="1:13" x14ac:dyDescent="0.25">
      <c r="A413" t="s">
        <v>613</v>
      </c>
      <c r="B413" t="s">
        <v>1922</v>
      </c>
      <c r="C413" t="s">
        <v>975</v>
      </c>
      <c r="D413" t="s">
        <v>1682</v>
      </c>
      <c r="E413" t="s">
        <v>966</v>
      </c>
      <c r="F413" t="s">
        <v>967</v>
      </c>
      <c r="G413" t="s">
        <v>968</v>
      </c>
      <c r="H413" t="s">
        <v>969</v>
      </c>
      <c r="I413" t="s">
        <v>970</v>
      </c>
      <c r="J413" t="s">
        <v>971</v>
      </c>
      <c r="K413" t="s">
        <v>972</v>
      </c>
      <c r="L413">
        <v>11142.46</v>
      </c>
      <c r="M413">
        <f t="shared" si="6"/>
        <v>33007.409999999996</v>
      </c>
    </row>
    <row r="414" spans="1:13" x14ac:dyDescent="0.25">
      <c r="A414" t="s">
        <v>134</v>
      </c>
      <c r="B414" t="s">
        <v>1933</v>
      </c>
      <c r="C414" t="s">
        <v>975</v>
      </c>
      <c r="D414" t="s">
        <v>1934</v>
      </c>
      <c r="E414" t="s">
        <v>977</v>
      </c>
      <c r="F414" t="s">
        <v>967</v>
      </c>
      <c r="G414" t="s">
        <v>968</v>
      </c>
      <c r="H414" t="s">
        <v>969</v>
      </c>
      <c r="I414" t="s">
        <v>970</v>
      </c>
      <c r="J414" t="s">
        <v>971</v>
      </c>
      <c r="K414" t="s">
        <v>972</v>
      </c>
      <c r="L414">
        <v>10759.37</v>
      </c>
      <c r="M414">
        <f t="shared" si="6"/>
        <v>45357.440000000002</v>
      </c>
    </row>
    <row r="415" spans="1:13" x14ac:dyDescent="0.25">
      <c r="A415" t="s">
        <v>41</v>
      </c>
      <c r="B415" t="s">
        <v>2327</v>
      </c>
      <c r="C415" t="s">
        <v>2171</v>
      </c>
      <c r="D415" t="s">
        <v>1798</v>
      </c>
      <c r="E415" t="s">
        <v>980</v>
      </c>
      <c r="F415" t="s">
        <v>967</v>
      </c>
      <c r="G415" t="s">
        <v>968</v>
      </c>
      <c r="H415" t="s">
        <v>969</v>
      </c>
      <c r="I415" t="s">
        <v>970</v>
      </c>
      <c r="J415" t="s">
        <v>971</v>
      </c>
      <c r="K415" t="s">
        <v>972</v>
      </c>
      <c r="L415">
        <v>1195.67</v>
      </c>
      <c r="M415">
        <f t="shared" si="6"/>
        <v>45357.440000000002</v>
      </c>
    </row>
    <row r="416" spans="1:13" x14ac:dyDescent="0.25">
      <c r="A416" t="s">
        <v>62</v>
      </c>
      <c r="B416" t="s">
        <v>1797</v>
      </c>
      <c r="C416" t="s">
        <v>964</v>
      </c>
      <c r="D416" t="s">
        <v>1798</v>
      </c>
      <c r="E416" t="s">
        <v>1799</v>
      </c>
      <c r="F416" t="s">
        <v>967</v>
      </c>
      <c r="G416" t="s">
        <v>968</v>
      </c>
      <c r="H416" t="s">
        <v>969</v>
      </c>
      <c r="I416" t="s">
        <v>970</v>
      </c>
      <c r="J416" t="s">
        <v>971</v>
      </c>
      <c r="K416" t="s">
        <v>972</v>
      </c>
      <c r="L416">
        <v>16701.2</v>
      </c>
      <c r="M416">
        <f t="shared" si="6"/>
        <v>45357.440000000002</v>
      </c>
    </row>
    <row r="417" spans="1:13" x14ac:dyDescent="0.25">
      <c r="A417" t="s">
        <v>62</v>
      </c>
      <c r="B417" t="s">
        <v>1800</v>
      </c>
      <c r="C417" t="s">
        <v>964</v>
      </c>
      <c r="D417" t="s">
        <v>1798</v>
      </c>
      <c r="E417" t="s">
        <v>1799</v>
      </c>
      <c r="F417" t="s">
        <v>967</v>
      </c>
      <c r="G417" t="s">
        <v>968</v>
      </c>
      <c r="H417" t="s">
        <v>969</v>
      </c>
      <c r="I417" t="s">
        <v>970</v>
      </c>
      <c r="J417" t="s">
        <v>971</v>
      </c>
      <c r="K417" t="s">
        <v>972</v>
      </c>
      <c r="L417">
        <v>16701.2</v>
      </c>
      <c r="M417">
        <f t="shared" si="6"/>
        <v>45357.440000000002</v>
      </c>
    </row>
    <row r="418" spans="1:13" x14ac:dyDescent="0.25">
      <c r="A418" t="s">
        <v>829</v>
      </c>
      <c r="B418" t="s">
        <v>1906</v>
      </c>
      <c r="C418" t="s">
        <v>975</v>
      </c>
      <c r="D418" t="s">
        <v>1667</v>
      </c>
      <c r="E418" t="s">
        <v>977</v>
      </c>
      <c r="F418" t="s">
        <v>967</v>
      </c>
      <c r="G418" t="s">
        <v>968</v>
      </c>
      <c r="H418" t="s">
        <v>969</v>
      </c>
      <c r="I418" t="s">
        <v>970</v>
      </c>
      <c r="J418" t="s">
        <v>971</v>
      </c>
      <c r="K418" t="s">
        <v>972</v>
      </c>
      <c r="L418">
        <v>11832.98</v>
      </c>
      <c r="M418">
        <f t="shared" si="6"/>
        <v>23665.96</v>
      </c>
    </row>
    <row r="419" spans="1:13" x14ac:dyDescent="0.25">
      <c r="A419" t="s">
        <v>829</v>
      </c>
      <c r="B419" t="s">
        <v>1907</v>
      </c>
      <c r="C419" t="s">
        <v>975</v>
      </c>
      <c r="D419" t="s">
        <v>1667</v>
      </c>
      <c r="E419" t="s">
        <v>977</v>
      </c>
      <c r="F419" t="s">
        <v>967</v>
      </c>
      <c r="G419" t="s">
        <v>968</v>
      </c>
      <c r="H419" t="s">
        <v>969</v>
      </c>
      <c r="I419" t="s">
        <v>970</v>
      </c>
      <c r="J419" t="s">
        <v>971</v>
      </c>
      <c r="K419" t="s">
        <v>972</v>
      </c>
      <c r="L419">
        <v>11832.98</v>
      </c>
      <c r="M419">
        <f t="shared" si="6"/>
        <v>23665.96</v>
      </c>
    </row>
    <row r="420" spans="1:13" x14ac:dyDescent="0.25">
      <c r="A420" t="s">
        <v>664</v>
      </c>
      <c r="B420" t="s">
        <v>2447</v>
      </c>
      <c r="C420" t="s">
        <v>988</v>
      </c>
      <c r="D420" t="s">
        <v>2068</v>
      </c>
      <c r="E420" t="s">
        <v>977</v>
      </c>
      <c r="F420" t="s">
        <v>967</v>
      </c>
      <c r="G420" t="s">
        <v>968</v>
      </c>
      <c r="H420" t="s">
        <v>969</v>
      </c>
      <c r="I420" t="s">
        <v>970</v>
      </c>
      <c r="J420" t="s">
        <v>971</v>
      </c>
      <c r="K420" t="s">
        <v>972</v>
      </c>
      <c r="L420">
        <v>513.79</v>
      </c>
      <c r="M420">
        <f t="shared" si="6"/>
        <v>513.79</v>
      </c>
    </row>
    <row r="421" spans="1:13" x14ac:dyDescent="0.25">
      <c r="A421" t="s">
        <v>675</v>
      </c>
      <c r="B421" t="s">
        <v>1848</v>
      </c>
      <c r="C421" t="s">
        <v>975</v>
      </c>
      <c r="D421" t="s">
        <v>1705</v>
      </c>
      <c r="E421" t="s">
        <v>977</v>
      </c>
      <c r="F421" t="s">
        <v>967</v>
      </c>
      <c r="G421" t="s">
        <v>968</v>
      </c>
      <c r="H421" t="s">
        <v>969</v>
      </c>
      <c r="I421" t="s">
        <v>970</v>
      </c>
      <c r="J421" t="s">
        <v>971</v>
      </c>
      <c r="K421" t="s">
        <v>972</v>
      </c>
      <c r="L421">
        <v>14431.88</v>
      </c>
      <c r="M421">
        <f t="shared" si="6"/>
        <v>26072.329999999998</v>
      </c>
    </row>
    <row r="422" spans="1:13" x14ac:dyDescent="0.25">
      <c r="A422" t="s">
        <v>836</v>
      </c>
      <c r="B422" t="s">
        <v>1918</v>
      </c>
      <c r="C422" t="s">
        <v>975</v>
      </c>
      <c r="D422" t="s">
        <v>1919</v>
      </c>
      <c r="E422" t="s">
        <v>977</v>
      </c>
      <c r="F422" t="s">
        <v>967</v>
      </c>
      <c r="G422" t="s">
        <v>968</v>
      </c>
      <c r="H422" t="s">
        <v>969</v>
      </c>
      <c r="I422" t="s">
        <v>970</v>
      </c>
      <c r="J422" t="s">
        <v>971</v>
      </c>
      <c r="K422" t="s">
        <v>972</v>
      </c>
      <c r="L422">
        <v>11243.67</v>
      </c>
      <c r="M422">
        <f t="shared" si="6"/>
        <v>26072.329999999998</v>
      </c>
    </row>
    <row r="423" spans="1:13" x14ac:dyDescent="0.25">
      <c r="A423" t="s">
        <v>95</v>
      </c>
      <c r="B423" t="s">
        <v>2470</v>
      </c>
      <c r="C423" t="s">
        <v>988</v>
      </c>
      <c r="D423" t="s">
        <v>1934</v>
      </c>
      <c r="E423" t="s">
        <v>977</v>
      </c>
      <c r="F423" t="s">
        <v>967</v>
      </c>
      <c r="G423" t="s">
        <v>968</v>
      </c>
      <c r="H423" t="s">
        <v>969</v>
      </c>
      <c r="I423" t="s">
        <v>970</v>
      </c>
      <c r="J423" t="s">
        <v>971</v>
      </c>
      <c r="K423" t="s">
        <v>972</v>
      </c>
      <c r="L423">
        <v>396.78</v>
      </c>
      <c r="M423">
        <f t="shared" si="6"/>
        <v>26072.329999999998</v>
      </c>
    </row>
    <row r="424" spans="1:13" x14ac:dyDescent="0.25">
      <c r="A424" t="s">
        <v>316</v>
      </c>
      <c r="B424" t="s">
        <v>1870</v>
      </c>
      <c r="C424" t="s">
        <v>975</v>
      </c>
      <c r="D424" t="s">
        <v>1871</v>
      </c>
      <c r="E424" t="s">
        <v>977</v>
      </c>
      <c r="F424" t="s">
        <v>967</v>
      </c>
      <c r="G424" t="s">
        <v>968</v>
      </c>
      <c r="H424" t="s">
        <v>969</v>
      </c>
      <c r="I424" t="s">
        <v>970</v>
      </c>
      <c r="J424" t="s">
        <v>971</v>
      </c>
      <c r="K424" t="s">
        <v>972</v>
      </c>
      <c r="L424">
        <v>13090.37</v>
      </c>
      <c r="M424">
        <f t="shared" si="6"/>
        <v>23817.940000000002</v>
      </c>
    </row>
    <row r="425" spans="1:13" x14ac:dyDescent="0.25">
      <c r="A425" t="s">
        <v>144</v>
      </c>
      <c r="B425" t="s">
        <v>1936</v>
      </c>
      <c r="C425" t="s">
        <v>964</v>
      </c>
      <c r="D425" t="s">
        <v>1934</v>
      </c>
      <c r="E425" t="s">
        <v>977</v>
      </c>
      <c r="F425" t="s">
        <v>967</v>
      </c>
      <c r="G425" t="s">
        <v>968</v>
      </c>
      <c r="H425" t="s">
        <v>969</v>
      </c>
      <c r="I425" t="s">
        <v>970</v>
      </c>
      <c r="J425" t="s">
        <v>971</v>
      </c>
      <c r="K425" t="s">
        <v>972</v>
      </c>
      <c r="L425">
        <v>10727.57</v>
      </c>
      <c r="M425">
        <f t="shared" si="6"/>
        <v>23817.940000000002</v>
      </c>
    </row>
    <row r="426" spans="1:13" x14ac:dyDescent="0.25">
      <c r="A426" t="s">
        <v>287</v>
      </c>
      <c r="B426" t="s">
        <v>2473</v>
      </c>
      <c r="C426" t="s">
        <v>988</v>
      </c>
      <c r="D426" t="s">
        <v>1871</v>
      </c>
      <c r="E426" t="s">
        <v>977</v>
      </c>
      <c r="F426" t="s">
        <v>967</v>
      </c>
      <c r="G426" t="s">
        <v>968</v>
      </c>
      <c r="H426" t="s">
        <v>969</v>
      </c>
      <c r="I426" t="s">
        <v>970</v>
      </c>
      <c r="J426" t="s">
        <v>971</v>
      </c>
      <c r="K426" t="s">
        <v>972</v>
      </c>
      <c r="L426">
        <v>366.76</v>
      </c>
      <c r="M426">
        <f t="shared" si="6"/>
        <v>70181.67</v>
      </c>
    </row>
    <row r="427" spans="1:13" x14ac:dyDescent="0.25">
      <c r="A427" t="s">
        <v>521</v>
      </c>
      <c r="B427" t="s">
        <v>1982</v>
      </c>
      <c r="C427" t="s">
        <v>975</v>
      </c>
      <c r="D427" t="s">
        <v>1871</v>
      </c>
      <c r="E427" t="s">
        <v>966</v>
      </c>
      <c r="F427" t="s">
        <v>967</v>
      </c>
      <c r="G427" t="s">
        <v>968</v>
      </c>
      <c r="H427" t="s">
        <v>969</v>
      </c>
      <c r="I427" t="s">
        <v>970</v>
      </c>
      <c r="J427" t="s">
        <v>971</v>
      </c>
      <c r="K427" t="s">
        <v>972</v>
      </c>
      <c r="L427">
        <v>9383.6299999999992</v>
      </c>
      <c r="M427">
        <f t="shared" si="6"/>
        <v>70181.67</v>
      </c>
    </row>
    <row r="428" spans="1:13" x14ac:dyDescent="0.25">
      <c r="A428" t="s">
        <v>683</v>
      </c>
      <c r="B428" t="s">
        <v>1983</v>
      </c>
      <c r="C428" t="s">
        <v>975</v>
      </c>
      <c r="D428" t="s">
        <v>1871</v>
      </c>
      <c r="E428" t="s">
        <v>966</v>
      </c>
      <c r="F428" t="s">
        <v>967</v>
      </c>
      <c r="G428" t="s">
        <v>968</v>
      </c>
      <c r="H428" t="s">
        <v>969</v>
      </c>
      <c r="I428" t="s">
        <v>970</v>
      </c>
      <c r="J428" t="s">
        <v>971</v>
      </c>
      <c r="K428" t="s">
        <v>972</v>
      </c>
      <c r="L428">
        <v>9383.6299999999992</v>
      </c>
      <c r="M428">
        <f t="shared" si="6"/>
        <v>70181.67</v>
      </c>
    </row>
    <row r="429" spans="1:13" x14ac:dyDescent="0.25">
      <c r="A429" t="s">
        <v>631</v>
      </c>
      <c r="B429" t="s">
        <v>1981</v>
      </c>
      <c r="C429" t="s">
        <v>975</v>
      </c>
      <c r="D429" t="s">
        <v>1871</v>
      </c>
      <c r="E429" t="s">
        <v>966</v>
      </c>
      <c r="F429" t="s">
        <v>967</v>
      </c>
      <c r="G429" t="s">
        <v>968</v>
      </c>
      <c r="H429" t="s">
        <v>969</v>
      </c>
      <c r="I429" t="s">
        <v>970</v>
      </c>
      <c r="J429" t="s">
        <v>971</v>
      </c>
      <c r="K429" t="s">
        <v>972</v>
      </c>
      <c r="L429">
        <v>9383.6299999999992</v>
      </c>
      <c r="M429">
        <f t="shared" si="6"/>
        <v>70181.67</v>
      </c>
    </row>
    <row r="430" spans="1:13" x14ac:dyDescent="0.25">
      <c r="A430" t="s">
        <v>698</v>
      </c>
      <c r="B430" t="s">
        <v>1949</v>
      </c>
      <c r="C430" t="s">
        <v>975</v>
      </c>
      <c r="D430" t="s">
        <v>1919</v>
      </c>
      <c r="E430" t="s">
        <v>980</v>
      </c>
      <c r="F430" t="s">
        <v>967</v>
      </c>
      <c r="G430" t="s">
        <v>968</v>
      </c>
      <c r="H430" t="s">
        <v>969</v>
      </c>
      <c r="I430" t="s">
        <v>970</v>
      </c>
      <c r="J430" t="s">
        <v>971</v>
      </c>
      <c r="K430" t="s">
        <v>972</v>
      </c>
      <c r="L430">
        <v>10320.120000000001</v>
      </c>
      <c r="M430">
        <f t="shared" si="6"/>
        <v>70181.67</v>
      </c>
    </row>
    <row r="431" spans="1:13" x14ac:dyDescent="0.25">
      <c r="A431" t="s">
        <v>369</v>
      </c>
      <c r="B431" t="s">
        <v>2471</v>
      </c>
      <c r="C431" t="s">
        <v>988</v>
      </c>
      <c r="D431" t="s">
        <v>1919</v>
      </c>
      <c r="E431" t="s">
        <v>980</v>
      </c>
      <c r="F431" t="s">
        <v>967</v>
      </c>
      <c r="G431" t="s">
        <v>968</v>
      </c>
      <c r="H431" t="s">
        <v>969</v>
      </c>
      <c r="I431" t="s">
        <v>970</v>
      </c>
      <c r="J431" t="s">
        <v>971</v>
      </c>
      <c r="K431" t="s">
        <v>972</v>
      </c>
      <c r="L431">
        <v>385.32</v>
      </c>
      <c r="M431">
        <f t="shared" si="6"/>
        <v>70181.67</v>
      </c>
    </row>
    <row r="432" spans="1:13" x14ac:dyDescent="0.25">
      <c r="A432" t="s">
        <v>561</v>
      </c>
      <c r="B432" t="s">
        <v>1857</v>
      </c>
      <c r="C432" t="s">
        <v>975</v>
      </c>
      <c r="D432" t="s">
        <v>1667</v>
      </c>
      <c r="E432" t="s">
        <v>980</v>
      </c>
      <c r="F432" t="s">
        <v>967</v>
      </c>
      <c r="G432" t="s">
        <v>968</v>
      </c>
      <c r="H432" t="s">
        <v>969</v>
      </c>
      <c r="I432" t="s">
        <v>970</v>
      </c>
      <c r="J432" t="s">
        <v>971</v>
      </c>
      <c r="K432" t="s">
        <v>972</v>
      </c>
      <c r="L432">
        <v>14277.02</v>
      </c>
      <c r="M432">
        <f t="shared" si="6"/>
        <v>70181.67</v>
      </c>
    </row>
    <row r="433" spans="1:13" x14ac:dyDescent="0.25">
      <c r="A433" t="s">
        <v>345</v>
      </c>
      <c r="B433" t="s">
        <v>1805</v>
      </c>
      <c r="C433" t="s">
        <v>964</v>
      </c>
      <c r="D433" t="s">
        <v>1806</v>
      </c>
      <c r="E433" t="s">
        <v>980</v>
      </c>
      <c r="F433" t="s">
        <v>967</v>
      </c>
      <c r="G433" t="s">
        <v>968</v>
      </c>
      <c r="H433" t="s">
        <v>969</v>
      </c>
      <c r="I433" t="s">
        <v>970</v>
      </c>
      <c r="J433" t="s">
        <v>971</v>
      </c>
      <c r="K433" t="s">
        <v>972</v>
      </c>
      <c r="L433">
        <v>16681.560000000001</v>
      </c>
      <c r="M433">
        <f t="shared" si="6"/>
        <v>70181.67</v>
      </c>
    </row>
    <row r="434" spans="1:13" x14ac:dyDescent="0.25">
      <c r="A434" t="s">
        <v>928</v>
      </c>
      <c r="B434" t="s">
        <v>1931</v>
      </c>
      <c r="C434" t="s">
        <v>975</v>
      </c>
      <c r="D434" t="s">
        <v>1667</v>
      </c>
      <c r="E434" t="s">
        <v>977</v>
      </c>
      <c r="F434" t="s">
        <v>967</v>
      </c>
      <c r="G434" t="s">
        <v>968</v>
      </c>
      <c r="H434" t="s">
        <v>969</v>
      </c>
      <c r="I434" t="s">
        <v>970</v>
      </c>
      <c r="J434" t="s">
        <v>971</v>
      </c>
      <c r="K434" t="s">
        <v>972</v>
      </c>
      <c r="L434">
        <v>10859.2</v>
      </c>
      <c r="M434">
        <f t="shared" si="6"/>
        <v>10859.2</v>
      </c>
    </row>
    <row r="435" spans="1:13" x14ac:dyDescent="0.25">
      <c r="A435" t="s">
        <v>465</v>
      </c>
      <c r="B435" t="s">
        <v>1988</v>
      </c>
      <c r="C435" t="s">
        <v>975</v>
      </c>
      <c r="D435" t="s">
        <v>1919</v>
      </c>
      <c r="E435" t="s">
        <v>966</v>
      </c>
      <c r="F435" t="s">
        <v>967</v>
      </c>
      <c r="G435" t="s">
        <v>968</v>
      </c>
      <c r="H435" t="s">
        <v>969</v>
      </c>
      <c r="I435" t="s">
        <v>970</v>
      </c>
      <c r="J435" t="s">
        <v>971</v>
      </c>
      <c r="K435" t="s">
        <v>972</v>
      </c>
      <c r="L435">
        <v>9359.9</v>
      </c>
      <c r="M435">
        <f t="shared" si="6"/>
        <v>9359.9</v>
      </c>
    </row>
    <row r="436" spans="1:13" x14ac:dyDescent="0.25">
      <c r="A436" t="s">
        <v>292</v>
      </c>
      <c r="B436" t="s">
        <v>1681</v>
      </c>
      <c r="C436" t="s">
        <v>975</v>
      </c>
      <c r="D436" t="s">
        <v>1682</v>
      </c>
      <c r="E436" t="s">
        <v>977</v>
      </c>
      <c r="F436" t="s">
        <v>967</v>
      </c>
      <c r="G436" t="s">
        <v>968</v>
      </c>
      <c r="H436" t="s">
        <v>969</v>
      </c>
      <c r="I436" t="s">
        <v>970</v>
      </c>
      <c r="J436" t="s">
        <v>971</v>
      </c>
      <c r="K436" t="s">
        <v>972</v>
      </c>
      <c r="L436">
        <v>22279.82</v>
      </c>
      <c r="M436">
        <f t="shared" si="6"/>
        <v>47229.46</v>
      </c>
    </row>
    <row r="437" spans="1:13" x14ac:dyDescent="0.25">
      <c r="A437" t="s">
        <v>274</v>
      </c>
      <c r="B437" t="s">
        <v>1889</v>
      </c>
      <c r="C437" t="s">
        <v>964</v>
      </c>
      <c r="D437" t="s">
        <v>1689</v>
      </c>
      <c r="E437" t="s">
        <v>977</v>
      </c>
      <c r="F437" t="s">
        <v>967</v>
      </c>
      <c r="G437" t="s">
        <v>968</v>
      </c>
      <c r="H437" t="s">
        <v>969</v>
      </c>
      <c r="I437" t="s">
        <v>970</v>
      </c>
      <c r="J437" t="s">
        <v>971</v>
      </c>
      <c r="K437" t="s">
        <v>972</v>
      </c>
      <c r="L437">
        <v>12474.82</v>
      </c>
      <c r="M437">
        <f t="shared" si="6"/>
        <v>47229.46</v>
      </c>
    </row>
    <row r="438" spans="1:13" x14ac:dyDescent="0.25">
      <c r="A438" t="s">
        <v>274</v>
      </c>
      <c r="B438" t="s">
        <v>1890</v>
      </c>
      <c r="C438" t="s">
        <v>964</v>
      </c>
      <c r="D438" t="s">
        <v>1689</v>
      </c>
      <c r="E438" t="s">
        <v>977</v>
      </c>
      <c r="F438" t="s">
        <v>967</v>
      </c>
      <c r="G438" t="s">
        <v>968</v>
      </c>
      <c r="H438" t="s">
        <v>969</v>
      </c>
      <c r="I438" t="s">
        <v>970</v>
      </c>
      <c r="J438" t="s">
        <v>971</v>
      </c>
      <c r="K438" t="s">
        <v>972</v>
      </c>
      <c r="L438">
        <v>12474.82</v>
      </c>
      <c r="M438">
        <f t="shared" si="6"/>
        <v>47229.46</v>
      </c>
    </row>
    <row r="439" spans="1:13" x14ac:dyDescent="0.25">
      <c r="A439" t="s">
        <v>80</v>
      </c>
      <c r="B439" t="s">
        <v>1666</v>
      </c>
      <c r="C439" t="s">
        <v>975</v>
      </c>
      <c r="D439" t="s">
        <v>1667</v>
      </c>
      <c r="E439" t="s">
        <v>977</v>
      </c>
      <c r="F439" t="s">
        <v>967</v>
      </c>
      <c r="G439" t="s">
        <v>968</v>
      </c>
      <c r="H439" t="s">
        <v>969</v>
      </c>
      <c r="I439" t="s">
        <v>970</v>
      </c>
      <c r="J439" t="s">
        <v>971</v>
      </c>
      <c r="K439" t="s">
        <v>972</v>
      </c>
      <c r="L439">
        <v>23252.97</v>
      </c>
      <c r="M439">
        <f t="shared" si="6"/>
        <v>37295.82</v>
      </c>
    </row>
    <row r="440" spans="1:13" x14ac:dyDescent="0.25">
      <c r="A440" t="s">
        <v>149</v>
      </c>
      <c r="B440" t="s">
        <v>1940</v>
      </c>
      <c r="C440" t="s">
        <v>964</v>
      </c>
      <c r="D440" t="s">
        <v>1919</v>
      </c>
      <c r="E440" t="s">
        <v>980</v>
      </c>
      <c r="F440" t="s">
        <v>967</v>
      </c>
      <c r="G440" t="s">
        <v>968</v>
      </c>
      <c r="H440" t="s">
        <v>969</v>
      </c>
      <c r="I440" t="s">
        <v>970</v>
      </c>
      <c r="J440" t="s">
        <v>971</v>
      </c>
      <c r="K440" t="s">
        <v>972</v>
      </c>
      <c r="L440">
        <v>10551.74</v>
      </c>
      <c r="M440">
        <f t="shared" si="6"/>
        <v>37295.82</v>
      </c>
    </row>
    <row r="441" spans="1:13" x14ac:dyDescent="0.25">
      <c r="A441" t="s">
        <v>301</v>
      </c>
      <c r="B441" t="s">
        <v>2166</v>
      </c>
      <c r="C441" t="s">
        <v>975</v>
      </c>
      <c r="D441" t="s">
        <v>1705</v>
      </c>
      <c r="E441" t="s">
        <v>980</v>
      </c>
      <c r="F441" t="s">
        <v>967</v>
      </c>
      <c r="G441" t="s">
        <v>968</v>
      </c>
      <c r="H441" t="s">
        <v>969</v>
      </c>
      <c r="I441" t="s">
        <v>970</v>
      </c>
      <c r="J441" t="s">
        <v>971</v>
      </c>
      <c r="K441" t="s">
        <v>972</v>
      </c>
      <c r="L441">
        <v>3491.11</v>
      </c>
      <c r="M441">
        <f t="shared" si="6"/>
        <v>37295.82</v>
      </c>
    </row>
    <row r="442" spans="1:13" x14ac:dyDescent="0.25">
      <c r="A442" t="s">
        <v>338</v>
      </c>
      <c r="B442" t="s">
        <v>2527</v>
      </c>
      <c r="C442" t="s">
        <v>988</v>
      </c>
      <c r="D442" t="s">
        <v>1873</v>
      </c>
      <c r="E442" t="s">
        <v>966</v>
      </c>
      <c r="F442" t="s">
        <v>967</v>
      </c>
      <c r="G442" t="s">
        <v>968</v>
      </c>
      <c r="H442" t="s">
        <v>969</v>
      </c>
      <c r="I442" t="s">
        <v>970</v>
      </c>
      <c r="J442" t="s">
        <v>971</v>
      </c>
      <c r="K442" t="s">
        <v>972</v>
      </c>
      <c r="L442">
        <v>42.13</v>
      </c>
      <c r="M442">
        <f t="shared" si="6"/>
        <v>42.13</v>
      </c>
    </row>
    <row r="443" spans="1:13" x14ac:dyDescent="0.25">
      <c r="A443" t="s">
        <v>806</v>
      </c>
      <c r="B443" t="s">
        <v>1920</v>
      </c>
      <c r="C443" t="s">
        <v>975</v>
      </c>
      <c r="D443" t="s">
        <v>1667</v>
      </c>
      <c r="E443" t="s">
        <v>977</v>
      </c>
      <c r="F443" t="s">
        <v>967</v>
      </c>
      <c r="G443" t="s">
        <v>968</v>
      </c>
      <c r="H443" t="s">
        <v>969</v>
      </c>
      <c r="I443" t="s">
        <v>970</v>
      </c>
      <c r="J443" t="s">
        <v>971</v>
      </c>
      <c r="K443" t="s">
        <v>972</v>
      </c>
      <c r="L443">
        <v>11230.88</v>
      </c>
      <c r="M443">
        <f t="shared" si="6"/>
        <v>28834.210000000003</v>
      </c>
    </row>
    <row r="444" spans="1:13" x14ac:dyDescent="0.25">
      <c r="A444" t="s">
        <v>441</v>
      </c>
      <c r="B444" t="s">
        <v>1807</v>
      </c>
      <c r="C444" t="s">
        <v>975</v>
      </c>
      <c r="D444" t="s">
        <v>1808</v>
      </c>
      <c r="E444" t="s">
        <v>977</v>
      </c>
      <c r="F444" t="s">
        <v>967</v>
      </c>
      <c r="G444" t="s">
        <v>968</v>
      </c>
      <c r="H444" t="s">
        <v>969</v>
      </c>
      <c r="I444" t="s">
        <v>970</v>
      </c>
      <c r="J444" t="s">
        <v>971</v>
      </c>
      <c r="K444" t="s">
        <v>972</v>
      </c>
      <c r="L444">
        <v>16499.34</v>
      </c>
      <c r="M444">
        <f t="shared" si="6"/>
        <v>28834.210000000003</v>
      </c>
    </row>
    <row r="445" spans="1:13" x14ac:dyDescent="0.25">
      <c r="A445" t="s">
        <v>45</v>
      </c>
      <c r="B445" t="s">
        <v>2337</v>
      </c>
      <c r="C445" t="s">
        <v>975</v>
      </c>
      <c r="D445" t="s">
        <v>1682</v>
      </c>
      <c r="E445" t="s">
        <v>1223</v>
      </c>
      <c r="F445" t="s">
        <v>967</v>
      </c>
      <c r="G445" t="s">
        <v>968</v>
      </c>
      <c r="H445" t="s">
        <v>969</v>
      </c>
      <c r="I445" t="s">
        <v>970</v>
      </c>
      <c r="J445" t="s">
        <v>971</v>
      </c>
      <c r="K445" t="s">
        <v>972</v>
      </c>
      <c r="L445">
        <v>1103.99</v>
      </c>
      <c r="M445">
        <f t="shared" si="6"/>
        <v>28834.210000000003</v>
      </c>
    </row>
    <row r="446" spans="1:13" x14ac:dyDescent="0.25">
      <c r="A446" t="s">
        <v>864</v>
      </c>
      <c r="B446" t="s">
        <v>2365</v>
      </c>
      <c r="C446" t="s">
        <v>975</v>
      </c>
      <c r="D446" t="s">
        <v>1682</v>
      </c>
      <c r="E446" t="s">
        <v>977</v>
      </c>
      <c r="F446" t="s">
        <v>967</v>
      </c>
      <c r="G446" t="s">
        <v>968</v>
      </c>
      <c r="H446" t="s">
        <v>969</v>
      </c>
      <c r="I446" t="s">
        <v>970</v>
      </c>
      <c r="J446" t="s">
        <v>971</v>
      </c>
      <c r="K446" t="s">
        <v>972</v>
      </c>
      <c r="L446">
        <v>1101.55</v>
      </c>
      <c r="M446">
        <f t="shared" si="6"/>
        <v>1101.55</v>
      </c>
    </row>
    <row r="447" spans="1:13" x14ac:dyDescent="0.25">
      <c r="A447" t="s">
        <v>701</v>
      </c>
      <c r="B447" t="s">
        <v>1872</v>
      </c>
      <c r="C447" t="s">
        <v>975</v>
      </c>
      <c r="D447" t="s">
        <v>1873</v>
      </c>
      <c r="E447" t="s">
        <v>980</v>
      </c>
      <c r="F447" t="s">
        <v>967</v>
      </c>
      <c r="G447" t="s">
        <v>968</v>
      </c>
      <c r="H447" t="s">
        <v>969</v>
      </c>
      <c r="I447" t="s">
        <v>970</v>
      </c>
      <c r="J447" t="s">
        <v>971</v>
      </c>
      <c r="K447" t="s">
        <v>972</v>
      </c>
      <c r="L447">
        <v>13033.3</v>
      </c>
      <c r="M447">
        <f t="shared" si="6"/>
        <v>13464.49</v>
      </c>
    </row>
    <row r="448" spans="1:13" x14ac:dyDescent="0.25">
      <c r="A448" t="s">
        <v>468</v>
      </c>
      <c r="B448" t="s">
        <v>2464</v>
      </c>
      <c r="C448" t="s">
        <v>988</v>
      </c>
      <c r="D448" t="s">
        <v>1873</v>
      </c>
      <c r="E448" t="s">
        <v>977</v>
      </c>
      <c r="F448" t="s">
        <v>967</v>
      </c>
      <c r="G448" t="s">
        <v>968</v>
      </c>
      <c r="H448" t="s">
        <v>969</v>
      </c>
      <c r="I448" t="s">
        <v>970</v>
      </c>
      <c r="J448" t="s">
        <v>971</v>
      </c>
      <c r="K448" t="s">
        <v>972</v>
      </c>
      <c r="L448">
        <v>431.19</v>
      </c>
      <c r="M448">
        <f t="shared" si="6"/>
        <v>13464.49</v>
      </c>
    </row>
    <row r="449" spans="1:13" x14ac:dyDescent="0.25">
      <c r="A449" t="s">
        <v>635</v>
      </c>
      <c r="B449" t="s">
        <v>2336</v>
      </c>
      <c r="C449" t="s">
        <v>964</v>
      </c>
      <c r="D449" t="s">
        <v>1873</v>
      </c>
      <c r="E449" t="s">
        <v>977</v>
      </c>
      <c r="F449" t="s">
        <v>967</v>
      </c>
      <c r="G449" t="s">
        <v>968</v>
      </c>
      <c r="H449" t="s">
        <v>969</v>
      </c>
      <c r="I449" t="s">
        <v>970</v>
      </c>
      <c r="J449" t="s">
        <v>971</v>
      </c>
      <c r="K449" t="s">
        <v>972</v>
      </c>
      <c r="L449">
        <v>1103.99</v>
      </c>
      <c r="M449">
        <f t="shared" si="6"/>
        <v>83273.299999999988</v>
      </c>
    </row>
    <row r="450" spans="1:13" x14ac:dyDescent="0.25">
      <c r="A450" t="s">
        <v>635</v>
      </c>
      <c r="B450" t="s">
        <v>2349</v>
      </c>
      <c r="C450" t="s">
        <v>964</v>
      </c>
      <c r="D450" t="s">
        <v>1873</v>
      </c>
      <c r="E450" t="s">
        <v>977</v>
      </c>
      <c r="F450" t="s">
        <v>967</v>
      </c>
      <c r="G450" t="s">
        <v>968</v>
      </c>
      <c r="H450" t="s">
        <v>969</v>
      </c>
      <c r="I450" t="s">
        <v>970</v>
      </c>
      <c r="J450" t="s">
        <v>971</v>
      </c>
      <c r="K450" t="s">
        <v>972</v>
      </c>
      <c r="L450">
        <v>1103.99</v>
      </c>
      <c r="M450">
        <f t="shared" si="6"/>
        <v>83273.299999999988</v>
      </c>
    </row>
    <row r="451" spans="1:13" x14ac:dyDescent="0.25">
      <c r="A451" t="s">
        <v>894</v>
      </c>
      <c r="B451" t="s">
        <v>1917</v>
      </c>
      <c r="C451" t="s">
        <v>975</v>
      </c>
      <c r="D451" t="s">
        <v>1682</v>
      </c>
      <c r="E451" t="s">
        <v>980</v>
      </c>
      <c r="F451" t="s">
        <v>967</v>
      </c>
      <c r="G451" t="s">
        <v>968</v>
      </c>
      <c r="H451" t="s">
        <v>969</v>
      </c>
      <c r="I451" t="s">
        <v>970</v>
      </c>
      <c r="J451" t="s">
        <v>971</v>
      </c>
      <c r="K451" t="s">
        <v>972</v>
      </c>
      <c r="L451">
        <v>11257.23</v>
      </c>
      <c r="M451">
        <f t="shared" ref="M451:M514" si="7">+SUMIF(A:A,A451,L:L)</f>
        <v>83273.299999999988</v>
      </c>
    </row>
    <row r="452" spans="1:13" x14ac:dyDescent="0.25">
      <c r="A452" t="s">
        <v>395</v>
      </c>
      <c r="B452" t="s">
        <v>1884</v>
      </c>
      <c r="C452" t="s">
        <v>975</v>
      </c>
      <c r="D452" t="s">
        <v>1682</v>
      </c>
      <c r="E452" t="s">
        <v>966</v>
      </c>
      <c r="F452" t="s">
        <v>967</v>
      </c>
      <c r="G452" t="s">
        <v>968</v>
      </c>
      <c r="H452" t="s">
        <v>969</v>
      </c>
      <c r="I452" t="s">
        <v>970</v>
      </c>
      <c r="J452" t="s">
        <v>971</v>
      </c>
      <c r="K452" t="s">
        <v>972</v>
      </c>
      <c r="L452">
        <v>12562.07</v>
      </c>
      <c r="M452">
        <f t="shared" si="7"/>
        <v>83273.299999999988</v>
      </c>
    </row>
    <row r="453" spans="1:13" x14ac:dyDescent="0.25">
      <c r="A453" t="s">
        <v>395</v>
      </c>
      <c r="B453" t="s">
        <v>1885</v>
      </c>
      <c r="C453" t="s">
        <v>975</v>
      </c>
      <c r="D453" t="s">
        <v>1682</v>
      </c>
      <c r="E453" t="s">
        <v>966</v>
      </c>
      <c r="F453" t="s">
        <v>967</v>
      </c>
      <c r="G453" t="s">
        <v>968</v>
      </c>
      <c r="H453" t="s">
        <v>969</v>
      </c>
      <c r="I453" t="s">
        <v>970</v>
      </c>
      <c r="J453" t="s">
        <v>971</v>
      </c>
      <c r="K453" t="s">
        <v>972</v>
      </c>
      <c r="L453">
        <v>12562.07</v>
      </c>
      <c r="M453">
        <f t="shared" si="7"/>
        <v>83273.299999999988</v>
      </c>
    </row>
    <row r="454" spans="1:13" x14ac:dyDescent="0.25">
      <c r="A454" t="s">
        <v>395</v>
      </c>
      <c r="B454" t="s">
        <v>1886</v>
      </c>
      <c r="C454" t="s">
        <v>975</v>
      </c>
      <c r="D454" t="s">
        <v>1682</v>
      </c>
      <c r="E454" t="s">
        <v>966</v>
      </c>
      <c r="F454" t="s">
        <v>967</v>
      </c>
      <c r="G454" t="s">
        <v>968</v>
      </c>
      <c r="H454" t="s">
        <v>969</v>
      </c>
      <c r="I454" t="s">
        <v>970</v>
      </c>
      <c r="J454" t="s">
        <v>971</v>
      </c>
      <c r="K454" t="s">
        <v>972</v>
      </c>
      <c r="L454">
        <v>12562.07</v>
      </c>
      <c r="M454">
        <f t="shared" si="7"/>
        <v>83273.299999999988</v>
      </c>
    </row>
    <row r="455" spans="1:13" x14ac:dyDescent="0.25">
      <c r="A455" t="s">
        <v>395</v>
      </c>
      <c r="B455" t="s">
        <v>1887</v>
      </c>
      <c r="C455" t="s">
        <v>975</v>
      </c>
      <c r="D455" t="s">
        <v>1682</v>
      </c>
      <c r="E455" t="s">
        <v>966</v>
      </c>
      <c r="F455" t="s">
        <v>967</v>
      </c>
      <c r="G455" t="s">
        <v>968</v>
      </c>
      <c r="H455" t="s">
        <v>969</v>
      </c>
      <c r="I455" t="s">
        <v>970</v>
      </c>
      <c r="J455" t="s">
        <v>971</v>
      </c>
      <c r="K455" t="s">
        <v>972</v>
      </c>
      <c r="L455">
        <v>12562.07</v>
      </c>
      <c r="M455">
        <f t="shared" si="7"/>
        <v>83273.299999999988</v>
      </c>
    </row>
    <row r="456" spans="1:13" x14ac:dyDescent="0.25">
      <c r="A456" t="s">
        <v>395</v>
      </c>
      <c r="B456" t="s">
        <v>1888</v>
      </c>
      <c r="C456" t="s">
        <v>975</v>
      </c>
      <c r="D456" t="s">
        <v>1682</v>
      </c>
      <c r="E456" t="s">
        <v>966</v>
      </c>
      <c r="F456" t="s">
        <v>967</v>
      </c>
      <c r="G456" t="s">
        <v>968</v>
      </c>
      <c r="H456" t="s">
        <v>969</v>
      </c>
      <c r="I456" t="s">
        <v>970</v>
      </c>
      <c r="J456" t="s">
        <v>971</v>
      </c>
      <c r="K456" t="s">
        <v>972</v>
      </c>
      <c r="L456">
        <v>12562.07</v>
      </c>
      <c r="M456">
        <f t="shared" si="7"/>
        <v>83273.299999999988</v>
      </c>
    </row>
    <row r="457" spans="1:13" x14ac:dyDescent="0.25">
      <c r="A457" t="s">
        <v>667</v>
      </c>
      <c r="B457" t="s">
        <v>2164</v>
      </c>
      <c r="C457" t="s">
        <v>975</v>
      </c>
      <c r="D457" t="s">
        <v>1806</v>
      </c>
      <c r="E457" t="s">
        <v>980</v>
      </c>
      <c r="F457" t="s">
        <v>967</v>
      </c>
      <c r="G457" t="s">
        <v>968</v>
      </c>
      <c r="H457" t="s">
        <v>969</v>
      </c>
      <c r="I457" t="s">
        <v>970</v>
      </c>
      <c r="J457" t="s">
        <v>971</v>
      </c>
      <c r="K457" t="s">
        <v>972</v>
      </c>
      <c r="L457">
        <v>3498.87</v>
      </c>
      <c r="M457">
        <f t="shared" si="7"/>
        <v>83273.299999999988</v>
      </c>
    </row>
    <row r="458" spans="1:13" x14ac:dyDescent="0.25">
      <c r="A458" t="s">
        <v>667</v>
      </c>
      <c r="B458" t="s">
        <v>2165</v>
      </c>
      <c r="C458" t="s">
        <v>975</v>
      </c>
      <c r="D458" t="s">
        <v>1806</v>
      </c>
      <c r="E458" t="s">
        <v>980</v>
      </c>
      <c r="F458" t="s">
        <v>967</v>
      </c>
      <c r="G458" t="s">
        <v>968</v>
      </c>
      <c r="H458" t="s">
        <v>969</v>
      </c>
      <c r="I458" t="s">
        <v>970</v>
      </c>
      <c r="J458" t="s">
        <v>971</v>
      </c>
      <c r="K458" t="s">
        <v>972</v>
      </c>
      <c r="L458">
        <v>3498.87</v>
      </c>
      <c r="M458">
        <f t="shared" si="7"/>
        <v>83273.299999999988</v>
      </c>
    </row>
    <row r="459" spans="1:13" x14ac:dyDescent="0.25">
      <c r="A459" t="s">
        <v>187</v>
      </c>
      <c r="B459" t="s">
        <v>2536</v>
      </c>
      <c r="C459" t="s">
        <v>982</v>
      </c>
      <c r="D459" t="s">
        <v>1682</v>
      </c>
      <c r="E459" t="s">
        <v>977</v>
      </c>
      <c r="F459" t="s">
        <v>967</v>
      </c>
      <c r="G459" t="s">
        <v>968</v>
      </c>
      <c r="H459" t="s">
        <v>2390</v>
      </c>
      <c r="I459" t="s">
        <v>970</v>
      </c>
      <c r="J459" t="s">
        <v>971</v>
      </c>
      <c r="K459" t="s">
        <v>972</v>
      </c>
      <c r="L459">
        <v>15.59</v>
      </c>
      <c r="M459">
        <f t="shared" si="7"/>
        <v>12709.08</v>
      </c>
    </row>
    <row r="460" spans="1:13" x14ac:dyDescent="0.25">
      <c r="A460" t="s">
        <v>619</v>
      </c>
      <c r="B460" t="s">
        <v>1882</v>
      </c>
      <c r="C460" t="s">
        <v>975</v>
      </c>
      <c r="D460" t="s">
        <v>1682</v>
      </c>
      <c r="E460" t="s">
        <v>977</v>
      </c>
      <c r="F460" t="s">
        <v>967</v>
      </c>
      <c r="G460" t="s">
        <v>968</v>
      </c>
      <c r="H460" t="s">
        <v>969</v>
      </c>
      <c r="I460" t="s">
        <v>970</v>
      </c>
      <c r="J460" t="s">
        <v>971</v>
      </c>
      <c r="K460" t="s">
        <v>972</v>
      </c>
      <c r="L460">
        <v>12693.49</v>
      </c>
      <c r="M460">
        <f t="shared" si="7"/>
        <v>12709.08</v>
      </c>
    </row>
    <row r="461" spans="1:13" x14ac:dyDescent="0.25">
      <c r="A461" t="s">
        <v>493</v>
      </c>
      <c r="B461" t="s">
        <v>2335</v>
      </c>
      <c r="C461" t="s">
        <v>975</v>
      </c>
      <c r="D461" t="s">
        <v>1873</v>
      </c>
      <c r="E461" t="s">
        <v>977</v>
      </c>
      <c r="F461" t="s">
        <v>967</v>
      </c>
      <c r="G461" t="s">
        <v>968</v>
      </c>
      <c r="H461" t="s">
        <v>969</v>
      </c>
      <c r="I461" t="s">
        <v>970</v>
      </c>
      <c r="J461" t="s">
        <v>971</v>
      </c>
      <c r="K461" t="s">
        <v>972</v>
      </c>
      <c r="L461">
        <v>1103.99</v>
      </c>
      <c r="M461">
        <f t="shared" si="7"/>
        <v>20307.16</v>
      </c>
    </row>
    <row r="462" spans="1:13" x14ac:dyDescent="0.25">
      <c r="A462" t="s">
        <v>493</v>
      </c>
      <c r="B462" t="s">
        <v>2343</v>
      </c>
      <c r="C462" t="s">
        <v>975</v>
      </c>
      <c r="D462" t="s">
        <v>1873</v>
      </c>
      <c r="E462" t="s">
        <v>977</v>
      </c>
      <c r="F462" t="s">
        <v>967</v>
      </c>
      <c r="G462" t="s">
        <v>968</v>
      </c>
      <c r="H462" t="s">
        <v>969</v>
      </c>
      <c r="I462" t="s">
        <v>970</v>
      </c>
      <c r="J462" t="s">
        <v>971</v>
      </c>
      <c r="K462" t="s">
        <v>972</v>
      </c>
      <c r="L462">
        <v>1103.99</v>
      </c>
      <c r="M462">
        <f t="shared" si="7"/>
        <v>20307.16</v>
      </c>
    </row>
    <row r="463" spans="1:13" x14ac:dyDescent="0.25">
      <c r="A463" t="s">
        <v>493</v>
      </c>
      <c r="B463" t="s">
        <v>2344</v>
      </c>
      <c r="C463" t="s">
        <v>975</v>
      </c>
      <c r="D463" t="s">
        <v>1873</v>
      </c>
      <c r="E463" t="s">
        <v>977</v>
      </c>
      <c r="F463" t="s">
        <v>967</v>
      </c>
      <c r="G463" t="s">
        <v>968</v>
      </c>
      <c r="H463" t="s">
        <v>969</v>
      </c>
      <c r="I463" t="s">
        <v>970</v>
      </c>
      <c r="J463" t="s">
        <v>971</v>
      </c>
      <c r="K463" t="s">
        <v>972</v>
      </c>
      <c r="L463">
        <v>1103.99</v>
      </c>
      <c r="M463">
        <f t="shared" si="7"/>
        <v>20307.16</v>
      </c>
    </row>
    <row r="464" spans="1:13" x14ac:dyDescent="0.25">
      <c r="A464" t="s">
        <v>493</v>
      </c>
      <c r="B464" t="s">
        <v>2350</v>
      </c>
      <c r="C464" t="s">
        <v>975</v>
      </c>
      <c r="D464" t="s">
        <v>1873</v>
      </c>
      <c r="E464" t="s">
        <v>977</v>
      </c>
      <c r="F464" t="s">
        <v>967</v>
      </c>
      <c r="G464" t="s">
        <v>968</v>
      </c>
      <c r="H464" t="s">
        <v>969</v>
      </c>
      <c r="I464" t="s">
        <v>970</v>
      </c>
      <c r="J464" t="s">
        <v>971</v>
      </c>
      <c r="K464" t="s">
        <v>972</v>
      </c>
      <c r="L464">
        <v>1103.99</v>
      </c>
      <c r="M464">
        <f t="shared" si="7"/>
        <v>20307.16</v>
      </c>
    </row>
    <row r="465" spans="1:13" x14ac:dyDescent="0.25">
      <c r="A465" t="s">
        <v>493</v>
      </c>
      <c r="B465" t="s">
        <v>2351</v>
      </c>
      <c r="C465" t="s">
        <v>975</v>
      </c>
      <c r="D465" t="s">
        <v>1873</v>
      </c>
      <c r="E465" t="s">
        <v>977</v>
      </c>
      <c r="F465" t="s">
        <v>967</v>
      </c>
      <c r="G465" t="s">
        <v>968</v>
      </c>
      <c r="H465" t="s">
        <v>969</v>
      </c>
      <c r="I465" t="s">
        <v>970</v>
      </c>
      <c r="J465" t="s">
        <v>971</v>
      </c>
      <c r="K465" t="s">
        <v>972</v>
      </c>
      <c r="L465">
        <v>1103.99</v>
      </c>
      <c r="M465">
        <f t="shared" si="7"/>
        <v>20307.16</v>
      </c>
    </row>
    <row r="466" spans="1:13" x14ac:dyDescent="0.25">
      <c r="A466" t="s">
        <v>850</v>
      </c>
      <c r="B466" t="s">
        <v>2362</v>
      </c>
      <c r="C466" t="s">
        <v>964</v>
      </c>
      <c r="D466" t="s">
        <v>1682</v>
      </c>
      <c r="E466" t="s">
        <v>1223</v>
      </c>
      <c r="F466" t="s">
        <v>967</v>
      </c>
      <c r="G466" t="s">
        <v>968</v>
      </c>
      <c r="H466" t="s">
        <v>969</v>
      </c>
      <c r="I466" t="s">
        <v>970</v>
      </c>
      <c r="J466" t="s">
        <v>971</v>
      </c>
      <c r="K466" t="s">
        <v>972</v>
      </c>
      <c r="L466">
        <v>1101.9000000000001</v>
      </c>
      <c r="M466">
        <f t="shared" si="7"/>
        <v>20307.16</v>
      </c>
    </row>
    <row r="467" spans="1:13" x14ac:dyDescent="0.25">
      <c r="A467" t="s">
        <v>850</v>
      </c>
      <c r="B467" t="s">
        <v>2363</v>
      </c>
      <c r="C467" t="s">
        <v>964</v>
      </c>
      <c r="D467" t="s">
        <v>1682</v>
      </c>
      <c r="E467" t="s">
        <v>1223</v>
      </c>
      <c r="F467" t="s">
        <v>967</v>
      </c>
      <c r="G467" t="s">
        <v>968</v>
      </c>
      <c r="H467" t="s">
        <v>969</v>
      </c>
      <c r="I467" t="s">
        <v>970</v>
      </c>
      <c r="J467" t="s">
        <v>971</v>
      </c>
      <c r="K467" t="s">
        <v>972</v>
      </c>
      <c r="L467">
        <v>1101.9000000000001</v>
      </c>
      <c r="M467">
        <f t="shared" si="7"/>
        <v>20307.16</v>
      </c>
    </row>
    <row r="468" spans="1:13" x14ac:dyDescent="0.25">
      <c r="A468" t="s">
        <v>199</v>
      </c>
      <c r="B468" t="s">
        <v>1883</v>
      </c>
      <c r="C468" t="s">
        <v>1400</v>
      </c>
      <c r="D468" t="s">
        <v>1689</v>
      </c>
      <c r="E468" t="s">
        <v>977</v>
      </c>
      <c r="F468" t="s">
        <v>967</v>
      </c>
      <c r="G468" t="s">
        <v>968</v>
      </c>
      <c r="H468" t="s">
        <v>969</v>
      </c>
      <c r="I468" t="s">
        <v>970</v>
      </c>
      <c r="J468" t="s">
        <v>971</v>
      </c>
      <c r="K468" t="s">
        <v>972</v>
      </c>
      <c r="L468">
        <v>12583.41</v>
      </c>
      <c r="M468">
        <f t="shared" si="7"/>
        <v>20307.16</v>
      </c>
    </row>
    <row r="469" spans="1:13" x14ac:dyDescent="0.25">
      <c r="A469" t="s">
        <v>919</v>
      </c>
      <c r="B469" t="s">
        <v>2445</v>
      </c>
      <c r="C469" t="s">
        <v>988</v>
      </c>
      <c r="D469" t="s">
        <v>1689</v>
      </c>
      <c r="E469" t="s">
        <v>1369</v>
      </c>
      <c r="F469" t="s">
        <v>967</v>
      </c>
      <c r="G469" t="s">
        <v>968</v>
      </c>
      <c r="H469" t="s">
        <v>969</v>
      </c>
      <c r="I469" t="s">
        <v>970</v>
      </c>
      <c r="J469" t="s">
        <v>971</v>
      </c>
      <c r="K469" t="s">
        <v>972</v>
      </c>
      <c r="L469">
        <v>523.34</v>
      </c>
      <c r="M469">
        <f t="shared" si="7"/>
        <v>24705.64</v>
      </c>
    </row>
    <row r="470" spans="1:13" x14ac:dyDescent="0.25">
      <c r="A470" t="s">
        <v>673</v>
      </c>
      <c r="B470" t="s">
        <v>2124</v>
      </c>
      <c r="C470" t="s">
        <v>975</v>
      </c>
      <c r="D470" t="s">
        <v>1839</v>
      </c>
      <c r="E470" t="s">
        <v>977</v>
      </c>
      <c r="F470" t="s">
        <v>967</v>
      </c>
      <c r="G470" t="s">
        <v>968</v>
      </c>
      <c r="H470" t="s">
        <v>969</v>
      </c>
      <c r="I470" t="s">
        <v>970</v>
      </c>
      <c r="J470" t="s">
        <v>971</v>
      </c>
      <c r="K470" t="s">
        <v>972</v>
      </c>
      <c r="L470">
        <v>4451.88</v>
      </c>
      <c r="M470">
        <f t="shared" si="7"/>
        <v>24705.64</v>
      </c>
    </row>
    <row r="471" spans="1:13" x14ac:dyDescent="0.25">
      <c r="A471" t="s">
        <v>566</v>
      </c>
      <c r="B471" t="s">
        <v>1708</v>
      </c>
      <c r="C471" t="s">
        <v>975</v>
      </c>
      <c r="D471" t="s">
        <v>1709</v>
      </c>
      <c r="E471" t="s">
        <v>977</v>
      </c>
      <c r="F471" t="s">
        <v>967</v>
      </c>
      <c r="G471" t="s">
        <v>968</v>
      </c>
      <c r="H471" t="s">
        <v>969</v>
      </c>
      <c r="I471" t="s">
        <v>970</v>
      </c>
      <c r="J471" t="s">
        <v>971</v>
      </c>
      <c r="K471" t="s">
        <v>972</v>
      </c>
      <c r="L471">
        <v>19730.419999999998</v>
      </c>
      <c r="M471">
        <f t="shared" si="7"/>
        <v>24705.64</v>
      </c>
    </row>
    <row r="472" spans="1:13" x14ac:dyDescent="0.25">
      <c r="A472" t="s">
        <v>625</v>
      </c>
      <c r="B472" t="s">
        <v>2535</v>
      </c>
      <c r="C472" t="s">
        <v>2171</v>
      </c>
      <c r="D472" t="s">
        <v>1689</v>
      </c>
      <c r="E472" t="s">
        <v>977</v>
      </c>
      <c r="F472" t="s">
        <v>967</v>
      </c>
      <c r="G472" t="s">
        <v>968</v>
      </c>
      <c r="H472" t="s">
        <v>2390</v>
      </c>
      <c r="I472" t="s">
        <v>970</v>
      </c>
      <c r="J472" t="s">
        <v>971</v>
      </c>
      <c r="K472" t="s">
        <v>972</v>
      </c>
      <c r="L472">
        <v>31.16</v>
      </c>
      <c r="M472">
        <f t="shared" si="7"/>
        <v>158328.24999999997</v>
      </c>
    </row>
    <row r="473" spans="1:13" x14ac:dyDescent="0.25">
      <c r="A473" t="s">
        <v>404</v>
      </c>
      <c r="B473" t="s">
        <v>1826</v>
      </c>
      <c r="C473" t="s">
        <v>964</v>
      </c>
      <c r="D473" t="s">
        <v>1818</v>
      </c>
      <c r="E473" t="s">
        <v>966</v>
      </c>
      <c r="F473" t="s">
        <v>967</v>
      </c>
      <c r="G473" t="s">
        <v>968</v>
      </c>
      <c r="H473" t="s">
        <v>969</v>
      </c>
      <c r="I473" t="s">
        <v>970</v>
      </c>
      <c r="J473" t="s">
        <v>971</v>
      </c>
      <c r="K473" t="s">
        <v>972</v>
      </c>
      <c r="L473">
        <v>15808.08</v>
      </c>
      <c r="M473">
        <f t="shared" si="7"/>
        <v>158328.24999999997</v>
      </c>
    </row>
    <row r="474" spans="1:13" x14ac:dyDescent="0.25">
      <c r="A474" t="s">
        <v>761</v>
      </c>
      <c r="B474" t="s">
        <v>1855</v>
      </c>
      <c r="C474" t="s">
        <v>975</v>
      </c>
      <c r="D474" t="s">
        <v>1705</v>
      </c>
      <c r="E474" t="s">
        <v>977</v>
      </c>
      <c r="F474" t="s">
        <v>967</v>
      </c>
      <c r="G474" t="s">
        <v>968</v>
      </c>
      <c r="H474" t="s">
        <v>969</v>
      </c>
      <c r="I474" t="s">
        <v>970</v>
      </c>
      <c r="J474" t="s">
        <v>971</v>
      </c>
      <c r="K474" t="s">
        <v>972</v>
      </c>
      <c r="L474">
        <v>14322.98</v>
      </c>
      <c r="M474">
        <f t="shared" si="7"/>
        <v>158328.24999999997</v>
      </c>
    </row>
    <row r="475" spans="1:13" x14ac:dyDescent="0.25">
      <c r="A475" t="s">
        <v>97</v>
      </c>
      <c r="B475" t="s">
        <v>1866</v>
      </c>
      <c r="C475" t="s">
        <v>975</v>
      </c>
      <c r="D475" t="s">
        <v>1689</v>
      </c>
      <c r="E475" t="s">
        <v>966</v>
      </c>
      <c r="F475" t="s">
        <v>967</v>
      </c>
      <c r="G475" t="s">
        <v>968</v>
      </c>
      <c r="H475" t="s">
        <v>969</v>
      </c>
      <c r="I475" t="s">
        <v>970</v>
      </c>
      <c r="J475" t="s">
        <v>971</v>
      </c>
      <c r="K475" t="s">
        <v>972</v>
      </c>
      <c r="L475">
        <v>13504.22</v>
      </c>
      <c r="M475">
        <f t="shared" si="7"/>
        <v>158328.24999999997</v>
      </c>
    </row>
    <row r="476" spans="1:13" x14ac:dyDescent="0.25">
      <c r="A476" t="s">
        <v>97</v>
      </c>
      <c r="B476" t="s">
        <v>1867</v>
      </c>
      <c r="C476" t="s">
        <v>975</v>
      </c>
      <c r="D476" t="s">
        <v>1689</v>
      </c>
      <c r="E476" t="s">
        <v>966</v>
      </c>
      <c r="F476" t="s">
        <v>967</v>
      </c>
      <c r="G476" t="s">
        <v>968</v>
      </c>
      <c r="H476" t="s">
        <v>969</v>
      </c>
      <c r="I476" t="s">
        <v>970</v>
      </c>
      <c r="J476" t="s">
        <v>971</v>
      </c>
      <c r="K476" t="s">
        <v>972</v>
      </c>
      <c r="L476">
        <v>13504.22</v>
      </c>
      <c r="M476">
        <f t="shared" si="7"/>
        <v>158328.24999999997</v>
      </c>
    </row>
    <row r="477" spans="1:13" x14ac:dyDescent="0.25">
      <c r="A477" t="s">
        <v>256</v>
      </c>
      <c r="B477" t="s">
        <v>1853</v>
      </c>
      <c r="C477" t="s">
        <v>964</v>
      </c>
      <c r="D477" t="s">
        <v>1839</v>
      </c>
      <c r="E477" t="s">
        <v>977</v>
      </c>
      <c r="F477" t="s">
        <v>967</v>
      </c>
      <c r="G477" t="s">
        <v>968</v>
      </c>
      <c r="H477" t="s">
        <v>969</v>
      </c>
      <c r="I477" t="s">
        <v>970</v>
      </c>
      <c r="J477" t="s">
        <v>971</v>
      </c>
      <c r="K477" t="s">
        <v>972</v>
      </c>
      <c r="L477">
        <v>14369.72</v>
      </c>
      <c r="M477">
        <f t="shared" si="7"/>
        <v>158328.24999999997</v>
      </c>
    </row>
    <row r="478" spans="1:13" x14ac:dyDescent="0.25">
      <c r="A478" t="s">
        <v>256</v>
      </c>
      <c r="B478" t="s">
        <v>1854</v>
      </c>
      <c r="C478" t="s">
        <v>964</v>
      </c>
      <c r="D478" t="s">
        <v>1839</v>
      </c>
      <c r="E478" t="s">
        <v>977</v>
      </c>
      <c r="F478" t="s">
        <v>967</v>
      </c>
      <c r="G478" t="s">
        <v>968</v>
      </c>
      <c r="H478" t="s">
        <v>969</v>
      </c>
      <c r="I478" t="s">
        <v>970</v>
      </c>
      <c r="J478" t="s">
        <v>971</v>
      </c>
      <c r="K478" t="s">
        <v>972</v>
      </c>
      <c r="L478">
        <v>14369.72</v>
      </c>
      <c r="M478">
        <f t="shared" si="7"/>
        <v>158328.24999999997</v>
      </c>
    </row>
    <row r="479" spans="1:13" x14ac:dyDescent="0.25">
      <c r="A479" t="s">
        <v>246</v>
      </c>
      <c r="B479" t="s">
        <v>2234</v>
      </c>
      <c r="C479" t="s">
        <v>975</v>
      </c>
      <c r="D479" t="s">
        <v>2227</v>
      </c>
      <c r="E479" t="s">
        <v>966</v>
      </c>
      <c r="F479" t="s">
        <v>967</v>
      </c>
      <c r="G479" t="s">
        <v>968</v>
      </c>
      <c r="H479" t="s">
        <v>969</v>
      </c>
      <c r="I479" t="s">
        <v>970</v>
      </c>
      <c r="J479" t="s">
        <v>971</v>
      </c>
      <c r="K479" t="s">
        <v>972</v>
      </c>
      <c r="L479">
        <v>2215.4</v>
      </c>
      <c r="M479">
        <f t="shared" si="7"/>
        <v>158328.24999999997</v>
      </c>
    </row>
    <row r="480" spans="1:13" x14ac:dyDescent="0.25">
      <c r="A480" t="s">
        <v>308</v>
      </c>
      <c r="B480" t="s">
        <v>2230</v>
      </c>
      <c r="C480" t="s">
        <v>975</v>
      </c>
      <c r="D480" t="s">
        <v>2227</v>
      </c>
      <c r="E480" t="s">
        <v>966</v>
      </c>
      <c r="F480" t="s">
        <v>967</v>
      </c>
      <c r="G480" t="s">
        <v>968</v>
      </c>
      <c r="H480" t="s">
        <v>969</v>
      </c>
      <c r="I480" t="s">
        <v>970</v>
      </c>
      <c r="J480" t="s">
        <v>971</v>
      </c>
      <c r="K480" t="s">
        <v>972</v>
      </c>
      <c r="L480">
        <v>2215.42</v>
      </c>
      <c r="M480">
        <f t="shared" si="7"/>
        <v>158328.24999999997</v>
      </c>
    </row>
    <row r="481" spans="1:13" x14ac:dyDescent="0.25">
      <c r="A481" t="s">
        <v>308</v>
      </c>
      <c r="B481" t="s">
        <v>2232</v>
      </c>
      <c r="C481" t="s">
        <v>975</v>
      </c>
      <c r="D481" t="s">
        <v>2227</v>
      </c>
      <c r="E481" t="s">
        <v>966</v>
      </c>
      <c r="F481" t="s">
        <v>967</v>
      </c>
      <c r="G481" t="s">
        <v>968</v>
      </c>
      <c r="H481" t="s">
        <v>969</v>
      </c>
      <c r="I481" t="s">
        <v>970</v>
      </c>
      <c r="J481" t="s">
        <v>971</v>
      </c>
      <c r="K481" t="s">
        <v>972</v>
      </c>
      <c r="L481">
        <v>2215.42</v>
      </c>
      <c r="M481">
        <f t="shared" si="7"/>
        <v>158328.24999999997</v>
      </c>
    </row>
    <row r="482" spans="1:13" x14ac:dyDescent="0.25">
      <c r="A482" t="s">
        <v>649</v>
      </c>
      <c r="B482" t="s">
        <v>2228</v>
      </c>
      <c r="C482" t="s">
        <v>975</v>
      </c>
      <c r="D482" t="s">
        <v>2227</v>
      </c>
      <c r="E482" t="s">
        <v>966</v>
      </c>
      <c r="F482" t="s">
        <v>967</v>
      </c>
      <c r="G482" t="s">
        <v>968</v>
      </c>
      <c r="H482" t="s">
        <v>969</v>
      </c>
      <c r="I482" t="s">
        <v>970</v>
      </c>
      <c r="J482" t="s">
        <v>971</v>
      </c>
      <c r="K482" t="s">
        <v>972</v>
      </c>
      <c r="L482">
        <v>2215.4499999999998</v>
      </c>
      <c r="M482">
        <f t="shared" si="7"/>
        <v>158328.24999999997</v>
      </c>
    </row>
    <row r="483" spans="1:13" x14ac:dyDescent="0.25">
      <c r="A483" t="s">
        <v>887</v>
      </c>
      <c r="B483" t="s">
        <v>2229</v>
      </c>
      <c r="C483" t="s">
        <v>975</v>
      </c>
      <c r="D483" t="s">
        <v>2227</v>
      </c>
      <c r="E483" t="s">
        <v>966</v>
      </c>
      <c r="F483" t="s">
        <v>967</v>
      </c>
      <c r="G483" t="s">
        <v>968</v>
      </c>
      <c r="H483" t="s">
        <v>969</v>
      </c>
      <c r="I483" t="s">
        <v>970</v>
      </c>
      <c r="J483" t="s">
        <v>971</v>
      </c>
      <c r="K483" t="s">
        <v>972</v>
      </c>
      <c r="L483">
        <v>2215.4499999999998</v>
      </c>
      <c r="M483">
        <f t="shared" si="7"/>
        <v>158328.24999999997</v>
      </c>
    </row>
    <row r="484" spans="1:13" x14ac:dyDescent="0.25">
      <c r="A484" t="s">
        <v>359</v>
      </c>
      <c r="B484" t="s">
        <v>2226</v>
      </c>
      <c r="C484" t="s">
        <v>975</v>
      </c>
      <c r="D484" t="s">
        <v>2227</v>
      </c>
      <c r="E484" t="s">
        <v>966</v>
      </c>
      <c r="F484" t="s">
        <v>967</v>
      </c>
      <c r="G484" t="s">
        <v>968</v>
      </c>
      <c r="H484" t="s">
        <v>969</v>
      </c>
      <c r="I484" t="s">
        <v>970</v>
      </c>
      <c r="J484" t="s">
        <v>971</v>
      </c>
      <c r="K484" t="s">
        <v>972</v>
      </c>
      <c r="L484">
        <v>2215.4499999999998</v>
      </c>
      <c r="M484">
        <f t="shared" si="7"/>
        <v>158328.24999999997</v>
      </c>
    </row>
    <row r="485" spans="1:13" x14ac:dyDescent="0.25">
      <c r="A485" t="s">
        <v>908</v>
      </c>
      <c r="B485" t="s">
        <v>2231</v>
      </c>
      <c r="C485" t="s">
        <v>975</v>
      </c>
      <c r="D485" t="s">
        <v>2227</v>
      </c>
      <c r="E485" t="s">
        <v>966</v>
      </c>
      <c r="F485" t="s">
        <v>967</v>
      </c>
      <c r="G485" t="s">
        <v>968</v>
      </c>
      <c r="H485" t="s">
        <v>969</v>
      </c>
      <c r="I485" t="s">
        <v>970</v>
      </c>
      <c r="J485" t="s">
        <v>971</v>
      </c>
      <c r="K485" t="s">
        <v>972</v>
      </c>
      <c r="L485">
        <v>2215.42</v>
      </c>
      <c r="M485">
        <f t="shared" si="7"/>
        <v>158328.24999999997</v>
      </c>
    </row>
    <row r="486" spans="1:13" x14ac:dyDescent="0.25">
      <c r="A486" t="s">
        <v>908</v>
      </c>
      <c r="B486" t="s">
        <v>2233</v>
      </c>
      <c r="C486" t="s">
        <v>964</v>
      </c>
      <c r="D486" t="s">
        <v>2227</v>
      </c>
      <c r="E486" t="s">
        <v>966</v>
      </c>
      <c r="F486" t="s">
        <v>967</v>
      </c>
      <c r="G486" t="s">
        <v>968</v>
      </c>
      <c r="H486" t="s">
        <v>969</v>
      </c>
      <c r="I486" t="s">
        <v>970</v>
      </c>
      <c r="J486" t="s">
        <v>971</v>
      </c>
      <c r="K486" t="s">
        <v>972</v>
      </c>
      <c r="L486">
        <v>2215.42</v>
      </c>
      <c r="M486">
        <f t="shared" si="7"/>
        <v>158328.24999999997</v>
      </c>
    </row>
    <row r="487" spans="1:13" x14ac:dyDescent="0.25">
      <c r="A487" t="s">
        <v>494</v>
      </c>
      <c r="B487" t="s">
        <v>1704</v>
      </c>
      <c r="C487" t="s">
        <v>975</v>
      </c>
      <c r="D487" t="s">
        <v>1705</v>
      </c>
      <c r="E487" t="s">
        <v>977</v>
      </c>
      <c r="F487" t="s">
        <v>967</v>
      </c>
      <c r="G487" t="s">
        <v>968</v>
      </c>
      <c r="H487" t="s">
        <v>969</v>
      </c>
      <c r="I487" t="s">
        <v>970</v>
      </c>
      <c r="J487" t="s">
        <v>971</v>
      </c>
      <c r="K487" t="s">
        <v>972</v>
      </c>
      <c r="L487">
        <v>20098.05</v>
      </c>
      <c r="M487">
        <f t="shared" si="7"/>
        <v>158328.24999999997</v>
      </c>
    </row>
    <row r="488" spans="1:13" x14ac:dyDescent="0.25">
      <c r="A488" t="s">
        <v>494</v>
      </c>
      <c r="B488" t="s">
        <v>1706</v>
      </c>
      <c r="C488" t="s">
        <v>975</v>
      </c>
      <c r="D488" t="s">
        <v>1705</v>
      </c>
      <c r="E488" t="s">
        <v>977</v>
      </c>
      <c r="F488" t="s">
        <v>967</v>
      </c>
      <c r="G488" t="s">
        <v>968</v>
      </c>
      <c r="H488" t="s">
        <v>969</v>
      </c>
      <c r="I488" t="s">
        <v>970</v>
      </c>
      <c r="J488" t="s">
        <v>971</v>
      </c>
      <c r="K488" t="s">
        <v>972</v>
      </c>
      <c r="L488">
        <v>20098.05</v>
      </c>
      <c r="M488">
        <f t="shared" si="7"/>
        <v>158328.24999999997</v>
      </c>
    </row>
    <row r="489" spans="1:13" x14ac:dyDescent="0.25">
      <c r="A489" t="s">
        <v>920</v>
      </c>
      <c r="B489" t="s">
        <v>1847</v>
      </c>
      <c r="C489" t="s">
        <v>975</v>
      </c>
      <c r="D489" t="s">
        <v>1806</v>
      </c>
      <c r="E489" t="s">
        <v>980</v>
      </c>
      <c r="F489" t="s">
        <v>967</v>
      </c>
      <c r="G489" t="s">
        <v>968</v>
      </c>
      <c r="H489" t="s">
        <v>969</v>
      </c>
      <c r="I489" t="s">
        <v>970</v>
      </c>
      <c r="J489" t="s">
        <v>971</v>
      </c>
      <c r="K489" t="s">
        <v>972</v>
      </c>
      <c r="L489">
        <v>14498.62</v>
      </c>
      <c r="M489">
        <f t="shared" si="7"/>
        <v>158328.24999999997</v>
      </c>
    </row>
    <row r="490" spans="1:13" x14ac:dyDescent="0.25">
      <c r="A490" t="s">
        <v>117</v>
      </c>
      <c r="B490" t="s">
        <v>1688</v>
      </c>
      <c r="C490" t="s">
        <v>975</v>
      </c>
      <c r="D490" t="s">
        <v>1689</v>
      </c>
      <c r="E490" t="s">
        <v>980</v>
      </c>
      <c r="F490" t="s">
        <v>967</v>
      </c>
      <c r="G490" t="s">
        <v>968</v>
      </c>
      <c r="H490" t="s">
        <v>969</v>
      </c>
      <c r="I490" t="s">
        <v>970</v>
      </c>
      <c r="J490" t="s">
        <v>971</v>
      </c>
      <c r="K490" t="s">
        <v>972</v>
      </c>
      <c r="L490">
        <v>21319.41</v>
      </c>
      <c r="M490">
        <f t="shared" si="7"/>
        <v>47123.98</v>
      </c>
    </row>
    <row r="491" spans="1:13" x14ac:dyDescent="0.25">
      <c r="A491" t="s">
        <v>551</v>
      </c>
      <c r="B491" t="s">
        <v>2020</v>
      </c>
      <c r="C491" t="s">
        <v>964</v>
      </c>
      <c r="D491" t="s">
        <v>1709</v>
      </c>
      <c r="E491" t="s">
        <v>1369</v>
      </c>
      <c r="F491" t="s">
        <v>967</v>
      </c>
      <c r="G491" t="s">
        <v>968</v>
      </c>
      <c r="H491" t="s">
        <v>969</v>
      </c>
      <c r="I491" t="s">
        <v>970</v>
      </c>
      <c r="J491" t="s">
        <v>971</v>
      </c>
      <c r="K491" t="s">
        <v>972</v>
      </c>
      <c r="L491">
        <v>7729.06</v>
      </c>
      <c r="M491">
        <f t="shared" si="7"/>
        <v>47123.98</v>
      </c>
    </row>
    <row r="492" spans="1:13" x14ac:dyDescent="0.25">
      <c r="A492" t="s">
        <v>742</v>
      </c>
      <c r="B492" t="s">
        <v>2169</v>
      </c>
      <c r="C492" t="s">
        <v>964</v>
      </c>
      <c r="D492" t="s">
        <v>1806</v>
      </c>
      <c r="E492" t="s">
        <v>977</v>
      </c>
      <c r="F492" t="s">
        <v>967</v>
      </c>
      <c r="G492" t="s">
        <v>968</v>
      </c>
      <c r="H492" t="s">
        <v>969</v>
      </c>
      <c r="I492" t="s">
        <v>970</v>
      </c>
      <c r="J492" t="s">
        <v>971</v>
      </c>
      <c r="K492" t="s">
        <v>972</v>
      </c>
      <c r="L492">
        <v>3320.54</v>
      </c>
      <c r="M492">
        <f t="shared" si="7"/>
        <v>47123.98</v>
      </c>
    </row>
    <row r="493" spans="1:13" x14ac:dyDescent="0.25">
      <c r="A493" t="s">
        <v>862</v>
      </c>
      <c r="B493" t="s">
        <v>2072</v>
      </c>
      <c r="C493" t="s">
        <v>975</v>
      </c>
      <c r="D493" t="s">
        <v>1806</v>
      </c>
      <c r="E493" t="s">
        <v>966</v>
      </c>
      <c r="F493" t="s">
        <v>967</v>
      </c>
      <c r="G493" t="s">
        <v>968</v>
      </c>
      <c r="H493" t="s">
        <v>969</v>
      </c>
      <c r="I493" t="s">
        <v>970</v>
      </c>
      <c r="J493" t="s">
        <v>971</v>
      </c>
      <c r="K493" t="s">
        <v>972</v>
      </c>
      <c r="L493">
        <v>5910.53</v>
      </c>
      <c r="M493">
        <f t="shared" si="7"/>
        <v>47123.98</v>
      </c>
    </row>
    <row r="494" spans="1:13" x14ac:dyDescent="0.25">
      <c r="A494" t="s">
        <v>859</v>
      </c>
      <c r="B494" t="s">
        <v>2237</v>
      </c>
      <c r="C494" t="s">
        <v>975</v>
      </c>
      <c r="D494" t="s">
        <v>1689</v>
      </c>
      <c r="E494" t="s">
        <v>966</v>
      </c>
      <c r="F494" t="s">
        <v>967</v>
      </c>
      <c r="G494" t="s">
        <v>968</v>
      </c>
      <c r="H494" t="s">
        <v>969</v>
      </c>
      <c r="I494" t="s">
        <v>970</v>
      </c>
      <c r="J494" t="s">
        <v>971</v>
      </c>
      <c r="K494" t="s">
        <v>972</v>
      </c>
      <c r="L494">
        <v>2211.1</v>
      </c>
      <c r="M494">
        <f t="shared" si="7"/>
        <v>47123.98</v>
      </c>
    </row>
    <row r="495" spans="1:13" x14ac:dyDescent="0.25">
      <c r="A495" t="s">
        <v>859</v>
      </c>
      <c r="B495" t="s">
        <v>2238</v>
      </c>
      <c r="C495" t="s">
        <v>964</v>
      </c>
      <c r="D495" t="s">
        <v>1689</v>
      </c>
      <c r="E495" t="s">
        <v>966</v>
      </c>
      <c r="F495" t="s">
        <v>967</v>
      </c>
      <c r="G495" t="s">
        <v>968</v>
      </c>
      <c r="H495" t="s">
        <v>969</v>
      </c>
      <c r="I495" t="s">
        <v>970</v>
      </c>
      <c r="J495" t="s">
        <v>971</v>
      </c>
      <c r="K495" t="s">
        <v>972</v>
      </c>
      <c r="L495">
        <v>2211.1</v>
      </c>
      <c r="M495">
        <f t="shared" si="7"/>
        <v>47123.98</v>
      </c>
    </row>
    <row r="496" spans="1:13" x14ac:dyDescent="0.25">
      <c r="A496" t="s">
        <v>608</v>
      </c>
      <c r="B496" t="s">
        <v>2235</v>
      </c>
      <c r="C496" t="s">
        <v>975</v>
      </c>
      <c r="D496" t="s">
        <v>1689</v>
      </c>
      <c r="E496" t="s">
        <v>966</v>
      </c>
      <c r="F496" t="s">
        <v>967</v>
      </c>
      <c r="G496" t="s">
        <v>968</v>
      </c>
      <c r="H496" t="s">
        <v>969</v>
      </c>
      <c r="I496" t="s">
        <v>970</v>
      </c>
      <c r="J496" t="s">
        <v>971</v>
      </c>
      <c r="K496" t="s">
        <v>972</v>
      </c>
      <c r="L496">
        <v>2211.12</v>
      </c>
      <c r="M496">
        <f t="shared" si="7"/>
        <v>47123.98</v>
      </c>
    </row>
    <row r="497" spans="1:13" x14ac:dyDescent="0.25">
      <c r="A497" t="s">
        <v>608</v>
      </c>
      <c r="B497" t="s">
        <v>2236</v>
      </c>
      <c r="C497" t="s">
        <v>964</v>
      </c>
      <c r="D497" t="s">
        <v>1689</v>
      </c>
      <c r="E497" t="s">
        <v>966</v>
      </c>
      <c r="F497" t="s">
        <v>967</v>
      </c>
      <c r="G497" t="s">
        <v>968</v>
      </c>
      <c r="H497" t="s">
        <v>969</v>
      </c>
      <c r="I497" t="s">
        <v>970</v>
      </c>
      <c r="J497" t="s">
        <v>971</v>
      </c>
      <c r="K497" t="s">
        <v>972</v>
      </c>
      <c r="L497">
        <v>2211.12</v>
      </c>
      <c r="M497">
        <f t="shared" si="7"/>
        <v>47123.98</v>
      </c>
    </row>
    <row r="498" spans="1:13" x14ac:dyDescent="0.25">
      <c r="A498" t="s">
        <v>165</v>
      </c>
      <c r="B498" t="s">
        <v>1814</v>
      </c>
      <c r="C498" t="s">
        <v>975</v>
      </c>
      <c r="D498" t="s">
        <v>1789</v>
      </c>
      <c r="E498" t="s">
        <v>977</v>
      </c>
      <c r="F498" t="s">
        <v>967</v>
      </c>
      <c r="G498" t="s">
        <v>968</v>
      </c>
      <c r="H498" t="s">
        <v>969</v>
      </c>
      <c r="I498" t="s">
        <v>970</v>
      </c>
      <c r="J498" t="s">
        <v>971</v>
      </c>
      <c r="K498" t="s">
        <v>972</v>
      </c>
      <c r="L498">
        <v>16215.06</v>
      </c>
      <c r="M498">
        <f t="shared" si="7"/>
        <v>117425.38</v>
      </c>
    </row>
    <row r="499" spans="1:13" x14ac:dyDescent="0.25">
      <c r="A499" t="s">
        <v>611</v>
      </c>
      <c r="B499" t="s">
        <v>1672</v>
      </c>
      <c r="C499" t="s">
        <v>964</v>
      </c>
      <c r="D499" t="s">
        <v>1673</v>
      </c>
      <c r="E499" t="s">
        <v>1369</v>
      </c>
      <c r="F499" t="s">
        <v>967</v>
      </c>
      <c r="G499" t="s">
        <v>968</v>
      </c>
      <c r="H499" t="s">
        <v>969</v>
      </c>
      <c r="I499" t="s">
        <v>970</v>
      </c>
      <c r="J499" t="s">
        <v>971</v>
      </c>
      <c r="K499" t="s">
        <v>972</v>
      </c>
      <c r="L499">
        <v>22803.37</v>
      </c>
      <c r="M499">
        <f t="shared" si="7"/>
        <v>117425.38</v>
      </c>
    </row>
    <row r="500" spans="1:13" x14ac:dyDescent="0.25">
      <c r="A500" t="s">
        <v>397</v>
      </c>
      <c r="B500" t="s">
        <v>1840</v>
      </c>
      <c r="C500" t="s">
        <v>975</v>
      </c>
      <c r="D500" t="s">
        <v>1839</v>
      </c>
      <c r="E500" t="s">
        <v>980</v>
      </c>
      <c r="F500" t="s">
        <v>967</v>
      </c>
      <c r="G500" t="s">
        <v>968</v>
      </c>
      <c r="H500" t="s">
        <v>969</v>
      </c>
      <c r="I500" t="s">
        <v>970</v>
      </c>
      <c r="J500" t="s">
        <v>971</v>
      </c>
      <c r="K500" t="s">
        <v>972</v>
      </c>
      <c r="L500">
        <v>14787.17</v>
      </c>
      <c r="M500">
        <f t="shared" si="7"/>
        <v>117425.38</v>
      </c>
    </row>
    <row r="501" spans="1:13" x14ac:dyDescent="0.25">
      <c r="A501" t="s">
        <v>774</v>
      </c>
      <c r="B501" t="s">
        <v>1838</v>
      </c>
      <c r="C501" t="s">
        <v>975</v>
      </c>
      <c r="D501" t="s">
        <v>1839</v>
      </c>
      <c r="E501" t="s">
        <v>980</v>
      </c>
      <c r="F501" t="s">
        <v>967</v>
      </c>
      <c r="G501" t="s">
        <v>968</v>
      </c>
      <c r="H501" t="s">
        <v>969</v>
      </c>
      <c r="I501" t="s">
        <v>970</v>
      </c>
      <c r="J501" t="s">
        <v>971</v>
      </c>
      <c r="K501" t="s">
        <v>972</v>
      </c>
      <c r="L501">
        <v>14787.17</v>
      </c>
      <c r="M501">
        <f t="shared" si="7"/>
        <v>117425.38</v>
      </c>
    </row>
    <row r="502" spans="1:13" x14ac:dyDescent="0.25">
      <c r="A502" t="s">
        <v>854</v>
      </c>
      <c r="B502" t="s">
        <v>1844</v>
      </c>
      <c r="C502" t="s">
        <v>964</v>
      </c>
      <c r="D502" t="s">
        <v>1839</v>
      </c>
      <c r="E502" t="s">
        <v>977</v>
      </c>
      <c r="F502" t="s">
        <v>967</v>
      </c>
      <c r="G502" t="s">
        <v>968</v>
      </c>
      <c r="H502" t="s">
        <v>969</v>
      </c>
      <c r="I502" t="s">
        <v>970</v>
      </c>
      <c r="J502" t="s">
        <v>971</v>
      </c>
      <c r="K502" t="s">
        <v>972</v>
      </c>
      <c r="L502">
        <v>14591.38</v>
      </c>
      <c r="M502">
        <f t="shared" si="7"/>
        <v>117425.38</v>
      </c>
    </row>
    <row r="503" spans="1:13" x14ac:dyDescent="0.25">
      <c r="A503" t="s">
        <v>854</v>
      </c>
      <c r="B503" t="s">
        <v>1845</v>
      </c>
      <c r="C503" t="s">
        <v>975</v>
      </c>
      <c r="D503" t="s">
        <v>1839</v>
      </c>
      <c r="E503" t="s">
        <v>977</v>
      </c>
      <c r="F503" t="s">
        <v>967</v>
      </c>
      <c r="G503" t="s">
        <v>968</v>
      </c>
      <c r="H503" t="s">
        <v>969</v>
      </c>
      <c r="I503" t="s">
        <v>970</v>
      </c>
      <c r="J503" t="s">
        <v>971</v>
      </c>
      <c r="K503" t="s">
        <v>972</v>
      </c>
      <c r="L503">
        <v>14591.38</v>
      </c>
      <c r="M503">
        <f t="shared" si="7"/>
        <v>117425.38</v>
      </c>
    </row>
    <row r="504" spans="1:13" x14ac:dyDescent="0.25">
      <c r="A504" t="s">
        <v>604</v>
      </c>
      <c r="B504" t="s">
        <v>1810</v>
      </c>
      <c r="C504" t="s">
        <v>975</v>
      </c>
      <c r="D504" t="s">
        <v>1789</v>
      </c>
      <c r="E504" t="s">
        <v>977</v>
      </c>
      <c r="F504" t="s">
        <v>967</v>
      </c>
      <c r="G504" t="s">
        <v>968</v>
      </c>
      <c r="H504" t="s">
        <v>969</v>
      </c>
      <c r="I504" t="s">
        <v>970</v>
      </c>
      <c r="J504" t="s">
        <v>971</v>
      </c>
      <c r="K504" t="s">
        <v>972</v>
      </c>
      <c r="L504">
        <v>16325.06</v>
      </c>
      <c r="M504">
        <f t="shared" si="7"/>
        <v>117425.38</v>
      </c>
    </row>
    <row r="505" spans="1:13" x14ac:dyDescent="0.25">
      <c r="A505" t="s">
        <v>506</v>
      </c>
      <c r="B505" t="s">
        <v>2168</v>
      </c>
      <c r="C505" t="s">
        <v>975</v>
      </c>
      <c r="D505" t="s">
        <v>1705</v>
      </c>
      <c r="E505" t="s">
        <v>977</v>
      </c>
      <c r="F505" t="s">
        <v>967</v>
      </c>
      <c r="G505" t="s">
        <v>968</v>
      </c>
      <c r="H505" t="s">
        <v>969</v>
      </c>
      <c r="I505" t="s">
        <v>970</v>
      </c>
      <c r="J505" t="s">
        <v>971</v>
      </c>
      <c r="K505" t="s">
        <v>972</v>
      </c>
      <c r="L505">
        <v>3324.79</v>
      </c>
      <c r="M505">
        <f t="shared" si="7"/>
        <v>117425.38</v>
      </c>
    </row>
    <row r="506" spans="1:13" x14ac:dyDescent="0.25">
      <c r="A506" t="s">
        <v>69</v>
      </c>
      <c r="B506" t="s">
        <v>2419</v>
      </c>
      <c r="C506" t="s">
        <v>988</v>
      </c>
      <c r="D506" t="s">
        <v>1699</v>
      </c>
      <c r="E506" t="s">
        <v>980</v>
      </c>
      <c r="F506" t="s">
        <v>967</v>
      </c>
      <c r="G506" t="s">
        <v>968</v>
      </c>
      <c r="H506" t="s">
        <v>969</v>
      </c>
      <c r="I506" t="s">
        <v>970</v>
      </c>
      <c r="J506" t="s">
        <v>971</v>
      </c>
      <c r="K506" t="s">
        <v>972</v>
      </c>
      <c r="L506">
        <v>729.94</v>
      </c>
      <c r="M506">
        <f t="shared" si="7"/>
        <v>15386.310000000001</v>
      </c>
    </row>
    <row r="507" spans="1:13" x14ac:dyDescent="0.25">
      <c r="A507" t="s">
        <v>237</v>
      </c>
      <c r="B507" t="s">
        <v>1841</v>
      </c>
      <c r="C507" t="s">
        <v>975</v>
      </c>
      <c r="D507" t="s">
        <v>1818</v>
      </c>
      <c r="E507" t="s">
        <v>980</v>
      </c>
      <c r="F507" t="s">
        <v>967</v>
      </c>
      <c r="G507" t="s">
        <v>968</v>
      </c>
      <c r="H507" t="s">
        <v>969</v>
      </c>
      <c r="I507" t="s">
        <v>970</v>
      </c>
      <c r="J507" t="s">
        <v>971</v>
      </c>
      <c r="K507" t="s">
        <v>972</v>
      </c>
      <c r="L507">
        <v>14656.37</v>
      </c>
      <c r="M507">
        <f t="shared" si="7"/>
        <v>15386.310000000001</v>
      </c>
    </row>
    <row r="508" spans="1:13" x14ac:dyDescent="0.25">
      <c r="A508" t="s">
        <v>759</v>
      </c>
      <c r="B508" t="s">
        <v>1827</v>
      </c>
      <c r="C508" t="s">
        <v>975</v>
      </c>
      <c r="D508" t="s">
        <v>1709</v>
      </c>
      <c r="E508" t="s">
        <v>977</v>
      </c>
      <c r="F508" t="s">
        <v>967</v>
      </c>
      <c r="G508" t="s">
        <v>968</v>
      </c>
      <c r="H508" t="s">
        <v>969</v>
      </c>
      <c r="I508" t="s">
        <v>970</v>
      </c>
      <c r="J508" t="s">
        <v>971</v>
      </c>
      <c r="K508" t="s">
        <v>972</v>
      </c>
      <c r="L508">
        <v>15632.85</v>
      </c>
      <c r="M508">
        <f t="shared" si="7"/>
        <v>39256.800000000003</v>
      </c>
    </row>
    <row r="509" spans="1:13" x14ac:dyDescent="0.25">
      <c r="A509" t="s">
        <v>151</v>
      </c>
      <c r="B509" t="s">
        <v>1817</v>
      </c>
      <c r="C509" t="s">
        <v>964</v>
      </c>
      <c r="D509" t="s">
        <v>1818</v>
      </c>
      <c r="E509" t="s">
        <v>977</v>
      </c>
      <c r="F509" t="s">
        <v>967</v>
      </c>
      <c r="G509" t="s">
        <v>968</v>
      </c>
      <c r="H509" t="s">
        <v>969</v>
      </c>
      <c r="I509" t="s">
        <v>970</v>
      </c>
      <c r="J509" t="s">
        <v>971</v>
      </c>
      <c r="K509" t="s">
        <v>972</v>
      </c>
      <c r="L509">
        <v>16088.84</v>
      </c>
      <c r="M509">
        <f t="shared" si="7"/>
        <v>39256.800000000003</v>
      </c>
    </row>
    <row r="510" spans="1:13" x14ac:dyDescent="0.25">
      <c r="A510" t="s">
        <v>703</v>
      </c>
      <c r="B510" t="s">
        <v>2042</v>
      </c>
      <c r="C510" t="s">
        <v>975</v>
      </c>
      <c r="D510" t="s">
        <v>1633</v>
      </c>
      <c r="E510" t="s">
        <v>977</v>
      </c>
      <c r="F510" t="s">
        <v>967</v>
      </c>
      <c r="G510" t="s">
        <v>968</v>
      </c>
      <c r="H510" t="s">
        <v>969</v>
      </c>
      <c r="I510" t="s">
        <v>970</v>
      </c>
      <c r="J510" t="s">
        <v>971</v>
      </c>
      <c r="K510" t="s">
        <v>972</v>
      </c>
      <c r="L510">
        <v>7535.11</v>
      </c>
      <c r="M510">
        <f t="shared" si="7"/>
        <v>39256.800000000003</v>
      </c>
    </row>
    <row r="511" spans="1:13" x14ac:dyDescent="0.25">
      <c r="A511" t="s">
        <v>786</v>
      </c>
      <c r="B511" t="s">
        <v>1833</v>
      </c>
      <c r="C511" t="s">
        <v>975</v>
      </c>
      <c r="D511" t="s">
        <v>1709</v>
      </c>
      <c r="E511" t="s">
        <v>977</v>
      </c>
      <c r="F511" t="s">
        <v>967</v>
      </c>
      <c r="G511" t="s">
        <v>968</v>
      </c>
      <c r="H511" t="s">
        <v>969</v>
      </c>
      <c r="I511" t="s">
        <v>970</v>
      </c>
      <c r="J511" t="s">
        <v>971</v>
      </c>
      <c r="K511" t="s">
        <v>972</v>
      </c>
      <c r="L511">
        <v>15466.88</v>
      </c>
      <c r="M511">
        <f t="shared" si="7"/>
        <v>54689.36</v>
      </c>
    </row>
    <row r="512" spans="1:13" x14ac:dyDescent="0.25">
      <c r="A512" t="s">
        <v>280</v>
      </c>
      <c r="B512" t="s">
        <v>2082</v>
      </c>
      <c r="C512" t="s">
        <v>975</v>
      </c>
      <c r="D512" t="s">
        <v>1818</v>
      </c>
      <c r="E512" t="s">
        <v>966</v>
      </c>
      <c r="F512" t="s">
        <v>967</v>
      </c>
      <c r="G512" t="s">
        <v>968</v>
      </c>
      <c r="H512" t="s">
        <v>969</v>
      </c>
      <c r="I512" t="s">
        <v>970</v>
      </c>
      <c r="J512" t="s">
        <v>971</v>
      </c>
      <c r="K512" t="s">
        <v>972</v>
      </c>
      <c r="L512">
        <v>5543.32</v>
      </c>
      <c r="M512">
        <f t="shared" si="7"/>
        <v>54689.36</v>
      </c>
    </row>
    <row r="513" spans="1:13" x14ac:dyDescent="0.25">
      <c r="A513" t="s">
        <v>9</v>
      </c>
      <c r="B513" t="s">
        <v>2160</v>
      </c>
      <c r="C513" t="s">
        <v>975</v>
      </c>
      <c r="D513" t="s">
        <v>1709</v>
      </c>
      <c r="E513" t="s">
        <v>977</v>
      </c>
      <c r="F513" t="s">
        <v>967</v>
      </c>
      <c r="G513" t="s">
        <v>968</v>
      </c>
      <c r="H513" t="s">
        <v>969</v>
      </c>
      <c r="I513" t="s">
        <v>970</v>
      </c>
      <c r="J513" t="s">
        <v>971</v>
      </c>
      <c r="K513" t="s">
        <v>972</v>
      </c>
      <c r="L513">
        <v>3647.48</v>
      </c>
      <c r="M513">
        <f t="shared" si="7"/>
        <v>54689.36</v>
      </c>
    </row>
    <row r="514" spans="1:13" x14ac:dyDescent="0.25">
      <c r="A514" t="s">
        <v>38</v>
      </c>
      <c r="B514" t="s">
        <v>2081</v>
      </c>
      <c r="C514" t="s">
        <v>975</v>
      </c>
      <c r="D514" t="s">
        <v>1818</v>
      </c>
      <c r="E514" t="s">
        <v>966</v>
      </c>
      <c r="F514" t="s">
        <v>967</v>
      </c>
      <c r="G514" t="s">
        <v>968</v>
      </c>
      <c r="H514" t="s">
        <v>969</v>
      </c>
      <c r="I514" t="s">
        <v>970</v>
      </c>
      <c r="J514" t="s">
        <v>971</v>
      </c>
      <c r="K514" t="s">
        <v>972</v>
      </c>
      <c r="L514">
        <v>5543.81</v>
      </c>
      <c r="M514">
        <f t="shared" si="7"/>
        <v>54689.36</v>
      </c>
    </row>
    <row r="515" spans="1:13" x14ac:dyDescent="0.25">
      <c r="A515" t="s">
        <v>504</v>
      </c>
      <c r="B515" t="s">
        <v>1955</v>
      </c>
      <c r="C515" t="s">
        <v>964</v>
      </c>
      <c r="D515" t="s">
        <v>1789</v>
      </c>
      <c r="E515" t="s">
        <v>977</v>
      </c>
      <c r="F515" t="s">
        <v>967</v>
      </c>
      <c r="G515" t="s">
        <v>968</v>
      </c>
      <c r="H515" t="s">
        <v>969</v>
      </c>
      <c r="I515" t="s">
        <v>970</v>
      </c>
      <c r="J515" t="s">
        <v>971</v>
      </c>
      <c r="K515" t="s">
        <v>972</v>
      </c>
      <c r="L515">
        <v>10182.76</v>
      </c>
      <c r="M515">
        <f t="shared" ref="M515:M578" si="8">+SUMIF(A:A,A515,L:L)</f>
        <v>54689.36</v>
      </c>
    </row>
    <row r="516" spans="1:13" x14ac:dyDescent="0.25">
      <c r="A516" t="s">
        <v>849</v>
      </c>
      <c r="B516" t="s">
        <v>1856</v>
      </c>
      <c r="C516" t="s">
        <v>975</v>
      </c>
      <c r="D516" t="s">
        <v>1789</v>
      </c>
      <c r="E516" t="s">
        <v>977</v>
      </c>
      <c r="F516" t="s">
        <v>967</v>
      </c>
      <c r="G516" t="s">
        <v>968</v>
      </c>
      <c r="H516" t="s">
        <v>969</v>
      </c>
      <c r="I516" t="s">
        <v>970</v>
      </c>
      <c r="J516" t="s">
        <v>971</v>
      </c>
      <c r="K516" t="s">
        <v>972</v>
      </c>
      <c r="L516">
        <v>14305.11</v>
      </c>
      <c r="M516">
        <f t="shared" si="8"/>
        <v>54689.36</v>
      </c>
    </row>
    <row r="517" spans="1:13" x14ac:dyDescent="0.25">
      <c r="A517" t="s">
        <v>942</v>
      </c>
      <c r="B517" t="s">
        <v>1837</v>
      </c>
      <c r="C517" t="s">
        <v>964</v>
      </c>
      <c r="D517" t="s">
        <v>1673</v>
      </c>
      <c r="E517" t="s">
        <v>977</v>
      </c>
      <c r="F517" t="s">
        <v>967</v>
      </c>
      <c r="G517" t="s">
        <v>968</v>
      </c>
      <c r="H517" t="s">
        <v>969</v>
      </c>
      <c r="I517" t="s">
        <v>970</v>
      </c>
      <c r="J517" t="s">
        <v>971</v>
      </c>
      <c r="K517" t="s">
        <v>972</v>
      </c>
      <c r="L517">
        <v>14788.25</v>
      </c>
      <c r="M517">
        <f t="shared" si="8"/>
        <v>32246.16</v>
      </c>
    </row>
    <row r="518" spans="1:13" x14ac:dyDescent="0.25">
      <c r="A518" t="s">
        <v>391</v>
      </c>
      <c r="B518" t="s">
        <v>1782</v>
      </c>
      <c r="C518" t="s">
        <v>975</v>
      </c>
      <c r="D518" t="s">
        <v>1633</v>
      </c>
      <c r="E518" t="s">
        <v>980</v>
      </c>
      <c r="F518" t="s">
        <v>967</v>
      </c>
      <c r="G518" t="s">
        <v>968</v>
      </c>
      <c r="H518" t="s">
        <v>969</v>
      </c>
      <c r="I518" t="s">
        <v>970</v>
      </c>
      <c r="J518" t="s">
        <v>971</v>
      </c>
      <c r="K518" t="s">
        <v>972</v>
      </c>
      <c r="L518">
        <v>17457.91</v>
      </c>
      <c r="M518">
        <f t="shared" si="8"/>
        <v>32246.16</v>
      </c>
    </row>
    <row r="519" spans="1:13" x14ac:dyDescent="0.25">
      <c r="A519" t="s">
        <v>394</v>
      </c>
      <c r="B519" t="s">
        <v>1816</v>
      </c>
      <c r="C519" t="s">
        <v>964</v>
      </c>
      <c r="D519" t="s">
        <v>1789</v>
      </c>
      <c r="E519" t="s">
        <v>977</v>
      </c>
      <c r="F519" t="s">
        <v>967</v>
      </c>
      <c r="G519" t="s">
        <v>968</v>
      </c>
      <c r="H519" t="s">
        <v>969</v>
      </c>
      <c r="I519" t="s">
        <v>970</v>
      </c>
      <c r="J519" t="s">
        <v>971</v>
      </c>
      <c r="K519" t="s">
        <v>972</v>
      </c>
      <c r="L519">
        <v>16095.79</v>
      </c>
      <c r="M519">
        <f t="shared" si="8"/>
        <v>52572.44</v>
      </c>
    </row>
    <row r="520" spans="1:13" x14ac:dyDescent="0.25">
      <c r="A520" t="s">
        <v>731</v>
      </c>
      <c r="B520" t="s">
        <v>1820</v>
      </c>
      <c r="C520" t="s">
        <v>975</v>
      </c>
      <c r="D520" t="s">
        <v>1673</v>
      </c>
      <c r="E520" t="s">
        <v>977</v>
      </c>
      <c r="F520" t="s">
        <v>967</v>
      </c>
      <c r="G520" t="s">
        <v>968</v>
      </c>
      <c r="H520" t="s">
        <v>969</v>
      </c>
      <c r="I520" t="s">
        <v>970</v>
      </c>
      <c r="J520" t="s">
        <v>971</v>
      </c>
      <c r="K520" t="s">
        <v>972</v>
      </c>
      <c r="L520">
        <v>15886.13</v>
      </c>
      <c r="M520">
        <f t="shared" si="8"/>
        <v>52572.44</v>
      </c>
    </row>
    <row r="521" spans="1:13" x14ac:dyDescent="0.25">
      <c r="A521" t="s">
        <v>205</v>
      </c>
      <c r="B521" t="s">
        <v>1698</v>
      </c>
      <c r="C521" t="s">
        <v>975</v>
      </c>
      <c r="D521" t="s">
        <v>1699</v>
      </c>
      <c r="E521" t="s">
        <v>977</v>
      </c>
      <c r="F521" t="s">
        <v>967</v>
      </c>
      <c r="G521" t="s">
        <v>968</v>
      </c>
      <c r="H521" t="s">
        <v>969</v>
      </c>
      <c r="I521" t="s">
        <v>970</v>
      </c>
      <c r="J521" t="s">
        <v>971</v>
      </c>
      <c r="K521" t="s">
        <v>972</v>
      </c>
      <c r="L521">
        <v>20590.52</v>
      </c>
      <c r="M521">
        <f t="shared" si="8"/>
        <v>52572.44</v>
      </c>
    </row>
    <row r="522" spans="1:13" x14ac:dyDescent="0.25">
      <c r="A522" t="s">
        <v>873</v>
      </c>
      <c r="B522" t="s">
        <v>2010</v>
      </c>
      <c r="C522" t="s">
        <v>975</v>
      </c>
      <c r="D522" t="s">
        <v>1699</v>
      </c>
      <c r="E522" t="s">
        <v>980</v>
      </c>
      <c r="F522" t="s">
        <v>967</v>
      </c>
      <c r="G522" t="s">
        <v>968</v>
      </c>
      <c r="H522" t="s">
        <v>969</v>
      </c>
      <c r="I522" t="s">
        <v>970</v>
      </c>
      <c r="J522" t="s">
        <v>971</v>
      </c>
      <c r="K522" t="s">
        <v>972</v>
      </c>
      <c r="L522">
        <v>8109.93</v>
      </c>
      <c r="M522">
        <f t="shared" si="8"/>
        <v>134349.74000000002</v>
      </c>
    </row>
    <row r="523" spans="1:13" x14ac:dyDescent="0.25">
      <c r="A523" t="s">
        <v>794</v>
      </c>
      <c r="B523" t="s">
        <v>2065</v>
      </c>
      <c r="C523" t="s">
        <v>964</v>
      </c>
      <c r="D523" t="s">
        <v>1699</v>
      </c>
      <c r="E523" t="s">
        <v>977</v>
      </c>
      <c r="F523" t="s">
        <v>967</v>
      </c>
      <c r="G523" t="s">
        <v>968</v>
      </c>
      <c r="H523" t="s">
        <v>969</v>
      </c>
      <c r="I523" t="s">
        <v>970</v>
      </c>
      <c r="J523" t="s">
        <v>971</v>
      </c>
      <c r="K523" t="s">
        <v>972</v>
      </c>
      <c r="L523">
        <v>6097.44</v>
      </c>
      <c r="M523">
        <f t="shared" si="8"/>
        <v>134349.74000000002</v>
      </c>
    </row>
    <row r="524" spans="1:13" x14ac:dyDescent="0.25">
      <c r="A524" t="s">
        <v>950</v>
      </c>
      <c r="B524" t="s">
        <v>2064</v>
      </c>
      <c r="C524" t="s">
        <v>964</v>
      </c>
      <c r="D524" t="s">
        <v>1699</v>
      </c>
      <c r="E524" t="s">
        <v>977</v>
      </c>
      <c r="F524" t="s">
        <v>967</v>
      </c>
      <c r="G524" t="s">
        <v>968</v>
      </c>
      <c r="H524" t="s">
        <v>969</v>
      </c>
      <c r="I524" t="s">
        <v>970</v>
      </c>
      <c r="J524" t="s">
        <v>971</v>
      </c>
      <c r="K524" t="s">
        <v>972</v>
      </c>
      <c r="L524">
        <v>6097.44</v>
      </c>
      <c r="M524">
        <f t="shared" si="8"/>
        <v>134349.74000000002</v>
      </c>
    </row>
    <row r="525" spans="1:13" x14ac:dyDescent="0.25">
      <c r="A525" t="s">
        <v>405</v>
      </c>
      <c r="B525" t="s">
        <v>2066</v>
      </c>
      <c r="C525" t="s">
        <v>964</v>
      </c>
      <c r="D525" t="s">
        <v>1699</v>
      </c>
      <c r="E525" t="s">
        <v>977</v>
      </c>
      <c r="F525" t="s">
        <v>967</v>
      </c>
      <c r="G525" t="s">
        <v>968</v>
      </c>
      <c r="H525" t="s">
        <v>969</v>
      </c>
      <c r="I525" t="s">
        <v>970</v>
      </c>
      <c r="J525" t="s">
        <v>971</v>
      </c>
      <c r="K525" t="s">
        <v>972</v>
      </c>
      <c r="L525">
        <v>6097.44</v>
      </c>
      <c r="M525">
        <f t="shared" si="8"/>
        <v>134349.74000000002</v>
      </c>
    </row>
    <row r="526" spans="1:13" x14ac:dyDescent="0.25">
      <c r="A526" t="s">
        <v>687</v>
      </c>
      <c r="B526" t="s">
        <v>1788</v>
      </c>
      <c r="C526" t="s">
        <v>975</v>
      </c>
      <c r="D526" t="s">
        <v>1789</v>
      </c>
      <c r="E526" t="s">
        <v>966</v>
      </c>
      <c r="F526" t="s">
        <v>967</v>
      </c>
      <c r="G526" t="s">
        <v>968</v>
      </c>
      <c r="H526" t="s">
        <v>969</v>
      </c>
      <c r="I526" t="s">
        <v>970</v>
      </c>
      <c r="J526" t="s">
        <v>971</v>
      </c>
      <c r="K526" t="s">
        <v>972</v>
      </c>
      <c r="L526">
        <v>16803.349999999999</v>
      </c>
      <c r="M526">
        <f t="shared" si="8"/>
        <v>134349.74000000002</v>
      </c>
    </row>
    <row r="527" spans="1:13" x14ac:dyDescent="0.25">
      <c r="A527" t="s">
        <v>687</v>
      </c>
      <c r="B527" t="s">
        <v>1790</v>
      </c>
      <c r="C527" t="s">
        <v>975</v>
      </c>
      <c r="D527" t="s">
        <v>1789</v>
      </c>
      <c r="E527" t="s">
        <v>966</v>
      </c>
      <c r="F527" t="s">
        <v>967</v>
      </c>
      <c r="G527" t="s">
        <v>968</v>
      </c>
      <c r="H527" t="s">
        <v>969</v>
      </c>
      <c r="I527" t="s">
        <v>970</v>
      </c>
      <c r="J527" t="s">
        <v>971</v>
      </c>
      <c r="K527" t="s">
        <v>972</v>
      </c>
      <c r="L527">
        <v>16803.349999999999</v>
      </c>
      <c r="M527">
        <f t="shared" si="8"/>
        <v>134349.74000000002</v>
      </c>
    </row>
    <row r="528" spans="1:13" x14ac:dyDescent="0.25">
      <c r="A528" t="s">
        <v>687</v>
      </c>
      <c r="B528" t="s">
        <v>1791</v>
      </c>
      <c r="C528" t="s">
        <v>975</v>
      </c>
      <c r="D528" t="s">
        <v>1789</v>
      </c>
      <c r="E528" t="s">
        <v>966</v>
      </c>
      <c r="F528" t="s">
        <v>967</v>
      </c>
      <c r="G528" t="s">
        <v>968</v>
      </c>
      <c r="H528" t="s">
        <v>969</v>
      </c>
      <c r="I528" t="s">
        <v>970</v>
      </c>
      <c r="J528" t="s">
        <v>971</v>
      </c>
      <c r="K528" t="s">
        <v>972</v>
      </c>
      <c r="L528">
        <v>16803.349999999999</v>
      </c>
      <c r="M528">
        <f t="shared" si="8"/>
        <v>134349.74000000002</v>
      </c>
    </row>
    <row r="529" spans="1:13" x14ac:dyDescent="0.25">
      <c r="A529" t="s">
        <v>687</v>
      </c>
      <c r="B529" t="s">
        <v>1792</v>
      </c>
      <c r="C529" t="s">
        <v>975</v>
      </c>
      <c r="D529" t="s">
        <v>1789</v>
      </c>
      <c r="E529" t="s">
        <v>966</v>
      </c>
      <c r="F529" t="s">
        <v>967</v>
      </c>
      <c r="G529" t="s">
        <v>968</v>
      </c>
      <c r="H529" t="s">
        <v>969</v>
      </c>
      <c r="I529" t="s">
        <v>970</v>
      </c>
      <c r="J529" t="s">
        <v>971</v>
      </c>
      <c r="K529" t="s">
        <v>972</v>
      </c>
      <c r="L529">
        <v>16803.349999999999</v>
      </c>
      <c r="M529">
        <f t="shared" si="8"/>
        <v>134349.74000000002</v>
      </c>
    </row>
    <row r="530" spans="1:13" x14ac:dyDescent="0.25">
      <c r="A530" t="s">
        <v>687</v>
      </c>
      <c r="B530" t="s">
        <v>1793</v>
      </c>
      <c r="C530" t="s">
        <v>975</v>
      </c>
      <c r="D530" t="s">
        <v>1789</v>
      </c>
      <c r="E530" t="s">
        <v>966</v>
      </c>
      <c r="F530" t="s">
        <v>967</v>
      </c>
      <c r="G530" t="s">
        <v>968</v>
      </c>
      <c r="H530" t="s">
        <v>969</v>
      </c>
      <c r="I530" t="s">
        <v>970</v>
      </c>
      <c r="J530" t="s">
        <v>971</v>
      </c>
      <c r="K530" t="s">
        <v>972</v>
      </c>
      <c r="L530">
        <v>16803.349999999999</v>
      </c>
      <c r="M530">
        <f t="shared" si="8"/>
        <v>134349.74000000002</v>
      </c>
    </row>
    <row r="531" spans="1:13" x14ac:dyDescent="0.25">
      <c r="A531" t="s">
        <v>687</v>
      </c>
      <c r="B531" t="s">
        <v>1794</v>
      </c>
      <c r="C531" t="s">
        <v>975</v>
      </c>
      <c r="D531" t="s">
        <v>1789</v>
      </c>
      <c r="E531" t="s">
        <v>966</v>
      </c>
      <c r="F531" t="s">
        <v>967</v>
      </c>
      <c r="G531" t="s">
        <v>968</v>
      </c>
      <c r="H531" t="s">
        <v>969</v>
      </c>
      <c r="I531" t="s">
        <v>970</v>
      </c>
      <c r="J531" t="s">
        <v>971</v>
      </c>
      <c r="K531" t="s">
        <v>972</v>
      </c>
      <c r="L531">
        <v>16803.349999999999</v>
      </c>
      <c r="M531">
        <f t="shared" si="8"/>
        <v>134349.74000000002</v>
      </c>
    </row>
    <row r="532" spans="1:13" x14ac:dyDescent="0.25">
      <c r="A532" t="s">
        <v>871</v>
      </c>
      <c r="B532" t="s">
        <v>2050</v>
      </c>
      <c r="C532" t="s">
        <v>964</v>
      </c>
      <c r="D532" t="s">
        <v>1699</v>
      </c>
      <c r="E532" t="s">
        <v>980</v>
      </c>
      <c r="F532" t="s">
        <v>967</v>
      </c>
      <c r="G532" t="s">
        <v>968</v>
      </c>
      <c r="H532" t="s">
        <v>969</v>
      </c>
      <c r="I532" t="s">
        <v>970</v>
      </c>
      <c r="J532" t="s">
        <v>971</v>
      </c>
      <c r="K532" t="s">
        <v>972</v>
      </c>
      <c r="L532">
        <v>7127.39</v>
      </c>
      <c r="M532">
        <f t="shared" si="8"/>
        <v>134349.74000000002</v>
      </c>
    </row>
    <row r="533" spans="1:13" x14ac:dyDescent="0.25">
      <c r="A533" t="s">
        <v>382</v>
      </c>
      <c r="B533" t="s">
        <v>2488</v>
      </c>
      <c r="C533" t="s">
        <v>2171</v>
      </c>
      <c r="D533" t="s">
        <v>1789</v>
      </c>
      <c r="E533" t="s">
        <v>977</v>
      </c>
      <c r="F533" t="s">
        <v>967</v>
      </c>
      <c r="G533" t="s">
        <v>968</v>
      </c>
      <c r="H533" t="s">
        <v>969</v>
      </c>
      <c r="I533" t="s">
        <v>970</v>
      </c>
      <c r="J533" t="s">
        <v>971</v>
      </c>
      <c r="K533" t="s">
        <v>972</v>
      </c>
      <c r="L533">
        <v>318.16000000000003</v>
      </c>
      <c r="M533">
        <f t="shared" si="8"/>
        <v>77059.399999999994</v>
      </c>
    </row>
    <row r="534" spans="1:13" x14ac:dyDescent="0.25">
      <c r="A534" t="s">
        <v>593</v>
      </c>
      <c r="B534" t="s">
        <v>1926</v>
      </c>
      <c r="C534" t="s">
        <v>975</v>
      </c>
      <c r="D534" t="s">
        <v>1808</v>
      </c>
      <c r="E534" t="s">
        <v>977</v>
      </c>
      <c r="F534" t="s">
        <v>967</v>
      </c>
      <c r="G534" t="s">
        <v>968</v>
      </c>
      <c r="H534" t="s">
        <v>969</v>
      </c>
      <c r="I534" t="s">
        <v>970</v>
      </c>
      <c r="J534" t="s">
        <v>971</v>
      </c>
      <c r="K534" t="s">
        <v>972</v>
      </c>
      <c r="L534">
        <v>10944.94</v>
      </c>
      <c r="M534">
        <f t="shared" si="8"/>
        <v>77059.399999999994</v>
      </c>
    </row>
    <row r="535" spans="1:13" x14ac:dyDescent="0.25">
      <c r="A535" t="s">
        <v>840</v>
      </c>
      <c r="B535" t="s">
        <v>2059</v>
      </c>
      <c r="C535" t="s">
        <v>975</v>
      </c>
      <c r="D535" t="s">
        <v>1789</v>
      </c>
      <c r="E535" t="s">
        <v>977</v>
      </c>
      <c r="F535" t="s">
        <v>967</v>
      </c>
      <c r="G535" t="s">
        <v>968</v>
      </c>
      <c r="H535" t="s">
        <v>969</v>
      </c>
      <c r="I535" t="s">
        <v>970</v>
      </c>
      <c r="J535" t="s">
        <v>971</v>
      </c>
      <c r="K535" t="s">
        <v>972</v>
      </c>
      <c r="L535">
        <v>6804.41</v>
      </c>
      <c r="M535">
        <f t="shared" si="8"/>
        <v>77059.399999999994</v>
      </c>
    </row>
    <row r="536" spans="1:13" x14ac:dyDescent="0.25">
      <c r="A536" t="s">
        <v>760</v>
      </c>
      <c r="B536" t="s">
        <v>1632</v>
      </c>
      <c r="C536" t="s">
        <v>975</v>
      </c>
      <c r="D536" t="s">
        <v>1633</v>
      </c>
      <c r="E536" t="s">
        <v>1369</v>
      </c>
      <c r="F536" t="s">
        <v>967</v>
      </c>
      <c r="G536" t="s">
        <v>968</v>
      </c>
      <c r="H536" t="s">
        <v>969</v>
      </c>
      <c r="I536" t="s">
        <v>970</v>
      </c>
      <c r="J536" t="s">
        <v>971</v>
      </c>
      <c r="K536" t="s">
        <v>972</v>
      </c>
      <c r="L536">
        <v>24383.25</v>
      </c>
      <c r="M536">
        <f t="shared" si="8"/>
        <v>77059.399999999994</v>
      </c>
    </row>
    <row r="537" spans="1:13" x14ac:dyDescent="0.25">
      <c r="A537" t="s">
        <v>401</v>
      </c>
      <c r="B537" t="s">
        <v>1783</v>
      </c>
      <c r="C537" t="s">
        <v>975</v>
      </c>
      <c r="D537" t="s">
        <v>1699</v>
      </c>
      <c r="E537" t="s">
        <v>966</v>
      </c>
      <c r="F537" t="s">
        <v>967</v>
      </c>
      <c r="G537" t="s">
        <v>968</v>
      </c>
      <c r="H537" t="s">
        <v>969</v>
      </c>
      <c r="I537" t="s">
        <v>970</v>
      </c>
      <c r="J537" t="s">
        <v>971</v>
      </c>
      <c r="K537" t="s">
        <v>972</v>
      </c>
      <c r="L537">
        <v>17304.32</v>
      </c>
      <c r="M537">
        <f t="shared" si="8"/>
        <v>77059.399999999994</v>
      </c>
    </row>
    <row r="538" spans="1:13" x14ac:dyDescent="0.25">
      <c r="A538" t="s">
        <v>401</v>
      </c>
      <c r="B538" t="s">
        <v>1784</v>
      </c>
      <c r="C538" t="s">
        <v>975</v>
      </c>
      <c r="D538" t="s">
        <v>1699</v>
      </c>
      <c r="E538" t="s">
        <v>966</v>
      </c>
      <c r="F538" t="s">
        <v>967</v>
      </c>
      <c r="G538" t="s">
        <v>968</v>
      </c>
      <c r="H538" t="s">
        <v>969</v>
      </c>
      <c r="I538" t="s">
        <v>970</v>
      </c>
      <c r="J538" t="s">
        <v>971</v>
      </c>
      <c r="K538" t="s">
        <v>972</v>
      </c>
      <c r="L538">
        <v>17304.32</v>
      </c>
      <c r="M538">
        <f t="shared" si="8"/>
        <v>77059.399999999994</v>
      </c>
    </row>
    <row r="539" spans="1:13" x14ac:dyDescent="0.25">
      <c r="A539" t="s">
        <v>33</v>
      </c>
      <c r="B539" t="s">
        <v>2443</v>
      </c>
      <c r="C539" t="s">
        <v>982</v>
      </c>
      <c r="D539" t="s">
        <v>1701</v>
      </c>
      <c r="E539" t="s">
        <v>966</v>
      </c>
      <c r="F539" t="s">
        <v>967</v>
      </c>
      <c r="G539" t="s">
        <v>968</v>
      </c>
      <c r="H539" t="s">
        <v>969</v>
      </c>
      <c r="I539" t="s">
        <v>970</v>
      </c>
      <c r="J539" t="s">
        <v>971</v>
      </c>
      <c r="K539" t="s">
        <v>972</v>
      </c>
      <c r="L539">
        <v>528.49</v>
      </c>
      <c r="M539">
        <f t="shared" si="8"/>
        <v>41148.060000000005</v>
      </c>
    </row>
    <row r="540" spans="1:13" x14ac:dyDescent="0.25">
      <c r="A540" t="s">
        <v>835</v>
      </c>
      <c r="B540" t="s">
        <v>1811</v>
      </c>
      <c r="C540" t="s">
        <v>975</v>
      </c>
      <c r="D540" t="s">
        <v>1633</v>
      </c>
      <c r="E540" t="s">
        <v>977</v>
      </c>
      <c r="F540" t="s">
        <v>967</v>
      </c>
      <c r="G540" t="s">
        <v>968</v>
      </c>
      <c r="H540" t="s">
        <v>969</v>
      </c>
      <c r="I540" t="s">
        <v>970</v>
      </c>
      <c r="J540" t="s">
        <v>971</v>
      </c>
      <c r="K540" t="s">
        <v>972</v>
      </c>
      <c r="L540">
        <v>16303.87</v>
      </c>
      <c r="M540">
        <f t="shared" si="8"/>
        <v>41148.060000000005</v>
      </c>
    </row>
    <row r="541" spans="1:13" x14ac:dyDescent="0.25">
      <c r="A541" t="s">
        <v>526</v>
      </c>
      <c r="B541" t="s">
        <v>1787</v>
      </c>
      <c r="C541" t="s">
        <v>964</v>
      </c>
      <c r="D541" t="s">
        <v>1699</v>
      </c>
      <c r="E541" t="s">
        <v>977</v>
      </c>
      <c r="F541" t="s">
        <v>967</v>
      </c>
      <c r="G541" t="s">
        <v>968</v>
      </c>
      <c r="H541" t="s">
        <v>969</v>
      </c>
      <c r="I541" t="s">
        <v>970</v>
      </c>
      <c r="J541" t="s">
        <v>971</v>
      </c>
      <c r="K541" t="s">
        <v>972</v>
      </c>
      <c r="L541">
        <v>16897.63</v>
      </c>
      <c r="M541">
        <f t="shared" si="8"/>
        <v>41148.060000000005</v>
      </c>
    </row>
    <row r="542" spans="1:13" x14ac:dyDescent="0.25">
      <c r="A542" t="s">
        <v>949</v>
      </c>
      <c r="B542" t="s">
        <v>2045</v>
      </c>
      <c r="C542" t="s">
        <v>975</v>
      </c>
      <c r="D542" t="s">
        <v>1808</v>
      </c>
      <c r="E542" t="s">
        <v>977</v>
      </c>
      <c r="F542" t="s">
        <v>967</v>
      </c>
      <c r="G542" t="s">
        <v>968</v>
      </c>
      <c r="H542" t="s">
        <v>969</v>
      </c>
      <c r="I542" t="s">
        <v>970</v>
      </c>
      <c r="J542" t="s">
        <v>971</v>
      </c>
      <c r="K542" t="s">
        <v>972</v>
      </c>
      <c r="L542">
        <v>7418.07</v>
      </c>
      <c r="M542">
        <f t="shared" si="8"/>
        <v>41148.060000000005</v>
      </c>
    </row>
    <row r="543" spans="1:13" x14ac:dyDescent="0.25">
      <c r="A543" t="s">
        <v>753</v>
      </c>
      <c r="B543" t="s">
        <v>1801</v>
      </c>
      <c r="C543" t="s">
        <v>975</v>
      </c>
      <c r="D543" t="s">
        <v>1699</v>
      </c>
      <c r="E543" t="s">
        <v>966</v>
      </c>
      <c r="F543" t="s">
        <v>967</v>
      </c>
      <c r="G543" t="s">
        <v>968</v>
      </c>
      <c r="H543" t="s">
        <v>969</v>
      </c>
      <c r="I543" t="s">
        <v>970</v>
      </c>
      <c r="J543" t="s">
        <v>971</v>
      </c>
      <c r="K543" t="s">
        <v>972</v>
      </c>
      <c r="L543">
        <v>16686.57</v>
      </c>
      <c r="M543">
        <f t="shared" si="8"/>
        <v>88496.569999999978</v>
      </c>
    </row>
    <row r="544" spans="1:13" x14ac:dyDescent="0.25">
      <c r="A544" t="s">
        <v>753</v>
      </c>
      <c r="B544" t="s">
        <v>1802</v>
      </c>
      <c r="C544" t="s">
        <v>975</v>
      </c>
      <c r="D544" t="s">
        <v>1699</v>
      </c>
      <c r="E544" t="s">
        <v>966</v>
      </c>
      <c r="F544" t="s">
        <v>967</v>
      </c>
      <c r="G544" t="s">
        <v>968</v>
      </c>
      <c r="H544" t="s">
        <v>969</v>
      </c>
      <c r="I544" t="s">
        <v>970</v>
      </c>
      <c r="J544" t="s">
        <v>971</v>
      </c>
      <c r="K544" t="s">
        <v>972</v>
      </c>
      <c r="L544">
        <v>16686.57</v>
      </c>
      <c r="M544">
        <f t="shared" si="8"/>
        <v>88496.569999999978</v>
      </c>
    </row>
    <row r="545" spans="1:13" x14ac:dyDescent="0.25">
      <c r="A545" t="s">
        <v>753</v>
      </c>
      <c r="B545" t="s">
        <v>1803</v>
      </c>
      <c r="C545" t="s">
        <v>975</v>
      </c>
      <c r="D545" t="s">
        <v>1699</v>
      </c>
      <c r="E545" t="s">
        <v>966</v>
      </c>
      <c r="F545" t="s">
        <v>967</v>
      </c>
      <c r="G545" t="s">
        <v>968</v>
      </c>
      <c r="H545" t="s">
        <v>969</v>
      </c>
      <c r="I545" t="s">
        <v>970</v>
      </c>
      <c r="J545" t="s">
        <v>971</v>
      </c>
      <c r="K545" t="s">
        <v>972</v>
      </c>
      <c r="L545">
        <v>16686.57</v>
      </c>
      <c r="M545">
        <f t="shared" si="8"/>
        <v>88496.569999999978</v>
      </c>
    </row>
    <row r="546" spans="1:13" x14ac:dyDescent="0.25">
      <c r="A546" t="s">
        <v>753</v>
      </c>
      <c r="B546" t="s">
        <v>1804</v>
      </c>
      <c r="C546" t="s">
        <v>975</v>
      </c>
      <c r="D546" t="s">
        <v>1699</v>
      </c>
      <c r="E546" t="s">
        <v>966</v>
      </c>
      <c r="F546" t="s">
        <v>967</v>
      </c>
      <c r="G546" t="s">
        <v>968</v>
      </c>
      <c r="H546" t="s">
        <v>969</v>
      </c>
      <c r="I546" t="s">
        <v>970</v>
      </c>
      <c r="J546" t="s">
        <v>971</v>
      </c>
      <c r="K546" t="s">
        <v>972</v>
      </c>
      <c r="L546">
        <v>16686.57</v>
      </c>
      <c r="M546">
        <f t="shared" si="8"/>
        <v>88496.569999999978</v>
      </c>
    </row>
    <row r="547" spans="1:13" x14ac:dyDescent="0.25">
      <c r="A547" t="s">
        <v>481</v>
      </c>
      <c r="B547" t="s">
        <v>2497</v>
      </c>
      <c r="C547" t="s">
        <v>988</v>
      </c>
      <c r="D547" t="s">
        <v>1699</v>
      </c>
      <c r="E547" t="s">
        <v>966</v>
      </c>
      <c r="F547" t="s">
        <v>967</v>
      </c>
      <c r="G547" t="s">
        <v>968</v>
      </c>
      <c r="H547" t="s">
        <v>969</v>
      </c>
      <c r="I547" t="s">
        <v>970</v>
      </c>
      <c r="J547" t="s">
        <v>971</v>
      </c>
      <c r="K547" t="s">
        <v>972</v>
      </c>
      <c r="L547">
        <v>270.62</v>
      </c>
      <c r="M547">
        <f t="shared" si="8"/>
        <v>88496.569999999978</v>
      </c>
    </row>
    <row r="548" spans="1:13" x14ac:dyDescent="0.25">
      <c r="A548" t="s">
        <v>481</v>
      </c>
      <c r="B548" t="s">
        <v>2498</v>
      </c>
      <c r="C548" t="s">
        <v>988</v>
      </c>
      <c r="D548" t="s">
        <v>1699</v>
      </c>
      <c r="E548" t="s">
        <v>966</v>
      </c>
      <c r="F548" t="s">
        <v>967</v>
      </c>
      <c r="G548" t="s">
        <v>968</v>
      </c>
      <c r="H548" t="s">
        <v>969</v>
      </c>
      <c r="I548" t="s">
        <v>970</v>
      </c>
      <c r="J548" t="s">
        <v>971</v>
      </c>
      <c r="K548" t="s">
        <v>972</v>
      </c>
      <c r="L548">
        <v>270.62</v>
      </c>
      <c r="M548">
        <f t="shared" si="8"/>
        <v>88496.569999999978</v>
      </c>
    </row>
    <row r="549" spans="1:13" x14ac:dyDescent="0.25">
      <c r="A549" t="s">
        <v>481</v>
      </c>
      <c r="B549" t="s">
        <v>2499</v>
      </c>
      <c r="C549" t="s">
        <v>988</v>
      </c>
      <c r="D549" t="s">
        <v>1699</v>
      </c>
      <c r="E549" t="s">
        <v>966</v>
      </c>
      <c r="F549" t="s">
        <v>967</v>
      </c>
      <c r="G549" t="s">
        <v>968</v>
      </c>
      <c r="H549" t="s">
        <v>969</v>
      </c>
      <c r="I549" t="s">
        <v>970</v>
      </c>
      <c r="J549" t="s">
        <v>971</v>
      </c>
      <c r="K549" t="s">
        <v>972</v>
      </c>
      <c r="L549">
        <v>270.62</v>
      </c>
      <c r="M549">
        <f t="shared" si="8"/>
        <v>88496.569999999978</v>
      </c>
    </row>
    <row r="550" spans="1:13" x14ac:dyDescent="0.25">
      <c r="A550" t="s">
        <v>481</v>
      </c>
      <c r="B550" t="s">
        <v>2500</v>
      </c>
      <c r="C550" t="s">
        <v>988</v>
      </c>
      <c r="D550" t="s">
        <v>1699</v>
      </c>
      <c r="E550" t="s">
        <v>966</v>
      </c>
      <c r="F550" t="s">
        <v>967</v>
      </c>
      <c r="G550" t="s">
        <v>968</v>
      </c>
      <c r="H550" t="s">
        <v>969</v>
      </c>
      <c r="I550" t="s">
        <v>970</v>
      </c>
      <c r="J550" t="s">
        <v>971</v>
      </c>
      <c r="K550" t="s">
        <v>972</v>
      </c>
      <c r="L550">
        <v>270.62</v>
      </c>
      <c r="M550">
        <f t="shared" si="8"/>
        <v>88496.569999999978</v>
      </c>
    </row>
    <row r="551" spans="1:13" x14ac:dyDescent="0.25">
      <c r="A551" t="s">
        <v>481</v>
      </c>
      <c r="B551" t="s">
        <v>2501</v>
      </c>
      <c r="C551" t="s">
        <v>988</v>
      </c>
      <c r="D551" t="s">
        <v>1699</v>
      </c>
      <c r="E551" t="s">
        <v>966</v>
      </c>
      <c r="F551" t="s">
        <v>967</v>
      </c>
      <c r="G551" t="s">
        <v>968</v>
      </c>
      <c r="H551" t="s">
        <v>969</v>
      </c>
      <c r="I551" t="s">
        <v>970</v>
      </c>
      <c r="J551" t="s">
        <v>971</v>
      </c>
      <c r="K551" t="s">
        <v>972</v>
      </c>
      <c r="L551">
        <v>270.62</v>
      </c>
      <c r="M551">
        <f t="shared" si="8"/>
        <v>88496.569999999978</v>
      </c>
    </row>
    <row r="552" spans="1:13" x14ac:dyDescent="0.25">
      <c r="A552" t="s">
        <v>745</v>
      </c>
      <c r="B552" t="s">
        <v>1741</v>
      </c>
      <c r="C552" t="s">
        <v>964</v>
      </c>
      <c r="D552" t="s">
        <v>1731</v>
      </c>
      <c r="E552" t="s">
        <v>977</v>
      </c>
      <c r="F552" t="s">
        <v>967</v>
      </c>
      <c r="G552" t="s">
        <v>968</v>
      </c>
      <c r="H552" t="s">
        <v>969</v>
      </c>
      <c r="I552" t="s">
        <v>970</v>
      </c>
      <c r="J552" t="s">
        <v>971</v>
      </c>
      <c r="K552" t="s">
        <v>972</v>
      </c>
      <c r="L552">
        <v>19059.61</v>
      </c>
      <c r="M552">
        <f t="shared" si="8"/>
        <v>88496.569999999978</v>
      </c>
    </row>
    <row r="553" spans="1:13" x14ac:dyDescent="0.25">
      <c r="A553" t="s">
        <v>843</v>
      </c>
      <c r="B553" t="s">
        <v>2407</v>
      </c>
      <c r="C553" t="s">
        <v>988</v>
      </c>
      <c r="D553" t="s">
        <v>1699</v>
      </c>
      <c r="E553" t="s">
        <v>977</v>
      </c>
      <c r="F553" t="s">
        <v>967</v>
      </c>
      <c r="G553" t="s">
        <v>968</v>
      </c>
      <c r="H553" t="s">
        <v>969</v>
      </c>
      <c r="I553" t="s">
        <v>970</v>
      </c>
      <c r="J553" t="s">
        <v>971</v>
      </c>
      <c r="K553" t="s">
        <v>972</v>
      </c>
      <c r="L553">
        <v>783.44</v>
      </c>
      <c r="M553">
        <f t="shared" si="8"/>
        <v>88496.569999999978</v>
      </c>
    </row>
    <row r="554" spans="1:13" x14ac:dyDescent="0.25">
      <c r="A554" t="s">
        <v>326</v>
      </c>
      <c r="B554" t="s">
        <v>2438</v>
      </c>
      <c r="C554" t="s">
        <v>982</v>
      </c>
      <c r="D554" t="s">
        <v>1633</v>
      </c>
      <c r="E554" t="s">
        <v>980</v>
      </c>
      <c r="F554" t="s">
        <v>967</v>
      </c>
      <c r="G554" t="s">
        <v>968</v>
      </c>
      <c r="H554" t="s">
        <v>969</v>
      </c>
      <c r="I554" t="s">
        <v>970</v>
      </c>
      <c r="J554" t="s">
        <v>971</v>
      </c>
      <c r="K554" t="s">
        <v>972</v>
      </c>
      <c r="L554">
        <v>554.14</v>
      </c>
      <c r="M554">
        <f t="shared" si="8"/>
        <v>88496.569999999978</v>
      </c>
    </row>
    <row r="555" spans="1:13" x14ac:dyDescent="0.25">
      <c r="A555" t="s">
        <v>510</v>
      </c>
      <c r="B555" t="s">
        <v>1786</v>
      </c>
      <c r="C555" t="s">
        <v>975</v>
      </c>
      <c r="D555" t="s">
        <v>1633</v>
      </c>
      <c r="E555" t="s">
        <v>977</v>
      </c>
      <c r="F555" t="s">
        <v>967</v>
      </c>
      <c r="G555" t="s">
        <v>968</v>
      </c>
      <c r="H555" t="s">
        <v>969</v>
      </c>
      <c r="I555" t="s">
        <v>970</v>
      </c>
      <c r="J555" t="s">
        <v>971</v>
      </c>
      <c r="K555" t="s">
        <v>972</v>
      </c>
      <c r="L555">
        <v>16910.77</v>
      </c>
      <c r="M555">
        <f t="shared" si="8"/>
        <v>55138.559999999998</v>
      </c>
    </row>
    <row r="556" spans="1:13" x14ac:dyDescent="0.25">
      <c r="A556" t="s">
        <v>632</v>
      </c>
      <c r="B556" t="s">
        <v>1759</v>
      </c>
      <c r="C556" t="s">
        <v>975</v>
      </c>
      <c r="D556" t="s">
        <v>1699</v>
      </c>
      <c r="E556" t="s">
        <v>980</v>
      </c>
      <c r="F556" t="s">
        <v>967</v>
      </c>
      <c r="G556" t="s">
        <v>968</v>
      </c>
      <c r="H556" t="s">
        <v>969</v>
      </c>
      <c r="I556" t="s">
        <v>970</v>
      </c>
      <c r="J556" t="s">
        <v>971</v>
      </c>
      <c r="K556" t="s">
        <v>972</v>
      </c>
      <c r="L556">
        <v>18520.45</v>
      </c>
      <c r="M556">
        <f t="shared" si="8"/>
        <v>55138.559999999998</v>
      </c>
    </row>
    <row r="557" spans="1:13" x14ac:dyDescent="0.25">
      <c r="A557" t="s">
        <v>632</v>
      </c>
      <c r="B557" t="s">
        <v>1760</v>
      </c>
      <c r="C557" t="s">
        <v>975</v>
      </c>
      <c r="D557" t="s">
        <v>1699</v>
      </c>
      <c r="E557" t="s">
        <v>980</v>
      </c>
      <c r="F557" t="s">
        <v>967</v>
      </c>
      <c r="G557" t="s">
        <v>968</v>
      </c>
      <c r="H557" t="s">
        <v>969</v>
      </c>
      <c r="I557" t="s">
        <v>970</v>
      </c>
      <c r="J557" t="s">
        <v>971</v>
      </c>
      <c r="K557" t="s">
        <v>972</v>
      </c>
      <c r="L557">
        <v>18520.45</v>
      </c>
      <c r="M557">
        <f t="shared" si="8"/>
        <v>55138.559999999998</v>
      </c>
    </row>
    <row r="558" spans="1:13" x14ac:dyDescent="0.25">
      <c r="A558" t="s">
        <v>89</v>
      </c>
      <c r="B558" t="s">
        <v>2431</v>
      </c>
      <c r="C558" t="s">
        <v>988</v>
      </c>
      <c r="D558" t="s">
        <v>1633</v>
      </c>
      <c r="E558" t="s">
        <v>980</v>
      </c>
      <c r="F558" t="s">
        <v>967</v>
      </c>
      <c r="G558" t="s">
        <v>968</v>
      </c>
      <c r="H558" t="s">
        <v>969</v>
      </c>
      <c r="I558" t="s">
        <v>970</v>
      </c>
      <c r="J558" t="s">
        <v>971</v>
      </c>
      <c r="K558" t="s">
        <v>972</v>
      </c>
      <c r="L558">
        <v>649.9</v>
      </c>
      <c r="M558">
        <f t="shared" si="8"/>
        <v>55138.559999999998</v>
      </c>
    </row>
    <row r="559" spans="1:13" x14ac:dyDescent="0.25">
      <c r="A559" t="s">
        <v>597</v>
      </c>
      <c r="B559" t="s">
        <v>2440</v>
      </c>
      <c r="C559" t="s">
        <v>982</v>
      </c>
      <c r="D559" t="s">
        <v>1633</v>
      </c>
      <c r="E559" t="s">
        <v>977</v>
      </c>
      <c r="F559" t="s">
        <v>967</v>
      </c>
      <c r="G559" t="s">
        <v>968</v>
      </c>
      <c r="H559" t="s">
        <v>969</v>
      </c>
      <c r="I559" t="s">
        <v>970</v>
      </c>
      <c r="J559" t="s">
        <v>971</v>
      </c>
      <c r="K559" t="s">
        <v>972</v>
      </c>
      <c r="L559">
        <v>536.99</v>
      </c>
      <c r="M559">
        <f t="shared" si="8"/>
        <v>55138.559999999998</v>
      </c>
    </row>
    <row r="560" spans="1:13" x14ac:dyDescent="0.25">
      <c r="A560" t="s">
        <v>744</v>
      </c>
      <c r="B560" t="s">
        <v>1754</v>
      </c>
      <c r="C560" t="s">
        <v>975</v>
      </c>
      <c r="D560" t="s">
        <v>1731</v>
      </c>
      <c r="E560" t="s">
        <v>966</v>
      </c>
      <c r="F560" t="s">
        <v>967</v>
      </c>
      <c r="G560" t="s">
        <v>968</v>
      </c>
      <c r="H560" t="s">
        <v>969</v>
      </c>
      <c r="I560" t="s">
        <v>970</v>
      </c>
      <c r="J560" t="s">
        <v>971</v>
      </c>
      <c r="K560" t="s">
        <v>972</v>
      </c>
      <c r="L560">
        <v>18542.34</v>
      </c>
      <c r="M560">
        <f t="shared" si="8"/>
        <v>74593.51999999999</v>
      </c>
    </row>
    <row r="561" spans="1:13" x14ac:dyDescent="0.25">
      <c r="A561" t="s">
        <v>744</v>
      </c>
      <c r="B561" t="s">
        <v>1755</v>
      </c>
      <c r="C561" t="s">
        <v>975</v>
      </c>
      <c r="D561" t="s">
        <v>1731</v>
      </c>
      <c r="E561" t="s">
        <v>966</v>
      </c>
      <c r="F561" t="s">
        <v>967</v>
      </c>
      <c r="G561" t="s">
        <v>968</v>
      </c>
      <c r="H561" t="s">
        <v>969</v>
      </c>
      <c r="I561" t="s">
        <v>970</v>
      </c>
      <c r="J561" t="s">
        <v>971</v>
      </c>
      <c r="K561" t="s">
        <v>972</v>
      </c>
      <c r="L561">
        <v>18542.34</v>
      </c>
      <c r="M561">
        <f t="shared" si="8"/>
        <v>74593.51999999999</v>
      </c>
    </row>
    <row r="562" spans="1:13" x14ac:dyDescent="0.25">
      <c r="A562" t="s">
        <v>201</v>
      </c>
      <c r="B562" t="s">
        <v>1750</v>
      </c>
      <c r="C562" t="s">
        <v>975</v>
      </c>
      <c r="D562" t="s">
        <v>1751</v>
      </c>
      <c r="E562" t="s">
        <v>980</v>
      </c>
      <c r="F562" t="s">
        <v>967</v>
      </c>
      <c r="G562" t="s">
        <v>968</v>
      </c>
      <c r="H562" t="s">
        <v>969</v>
      </c>
      <c r="I562" t="s">
        <v>970</v>
      </c>
      <c r="J562" t="s">
        <v>971</v>
      </c>
      <c r="K562" t="s">
        <v>972</v>
      </c>
      <c r="L562">
        <v>18754.419999999998</v>
      </c>
      <c r="M562">
        <f t="shared" si="8"/>
        <v>74593.51999999999</v>
      </c>
    </row>
    <row r="563" spans="1:13" x14ac:dyDescent="0.25">
      <c r="A563" t="s">
        <v>201</v>
      </c>
      <c r="B563" t="s">
        <v>1752</v>
      </c>
      <c r="C563" t="s">
        <v>975</v>
      </c>
      <c r="D563" t="s">
        <v>1751</v>
      </c>
      <c r="E563" t="s">
        <v>980</v>
      </c>
      <c r="F563" t="s">
        <v>967</v>
      </c>
      <c r="G563" t="s">
        <v>968</v>
      </c>
      <c r="H563" t="s">
        <v>969</v>
      </c>
      <c r="I563" t="s">
        <v>970</v>
      </c>
      <c r="J563" t="s">
        <v>971</v>
      </c>
      <c r="K563" t="s">
        <v>972</v>
      </c>
      <c r="L563">
        <v>18754.419999999998</v>
      </c>
      <c r="M563">
        <f t="shared" si="8"/>
        <v>74593.51999999999</v>
      </c>
    </row>
    <row r="564" spans="1:13" x14ac:dyDescent="0.25">
      <c r="A564" t="s">
        <v>488</v>
      </c>
      <c r="B564" t="s">
        <v>1711</v>
      </c>
      <c r="C564" t="s">
        <v>964</v>
      </c>
      <c r="D564" t="s">
        <v>979</v>
      </c>
      <c r="E564" t="s">
        <v>977</v>
      </c>
      <c r="F564" t="s">
        <v>967</v>
      </c>
      <c r="G564" t="s">
        <v>968</v>
      </c>
      <c r="H564" t="s">
        <v>969</v>
      </c>
      <c r="I564" t="s">
        <v>970</v>
      </c>
      <c r="J564" t="s">
        <v>971</v>
      </c>
      <c r="K564" t="s">
        <v>972</v>
      </c>
      <c r="L564">
        <v>19368.04</v>
      </c>
      <c r="M564">
        <f t="shared" si="8"/>
        <v>204007.58000000002</v>
      </c>
    </row>
    <row r="565" spans="1:13" x14ac:dyDescent="0.25">
      <c r="A565" t="s">
        <v>488</v>
      </c>
      <c r="B565" t="s">
        <v>1712</v>
      </c>
      <c r="C565" t="s">
        <v>975</v>
      </c>
      <c r="D565" t="s">
        <v>979</v>
      </c>
      <c r="E565" t="s">
        <v>977</v>
      </c>
      <c r="F565" t="s">
        <v>967</v>
      </c>
      <c r="G565" t="s">
        <v>968</v>
      </c>
      <c r="H565" t="s">
        <v>969</v>
      </c>
      <c r="I565" t="s">
        <v>970</v>
      </c>
      <c r="J565" t="s">
        <v>971</v>
      </c>
      <c r="K565" t="s">
        <v>972</v>
      </c>
      <c r="L565">
        <v>19368.04</v>
      </c>
      <c r="M565">
        <f t="shared" si="8"/>
        <v>204007.58000000002</v>
      </c>
    </row>
    <row r="566" spans="1:13" x14ac:dyDescent="0.25">
      <c r="A566" t="s">
        <v>488</v>
      </c>
      <c r="B566" t="s">
        <v>1712</v>
      </c>
      <c r="C566" t="s">
        <v>975</v>
      </c>
      <c r="D566" t="s">
        <v>979</v>
      </c>
      <c r="E566" t="s">
        <v>977</v>
      </c>
      <c r="F566" t="s">
        <v>967</v>
      </c>
      <c r="G566" t="s">
        <v>968</v>
      </c>
      <c r="H566" t="s">
        <v>969</v>
      </c>
      <c r="I566" t="s">
        <v>970</v>
      </c>
      <c r="J566" t="s">
        <v>971</v>
      </c>
      <c r="K566" t="s">
        <v>972</v>
      </c>
      <c r="L566">
        <v>19368.02</v>
      </c>
      <c r="M566">
        <f t="shared" si="8"/>
        <v>204007.58000000002</v>
      </c>
    </row>
    <row r="567" spans="1:13" x14ac:dyDescent="0.25">
      <c r="A567" t="s">
        <v>488</v>
      </c>
      <c r="B567" t="s">
        <v>1711</v>
      </c>
      <c r="C567" t="s">
        <v>964</v>
      </c>
      <c r="D567" t="s">
        <v>979</v>
      </c>
      <c r="E567" t="s">
        <v>977</v>
      </c>
      <c r="F567" t="s">
        <v>967</v>
      </c>
      <c r="G567" t="s">
        <v>968</v>
      </c>
      <c r="H567" t="s">
        <v>969</v>
      </c>
      <c r="I567" t="s">
        <v>970</v>
      </c>
      <c r="J567" t="s">
        <v>971</v>
      </c>
      <c r="K567" t="s">
        <v>972</v>
      </c>
      <c r="L567">
        <v>19368.02</v>
      </c>
      <c r="M567">
        <f t="shared" si="8"/>
        <v>204007.58000000002</v>
      </c>
    </row>
    <row r="568" spans="1:13" x14ac:dyDescent="0.25">
      <c r="A568" t="s">
        <v>929</v>
      </c>
      <c r="B568" t="s">
        <v>1730</v>
      </c>
      <c r="C568" t="s">
        <v>975</v>
      </c>
      <c r="D568" t="s">
        <v>1731</v>
      </c>
      <c r="E568" t="s">
        <v>1223</v>
      </c>
      <c r="F568" t="s">
        <v>967</v>
      </c>
      <c r="G568" t="s">
        <v>968</v>
      </c>
      <c r="H568" t="s">
        <v>969</v>
      </c>
      <c r="I568" t="s">
        <v>970</v>
      </c>
      <c r="J568" t="s">
        <v>971</v>
      </c>
      <c r="K568" t="s">
        <v>972</v>
      </c>
      <c r="L568">
        <v>19209.16</v>
      </c>
      <c r="M568">
        <f t="shared" si="8"/>
        <v>204007.58000000002</v>
      </c>
    </row>
    <row r="569" spans="1:13" x14ac:dyDescent="0.25">
      <c r="A569" t="s">
        <v>517</v>
      </c>
      <c r="B569" t="s">
        <v>1732</v>
      </c>
      <c r="C569" t="s">
        <v>975</v>
      </c>
      <c r="D569" t="s">
        <v>1731</v>
      </c>
      <c r="E569" t="s">
        <v>1223</v>
      </c>
      <c r="F569" t="s">
        <v>967</v>
      </c>
      <c r="G569" t="s">
        <v>968</v>
      </c>
      <c r="H569" t="s">
        <v>969</v>
      </c>
      <c r="I569" t="s">
        <v>970</v>
      </c>
      <c r="J569" t="s">
        <v>971</v>
      </c>
      <c r="K569" t="s">
        <v>972</v>
      </c>
      <c r="L569">
        <v>19209.16</v>
      </c>
      <c r="M569">
        <f t="shared" si="8"/>
        <v>204007.58000000002</v>
      </c>
    </row>
    <row r="570" spans="1:13" x14ac:dyDescent="0.25">
      <c r="A570" t="s">
        <v>51</v>
      </c>
      <c r="B570" t="s">
        <v>1756</v>
      </c>
      <c r="C570" t="s">
        <v>975</v>
      </c>
      <c r="D570" t="s">
        <v>1731</v>
      </c>
      <c r="E570" t="s">
        <v>966</v>
      </c>
      <c r="F570" t="s">
        <v>967</v>
      </c>
      <c r="G570" t="s">
        <v>968</v>
      </c>
      <c r="H570" t="s">
        <v>969</v>
      </c>
      <c r="I570" t="s">
        <v>970</v>
      </c>
      <c r="J570" t="s">
        <v>971</v>
      </c>
      <c r="K570" t="s">
        <v>972</v>
      </c>
      <c r="L570">
        <v>18542.32</v>
      </c>
      <c r="M570">
        <f t="shared" si="8"/>
        <v>204007.58000000002</v>
      </c>
    </row>
    <row r="571" spans="1:13" x14ac:dyDescent="0.25">
      <c r="A571" t="s">
        <v>51</v>
      </c>
      <c r="B571" t="s">
        <v>1757</v>
      </c>
      <c r="C571" t="s">
        <v>975</v>
      </c>
      <c r="D571" t="s">
        <v>1731</v>
      </c>
      <c r="E571" t="s">
        <v>966</v>
      </c>
      <c r="F571" t="s">
        <v>967</v>
      </c>
      <c r="G571" t="s">
        <v>968</v>
      </c>
      <c r="H571" t="s">
        <v>969</v>
      </c>
      <c r="I571" t="s">
        <v>970</v>
      </c>
      <c r="J571" t="s">
        <v>971</v>
      </c>
      <c r="K571" t="s">
        <v>972</v>
      </c>
      <c r="L571">
        <v>18542.32</v>
      </c>
      <c r="M571">
        <f t="shared" si="8"/>
        <v>204007.58000000002</v>
      </c>
    </row>
    <row r="572" spans="1:13" x14ac:dyDescent="0.25">
      <c r="A572" t="s">
        <v>781</v>
      </c>
      <c r="B572" t="s">
        <v>1785</v>
      </c>
      <c r="C572" t="s">
        <v>975</v>
      </c>
      <c r="D572" t="s">
        <v>1731</v>
      </c>
      <c r="E572" t="s">
        <v>980</v>
      </c>
      <c r="F572" t="s">
        <v>967</v>
      </c>
      <c r="G572" t="s">
        <v>968</v>
      </c>
      <c r="H572" t="s">
        <v>969</v>
      </c>
      <c r="I572" t="s">
        <v>970</v>
      </c>
      <c r="J572" t="s">
        <v>971</v>
      </c>
      <c r="K572" t="s">
        <v>972</v>
      </c>
      <c r="L572">
        <v>17062.53</v>
      </c>
      <c r="M572">
        <f t="shared" si="8"/>
        <v>204007.58000000002</v>
      </c>
    </row>
    <row r="573" spans="1:13" x14ac:dyDescent="0.25">
      <c r="A573" t="s">
        <v>565</v>
      </c>
      <c r="B573" t="s">
        <v>1846</v>
      </c>
      <c r="C573" t="s">
        <v>964</v>
      </c>
      <c r="D573" t="s">
        <v>1813</v>
      </c>
      <c r="E573" t="s">
        <v>980</v>
      </c>
      <c r="F573" t="s">
        <v>967</v>
      </c>
      <c r="G573" t="s">
        <v>968</v>
      </c>
      <c r="H573" t="s">
        <v>969</v>
      </c>
      <c r="I573" t="s">
        <v>970</v>
      </c>
      <c r="J573" t="s">
        <v>971</v>
      </c>
      <c r="K573" t="s">
        <v>972</v>
      </c>
      <c r="L573">
        <v>14542.88</v>
      </c>
      <c r="M573">
        <f t="shared" si="8"/>
        <v>204007.58000000002</v>
      </c>
    </row>
    <row r="574" spans="1:13" x14ac:dyDescent="0.25">
      <c r="A574" t="s">
        <v>427</v>
      </c>
      <c r="B574" t="s">
        <v>1758</v>
      </c>
      <c r="C574" t="s">
        <v>975</v>
      </c>
      <c r="D574" t="s">
        <v>1751</v>
      </c>
      <c r="E574" t="s">
        <v>977</v>
      </c>
      <c r="F574" t="s">
        <v>967</v>
      </c>
      <c r="G574" t="s">
        <v>968</v>
      </c>
      <c r="H574" t="s">
        <v>969</v>
      </c>
      <c r="I574" t="s">
        <v>970</v>
      </c>
      <c r="J574" t="s">
        <v>971</v>
      </c>
      <c r="K574" t="s">
        <v>972</v>
      </c>
      <c r="L574">
        <v>18535.57</v>
      </c>
      <c r="M574">
        <f t="shared" si="8"/>
        <v>204007.58000000002</v>
      </c>
    </row>
    <row r="575" spans="1:13" x14ac:dyDescent="0.25">
      <c r="A575" t="s">
        <v>92</v>
      </c>
      <c r="B575" t="s">
        <v>2387</v>
      </c>
      <c r="C575" t="s">
        <v>2171</v>
      </c>
      <c r="D575" t="s">
        <v>1477</v>
      </c>
      <c r="E575" t="s">
        <v>977</v>
      </c>
      <c r="F575" t="s">
        <v>967</v>
      </c>
      <c r="G575" t="s">
        <v>968</v>
      </c>
      <c r="H575" t="s">
        <v>969</v>
      </c>
      <c r="I575" t="s">
        <v>970</v>
      </c>
      <c r="J575" t="s">
        <v>971</v>
      </c>
      <c r="K575" t="s">
        <v>972</v>
      </c>
      <c r="L575">
        <v>891.52</v>
      </c>
      <c r="M575">
        <f t="shared" si="8"/>
        <v>204007.58000000002</v>
      </c>
    </row>
    <row r="576" spans="1:13" x14ac:dyDescent="0.25">
      <c r="A576" t="s">
        <v>375</v>
      </c>
      <c r="B576" t="s">
        <v>1738</v>
      </c>
      <c r="C576" t="s">
        <v>975</v>
      </c>
      <c r="D576" t="s">
        <v>1739</v>
      </c>
      <c r="E576" t="s">
        <v>966</v>
      </c>
      <c r="F576" t="s">
        <v>967</v>
      </c>
      <c r="G576" t="s">
        <v>968</v>
      </c>
      <c r="H576" t="s">
        <v>969</v>
      </c>
      <c r="I576" t="s">
        <v>970</v>
      </c>
      <c r="J576" t="s">
        <v>971</v>
      </c>
      <c r="K576" t="s">
        <v>972</v>
      </c>
      <c r="L576">
        <v>19169.099999999999</v>
      </c>
      <c r="M576">
        <f t="shared" si="8"/>
        <v>54593.47</v>
      </c>
    </row>
    <row r="577" spans="1:13" x14ac:dyDescent="0.25">
      <c r="A577" t="s">
        <v>375</v>
      </c>
      <c r="B577" t="s">
        <v>1740</v>
      </c>
      <c r="C577" t="s">
        <v>975</v>
      </c>
      <c r="D577" t="s">
        <v>1739</v>
      </c>
      <c r="E577" t="s">
        <v>966</v>
      </c>
      <c r="F577" t="s">
        <v>967</v>
      </c>
      <c r="G577" t="s">
        <v>968</v>
      </c>
      <c r="H577" t="s">
        <v>969</v>
      </c>
      <c r="I577" t="s">
        <v>970</v>
      </c>
      <c r="J577" t="s">
        <v>971</v>
      </c>
      <c r="K577" t="s">
        <v>972</v>
      </c>
      <c r="L577">
        <v>19169.099999999999</v>
      </c>
      <c r="M577">
        <f t="shared" si="8"/>
        <v>54593.47</v>
      </c>
    </row>
    <row r="578" spans="1:13" x14ac:dyDescent="0.25">
      <c r="A578" t="s">
        <v>170</v>
      </c>
      <c r="B578" t="s">
        <v>1812</v>
      </c>
      <c r="C578" t="s">
        <v>964</v>
      </c>
      <c r="D578" t="s">
        <v>1813</v>
      </c>
      <c r="E578" t="s">
        <v>977</v>
      </c>
      <c r="F578" t="s">
        <v>967</v>
      </c>
      <c r="G578" t="s">
        <v>968</v>
      </c>
      <c r="H578" t="s">
        <v>969</v>
      </c>
      <c r="I578" t="s">
        <v>970</v>
      </c>
      <c r="J578" t="s">
        <v>971</v>
      </c>
      <c r="K578" t="s">
        <v>972</v>
      </c>
      <c r="L578">
        <v>16255.27</v>
      </c>
      <c r="M578">
        <f t="shared" si="8"/>
        <v>54593.47</v>
      </c>
    </row>
    <row r="579" spans="1:13" x14ac:dyDescent="0.25">
      <c r="A579" t="s">
        <v>35</v>
      </c>
      <c r="B579" t="s">
        <v>1686</v>
      </c>
      <c r="C579" t="s">
        <v>975</v>
      </c>
      <c r="D579" t="s">
        <v>1687</v>
      </c>
      <c r="E579" t="s">
        <v>980</v>
      </c>
      <c r="F579" t="s">
        <v>967</v>
      </c>
      <c r="G579" t="s">
        <v>968</v>
      </c>
      <c r="H579" t="s">
        <v>969</v>
      </c>
      <c r="I579" t="s">
        <v>970</v>
      </c>
      <c r="J579" t="s">
        <v>971</v>
      </c>
      <c r="K579" t="s">
        <v>972</v>
      </c>
      <c r="L579">
        <v>21531.54</v>
      </c>
      <c r="M579">
        <f t="shared" ref="M579:M642" si="9">+SUMIF(A:A,A579,L:L)</f>
        <v>21676.45</v>
      </c>
    </row>
    <row r="580" spans="1:13" x14ac:dyDescent="0.25">
      <c r="A580" t="s">
        <v>410</v>
      </c>
      <c r="B580" t="s">
        <v>2519</v>
      </c>
      <c r="C580" t="s">
        <v>2171</v>
      </c>
      <c r="D580" t="s">
        <v>1751</v>
      </c>
      <c r="E580" t="s">
        <v>980</v>
      </c>
      <c r="F580" t="s">
        <v>967</v>
      </c>
      <c r="G580" t="s">
        <v>968</v>
      </c>
      <c r="H580" t="s">
        <v>2390</v>
      </c>
      <c r="I580" t="s">
        <v>970</v>
      </c>
      <c r="J580" t="s">
        <v>971</v>
      </c>
      <c r="K580" t="s">
        <v>972</v>
      </c>
      <c r="L580">
        <v>144.91</v>
      </c>
      <c r="M580">
        <f t="shared" si="9"/>
        <v>21676.45</v>
      </c>
    </row>
    <row r="581" spans="1:13" x14ac:dyDescent="0.25">
      <c r="A581" t="s">
        <v>891</v>
      </c>
      <c r="B581" t="s">
        <v>1989</v>
      </c>
      <c r="C581" t="s">
        <v>964</v>
      </c>
      <c r="D581" t="s">
        <v>1701</v>
      </c>
      <c r="E581" t="s">
        <v>977</v>
      </c>
      <c r="F581" t="s">
        <v>967</v>
      </c>
      <c r="G581" t="s">
        <v>968</v>
      </c>
      <c r="H581" t="s">
        <v>969</v>
      </c>
      <c r="I581" t="s">
        <v>970</v>
      </c>
      <c r="J581" t="s">
        <v>971</v>
      </c>
      <c r="K581" t="s">
        <v>972</v>
      </c>
      <c r="L581">
        <v>9291.02</v>
      </c>
      <c r="M581">
        <f t="shared" si="9"/>
        <v>27942.400000000001</v>
      </c>
    </row>
    <row r="582" spans="1:13" x14ac:dyDescent="0.25">
      <c r="A582" t="s">
        <v>555</v>
      </c>
      <c r="B582" t="s">
        <v>1753</v>
      </c>
      <c r="C582" t="s">
        <v>975</v>
      </c>
      <c r="D582" t="s">
        <v>1701</v>
      </c>
      <c r="E582" t="s">
        <v>977</v>
      </c>
      <c r="F582" t="s">
        <v>967</v>
      </c>
      <c r="G582" t="s">
        <v>968</v>
      </c>
      <c r="H582" t="s">
        <v>969</v>
      </c>
      <c r="I582" t="s">
        <v>970</v>
      </c>
      <c r="J582" t="s">
        <v>971</v>
      </c>
      <c r="K582" t="s">
        <v>972</v>
      </c>
      <c r="L582">
        <v>18651.38</v>
      </c>
      <c r="M582">
        <f t="shared" si="9"/>
        <v>27942.400000000001</v>
      </c>
    </row>
    <row r="583" spans="1:13" x14ac:dyDescent="0.25">
      <c r="A583" t="s">
        <v>319</v>
      </c>
      <c r="B583" t="s">
        <v>1703</v>
      </c>
      <c r="C583" t="s">
        <v>975</v>
      </c>
      <c r="D583" t="s">
        <v>1701</v>
      </c>
      <c r="E583" t="s">
        <v>1223</v>
      </c>
      <c r="F583" t="s">
        <v>967</v>
      </c>
      <c r="G583" t="s">
        <v>968</v>
      </c>
      <c r="H583" t="s">
        <v>969</v>
      </c>
      <c r="I583" t="s">
        <v>970</v>
      </c>
      <c r="J583" t="s">
        <v>971</v>
      </c>
      <c r="K583" t="s">
        <v>972</v>
      </c>
      <c r="L583">
        <v>20128.04</v>
      </c>
      <c r="M583">
        <f t="shared" si="9"/>
        <v>73578.760000000009</v>
      </c>
    </row>
    <row r="584" spans="1:13" x14ac:dyDescent="0.25">
      <c r="A584" t="s">
        <v>705</v>
      </c>
      <c r="B584" t="s">
        <v>1702</v>
      </c>
      <c r="C584" t="s">
        <v>975</v>
      </c>
      <c r="D584" t="s">
        <v>1701</v>
      </c>
      <c r="E584" t="s">
        <v>1223</v>
      </c>
      <c r="F584" t="s">
        <v>967</v>
      </c>
      <c r="G584" t="s">
        <v>968</v>
      </c>
      <c r="H584" t="s">
        <v>969</v>
      </c>
      <c r="I584" t="s">
        <v>970</v>
      </c>
      <c r="J584" t="s">
        <v>971</v>
      </c>
      <c r="K584" t="s">
        <v>972</v>
      </c>
      <c r="L584">
        <v>20128.04</v>
      </c>
      <c r="M584">
        <f t="shared" si="9"/>
        <v>73578.760000000009</v>
      </c>
    </row>
    <row r="585" spans="1:13" x14ac:dyDescent="0.25">
      <c r="A585" t="s">
        <v>700</v>
      </c>
      <c r="B585" t="s">
        <v>1700</v>
      </c>
      <c r="C585" t="s">
        <v>975</v>
      </c>
      <c r="D585" t="s">
        <v>1701</v>
      </c>
      <c r="E585" t="s">
        <v>1223</v>
      </c>
      <c r="F585" t="s">
        <v>967</v>
      </c>
      <c r="G585" t="s">
        <v>968</v>
      </c>
      <c r="H585" t="s">
        <v>969</v>
      </c>
      <c r="I585" t="s">
        <v>970</v>
      </c>
      <c r="J585" t="s">
        <v>971</v>
      </c>
      <c r="K585" t="s">
        <v>972</v>
      </c>
      <c r="L585">
        <v>20128.04</v>
      </c>
      <c r="M585">
        <f t="shared" si="9"/>
        <v>73578.760000000009</v>
      </c>
    </row>
    <row r="586" spans="1:13" x14ac:dyDescent="0.25">
      <c r="A586" t="s">
        <v>302</v>
      </c>
      <c r="B586" t="s">
        <v>1869</v>
      </c>
      <c r="C586" t="s">
        <v>975</v>
      </c>
      <c r="D586" t="s">
        <v>1687</v>
      </c>
      <c r="E586" t="s">
        <v>977</v>
      </c>
      <c r="F586" t="s">
        <v>967</v>
      </c>
      <c r="G586" t="s">
        <v>968</v>
      </c>
      <c r="H586" t="s">
        <v>969</v>
      </c>
      <c r="I586" t="s">
        <v>970</v>
      </c>
      <c r="J586" t="s">
        <v>971</v>
      </c>
      <c r="K586" t="s">
        <v>972</v>
      </c>
      <c r="L586">
        <v>13194.64</v>
      </c>
      <c r="M586">
        <f t="shared" si="9"/>
        <v>73578.760000000009</v>
      </c>
    </row>
    <row r="587" spans="1:13" x14ac:dyDescent="0.25">
      <c r="A587" t="s">
        <v>32</v>
      </c>
      <c r="B587" t="s">
        <v>1707</v>
      </c>
      <c r="C587" t="s">
        <v>975</v>
      </c>
      <c r="D587" t="s">
        <v>1687</v>
      </c>
      <c r="E587" t="s">
        <v>980</v>
      </c>
      <c r="F587" t="s">
        <v>967</v>
      </c>
      <c r="G587" t="s">
        <v>968</v>
      </c>
      <c r="H587" t="s">
        <v>969</v>
      </c>
      <c r="I587" t="s">
        <v>970</v>
      </c>
      <c r="J587" t="s">
        <v>971</v>
      </c>
      <c r="K587" t="s">
        <v>972</v>
      </c>
      <c r="L587">
        <v>19928.05</v>
      </c>
      <c r="M587">
        <f t="shared" si="9"/>
        <v>132877.77000000002</v>
      </c>
    </row>
    <row r="588" spans="1:13" x14ac:dyDescent="0.25">
      <c r="A588" t="s">
        <v>320</v>
      </c>
      <c r="B588" t="s">
        <v>1763</v>
      </c>
      <c r="C588" t="s">
        <v>975</v>
      </c>
      <c r="D588" t="s">
        <v>1625</v>
      </c>
      <c r="E588" t="s">
        <v>966</v>
      </c>
      <c r="F588" t="s">
        <v>967</v>
      </c>
      <c r="G588" t="s">
        <v>968</v>
      </c>
      <c r="H588" t="s">
        <v>969</v>
      </c>
      <c r="I588" t="s">
        <v>970</v>
      </c>
      <c r="J588" t="s">
        <v>971</v>
      </c>
      <c r="K588" t="s">
        <v>972</v>
      </c>
      <c r="L588">
        <v>18122.3</v>
      </c>
      <c r="M588">
        <f t="shared" si="9"/>
        <v>132877.77000000002</v>
      </c>
    </row>
    <row r="589" spans="1:13" x14ac:dyDescent="0.25">
      <c r="A589" t="s">
        <v>320</v>
      </c>
      <c r="B589" t="s">
        <v>1764</v>
      </c>
      <c r="C589" t="s">
        <v>975</v>
      </c>
      <c r="D589" t="s">
        <v>1625</v>
      </c>
      <c r="E589" t="s">
        <v>966</v>
      </c>
      <c r="F589" t="s">
        <v>967</v>
      </c>
      <c r="G589" t="s">
        <v>968</v>
      </c>
      <c r="H589" t="s">
        <v>969</v>
      </c>
      <c r="I589" t="s">
        <v>970</v>
      </c>
      <c r="J589" t="s">
        <v>971</v>
      </c>
      <c r="K589" t="s">
        <v>972</v>
      </c>
      <c r="L589">
        <v>18122.3</v>
      </c>
      <c r="M589">
        <f t="shared" si="9"/>
        <v>132877.77000000002</v>
      </c>
    </row>
    <row r="590" spans="1:13" x14ac:dyDescent="0.25">
      <c r="A590" t="s">
        <v>320</v>
      </c>
      <c r="B590" t="s">
        <v>1765</v>
      </c>
      <c r="C590" t="s">
        <v>975</v>
      </c>
      <c r="D590" t="s">
        <v>1625</v>
      </c>
      <c r="E590" t="s">
        <v>966</v>
      </c>
      <c r="F590" t="s">
        <v>967</v>
      </c>
      <c r="G590" t="s">
        <v>968</v>
      </c>
      <c r="H590" t="s">
        <v>969</v>
      </c>
      <c r="I590" t="s">
        <v>970</v>
      </c>
      <c r="J590" t="s">
        <v>971</v>
      </c>
      <c r="K590" t="s">
        <v>972</v>
      </c>
      <c r="L590">
        <v>18122.3</v>
      </c>
      <c r="M590">
        <f t="shared" si="9"/>
        <v>132877.77000000002</v>
      </c>
    </row>
    <row r="591" spans="1:13" x14ac:dyDescent="0.25">
      <c r="A591" t="s">
        <v>320</v>
      </c>
      <c r="B591" t="s">
        <v>1766</v>
      </c>
      <c r="C591" t="s">
        <v>975</v>
      </c>
      <c r="D591" t="s">
        <v>1625</v>
      </c>
      <c r="E591" t="s">
        <v>966</v>
      </c>
      <c r="F591" t="s">
        <v>967</v>
      </c>
      <c r="G591" t="s">
        <v>968</v>
      </c>
      <c r="H591" t="s">
        <v>969</v>
      </c>
      <c r="I591" t="s">
        <v>970</v>
      </c>
      <c r="J591" t="s">
        <v>971</v>
      </c>
      <c r="K591" t="s">
        <v>972</v>
      </c>
      <c r="L591">
        <v>18122.3</v>
      </c>
      <c r="M591">
        <f t="shared" si="9"/>
        <v>132877.77000000002</v>
      </c>
    </row>
    <row r="592" spans="1:13" x14ac:dyDescent="0.25">
      <c r="A592" t="s">
        <v>320</v>
      </c>
      <c r="B592" t="s">
        <v>1767</v>
      </c>
      <c r="C592" t="s">
        <v>975</v>
      </c>
      <c r="D592" t="s">
        <v>1625</v>
      </c>
      <c r="E592" t="s">
        <v>966</v>
      </c>
      <c r="F592" t="s">
        <v>967</v>
      </c>
      <c r="G592" t="s">
        <v>968</v>
      </c>
      <c r="H592" t="s">
        <v>969</v>
      </c>
      <c r="I592" t="s">
        <v>970</v>
      </c>
      <c r="J592" t="s">
        <v>971</v>
      </c>
      <c r="K592" t="s">
        <v>972</v>
      </c>
      <c r="L592">
        <v>18122.3</v>
      </c>
      <c r="M592">
        <f t="shared" si="9"/>
        <v>132877.77000000002</v>
      </c>
    </row>
    <row r="593" spans="1:13" x14ac:dyDescent="0.25">
      <c r="A593" t="s">
        <v>483</v>
      </c>
      <c r="B593" t="s">
        <v>1674</v>
      </c>
      <c r="C593" t="s">
        <v>975</v>
      </c>
      <c r="D593" t="s">
        <v>1675</v>
      </c>
      <c r="E593" t="s">
        <v>977</v>
      </c>
      <c r="F593" t="s">
        <v>967</v>
      </c>
      <c r="G593" t="s">
        <v>968</v>
      </c>
      <c r="H593" t="s">
        <v>969</v>
      </c>
      <c r="I593" t="s">
        <v>970</v>
      </c>
      <c r="J593" t="s">
        <v>971</v>
      </c>
      <c r="K593" t="s">
        <v>972</v>
      </c>
      <c r="L593">
        <v>22338.22</v>
      </c>
      <c r="M593">
        <f t="shared" si="9"/>
        <v>132877.77000000002</v>
      </c>
    </row>
    <row r="594" spans="1:13" x14ac:dyDescent="0.25">
      <c r="A594" t="s">
        <v>718</v>
      </c>
      <c r="B594" t="s">
        <v>1809</v>
      </c>
      <c r="C594" t="s">
        <v>975</v>
      </c>
      <c r="D594" t="s">
        <v>985</v>
      </c>
      <c r="E594" t="s">
        <v>977</v>
      </c>
      <c r="F594" t="s">
        <v>967</v>
      </c>
      <c r="G594" t="s">
        <v>968</v>
      </c>
      <c r="H594" t="s">
        <v>969</v>
      </c>
      <c r="I594" t="s">
        <v>970</v>
      </c>
      <c r="J594" t="s">
        <v>971</v>
      </c>
      <c r="K594" t="s">
        <v>972</v>
      </c>
      <c r="L594">
        <v>16393.689999999999</v>
      </c>
      <c r="M594">
        <f t="shared" si="9"/>
        <v>37813.69</v>
      </c>
    </row>
    <row r="595" spans="1:13" x14ac:dyDescent="0.25">
      <c r="A595" t="s">
        <v>311</v>
      </c>
      <c r="B595" t="s">
        <v>986</v>
      </c>
      <c r="C595" t="s">
        <v>975</v>
      </c>
      <c r="D595" t="s">
        <v>985</v>
      </c>
      <c r="E595" t="s">
        <v>977</v>
      </c>
      <c r="F595" t="s">
        <v>967</v>
      </c>
      <c r="G595" t="s">
        <v>968</v>
      </c>
      <c r="H595" t="s">
        <v>969</v>
      </c>
      <c r="I595" t="s">
        <v>970</v>
      </c>
      <c r="J595" t="s">
        <v>971</v>
      </c>
      <c r="K595" t="s">
        <v>972</v>
      </c>
      <c r="L595">
        <v>21420</v>
      </c>
      <c r="M595">
        <f t="shared" si="9"/>
        <v>37813.69</v>
      </c>
    </row>
    <row r="596" spans="1:13" x14ac:dyDescent="0.25">
      <c r="A596" t="s">
        <v>911</v>
      </c>
      <c r="B596" t="s">
        <v>984</v>
      </c>
      <c r="C596" t="s">
        <v>975</v>
      </c>
      <c r="D596" t="s">
        <v>985</v>
      </c>
      <c r="E596" t="s">
        <v>977</v>
      </c>
      <c r="F596" t="s">
        <v>967</v>
      </c>
      <c r="G596" t="s">
        <v>968</v>
      </c>
      <c r="H596" t="s">
        <v>969</v>
      </c>
      <c r="I596" t="s">
        <v>970</v>
      </c>
      <c r="J596" t="s">
        <v>971</v>
      </c>
      <c r="K596" t="s">
        <v>972</v>
      </c>
      <c r="L596">
        <v>21420</v>
      </c>
      <c r="M596">
        <f t="shared" si="9"/>
        <v>21420</v>
      </c>
    </row>
    <row r="597" spans="1:13" x14ac:dyDescent="0.25">
      <c r="A597" t="s">
        <v>71</v>
      </c>
      <c r="B597" t="s">
        <v>1643</v>
      </c>
      <c r="C597" t="s">
        <v>964</v>
      </c>
      <c r="D597" t="s">
        <v>1644</v>
      </c>
      <c r="E597" t="s">
        <v>980</v>
      </c>
      <c r="F597" t="s">
        <v>967</v>
      </c>
      <c r="G597" t="s">
        <v>968</v>
      </c>
      <c r="H597" t="s">
        <v>969</v>
      </c>
      <c r="I597" t="s">
        <v>970</v>
      </c>
      <c r="J597" t="s">
        <v>971</v>
      </c>
      <c r="K597" t="s">
        <v>972</v>
      </c>
      <c r="L597">
        <v>24049.69</v>
      </c>
      <c r="M597">
        <f t="shared" si="9"/>
        <v>48407.03</v>
      </c>
    </row>
    <row r="598" spans="1:13" x14ac:dyDescent="0.25">
      <c r="A598" t="s">
        <v>329</v>
      </c>
      <c r="B598" t="s">
        <v>1634</v>
      </c>
      <c r="C598" t="s">
        <v>975</v>
      </c>
      <c r="D598" t="s">
        <v>1635</v>
      </c>
      <c r="E598" t="s">
        <v>977</v>
      </c>
      <c r="F598" t="s">
        <v>967</v>
      </c>
      <c r="G598" t="s">
        <v>968</v>
      </c>
      <c r="H598" t="s">
        <v>969</v>
      </c>
      <c r="I598" t="s">
        <v>970</v>
      </c>
      <c r="J598" t="s">
        <v>971</v>
      </c>
      <c r="K598" t="s">
        <v>972</v>
      </c>
      <c r="L598">
        <v>24357.34</v>
      </c>
      <c r="M598">
        <f t="shared" si="9"/>
        <v>48407.03</v>
      </c>
    </row>
    <row r="599" spans="1:13" x14ac:dyDescent="0.25">
      <c r="A599" t="s">
        <v>692</v>
      </c>
      <c r="B599" t="s">
        <v>1684</v>
      </c>
      <c r="C599" t="s">
        <v>975</v>
      </c>
      <c r="D599" t="s">
        <v>1635</v>
      </c>
      <c r="E599" t="s">
        <v>1369</v>
      </c>
      <c r="F599" t="s">
        <v>967</v>
      </c>
      <c r="G599" t="s">
        <v>968</v>
      </c>
      <c r="H599" t="s">
        <v>969</v>
      </c>
      <c r="I599" t="s">
        <v>970</v>
      </c>
      <c r="J599" t="s">
        <v>971</v>
      </c>
      <c r="K599" t="s">
        <v>972</v>
      </c>
      <c r="L599">
        <v>21779.22</v>
      </c>
      <c r="M599">
        <f t="shared" si="9"/>
        <v>67968.820000000007</v>
      </c>
    </row>
    <row r="600" spans="1:13" x14ac:dyDescent="0.25">
      <c r="A600" t="s">
        <v>53</v>
      </c>
      <c r="B600" t="s">
        <v>1668</v>
      </c>
      <c r="C600" t="s">
        <v>975</v>
      </c>
      <c r="D600" t="s">
        <v>1635</v>
      </c>
      <c r="E600" t="s">
        <v>977</v>
      </c>
      <c r="F600" t="s">
        <v>967</v>
      </c>
      <c r="G600" t="s">
        <v>968</v>
      </c>
      <c r="H600" t="s">
        <v>969</v>
      </c>
      <c r="I600" t="s">
        <v>970</v>
      </c>
      <c r="J600" t="s">
        <v>971</v>
      </c>
      <c r="K600" t="s">
        <v>972</v>
      </c>
      <c r="L600">
        <v>23137.11</v>
      </c>
      <c r="M600">
        <f t="shared" si="9"/>
        <v>67968.820000000007</v>
      </c>
    </row>
    <row r="601" spans="1:13" x14ac:dyDescent="0.25">
      <c r="A601" t="s">
        <v>810</v>
      </c>
      <c r="B601" t="s">
        <v>1669</v>
      </c>
      <c r="C601" t="s">
        <v>975</v>
      </c>
      <c r="D601" t="s">
        <v>1635</v>
      </c>
      <c r="E601" t="s">
        <v>977</v>
      </c>
      <c r="F601" t="s">
        <v>967</v>
      </c>
      <c r="G601" t="s">
        <v>968</v>
      </c>
      <c r="H601" t="s">
        <v>969</v>
      </c>
      <c r="I601" t="s">
        <v>970</v>
      </c>
      <c r="J601" t="s">
        <v>971</v>
      </c>
      <c r="K601" t="s">
        <v>972</v>
      </c>
      <c r="L601">
        <v>23052.49</v>
      </c>
      <c r="M601">
        <f t="shared" si="9"/>
        <v>67968.820000000007</v>
      </c>
    </row>
    <row r="602" spans="1:13" x14ac:dyDescent="0.25">
      <c r="A602" t="s">
        <v>750</v>
      </c>
      <c r="B602" t="s">
        <v>1624</v>
      </c>
      <c r="C602" t="s">
        <v>975</v>
      </c>
      <c r="D602" t="s">
        <v>1625</v>
      </c>
      <c r="E602" t="s">
        <v>977</v>
      </c>
      <c r="F602" t="s">
        <v>967</v>
      </c>
      <c r="G602" t="s">
        <v>968</v>
      </c>
      <c r="H602" t="s">
        <v>969</v>
      </c>
      <c r="I602" t="s">
        <v>970</v>
      </c>
      <c r="J602" t="s">
        <v>971</v>
      </c>
      <c r="K602" t="s">
        <v>972</v>
      </c>
      <c r="L602">
        <v>25133.1</v>
      </c>
      <c r="M602">
        <f t="shared" si="9"/>
        <v>26007.079999999998</v>
      </c>
    </row>
    <row r="603" spans="1:13" x14ac:dyDescent="0.25">
      <c r="A603" t="s">
        <v>895</v>
      </c>
      <c r="B603" t="s">
        <v>2534</v>
      </c>
      <c r="C603" t="s">
        <v>982</v>
      </c>
      <c r="D603" t="s">
        <v>1635</v>
      </c>
      <c r="E603" t="s">
        <v>980</v>
      </c>
      <c r="F603" t="s">
        <v>967</v>
      </c>
      <c r="G603" t="s">
        <v>968</v>
      </c>
      <c r="H603" t="s">
        <v>2390</v>
      </c>
      <c r="I603" t="s">
        <v>970</v>
      </c>
      <c r="J603" t="s">
        <v>971</v>
      </c>
      <c r="K603" t="s">
        <v>972</v>
      </c>
      <c r="L603">
        <v>38.020000000000003</v>
      </c>
      <c r="M603">
        <f t="shared" si="9"/>
        <v>26007.079999999998</v>
      </c>
    </row>
    <row r="604" spans="1:13" x14ac:dyDescent="0.25">
      <c r="A604" t="s">
        <v>469</v>
      </c>
      <c r="B604" t="s">
        <v>2400</v>
      </c>
      <c r="C604" t="s">
        <v>988</v>
      </c>
      <c r="D604" t="s">
        <v>1625</v>
      </c>
      <c r="E604" t="s">
        <v>980</v>
      </c>
      <c r="F604" t="s">
        <v>967</v>
      </c>
      <c r="G604" t="s">
        <v>968</v>
      </c>
      <c r="H604" t="s">
        <v>969</v>
      </c>
      <c r="I604" t="s">
        <v>970</v>
      </c>
      <c r="J604" t="s">
        <v>971</v>
      </c>
      <c r="K604" t="s">
        <v>972</v>
      </c>
      <c r="L604">
        <v>835.96</v>
      </c>
      <c r="M604">
        <f t="shared" si="9"/>
        <v>26007.079999999998</v>
      </c>
    </row>
    <row r="605" spans="1:13" x14ac:dyDescent="0.25">
      <c r="A605" t="s">
        <v>722</v>
      </c>
      <c r="B605" t="s">
        <v>1725</v>
      </c>
      <c r="C605" t="s">
        <v>975</v>
      </c>
      <c r="D605" t="s">
        <v>1642</v>
      </c>
      <c r="E605" t="s">
        <v>966</v>
      </c>
      <c r="F605" t="s">
        <v>967</v>
      </c>
      <c r="G605" t="s">
        <v>968</v>
      </c>
      <c r="H605" t="s">
        <v>969</v>
      </c>
      <c r="I605" t="s">
        <v>970</v>
      </c>
      <c r="J605" t="s">
        <v>971</v>
      </c>
      <c r="K605" t="s">
        <v>972</v>
      </c>
      <c r="L605">
        <v>19221.740000000002</v>
      </c>
      <c r="M605">
        <f t="shared" si="9"/>
        <v>120566.97</v>
      </c>
    </row>
    <row r="606" spans="1:13" x14ac:dyDescent="0.25">
      <c r="A606" t="s">
        <v>722</v>
      </c>
      <c r="B606" t="s">
        <v>1726</v>
      </c>
      <c r="C606" t="s">
        <v>975</v>
      </c>
      <c r="D606" t="s">
        <v>1642</v>
      </c>
      <c r="E606" t="s">
        <v>966</v>
      </c>
      <c r="F606" t="s">
        <v>967</v>
      </c>
      <c r="G606" t="s">
        <v>968</v>
      </c>
      <c r="H606" t="s">
        <v>969</v>
      </c>
      <c r="I606" t="s">
        <v>970</v>
      </c>
      <c r="J606" t="s">
        <v>971</v>
      </c>
      <c r="K606" t="s">
        <v>972</v>
      </c>
      <c r="L606">
        <v>19221.740000000002</v>
      </c>
      <c r="M606">
        <f t="shared" si="9"/>
        <v>120566.97</v>
      </c>
    </row>
    <row r="607" spans="1:13" x14ac:dyDescent="0.25">
      <c r="A607" t="s">
        <v>722</v>
      </c>
      <c r="B607" t="s">
        <v>1727</v>
      </c>
      <c r="C607" t="s">
        <v>975</v>
      </c>
      <c r="D607" t="s">
        <v>1642</v>
      </c>
      <c r="E607" t="s">
        <v>966</v>
      </c>
      <c r="F607" t="s">
        <v>967</v>
      </c>
      <c r="G607" t="s">
        <v>968</v>
      </c>
      <c r="H607" t="s">
        <v>969</v>
      </c>
      <c r="I607" t="s">
        <v>970</v>
      </c>
      <c r="J607" t="s">
        <v>971</v>
      </c>
      <c r="K607" t="s">
        <v>972</v>
      </c>
      <c r="L607">
        <v>19221.740000000002</v>
      </c>
      <c r="M607">
        <f t="shared" si="9"/>
        <v>120566.97</v>
      </c>
    </row>
    <row r="608" spans="1:13" x14ac:dyDescent="0.25">
      <c r="A608" t="s">
        <v>722</v>
      </c>
      <c r="B608" t="s">
        <v>1728</v>
      </c>
      <c r="C608" t="s">
        <v>975</v>
      </c>
      <c r="D608" t="s">
        <v>1642</v>
      </c>
      <c r="E608" t="s">
        <v>966</v>
      </c>
      <c r="F608" t="s">
        <v>967</v>
      </c>
      <c r="G608" t="s">
        <v>968</v>
      </c>
      <c r="H608" t="s">
        <v>969</v>
      </c>
      <c r="I608" t="s">
        <v>970</v>
      </c>
      <c r="J608" t="s">
        <v>971</v>
      </c>
      <c r="K608" t="s">
        <v>972</v>
      </c>
      <c r="L608">
        <v>19221.740000000002</v>
      </c>
      <c r="M608">
        <f t="shared" si="9"/>
        <v>120566.97</v>
      </c>
    </row>
    <row r="609" spans="1:13" x14ac:dyDescent="0.25">
      <c r="A609" t="s">
        <v>722</v>
      </c>
      <c r="B609" t="s">
        <v>1729</v>
      </c>
      <c r="C609" t="s">
        <v>975</v>
      </c>
      <c r="D609" t="s">
        <v>1642</v>
      </c>
      <c r="E609" t="s">
        <v>966</v>
      </c>
      <c r="F609" t="s">
        <v>967</v>
      </c>
      <c r="G609" t="s">
        <v>968</v>
      </c>
      <c r="H609" t="s">
        <v>969</v>
      </c>
      <c r="I609" t="s">
        <v>970</v>
      </c>
      <c r="J609" t="s">
        <v>971</v>
      </c>
      <c r="K609" t="s">
        <v>972</v>
      </c>
      <c r="L609">
        <v>19221.740000000002</v>
      </c>
      <c r="M609">
        <f t="shared" si="9"/>
        <v>120566.97</v>
      </c>
    </row>
    <row r="610" spans="1:13" x14ac:dyDescent="0.25">
      <c r="A610" t="s">
        <v>262</v>
      </c>
      <c r="B610" t="s">
        <v>2510</v>
      </c>
      <c r="C610" t="s">
        <v>988</v>
      </c>
      <c r="D610" t="s">
        <v>1377</v>
      </c>
      <c r="E610" t="s">
        <v>977</v>
      </c>
      <c r="F610" t="s">
        <v>967</v>
      </c>
      <c r="G610" t="s">
        <v>968</v>
      </c>
      <c r="H610" t="s">
        <v>969</v>
      </c>
      <c r="I610" t="s">
        <v>970</v>
      </c>
      <c r="J610" t="s">
        <v>971</v>
      </c>
      <c r="K610" t="s">
        <v>972</v>
      </c>
      <c r="L610">
        <v>224.06</v>
      </c>
      <c r="M610">
        <f t="shared" si="9"/>
        <v>120566.97</v>
      </c>
    </row>
    <row r="611" spans="1:13" x14ac:dyDescent="0.25">
      <c r="A611" t="s">
        <v>172</v>
      </c>
      <c r="B611" t="s">
        <v>2206</v>
      </c>
      <c r="C611" t="s">
        <v>975</v>
      </c>
      <c r="D611" t="s">
        <v>1625</v>
      </c>
      <c r="E611" t="s">
        <v>977</v>
      </c>
      <c r="F611" t="s">
        <v>967</v>
      </c>
      <c r="G611" t="s">
        <v>968</v>
      </c>
      <c r="H611" t="s">
        <v>969</v>
      </c>
      <c r="I611" t="s">
        <v>970</v>
      </c>
      <c r="J611" t="s">
        <v>971</v>
      </c>
      <c r="K611" t="s">
        <v>972</v>
      </c>
      <c r="L611">
        <v>2669.84</v>
      </c>
      <c r="M611">
        <f t="shared" si="9"/>
        <v>120566.97</v>
      </c>
    </row>
    <row r="612" spans="1:13" x14ac:dyDescent="0.25">
      <c r="A612" t="s">
        <v>656</v>
      </c>
      <c r="B612" t="s">
        <v>1685</v>
      </c>
      <c r="C612" t="s">
        <v>964</v>
      </c>
      <c r="D612" t="s">
        <v>1377</v>
      </c>
      <c r="E612" t="s">
        <v>980</v>
      </c>
      <c r="F612" t="s">
        <v>967</v>
      </c>
      <c r="G612" t="s">
        <v>968</v>
      </c>
      <c r="H612" t="s">
        <v>969</v>
      </c>
      <c r="I612" t="s">
        <v>970</v>
      </c>
      <c r="J612" t="s">
        <v>971</v>
      </c>
      <c r="K612" t="s">
        <v>972</v>
      </c>
      <c r="L612">
        <v>21564.37</v>
      </c>
      <c r="M612">
        <f t="shared" si="9"/>
        <v>120566.97</v>
      </c>
    </row>
    <row r="613" spans="1:13" x14ac:dyDescent="0.25">
      <c r="A613" t="s">
        <v>12</v>
      </c>
      <c r="B613" t="s">
        <v>1617</v>
      </c>
      <c r="C613" t="s">
        <v>964</v>
      </c>
      <c r="D613" t="s">
        <v>1608</v>
      </c>
      <c r="E613" t="s">
        <v>980</v>
      </c>
      <c r="F613" t="s">
        <v>967</v>
      </c>
      <c r="G613" t="s">
        <v>968</v>
      </c>
      <c r="H613" t="s">
        <v>969</v>
      </c>
      <c r="I613" t="s">
        <v>970</v>
      </c>
      <c r="J613" t="s">
        <v>971</v>
      </c>
      <c r="K613" t="s">
        <v>972</v>
      </c>
      <c r="L613">
        <v>25814.22</v>
      </c>
      <c r="M613">
        <f t="shared" si="9"/>
        <v>131665.1</v>
      </c>
    </row>
    <row r="614" spans="1:13" x14ac:dyDescent="0.25">
      <c r="A614" t="s">
        <v>939</v>
      </c>
      <c r="B614" t="s">
        <v>1616</v>
      </c>
      <c r="C614" t="s">
        <v>964</v>
      </c>
      <c r="D614" t="s">
        <v>1608</v>
      </c>
      <c r="E614" t="s">
        <v>980</v>
      </c>
      <c r="F614" t="s">
        <v>967</v>
      </c>
      <c r="G614" t="s">
        <v>968</v>
      </c>
      <c r="H614" t="s">
        <v>969</v>
      </c>
      <c r="I614" t="s">
        <v>970</v>
      </c>
      <c r="J614" t="s">
        <v>971</v>
      </c>
      <c r="K614" t="s">
        <v>972</v>
      </c>
      <c r="L614">
        <v>25814.22</v>
      </c>
      <c r="M614">
        <f t="shared" si="9"/>
        <v>131665.1</v>
      </c>
    </row>
    <row r="615" spans="1:13" x14ac:dyDescent="0.25">
      <c r="A615" t="s">
        <v>482</v>
      </c>
      <c r="B615" t="s">
        <v>1641</v>
      </c>
      <c r="C615" t="s">
        <v>975</v>
      </c>
      <c r="D615" t="s">
        <v>1642</v>
      </c>
      <c r="E615" t="s">
        <v>980</v>
      </c>
      <c r="F615" t="s">
        <v>967</v>
      </c>
      <c r="G615" t="s">
        <v>968</v>
      </c>
      <c r="H615" t="s">
        <v>969</v>
      </c>
      <c r="I615" t="s">
        <v>970</v>
      </c>
      <c r="J615" t="s">
        <v>971</v>
      </c>
      <c r="K615" t="s">
        <v>972</v>
      </c>
      <c r="L615">
        <v>24053.84</v>
      </c>
      <c r="M615">
        <f t="shared" si="9"/>
        <v>131665.1</v>
      </c>
    </row>
    <row r="616" spans="1:13" x14ac:dyDescent="0.25">
      <c r="A616" t="s">
        <v>122</v>
      </c>
      <c r="B616" t="s">
        <v>2385</v>
      </c>
      <c r="C616" t="s">
        <v>988</v>
      </c>
      <c r="D616" t="s">
        <v>1642</v>
      </c>
      <c r="E616" t="s">
        <v>980</v>
      </c>
      <c r="F616" t="s">
        <v>967</v>
      </c>
      <c r="G616" t="s">
        <v>968</v>
      </c>
      <c r="H616" t="s">
        <v>969</v>
      </c>
      <c r="I616" t="s">
        <v>970</v>
      </c>
      <c r="J616" t="s">
        <v>971</v>
      </c>
      <c r="K616" t="s">
        <v>972</v>
      </c>
      <c r="L616">
        <v>914.99</v>
      </c>
      <c r="M616">
        <f t="shared" si="9"/>
        <v>131665.1</v>
      </c>
    </row>
    <row r="617" spans="1:13" x14ac:dyDescent="0.25">
      <c r="A617" t="s">
        <v>130</v>
      </c>
      <c r="B617" t="s">
        <v>1513</v>
      </c>
      <c r="C617" t="s">
        <v>975</v>
      </c>
      <c r="D617" t="s">
        <v>1514</v>
      </c>
      <c r="E617" t="s">
        <v>977</v>
      </c>
      <c r="F617" t="s">
        <v>967</v>
      </c>
      <c r="G617" t="s">
        <v>968</v>
      </c>
      <c r="H617" t="s">
        <v>969</v>
      </c>
      <c r="I617" t="s">
        <v>970</v>
      </c>
      <c r="J617" t="s">
        <v>971</v>
      </c>
      <c r="K617" t="s">
        <v>972</v>
      </c>
      <c r="L617">
        <v>31247.119999999999</v>
      </c>
      <c r="M617">
        <f t="shared" si="9"/>
        <v>131665.1</v>
      </c>
    </row>
    <row r="618" spans="1:13" x14ac:dyDescent="0.25">
      <c r="A618" t="s">
        <v>167</v>
      </c>
      <c r="B618" t="s">
        <v>1656</v>
      </c>
      <c r="C618" t="s">
        <v>975</v>
      </c>
      <c r="D618" t="s">
        <v>1608</v>
      </c>
      <c r="E618" t="s">
        <v>977</v>
      </c>
      <c r="F618" t="s">
        <v>967</v>
      </c>
      <c r="G618" t="s">
        <v>968</v>
      </c>
      <c r="H618" t="s">
        <v>969</v>
      </c>
      <c r="I618" t="s">
        <v>970</v>
      </c>
      <c r="J618" t="s">
        <v>971</v>
      </c>
      <c r="K618" t="s">
        <v>972</v>
      </c>
      <c r="L618">
        <v>23820.71</v>
      </c>
      <c r="M618">
        <f t="shared" si="9"/>
        <v>131665.1</v>
      </c>
    </row>
    <row r="619" spans="1:13" x14ac:dyDescent="0.25">
      <c r="A619" t="s">
        <v>511</v>
      </c>
      <c r="B619" t="s">
        <v>2421</v>
      </c>
      <c r="C619" t="s">
        <v>988</v>
      </c>
      <c r="D619" t="s">
        <v>1514</v>
      </c>
      <c r="E619" t="s">
        <v>980</v>
      </c>
      <c r="F619" t="s">
        <v>967</v>
      </c>
      <c r="G619" t="s">
        <v>968</v>
      </c>
      <c r="H619" t="s">
        <v>969</v>
      </c>
      <c r="I619" t="s">
        <v>970</v>
      </c>
      <c r="J619" t="s">
        <v>971</v>
      </c>
      <c r="K619" t="s">
        <v>972</v>
      </c>
      <c r="L619">
        <v>726.85</v>
      </c>
      <c r="M619">
        <f t="shared" si="9"/>
        <v>16547.91</v>
      </c>
    </row>
    <row r="620" spans="1:13" x14ac:dyDescent="0.25">
      <c r="A620" t="s">
        <v>282</v>
      </c>
      <c r="B620" t="s">
        <v>1825</v>
      </c>
      <c r="C620" t="s">
        <v>975</v>
      </c>
      <c r="D620" t="s">
        <v>1516</v>
      </c>
      <c r="E620" t="s">
        <v>980</v>
      </c>
      <c r="F620" t="s">
        <v>967</v>
      </c>
      <c r="G620" t="s">
        <v>968</v>
      </c>
      <c r="H620" t="s">
        <v>969</v>
      </c>
      <c r="I620" t="s">
        <v>970</v>
      </c>
      <c r="J620" t="s">
        <v>971</v>
      </c>
      <c r="K620" t="s">
        <v>972</v>
      </c>
      <c r="L620">
        <v>15821.06</v>
      </c>
      <c r="M620">
        <f t="shared" si="9"/>
        <v>16547.91</v>
      </c>
    </row>
    <row r="621" spans="1:13" x14ac:dyDescent="0.25">
      <c r="A621" t="s">
        <v>8</v>
      </c>
      <c r="B621" t="s">
        <v>1515</v>
      </c>
      <c r="C621" t="s">
        <v>975</v>
      </c>
      <c r="D621" t="s">
        <v>1516</v>
      </c>
      <c r="E621" t="s">
        <v>977</v>
      </c>
      <c r="F621" t="s">
        <v>967</v>
      </c>
      <c r="G621" t="s">
        <v>968</v>
      </c>
      <c r="H621" t="s">
        <v>969</v>
      </c>
      <c r="I621" t="s">
        <v>970</v>
      </c>
      <c r="J621" t="s">
        <v>971</v>
      </c>
      <c r="K621" t="s">
        <v>972</v>
      </c>
      <c r="L621">
        <v>31242.29</v>
      </c>
      <c r="M621">
        <f t="shared" si="9"/>
        <v>334482.39000000007</v>
      </c>
    </row>
    <row r="622" spans="1:13" x14ac:dyDescent="0.25">
      <c r="A622" t="s">
        <v>773</v>
      </c>
      <c r="B622" t="s">
        <v>2382</v>
      </c>
      <c r="C622" t="s">
        <v>988</v>
      </c>
      <c r="D622" t="s">
        <v>1628</v>
      </c>
      <c r="E622" t="s">
        <v>977</v>
      </c>
      <c r="F622" t="s">
        <v>967</v>
      </c>
      <c r="G622" t="s">
        <v>968</v>
      </c>
      <c r="H622" t="s">
        <v>969</v>
      </c>
      <c r="I622" t="s">
        <v>970</v>
      </c>
      <c r="J622" t="s">
        <v>971</v>
      </c>
      <c r="K622" t="s">
        <v>972</v>
      </c>
      <c r="L622">
        <v>948.95</v>
      </c>
      <c r="M622">
        <f t="shared" si="9"/>
        <v>334482.39000000007</v>
      </c>
    </row>
    <row r="623" spans="1:13" x14ac:dyDescent="0.25">
      <c r="A623" t="s">
        <v>137</v>
      </c>
      <c r="B623" t="s">
        <v>2021</v>
      </c>
      <c r="C623" t="s">
        <v>975</v>
      </c>
      <c r="D623" t="s">
        <v>1608</v>
      </c>
      <c r="E623" t="s">
        <v>980</v>
      </c>
      <c r="F623" t="s">
        <v>967</v>
      </c>
      <c r="G623" t="s">
        <v>968</v>
      </c>
      <c r="H623" t="s">
        <v>969</v>
      </c>
      <c r="I623" t="s">
        <v>970</v>
      </c>
      <c r="J623" t="s">
        <v>971</v>
      </c>
      <c r="K623" t="s">
        <v>972</v>
      </c>
      <c r="L623">
        <v>7705.36</v>
      </c>
      <c r="M623">
        <f t="shared" si="9"/>
        <v>334482.39000000007</v>
      </c>
    </row>
    <row r="624" spans="1:13" x14ac:dyDescent="0.25">
      <c r="A624" t="s">
        <v>137</v>
      </c>
      <c r="B624" t="s">
        <v>2022</v>
      </c>
      <c r="C624" t="s">
        <v>975</v>
      </c>
      <c r="D624" t="s">
        <v>1608</v>
      </c>
      <c r="E624" t="s">
        <v>980</v>
      </c>
      <c r="F624" t="s">
        <v>967</v>
      </c>
      <c r="G624" t="s">
        <v>968</v>
      </c>
      <c r="H624" t="s">
        <v>969</v>
      </c>
      <c r="I624" t="s">
        <v>970</v>
      </c>
      <c r="J624" t="s">
        <v>971</v>
      </c>
      <c r="K624" t="s">
        <v>972</v>
      </c>
      <c r="L624">
        <v>7705.36</v>
      </c>
      <c r="M624">
        <f t="shared" si="9"/>
        <v>334482.39000000007</v>
      </c>
    </row>
    <row r="625" spans="1:13" x14ac:dyDescent="0.25">
      <c r="A625" t="s">
        <v>137</v>
      </c>
      <c r="B625" t="s">
        <v>2023</v>
      </c>
      <c r="C625" t="s">
        <v>975</v>
      </c>
      <c r="D625" t="s">
        <v>1608</v>
      </c>
      <c r="E625" t="s">
        <v>980</v>
      </c>
      <c r="F625" t="s">
        <v>967</v>
      </c>
      <c r="G625" t="s">
        <v>968</v>
      </c>
      <c r="H625" t="s">
        <v>969</v>
      </c>
      <c r="I625" t="s">
        <v>970</v>
      </c>
      <c r="J625" t="s">
        <v>971</v>
      </c>
      <c r="K625" t="s">
        <v>972</v>
      </c>
      <c r="L625">
        <v>7705.36</v>
      </c>
      <c r="M625">
        <f t="shared" si="9"/>
        <v>334482.39000000007</v>
      </c>
    </row>
    <row r="626" spans="1:13" x14ac:dyDescent="0.25">
      <c r="A626" t="s">
        <v>137</v>
      </c>
      <c r="B626" t="s">
        <v>2024</v>
      </c>
      <c r="C626" t="s">
        <v>975</v>
      </c>
      <c r="D626" t="s">
        <v>1608</v>
      </c>
      <c r="E626" t="s">
        <v>980</v>
      </c>
      <c r="F626" t="s">
        <v>967</v>
      </c>
      <c r="G626" t="s">
        <v>968</v>
      </c>
      <c r="H626" t="s">
        <v>969</v>
      </c>
      <c r="I626" t="s">
        <v>970</v>
      </c>
      <c r="J626" t="s">
        <v>971</v>
      </c>
      <c r="K626" t="s">
        <v>972</v>
      </c>
      <c r="L626">
        <v>7705.36</v>
      </c>
      <c r="M626">
        <f t="shared" si="9"/>
        <v>334482.39000000007</v>
      </c>
    </row>
    <row r="627" spans="1:13" x14ac:dyDescent="0.25">
      <c r="A627" t="s">
        <v>137</v>
      </c>
      <c r="B627" t="s">
        <v>2025</v>
      </c>
      <c r="C627" t="s">
        <v>975</v>
      </c>
      <c r="D627" t="s">
        <v>1608</v>
      </c>
      <c r="E627" t="s">
        <v>980</v>
      </c>
      <c r="F627" t="s">
        <v>967</v>
      </c>
      <c r="G627" t="s">
        <v>968</v>
      </c>
      <c r="H627" t="s">
        <v>969</v>
      </c>
      <c r="I627" t="s">
        <v>970</v>
      </c>
      <c r="J627" t="s">
        <v>971</v>
      </c>
      <c r="K627" t="s">
        <v>972</v>
      </c>
      <c r="L627">
        <v>7705.36</v>
      </c>
      <c r="M627">
        <f t="shared" si="9"/>
        <v>334482.39000000007</v>
      </c>
    </row>
    <row r="628" spans="1:13" x14ac:dyDescent="0.25">
      <c r="A628" t="s">
        <v>137</v>
      </c>
      <c r="B628" t="s">
        <v>2026</v>
      </c>
      <c r="C628" t="s">
        <v>975</v>
      </c>
      <c r="D628" t="s">
        <v>1608</v>
      </c>
      <c r="E628" t="s">
        <v>980</v>
      </c>
      <c r="F628" t="s">
        <v>967</v>
      </c>
      <c r="G628" t="s">
        <v>968</v>
      </c>
      <c r="H628" t="s">
        <v>969</v>
      </c>
      <c r="I628" t="s">
        <v>970</v>
      </c>
      <c r="J628" t="s">
        <v>971</v>
      </c>
      <c r="K628" t="s">
        <v>972</v>
      </c>
      <c r="L628">
        <v>7705.36</v>
      </c>
      <c r="M628">
        <f t="shared" si="9"/>
        <v>334482.39000000007</v>
      </c>
    </row>
    <row r="629" spans="1:13" x14ac:dyDescent="0.25">
      <c r="A629" t="s">
        <v>137</v>
      </c>
      <c r="B629" t="s">
        <v>2027</v>
      </c>
      <c r="C629" t="s">
        <v>975</v>
      </c>
      <c r="D629" t="s">
        <v>1608</v>
      </c>
      <c r="E629" t="s">
        <v>980</v>
      </c>
      <c r="F629" t="s">
        <v>967</v>
      </c>
      <c r="G629" t="s">
        <v>968</v>
      </c>
      <c r="H629" t="s">
        <v>969</v>
      </c>
      <c r="I629" t="s">
        <v>970</v>
      </c>
      <c r="J629" t="s">
        <v>971</v>
      </c>
      <c r="K629" t="s">
        <v>972</v>
      </c>
      <c r="L629">
        <v>7705.36</v>
      </c>
      <c r="M629">
        <f t="shared" si="9"/>
        <v>334482.39000000007</v>
      </c>
    </row>
    <row r="630" spans="1:13" x14ac:dyDescent="0.25">
      <c r="A630" t="s">
        <v>137</v>
      </c>
      <c r="B630" t="s">
        <v>2028</v>
      </c>
      <c r="C630" t="s">
        <v>975</v>
      </c>
      <c r="D630" t="s">
        <v>1608</v>
      </c>
      <c r="E630" t="s">
        <v>980</v>
      </c>
      <c r="F630" t="s">
        <v>967</v>
      </c>
      <c r="G630" t="s">
        <v>968</v>
      </c>
      <c r="H630" t="s">
        <v>969</v>
      </c>
      <c r="I630" t="s">
        <v>970</v>
      </c>
      <c r="J630" t="s">
        <v>971</v>
      </c>
      <c r="K630" t="s">
        <v>972</v>
      </c>
      <c r="L630">
        <v>7705.36</v>
      </c>
      <c r="M630">
        <f t="shared" si="9"/>
        <v>334482.39000000007</v>
      </c>
    </row>
    <row r="631" spans="1:13" x14ac:dyDescent="0.25">
      <c r="A631" t="s">
        <v>137</v>
      </c>
      <c r="B631" t="s">
        <v>2029</v>
      </c>
      <c r="C631" t="s">
        <v>975</v>
      </c>
      <c r="D631" t="s">
        <v>1608</v>
      </c>
      <c r="E631" t="s">
        <v>980</v>
      </c>
      <c r="F631" t="s">
        <v>967</v>
      </c>
      <c r="G631" t="s">
        <v>968</v>
      </c>
      <c r="H631" t="s">
        <v>969</v>
      </c>
      <c r="I631" t="s">
        <v>970</v>
      </c>
      <c r="J631" t="s">
        <v>971</v>
      </c>
      <c r="K631" t="s">
        <v>972</v>
      </c>
      <c r="L631">
        <v>7705.36</v>
      </c>
      <c r="M631">
        <f t="shared" si="9"/>
        <v>334482.39000000007</v>
      </c>
    </row>
    <row r="632" spans="1:13" x14ac:dyDescent="0.25">
      <c r="A632" t="s">
        <v>137</v>
      </c>
      <c r="B632" t="s">
        <v>2030</v>
      </c>
      <c r="C632" t="s">
        <v>975</v>
      </c>
      <c r="D632" t="s">
        <v>1608</v>
      </c>
      <c r="E632" t="s">
        <v>980</v>
      </c>
      <c r="F632" t="s">
        <v>967</v>
      </c>
      <c r="G632" t="s">
        <v>968</v>
      </c>
      <c r="H632" t="s">
        <v>969</v>
      </c>
      <c r="I632" t="s">
        <v>970</v>
      </c>
      <c r="J632" t="s">
        <v>971</v>
      </c>
      <c r="K632" t="s">
        <v>972</v>
      </c>
      <c r="L632">
        <v>7705.36</v>
      </c>
      <c r="M632">
        <f t="shared" si="9"/>
        <v>334482.39000000007</v>
      </c>
    </row>
    <row r="633" spans="1:13" x14ac:dyDescent="0.25">
      <c r="A633" t="s">
        <v>137</v>
      </c>
      <c r="B633" t="s">
        <v>2026</v>
      </c>
      <c r="C633" t="s">
        <v>975</v>
      </c>
      <c r="D633" t="s">
        <v>1608</v>
      </c>
      <c r="E633" t="s">
        <v>980</v>
      </c>
      <c r="F633" t="s">
        <v>967</v>
      </c>
      <c r="G633" t="s">
        <v>968</v>
      </c>
      <c r="H633" t="s">
        <v>969</v>
      </c>
      <c r="I633" t="s">
        <v>970</v>
      </c>
      <c r="J633" t="s">
        <v>971</v>
      </c>
      <c r="K633" t="s">
        <v>972</v>
      </c>
      <c r="L633">
        <v>7705.35</v>
      </c>
      <c r="M633">
        <f t="shared" si="9"/>
        <v>334482.39000000007</v>
      </c>
    </row>
    <row r="634" spans="1:13" x14ac:dyDescent="0.25">
      <c r="A634" t="s">
        <v>137</v>
      </c>
      <c r="B634" t="s">
        <v>2025</v>
      </c>
      <c r="C634" t="s">
        <v>975</v>
      </c>
      <c r="D634" t="s">
        <v>1608</v>
      </c>
      <c r="E634" t="s">
        <v>980</v>
      </c>
      <c r="F634" t="s">
        <v>967</v>
      </c>
      <c r="G634" t="s">
        <v>968</v>
      </c>
      <c r="H634" t="s">
        <v>969</v>
      </c>
      <c r="I634" t="s">
        <v>970</v>
      </c>
      <c r="J634" t="s">
        <v>971</v>
      </c>
      <c r="K634" t="s">
        <v>972</v>
      </c>
      <c r="L634">
        <v>7705.35</v>
      </c>
      <c r="M634">
        <f t="shared" si="9"/>
        <v>334482.39000000007</v>
      </c>
    </row>
    <row r="635" spans="1:13" x14ac:dyDescent="0.25">
      <c r="A635" t="s">
        <v>137</v>
      </c>
      <c r="B635" t="s">
        <v>2029</v>
      </c>
      <c r="C635" t="s">
        <v>975</v>
      </c>
      <c r="D635" t="s">
        <v>1608</v>
      </c>
      <c r="E635" t="s">
        <v>980</v>
      </c>
      <c r="F635" t="s">
        <v>967</v>
      </c>
      <c r="G635" t="s">
        <v>968</v>
      </c>
      <c r="H635" t="s">
        <v>969</v>
      </c>
      <c r="I635" t="s">
        <v>970</v>
      </c>
      <c r="J635" t="s">
        <v>971</v>
      </c>
      <c r="K635" t="s">
        <v>972</v>
      </c>
      <c r="L635">
        <v>7705.35</v>
      </c>
      <c r="M635">
        <f t="shared" si="9"/>
        <v>334482.39000000007</v>
      </c>
    </row>
    <row r="636" spans="1:13" x14ac:dyDescent="0.25">
      <c r="A636" t="s">
        <v>137</v>
      </c>
      <c r="B636" t="s">
        <v>2024</v>
      </c>
      <c r="C636" t="s">
        <v>975</v>
      </c>
      <c r="D636" t="s">
        <v>1608</v>
      </c>
      <c r="E636" t="s">
        <v>980</v>
      </c>
      <c r="F636" t="s">
        <v>967</v>
      </c>
      <c r="G636" t="s">
        <v>968</v>
      </c>
      <c r="H636" t="s">
        <v>969</v>
      </c>
      <c r="I636" t="s">
        <v>970</v>
      </c>
      <c r="J636" t="s">
        <v>971</v>
      </c>
      <c r="K636" t="s">
        <v>972</v>
      </c>
      <c r="L636">
        <v>7705.35</v>
      </c>
      <c r="M636">
        <f t="shared" si="9"/>
        <v>334482.39000000007</v>
      </c>
    </row>
    <row r="637" spans="1:13" x14ac:dyDescent="0.25">
      <c r="A637" t="s">
        <v>137</v>
      </c>
      <c r="B637" t="s">
        <v>2021</v>
      </c>
      <c r="C637" t="s">
        <v>975</v>
      </c>
      <c r="D637" t="s">
        <v>1608</v>
      </c>
      <c r="E637" t="s">
        <v>980</v>
      </c>
      <c r="F637" t="s">
        <v>967</v>
      </c>
      <c r="G637" t="s">
        <v>968</v>
      </c>
      <c r="H637" t="s">
        <v>969</v>
      </c>
      <c r="I637" t="s">
        <v>970</v>
      </c>
      <c r="J637" t="s">
        <v>971</v>
      </c>
      <c r="K637" t="s">
        <v>972</v>
      </c>
      <c r="L637">
        <v>7705.35</v>
      </c>
      <c r="M637">
        <f t="shared" si="9"/>
        <v>334482.39000000007</v>
      </c>
    </row>
    <row r="638" spans="1:13" x14ac:dyDescent="0.25">
      <c r="A638" t="s">
        <v>137</v>
      </c>
      <c r="B638" t="s">
        <v>2027</v>
      </c>
      <c r="C638" t="s">
        <v>975</v>
      </c>
      <c r="D638" t="s">
        <v>1608</v>
      </c>
      <c r="E638" t="s">
        <v>980</v>
      </c>
      <c r="F638" t="s">
        <v>967</v>
      </c>
      <c r="G638" t="s">
        <v>968</v>
      </c>
      <c r="H638" t="s">
        <v>969</v>
      </c>
      <c r="I638" t="s">
        <v>970</v>
      </c>
      <c r="J638" t="s">
        <v>971</v>
      </c>
      <c r="K638" t="s">
        <v>972</v>
      </c>
      <c r="L638">
        <v>7705.35</v>
      </c>
      <c r="M638">
        <f t="shared" si="9"/>
        <v>334482.39000000007</v>
      </c>
    </row>
    <row r="639" spans="1:13" x14ac:dyDescent="0.25">
      <c r="A639" t="s">
        <v>137</v>
      </c>
      <c r="B639" t="s">
        <v>2030</v>
      </c>
      <c r="C639" t="s">
        <v>975</v>
      </c>
      <c r="D639" t="s">
        <v>1608</v>
      </c>
      <c r="E639" t="s">
        <v>980</v>
      </c>
      <c r="F639" t="s">
        <v>967</v>
      </c>
      <c r="G639" t="s">
        <v>968</v>
      </c>
      <c r="H639" t="s">
        <v>969</v>
      </c>
      <c r="I639" t="s">
        <v>970</v>
      </c>
      <c r="J639" t="s">
        <v>971</v>
      </c>
      <c r="K639" t="s">
        <v>972</v>
      </c>
      <c r="L639">
        <v>7705.35</v>
      </c>
      <c r="M639">
        <f t="shared" si="9"/>
        <v>334482.39000000007</v>
      </c>
    </row>
    <row r="640" spans="1:13" x14ac:dyDescent="0.25">
      <c r="A640" t="s">
        <v>137</v>
      </c>
      <c r="B640" t="s">
        <v>2028</v>
      </c>
      <c r="C640" t="s">
        <v>975</v>
      </c>
      <c r="D640" t="s">
        <v>1608</v>
      </c>
      <c r="E640" t="s">
        <v>980</v>
      </c>
      <c r="F640" t="s">
        <v>967</v>
      </c>
      <c r="G640" t="s">
        <v>968</v>
      </c>
      <c r="H640" t="s">
        <v>969</v>
      </c>
      <c r="I640" t="s">
        <v>970</v>
      </c>
      <c r="J640" t="s">
        <v>971</v>
      </c>
      <c r="K640" t="s">
        <v>972</v>
      </c>
      <c r="L640">
        <v>7705.35</v>
      </c>
      <c r="M640">
        <f t="shared" si="9"/>
        <v>334482.39000000007</v>
      </c>
    </row>
    <row r="641" spans="1:13" x14ac:dyDescent="0.25">
      <c r="A641" t="s">
        <v>137</v>
      </c>
      <c r="B641" t="s">
        <v>2022</v>
      </c>
      <c r="C641" t="s">
        <v>975</v>
      </c>
      <c r="D641" t="s">
        <v>1608</v>
      </c>
      <c r="E641" t="s">
        <v>980</v>
      </c>
      <c r="F641" t="s">
        <v>967</v>
      </c>
      <c r="G641" t="s">
        <v>968</v>
      </c>
      <c r="H641" t="s">
        <v>969</v>
      </c>
      <c r="I641" t="s">
        <v>970</v>
      </c>
      <c r="J641" t="s">
        <v>971</v>
      </c>
      <c r="K641" t="s">
        <v>972</v>
      </c>
      <c r="L641">
        <v>7705.35</v>
      </c>
      <c r="M641">
        <f t="shared" si="9"/>
        <v>334482.39000000007</v>
      </c>
    </row>
    <row r="642" spans="1:13" x14ac:dyDescent="0.25">
      <c r="A642" t="s">
        <v>137</v>
      </c>
      <c r="B642" t="s">
        <v>2023</v>
      </c>
      <c r="C642" t="s">
        <v>975</v>
      </c>
      <c r="D642" t="s">
        <v>1608</v>
      </c>
      <c r="E642" t="s">
        <v>980</v>
      </c>
      <c r="F642" t="s">
        <v>967</v>
      </c>
      <c r="G642" t="s">
        <v>968</v>
      </c>
      <c r="H642" t="s">
        <v>969</v>
      </c>
      <c r="I642" t="s">
        <v>970</v>
      </c>
      <c r="J642" t="s">
        <v>971</v>
      </c>
      <c r="K642" t="s">
        <v>972</v>
      </c>
      <c r="L642">
        <v>7705.35</v>
      </c>
      <c r="M642">
        <f t="shared" si="9"/>
        <v>334482.39000000007</v>
      </c>
    </row>
    <row r="643" spans="1:13" x14ac:dyDescent="0.25">
      <c r="A643" t="s">
        <v>7</v>
      </c>
      <c r="B643" t="s">
        <v>2442</v>
      </c>
      <c r="C643" t="s">
        <v>988</v>
      </c>
      <c r="D643" t="s">
        <v>1516</v>
      </c>
      <c r="E643" t="s">
        <v>977</v>
      </c>
      <c r="F643" t="s">
        <v>967</v>
      </c>
      <c r="G643" t="s">
        <v>968</v>
      </c>
      <c r="H643" t="s">
        <v>969</v>
      </c>
      <c r="I643" t="s">
        <v>970</v>
      </c>
      <c r="J643" t="s">
        <v>971</v>
      </c>
      <c r="K643" t="s">
        <v>972</v>
      </c>
      <c r="L643">
        <v>529.6</v>
      </c>
      <c r="M643">
        <f t="shared" ref="M643:M706" si="10">+SUMIF(A:A,A643,L:L)</f>
        <v>334482.39000000007</v>
      </c>
    </row>
    <row r="644" spans="1:13" x14ac:dyDescent="0.25">
      <c r="A644" t="s">
        <v>845</v>
      </c>
      <c r="B644" t="s">
        <v>1795</v>
      </c>
      <c r="C644" t="s">
        <v>975</v>
      </c>
      <c r="D644" t="s">
        <v>1382</v>
      </c>
      <c r="E644" t="s">
        <v>977</v>
      </c>
      <c r="F644" t="s">
        <v>967</v>
      </c>
      <c r="G644" t="s">
        <v>968</v>
      </c>
      <c r="H644" t="s">
        <v>969</v>
      </c>
      <c r="I644" t="s">
        <v>970</v>
      </c>
      <c r="J644" t="s">
        <v>971</v>
      </c>
      <c r="K644" t="s">
        <v>972</v>
      </c>
      <c r="L644">
        <v>16791.36</v>
      </c>
      <c r="M644">
        <f t="shared" si="10"/>
        <v>334482.39000000007</v>
      </c>
    </row>
    <row r="645" spans="1:13" x14ac:dyDescent="0.25">
      <c r="A645" t="s">
        <v>827</v>
      </c>
      <c r="B645" t="s">
        <v>1603</v>
      </c>
      <c r="C645" t="s">
        <v>975</v>
      </c>
      <c r="D645" t="s">
        <v>1377</v>
      </c>
      <c r="E645" t="s">
        <v>977</v>
      </c>
      <c r="F645" t="s">
        <v>967</v>
      </c>
      <c r="G645" t="s">
        <v>968</v>
      </c>
      <c r="H645" t="s">
        <v>969</v>
      </c>
      <c r="I645" t="s">
        <v>970</v>
      </c>
      <c r="J645" t="s">
        <v>971</v>
      </c>
      <c r="K645" t="s">
        <v>972</v>
      </c>
      <c r="L645">
        <v>26178.01</v>
      </c>
      <c r="M645">
        <f t="shared" si="10"/>
        <v>334482.39000000007</v>
      </c>
    </row>
    <row r="646" spans="1:13" x14ac:dyDescent="0.25">
      <c r="A646" t="s">
        <v>827</v>
      </c>
      <c r="B646" t="s">
        <v>1604</v>
      </c>
      <c r="C646" t="s">
        <v>975</v>
      </c>
      <c r="D646" t="s">
        <v>1377</v>
      </c>
      <c r="E646" t="s">
        <v>977</v>
      </c>
      <c r="F646" t="s">
        <v>967</v>
      </c>
      <c r="G646" t="s">
        <v>968</v>
      </c>
      <c r="H646" t="s">
        <v>969</v>
      </c>
      <c r="I646" t="s">
        <v>970</v>
      </c>
      <c r="J646" t="s">
        <v>971</v>
      </c>
      <c r="K646" t="s">
        <v>972</v>
      </c>
      <c r="L646">
        <v>26178.01</v>
      </c>
      <c r="M646">
        <f t="shared" si="10"/>
        <v>334482.39000000007</v>
      </c>
    </row>
    <row r="647" spans="1:13" x14ac:dyDescent="0.25">
      <c r="A647" t="s">
        <v>827</v>
      </c>
      <c r="B647" t="s">
        <v>1605</v>
      </c>
      <c r="C647" t="s">
        <v>975</v>
      </c>
      <c r="D647" t="s">
        <v>1377</v>
      </c>
      <c r="E647" t="s">
        <v>977</v>
      </c>
      <c r="F647" t="s">
        <v>967</v>
      </c>
      <c r="G647" t="s">
        <v>968</v>
      </c>
      <c r="H647" t="s">
        <v>969</v>
      </c>
      <c r="I647" t="s">
        <v>970</v>
      </c>
      <c r="J647" t="s">
        <v>971</v>
      </c>
      <c r="K647" t="s">
        <v>972</v>
      </c>
      <c r="L647">
        <v>26178.01</v>
      </c>
      <c r="M647">
        <f t="shared" si="10"/>
        <v>334482.39000000007</v>
      </c>
    </row>
    <row r="648" spans="1:13" x14ac:dyDescent="0.25">
      <c r="A648" t="s">
        <v>827</v>
      </c>
      <c r="B648" t="s">
        <v>1606</v>
      </c>
      <c r="C648" t="s">
        <v>975</v>
      </c>
      <c r="D648" t="s">
        <v>1377</v>
      </c>
      <c r="E648" t="s">
        <v>977</v>
      </c>
      <c r="F648" t="s">
        <v>967</v>
      </c>
      <c r="G648" t="s">
        <v>968</v>
      </c>
      <c r="H648" t="s">
        <v>969</v>
      </c>
      <c r="I648" t="s">
        <v>970</v>
      </c>
      <c r="J648" t="s">
        <v>971</v>
      </c>
      <c r="K648" t="s">
        <v>972</v>
      </c>
      <c r="L648">
        <v>26178.01</v>
      </c>
      <c r="M648">
        <f t="shared" si="10"/>
        <v>334482.39000000007</v>
      </c>
    </row>
    <row r="649" spans="1:13" x14ac:dyDescent="0.25">
      <c r="A649" t="s">
        <v>125</v>
      </c>
      <c r="B649" t="s">
        <v>1607</v>
      </c>
      <c r="C649" t="s">
        <v>1114</v>
      </c>
      <c r="D649" t="s">
        <v>1608</v>
      </c>
      <c r="E649" t="s">
        <v>980</v>
      </c>
      <c r="F649" t="s">
        <v>967</v>
      </c>
      <c r="G649" t="s">
        <v>968</v>
      </c>
      <c r="H649" t="s">
        <v>969</v>
      </c>
      <c r="I649" t="s">
        <v>970</v>
      </c>
      <c r="J649" t="s">
        <v>971</v>
      </c>
      <c r="K649" t="s">
        <v>972</v>
      </c>
      <c r="L649">
        <v>26151.05</v>
      </c>
      <c r="M649">
        <f t="shared" si="10"/>
        <v>334482.39000000007</v>
      </c>
    </row>
    <row r="650" spans="1:13" x14ac:dyDescent="0.25">
      <c r="A650" t="s">
        <v>615</v>
      </c>
      <c r="B650" t="s">
        <v>1461</v>
      </c>
      <c r="C650" t="s">
        <v>975</v>
      </c>
      <c r="D650" t="s">
        <v>1377</v>
      </c>
      <c r="E650" t="s">
        <v>1369</v>
      </c>
      <c r="F650" t="s">
        <v>967</v>
      </c>
      <c r="G650" t="s">
        <v>968</v>
      </c>
      <c r="H650" t="s">
        <v>969</v>
      </c>
      <c r="I650" t="s">
        <v>970</v>
      </c>
      <c r="J650" t="s">
        <v>971</v>
      </c>
      <c r="K650" t="s">
        <v>972</v>
      </c>
      <c r="L650">
        <v>33019.58</v>
      </c>
      <c r="M650">
        <f t="shared" si="10"/>
        <v>274311.15000000002</v>
      </c>
    </row>
    <row r="651" spans="1:13" x14ac:dyDescent="0.25">
      <c r="A651" t="s">
        <v>61</v>
      </c>
      <c r="B651" t="s">
        <v>1476</v>
      </c>
      <c r="C651" t="s">
        <v>975</v>
      </c>
      <c r="D651" t="s">
        <v>1477</v>
      </c>
      <c r="E651" t="s">
        <v>980</v>
      </c>
      <c r="F651" t="s">
        <v>967</v>
      </c>
      <c r="G651" t="s">
        <v>968</v>
      </c>
      <c r="H651" t="s">
        <v>969</v>
      </c>
      <c r="I651" t="s">
        <v>970</v>
      </c>
      <c r="J651" t="s">
        <v>971</v>
      </c>
      <c r="K651" t="s">
        <v>972</v>
      </c>
      <c r="L651">
        <v>32508.5</v>
      </c>
      <c r="M651">
        <f t="shared" si="10"/>
        <v>274311.15000000002</v>
      </c>
    </row>
    <row r="652" spans="1:13" x14ac:dyDescent="0.25">
      <c r="A652" t="s">
        <v>61</v>
      </c>
      <c r="B652" t="s">
        <v>1478</v>
      </c>
      <c r="C652" t="s">
        <v>975</v>
      </c>
      <c r="D652" t="s">
        <v>1477</v>
      </c>
      <c r="E652" t="s">
        <v>980</v>
      </c>
      <c r="F652" t="s">
        <v>967</v>
      </c>
      <c r="G652" t="s">
        <v>968</v>
      </c>
      <c r="H652" t="s">
        <v>969</v>
      </c>
      <c r="I652" t="s">
        <v>970</v>
      </c>
      <c r="J652" t="s">
        <v>971</v>
      </c>
      <c r="K652" t="s">
        <v>972</v>
      </c>
      <c r="L652">
        <v>32508.5</v>
      </c>
      <c r="M652">
        <f t="shared" si="10"/>
        <v>274311.15000000002</v>
      </c>
    </row>
    <row r="653" spans="1:13" x14ac:dyDescent="0.25">
      <c r="A653" t="s">
        <v>61</v>
      </c>
      <c r="B653" t="s">
        <v>1479</v>
      </c>
      <c r="C653" t="s">
        <v>975</v>
      </c>
      <c r="D653" t="s">
        <v>1477</v>
      </c>
      <c r="E653" t="s">
        <v>980</v>
      </c>
      <c r="F653" t="s">
        <v>967</v>
      </c>
      <c r="G653" t="s">
        <v>968</v>
      </c>
      <c r="H653" t="s">
        <v>969</v>
      </c>
      <c r="I653" t="s">
        <v>970</v>
      </c>
      <c r="J653" t="s">
        <v>971</v>
      </c>
      <c r="K653" t="s">
        <v>972</v>
      </c>
      <c r="L653">
        <v>32508.5</v>
      </c>
      <c r="M653">
        <f t="shared" si="10"/>
        <v>274311.15000000002</v>
      </c>
    </row>
    <row r="654" spans="1:13" x14ac:dyDescent="0.25">
      <c r="A654" t="s">
        <v>629</v>
      </c>
      <c r="B654" t="s">
        <v>1768</v>
      </c>
      <c r="C654" t="s">
        <v>975</v>
      </c>
      <c r="D654" t="s">
        <v>1516</v>
      </c>
      <c r="E654" t="s">
        <v>977</v>
      </c>
      <c r="F654" t="s">
        <v>967</v>
      </c>
      <c r="G654" t="s">
        <v>968</v>
      </c>
      <c r="H654" t="s">
        <v>969</v>
      </c>
      <c r="I654" t="s">
        <v>970</v>
      </c>
      <c r="J654" t="s">
        <v>971</v>
      </c>
      <c r="K654" t="s">
        <v>972</v>
      </c>
      <c r="L654">
        <v>17548.919999999998</v>
      </c>
      <c r="M654">
        <f t="shared" si="10"/>
        <v>274311.15000000002</v>
      </c>
    </row>
    <row r="655" spans="1:13" x14ac:dyDescent="0.25">
      <c r="A655" t="s">
        <v>876</v>
      </c>
      <c r="B655" t="s">
        <v>1546</v>
      </c>
      <c r="C655" t="s">
        <v>975</v>
      </c>
      <c r="D655" t="s">
        <v>1547</v>
      </c>
      <c r="E655" t="s">
        <v>980</v>
      </c>
      <c r="F655" t="s">
        <v>967</v>
      </c>
      <c r="G655" t="s">
        <v>968</v>
      </c>
      <c r="H655" t="s">
        <v>969</v>
      </c>
      <c r="I655" t="s">
        <v>970</v>
      </c>
      <c r="J655" t="s">
        <v>971</v>
      </c>
      <c r="K655" t="s">
        <v>972</v>
      </c>
      <c r="L655">
        <v>28674.98</v>
      </c>
      <c r="M655">
        <f t="shared" si="10"/>
        <v>274311.15000000002</v>
      </c>
    </row>
    <row r="656" spans="1:13" x14ac:dyDescent="0.25">
      <c r="A656" t="s">
        <v>831</v>
      </c>
      <c r="B656" t="s">
        <v>1690</v>
      </c>
      <c r="C656" t="s">
        <v>975</v>
      </c>
      <c r="D656" t="s">
        <v>1576</v>
      </c>
      <c r="E656" t="s">
        <v>977</v>
      </c>
      <c r="F656" t="s">
        <v>967</v>
      </c>
      <c r="G656" t="s">
        <v>968</v>
      </c>
      <c r="H656" t="s">
        <v>969</v>
      </c>
      <c r="I656" t="s">
        <v>970</v>
      </c>
      <c r="J656" t="s">
        <v>971</v>
      </c>
      <c r="K656" t="s">
        <v>972</v>
      </c>
      <c r="L656">
        <v>21246.75</v>
      </c>
      <c r="M656">
        <f t="shared" si="10"/>
        <v>274311.15000000002</v>
      </c>
    </row>
    <row r="657" spans="1:13" x14ac:dyDescent="0.25">
      <c r="A657" t="s">
        <v>558</v>
      </c>
      <c r="B657" t="s">
        <v>1378</v>
      </c>
      <c r="C657" t="s">
        <v>975</v>
      </c>
      <c r="D657" t="s">
        <v>1377</v>
      </c>
      <c r="E657" t="s">
        <v>977</v>
      </c>
      <c r="F657" t="s">
        <v>967</v>
      </c>
      <c r="G657" t="s">
        <v>968</v>
      </c>
      <c r="H657" t="s">
        <v>969</v>
      </c>
      <c r="I657" t="s">
        <v>970</v>
      </c>
      <c r="J657" t="s">
        <v>971</v>
      </c>
      <c r="K657" t="s">
        <v>972</v>
      </c>
      <c r="L657">
        <v>38147.71</v>
      </c>
      <c r="M657">
        <f t="shared" si="10"/>
        <v>274311.15000000002</v>
      </c>
    </row>
    <row r="658" spans="1:13" x14ac:dyDescent="0.25">
      <c r="A658" t="s">
        <v>486</v>
      </c>
      <c r="B658" t="s">
        <v>1376</v>
      </c>
      <c r="C658" t="s">
        <v>975</v>
      </c>
      <c r="D658" t="s">
        <v>1377</v>
      </c>
      <c r="E658" t="s">
        <v>977</v>
      </c>
      <c r="F658" t="s">
        <v>967</v>
      </c>
      <c r="G658" t="s">
        <v>968</v>
      </c>
      <c r="H658" t="s">
        <v>969</v>
      </c>
      <c r="I658" t="s">
        <v>970</v>
      </c>
      <c r="J658" t="s">
        <v>971</v>
      </c>
      <c r="K658" t="s">
        <v>972</v>
      </c>
      <c r="L658">
        <v>38147.71</v>
      </c>
      <c r="M658">
        <f t="shared" si="10"/>
        <v>274311.15000000002</v>
      </c>
    </row>
    <row r="659" spans="1:13" x14ac:dyDescent="0.25">
      <c r="A659" t="s">
        <v>181</v>
      </c>
      <c r="B659" t="s">
        <v>1577</v>
      </c>
      <c r="C659" t="s">
        <v>975</v>
      </c>
      <c r="D659" t="s">
        <v>1576</v>
      </c>
      <c r="E659" t="s">
        <v>977</v>
      </c>
      <c r="F659" t="s">
        <v>967</v>
      </c>
      <c r="G659" t="s">
        <v>968</v>
      </c>
      <c r="H659" t="s">
        <v>969</v>
      </c>
      <c r="I659" t="s">
        <v>970</v>
      </c>
      <c r="J659" t="s">
        <v>971</v>
      </c>
      <c r="K659" t="s">
        <v>972</v>
      </c>
      <c r="L659">
        <v>27809.599999999999</v>
      </c>
      <c r="M659">
        <f t="shared" si="10"/>
        <v>131209.46999999997</v>
      </c>
    </row>
    <row r="660" spans="1:13" x14ac:dyDescent="0.25">
      <c r="A660" t="s">
        <v>740</v>
      </c>
      <c r="B660" t="s">
        <v>1578</v>
      </c>
      <c r="C660" t="s">
        <v>975</v>
      </c>
      <c r="D660" t="s">
        <v>1576</v>
      </c>
      <c r="E660" t="s">
        <v>977</v>
      </c>
      <c r="F660" t="s">
        <v>967</v>
      </c>
      <c r="G660" t="s">
        <v>968</v>
      </c>
      <c r="H660" t="s">
        <v>969</v>
      </c>
      <c r="I660" t="s">
        <v>970</v>
      </c>
      <c r="J660" t="s">
        <v>971</v>
      </c>
      <c r="K660" t="s">
        <v>972</v>
      </c>
      <c r="L660">
        <v>27809.599999999999</v>
      </c>
      <c r="M660">
        <f t="shared" si="10"/>
        <v>131209.46999999997</v>
      </c>
    </row>
    <row r="661" spans="1:13" x14ac:dyDescent="0.25">
      <c r="A661" t="s">
        <v>508</v>
      </c>
      <c r="B661" t="s">
        <v>1575</v>
      </c>
      <c r="C661" t="s">
        <v>975</v>
      </c>
      <c r="D661" t="s">
        <v>1576</v>
      </c>
      <c r="E661" t="s">
        <v>977</v>
      </c>
      <c r="F661" t="s">
        <v>967</v>
      </c>
      <c r="G661" t="s">
        <v>968</v>
      </c>
      <c r="H661" t="s">
        <v>969</v>
      </c>
      <c r="I661" t="s">
        <v>970</v>
      </c>
      <c r="J661" t="s">
        <v>971</v>
      </c>
      <c r="K661" t="s">
        <v>972</v>
      </c>
      <c r="L661">
        <v>27809.599999999999</v>
      </c>
      <c r="M661">
        <f t="shared" si="10"/>
        <v>131209.46999999997</v>
      </c>
    </row>
    <row r="662" spans="1:13" x14ac:dyDescent="0.25">
      <c r="A662" t="s">
        <v>730</v>
      </c>
      <c r="B662" t="s">
        <v>1440</v>
      </c>
      <c r="C662" t="s">
        <v>975</v>
      </c>
      <c r="D662" t="s">
        <v>1441</v>
      </c>
      <c r="E662" t="s">
        <v>980</v>
      </c>
      <c r="F662" t="s">
        <v>967</v>
      </c>
      <c r="G662" t="s">
        <v>968</v>
      </c>
      <c r="H662" t="s">
        <v>969</v>
      </c>
      <c r="I662" t="s">
        <v>970</v>
      </c>
      <c r="J662" t="s">
        <v>971</v>
      </c>
      <c r="K662" t="s">
        <v>972</v>
      </c>
      <c r="L662">
        <v>35377.49</v>
      </c>
      <c r="M662">
        <f t="shared" si="10"/>
        <v>131209.46999999997</v>
      </c>
    </row>
    <row r="663" spans="1:13" x14ac:dyDescent="0.25">
      <c r="A663" t="s">
        <v>868</v>
      </c>
      <c r="B663" t="s">
        <v>1893</v>
      </c>
      <c r="C663" t="s">
        <v>975</v>
      </c>
      <c r="D663" t="s">
        <v>1576</v>
      </c>
      <c r="E663" t="s">
        <v>977</v>
      </c>
      <c r="F663" t="s">
        <v>967</v>
      </c>
      <c r="G663" t="s">
        <v>968</v>
      </c>
      <c r="H663" t="s">
        <v>969</v>
      </c>
      <c r="I663" t="s">
        <v>970</v>
      </c>
      <c r="J663" t="s">
        <v>971</v>
      </c>
      <c r="K663" t="s">
        <v>972</v>
      </c>
      <c r="L663">
        <v>12403.18</v>
      </c>
      <c r="M663">
        <f t="shared" si="10"/>
        <v>131209.46999999997</v>
      </c>
    </row>
    <row r="664" spans="1:13" x14ac:dyDescent="0.25">
      <c r="A664" t="s">
        <v>28</v>
      </c>
      <c r="B664" t="s">
        <v>2394</v>
      </c>
      <c r="C664" t="s">
        <v>988</v>
      </c>
      <c r="D664" t="s">
        <v>1543</v>
      </c>
      <c r="E664" t="s">
        <v>980</v>
      </c>
      <c r="F664" t="s">
        <v>967</v>
      </c>
      <c r="G664" t="s">
        <v>968</v>
      </c>
      <c r="H664" t="s">
        <v>969</v>
      </c>
      <c r="I664" t="s">
        <v>970</v>
      </c>
      <c r="J664" t="s">
        <v>971</v>
      </c>
      <c r="K664" t="s">
        <v>972</v>
      </c>
      <c r="L664">
        <v>858.05</v>
      </c>
      <c r="M664">
        <f t="shared" si="10"/>
        <v>359957.78000000009</v>
      </c>
    </row>
    <row r="665" spans="1:13" x14ac:dyDescent="0.25">
      <c r="A665" t="s">
        <v>28</v>
      </c>
      <c r="B665" t="s">
        <v>2395</v>
      </c>
      <c r="C665" t="s">
        <v>988</v>
      </c>
      <c r="D665" t="s">
        <v>1543</v>
      </c>
      <c r="E665" t="s">
        <v>980</v>
      </c>
      <c r="F665" t="s">
        <v>967</v>
      </c>
      <c r="G665" t="s">
        <v>968</v>
      </c>
      <c r="H665" t="s">
        <v>969</v>
      </c>
      <c r="I665" t="s">
        <v>970</v>
      </c>
      <c r="J665" t="s">
        <v>971</v>
      </c>
      <c r="K665" t="s">
        <v>972</v>
      </c>
      <c r="L665">
        <v>858.05</v>
      </c>
      <c r="M665">
        <f t="shared" si="10"/>
        <v>359957.78000000009</v>
      </c>
    </row>
    <row r="666" spans="1:13" x14ac:dyDescent="0.25">
      <c r="A666" t="s">
        <v>28</v>
      </c>
      <c r="B666" t="s">
        <v>2396</v>
      </c>
      <c r="C666" t="s">
        <v>988</v>
      </c>
      <c r="D666" t="s">
        <v>1543</v>
      </c>
      <c r="E666" t="s">
        <v>980</v>
      </c>
      <c r="F666" t="s">
        <v>967</v>
      </c>
      <c r="G666" t="s">
        <v>968</v>
      </c>
      <c r="H666" t="s">
        <v>969</v>
      </c>
      <c r="I666" t="s">
        <v>970</v>
      </c>
      <c r="J666" t="s">
        <v>971</v>
      </c>
      <c r="K666" t="s">
        <v>972</v>
      </c>
      <c r="L666">
        <v>858.05</v>
      </c>
      <c r="M666">
        <f t="shared" si="10"/>
        <v>359957.78000000009</v>
      </c>
    </row>
    <row r="667" spans="1:13" x14ac:dyDescent="0.25">
      <c r="A667" t="s">
        <v>28</v>
      </c>
      <c r="B667" t="s">
        <v>2397</v>
      </c>
      <c r="C667" t="s">
        <v>988</v>
      </c>
      <c r="D667" t="s">
        <v>1543</v>
      </c>
      <c r="E667" t="s">
        <v>980</v>
      </c>
      <c r="F667" t="s">
        <v>967</v>
      </c>
      <c r="G667" t="s">
        <v>968</v>
      </c>
      <c r="H667" t="s">
        <v>969</v>
      </c>
      <c r="I667" t="s">
        <v>970</v>
      </c>
      <c r="J667" t="s">
        <v>971</v>
      </c>
      <c r="K667" t="s">
        <v>972</v>
      </c>
      <c r="L667">
        <v>858.05</v>
      </c>
      <c r="M667">
        <f t="shared" si="10"/>
        <v>359957.78000000009</v>
      </c>
    </row>
    <row r="668" spans="1:13" x14ac:dyDescent="0.25">
      <c r="A668" t="s">
        <v>674</v>
      </c>
      <c r="B668" t="s">
        <v>1582</v>
      </c>
      <c r="C668" t="s">
        <v>964</v>
      </c>
      <c r="D668" t="s">
        <v>1377</v>
      </c>
      <c r="E668" t="s">
        <v>977</v>
      </c>
      <c r="F668" t="s">
        <v>967</v>
      </c>
      <c r="G668" t="s">
        <v>968</v>
      </c>
      <c r="H668" t="s">
        <v>969</v>
      </c>
      <c r="I668" t="s">
        <v>970</v>
      </c>
      <c r="J668" t="s">
        <v>971</v>
      </c>
      <c r="K668" t="s">
        <v>972</v>
      </c>
      <c r="L668">
        <v>27508.57</v>
      </c>
      <c r="M668">
        <f t="shared" si="10"/>
        <v>359957.78000000009</v>
      </c>
    </row>
    <row r="669" spans="1:13" x14ac:dyDescent="0.25">
      <c r="A669" t="s">
        <v>681</v>
      </c>
      <c r="B669" t="s">
        <v>1584</v>
      </c>
      <c r="C669" t="s">
        <v>964</v>
      </c>
      <c r="D669" t="s">
        <v>1377</v>
      </c>
      <c r="E669" t="s">
        <v>977</v>
      </c>
      <c r="F669" t="s">
        <v>967</v>
      </c>
      <c r="G669" t="s">
        <v>968</v>
      </c>
      <c r="H669" t="s">
        <v>969</v>
      </c>
      <c r="I669" t="s">
        <v>970</v>
      </c>
      <c r="J669" t="s">
        <v>971</v>
      </c>
      <c r="K669" t="s">
        <v>972</v>
      </c>
      <c r="L669">
        <v>27508.57</v>
      </c>
      <c r="M669">
        <f t="shared" si="10"/>
        <v>359957.78000000009</v>
      </c>
    </row>
    <row r="670" spans="1:13" x14ac:dyDescent="0.25">
      <c r="A670" t="s">
        <v>330</v>
      </c>
      <c r="B670" t="s">
        <v>1583</v>
      </c>
      <c r="C670" t="s">
        <v>964</v>
      </c>
      <c r="D670" t="s">
        <v>1377</v>
      </c>
      <c r="E670" t="s">
        <v>977</v>
      </c>
      <c r="F670" t="s">
        <v>967</v>
      </c>
      <c r="G670" t="s">
        <v>968</v>
      </c>
      <c r="H670" t="s">
        <v>969</v>
      </c>
      <c r="I670" t="s">
        <v>970</v>
      </c>
      <c r="J670" t="s">
        <v>971</v>
      </c>
      <c r="K670" t="s">
        <v>972</v>
      </c>
      <c r="L670">
        <v>27508.57</v>
      </c>
      <c r="M670">
        <f t="shared" si="10"/>
        <v>359957.78000000009</v>
      </c>
    </row>
    <row r="671" spans="1:13" x14ac:dyDescent="0.25">
      <c r="A671" t="s">
        <v>582</v>
      </c>
      <c r="B671" t="s">
        <v>1585</v>
      </c>
      <c r="C671" t="s">
        <v>964</v>
      </c>
      <c r="D671" t="s">
        <v>1377</v>
      </c>
      <c r="E671" t="s">
        <v>977</v>
      </c>
      <c r="F671" t="s">
        <v>967</v>
      </c>
      <c r="G671" t="s">
        <v>968</v>
      </c>
      <c r="H671" t="s">
        <v>969</v>
      </c>
      <c r="I671" t="s">
        <v>970</v>
      </c>
      <c r="J671" t="s">
        <v>971</v>
      </c>
      <c r="K671" t="s">
        <v>972</v>
      </c>
      <c r="L671">
        <v>27508.57</v>
      </c>
      <c r="M671">
        <f t="shared" si="10"/>
        <v>359957.78000000009</v>
      </c>
    </row>
    <row r="672" spans="1:13" x14ac:dyDescent="0.25">
      <c r="A672" t="s">
        <v>936</v>
      </c>
      <c r="B672" t="s">
        <v>1581</v>
      </c>
      <c r="C672" t="s">
        <v>964</v>
      </c>
      <c r="D672" t="s">
        <v>1377</v>
      </c>
      <c r="E672" t="s">
        <v>977</v>
      </c>
      <c r="F672" t="s">
        <v>967</v>
      </c>
      <c r="G672" t="s">
        <v>968</v>
      </c>
      <c r="H672" t="s">
        <v>969</v>
      </c>
      <c r="I672" t="s">
        <v>970</v>
      </c>
      <c r="J672" t="s">
        <v>971</v>
      </c>
      <c r="K672" t="s">
        <v>972</v>
      </c>
      <c r="L672">
        <v>27657.75</v>
      </c>
      <c r="M672">
        <f t="shared" si="10"/>
        <v>359957.78000000009</v>
      </c>
    </row>
    <row r="673" spans="1:13" x14ac:dyDescent="0.25">
      <c r="A673" t="s">
        <v>128</v>
      </c>
      <c r="B673" t="s">
        <v>2521</v>
      </c>
      <c r="C673" t="s">
        <v>982</v>
      </c>
      <c r="D673" t="s">
        <v>1576</v>
      </c>
      <c r="E673" t="s">
        <v>966</v>
      </c>
      <c r="F673" t="s">
        <v>967</v>
      </c>
      <c r="G673" t="s">
        <v>968</v>
      </c>
      <c r="H673" t="s">
        <v>2390</v>
      </c>
      <c r="I673" t="s">
        <v>970</v>
      </c>
      <c r="J673" t="s">
        <v>971</v>
      </c>
      <c r="K673" t="s">
        <v>972</v>
      </c>
      <c r="L673">
        <v>87.6</v>
      </c>
      <c r="M673">
        <f t="shared" si="10"/>
        <v>359957.78000000009</v>
      </c>
    </row>
    <row r="674" spans="1:13" x14ac:dyDescent="0.25">
      <c r="A674" t="s">
        <v>174</v>
      </c>
      <c r="B674" t="s">
        <v>2373</v>
      </c>
      <c r="C674" t="s">
        <v>988</v>
      </c>
      <c r="D674" t="s">
        <v>1377</v>
      </c>
      <c r="E674" t="s">
        <v>977</v>
      </c>
      <c r="F674" t="s">
        <v>967</v>
      </c>
      <c r="G674" t="s">
        <v>968</v>
      </c>
      <c r="H674" t="s">
        <v>969</v>
      </c>
      <c r="I674" t="s">
        <v>970</v>
      </c>
      <c r="J674" t="s">
        <v>971</v>
      </c>
      <c r="K674" t="s">
        <v>972</v>
      </c>
      <c r="L674">
        <v>1014.7</v>
      </c>
      <c r="M674">
        <f t="shared" si="10"/>
        <v>359957.78000000009</v>
      </c>
    </row>
    <row r="675" spans="1:13" x14ac:dyDescent="0.25">
      <c r="A675" t="s">
        <v>3</v>
      </c>
      <c r="B675" t="s">
        <v>1679</v>
      </c>
      <c r="C675" t="s">
        <v>964</v>
      </c>
      <c r="D675" t="s">
        <v>1671</v>
      </c>
      <c r="E675" t="s">
        <v>977</v>
      </c>
      <c r="F675" t="s">
        <v>967</v>
      </c>
      <c r="G675" t="s">
        <v>968</v>
      </c>
      <c r="H675" t="s">
        <v>969</v>
      </c>
      <c r="I675" t="s">
        <v>970</v>
      </c>
      <c r="J675" t="s">
        <v>971</v>
      </c>
      <c r="K675" t="s">
        <v>972</v>
      </c>
      <c r="L675">
        <v>22321.83</v>
      </c>
      <c r="M675">
        <f t="shared" si="10"/>
        <v>359957.78000000009</v>
      </c>
    </row>
    <row r="676" spans="1:13" x14ac:dyDescent="0.25">
      <c r="A676" t="s">
        <v>344</v>
      </c>
      <c r="B676" t="s">
        <v>1680</v>
      </c>
      <c r="C676" t="s">
        <v>964</v>
      </c>
      <c r="D676" t="s">
        <v>1671</v>
      </c>
      <c r="E676" t="s">
        <v>977</v>
      </c>
      <c r="F676" t="s">
        <v>967</v>
      </c>
      <c r="G676" t="s">
        <v>968</v>
      </c>
      <c r="H676" t="s">
        <v>969</v>
      </c>
      <c r="I676" t="s">
        <v>970</v>
      </c>
      <c r="J676" t="s">
        <v>971</v>
      </c>
      <c r="K676" t="s">
        <v>972</v>
      </c>
      <c r="L676">
        <v>22321.83</v>
      </c>
      <c r="M676">
        <f t="shared" si="10"/>
        <v>359957.78000000009</v>
      </c>
    </row>
    <row r="677" spans="1:13" x14ac:dyDescent="0.25">
      <c r="A677" t="s">
        <v>387</v>
      </c>
      <c r="B677" t="s">
        <v>1677</v>
      </c>
      <c r="C677" t="s">
        <v>964</v>
      </c>
      <c r="D677" t="s">
        <v>1671</v>
      </c>
      <c r="E677" t="s">
        <v>977</v>
      </c>
      <c r="F677" t="s">
        <v>967</v>
      </c>
      <c r="G677" t="s">
        <v>968</v>
      </c>
      <c r="H677" t="s">
        <v>969</v>
      </c>
      <c r="I677" t="s">
        <v>970</v>
      </c>
      <c r="J677" t="s">
        <v>971</v>
      </c>
      <c r="K677" t="s">
        <v>972</v>
      </c>
      <c r="L677">
        <v>22321.83</v>
      </c>
      <c r="M677">
        <f t="shared" si="10"/>
        <v>359957.78000000009</v>
      </c>
    </row>
    <row r="678" spans="1:13" x14ac:dyDescent="0.25">
      <c r="A678" t="s">
        <v>153</v>
      </c>
      <c r="B678" t="s">
        <v>1678</v>
      </c>
      <c r="C678" t="s">
        <v>964</v>
      </c>
      <c r="D678" t="s">
        <v>1671</v>
      </c>
      <c r="E678" t="s">
        <v>977</v>
      </c>
      <c r="F678" t="s">
        <v>967</v>
      </c>
      <c r="G678" t="s">
        <v>968</v>
      </c>
      <c r="H678" t="s">
        <v>969</v>
      </c>
      <c r="I678" t="s">
        <v>970</v>
      </c>
      <c r="J678" t="s">
        <v>971</v>
      </c>
      <c r="K678" t="s">
        <v>972</v>
      </c>
      <c r="L678">
        <v>22321.83</v>
      </c>
      <c r="M678">
        <f t="shared" si="10"/>
        <v>359957.78000000009</v>
      </c>
    </row>
    <row r="679" spans="1:13" x14ac:dyDescent="0.25">
      <c r="A679" t="s">
        <v>419</v>
      </c>
      <c r="B679" t="s">
        <v>1676</v>
      </c>
      <c r="C679" t="s">
        <v>964</v>
      </c>
      <c r="D679" t="s">
        <v>1671</v>
      </c>
      <c r="E679" t="s">
        <v>977</v>
      </c>
      <c r="F679" t="s">
        <v>967</v>
      </c>
      <c r="G679" t="s">
        <v>968</v>
      </c>
      <c r="H679" t="s">
        <v>969</v>
      </c>
      <c r="I679" t="s">
        <v>970</v>
      </c>
      <c r="J679" t="s">
        <v>971</v>
      </c>
      <c r="K679" t="s">
        <v>972</v>
      </c>
      <c r="L679">
        <v>22321.83</v>
      </c>
      <c r="M679">
        <f t="shared" si="10"/>
        <v>359957.78000000009</v>
      </c>
    </row>
    <row r="680" spans="1:13" x14ac:dyDescent="0.25">
      <c r="A680" t="s">
        <v>385</v>
      </c>
      <c r="B680" t="s">
        <v>1636</v>
      </c>
      <c r="C680" t="s">
        <v>964</v>
      </c>
      <c r="D680" t="s">
        <v>1377</v>
      </c>
      <c r="E680" t="s">
        <v>977</v>
      </c>
      <c r="F680" t="s">
        <v>967</v>
      </c>
      <c r="G680" t="s">
        <v>968</v>
      </c>
      <c r="H680" t="s">
        <v>969</v>
      </c>
      <c r="I680" t="s">
        <v>970</v>
      </c>
      <c r="J680" t="s">
        <v>971</v>
      </c>
      <c r="K680" t="s">
        <v>972</v>
      </c>
      <c r="L680">
        <v>24286.81</v>
      </c>
      <c r="M680">
        <f t="shared" si="10"/>
        <v>359957.78000000009</v>
      </c>
    </row>
    <row r="681" spans="1:13" x14ac:dyDescent="0.25">
      <c r="A681" t="s">
        <v>273</v>
      </c>
      <c r="B681" t="s">
        <v>1659</v>
      </c>
      <c r="C681" t="s">
        <v>964</v>
      </c>
      <c r="D681" t="s">
        <v>1441</v>
      </c>
      <c r="E681" t="s">
        <v>977</v>
      </c>
      <c r="F681" t="s">
        <v>967</v>
      </c>
      <c r="G681" t="s">
        <v>968</v>
      </c>
      <c r="H681" t="s">
        <v>969</v>
      </c>
      <c r="I681" t="s">
        <v>970</v>
      </c>
      <c r="J681" t="s">
        <v>971</v>
      </c>
      <c r="K681" t="s">
        <v>972</v>
      </c>
      <c r="L681">
        <v>23626.85</v>
      </c>
      <c r="M681">
        <f t="shared" si="10"/>
        <v>359957.78000000009</v>
      </c>
    </row>
    <row r="682" spans="1:13" x14ac:dyDescent="0.25">
      <c r="A682" t="s">
        <v>470</v>
      </c>
      <c r="B682" t="s">
        <v>1549</v>
      </c>
      <c r="C682" t="s">
        <v>975</v>
      </c>
      <c r="D682" t="s">
        <v>1377</v>
      </c>
      <c r="E682" t="s">
        <v>980</v>
      </c>
      <c r="F682" t="s">
        <v>967</v>
      </c>
      <c r="G682" t="s">
        <v>968</v>
      </c>
      <c r="H682" t="s">
        <v>969</v>
      </c>
      <c r="I682" t="s">
        <v>970</v>
      </c>
      <c r="J682" t="s">
        <v>971</v>
      </c>
      <c r="K682" t="s">
        <v>972</v>
      </c>
      <c r="L682">
        <v>28631.01</v>
      </c>
      <c r="M682">
        <f t="shared" si="10"/>
        <v>359957.78000000009</v>
      </c>
    </row>
    <row r="683" spans="1:13" x14ac:dyDescent="0.25">
      <c r="A683" t="s">
        <v>129</v>
      </c>
      <c r="B683" t="s">
        <v>1548</v>
      </c>
      <c r="C683" t="s">
        <v>975</v>
      </c>
      <c r="D683" t="s">
        <v>1377</v>
      </c>
      <c r="E683" t="s">
        <v>980</v>
      </c>
      <c r="F683" t="s">
        <v>967</v>
      </c>
      <c r="G683" t="s">
        <v>968</v>
      </c>
      <c r="H683" t="s">
        <v>969</v>
      </c>
      <c r="I683" t="s">
        <v>970</v>
      </c>
      <c r="J683" t="s">
        <v>971</v>
      </c>
      <c r="K683" t="s">
        <v>972</v>
      </c>
      <c r="L683">
        <v>28631.01</v>
      </c>
      <c r="M683">
        <f t="shared" si="10"/>
        <v>359957.78000000009</v>
      </c>
    </row>
    <row r="684" spans="1:13" x14ac:dyDescent="0.25">
      <c r="A684" t="s">
        <v>536</v>
      </c>
      <c r="B684" t="s">
        <v>2439</v>
      </c>
      <c r="C684" t="s">
        <v>982</v>
      </c>
      <c r="D684" t="s">
        <v>1377</v>
      </c>
      <c r="E684" t="s">
        <v>966</v>
      </c>
      <c r="F684" t="s">
        <v>967</v>
      </c>
      <c r="G684" t="s">
        <v>968</v>
      </c>
      <c r="H684" t="s">
        <v>969</v>
      </c>
      <c r="I684" t="s">
        <v>970</v>
      </c>
      <c r="J684" t="s">
        <v>971</v>
      </c>
      <c r="K684" t="s">
        <v>972</v>
      </c>
      <c r="L684">
        <v>541.42999999999995</v>
      </c>
      <c r="M684">
        <f t="shared" si="10"/>
        <v>359957.78000000009</v>
      </c>
    </row>
    <row r="685" spans="1:13" x14ac:dyDescent="0.25">
      <c r="A685" t="s">
        <v>805</v>
      </c>
      <c r="B685" t="s">
        <v>2467</v>
      </c>
      <c r="C685" t="s">
        <v>988</v>
      </c>
      <c r="D685" t="s">
        <v>1671</v>
      </c>
      <c r="E685" t="s">
        <v>977</v>
      </c>
      <c r="F685" t="s">
        <v>967</v>
      </c>
      <c r="G685" t="s">
        <v>968</v>
      </c>
      <c r="H685" t="s">
        <v>969</v>
      </c>
      <c r="I685" t="s">
        <v>970</v>
      </c>
      <c r="J685" t="s">
        <v>971</v>
      </c>
      <c r="K685" t="s">
        <v>972</v>
      </c>
      <c r="L685">
        <v>404.99</v>
      </c>
      <c r="M685">
        <f t="shared" si="10"/>
        <v>359957.78000000009</v>
      </c>
    </row>
    <row r="686" spans="1:13" x14ac:dyDescent="0.25">
      <c r="A686" t="s">
        <v>651</v>
      </c>
      <c r="B686" t="s">
        <v>2370</v>
      </c>
      <c r="C686" t="s">
        <v>988</v>
      </c>
      <c r="D686" t="s">
        <v>1441</v>
      </c>
      <c r="E686" t="s">
        <v>977</v>
      </c>
      <c r="F686" t="s">
        <v>967</v>
      </c>
      <c r="G686" t="s">
        <v>968</v>
      </c>
      <c r="H686" t="s">
        <v>969</v>
      </c>
      <c r="I686" t="s">
        <v>970</v>
      </c>
      <c r="J686" t="s">
        <v>971</v>
      </c>
      <c r="K686" t="s">
        <v>972</v>
      </c>
      <c r="L686">
        <v>1078.43</v>
      </c>
      <c r="M686">
        <f t="shared" si="10"/>
        <v>30353.82</v>
      </c>
    </row>
    <row r="687" spans="1:13" x14ac:dyDescent="0.25">
      <c r="A687" t="s">
        <v>73</v>
      </c>
      <c r="B687" t="s">
        <v>1550</v>
      </c>
      <c r="C687" t="s">
        <v>975</v>
      </c>
      <c r="D687" t="s">
        <v>1377</v>
      </c>
      <c r="E687" t="s">
        <v>980</v>
      </c>
      <c r="F687" t="s">
        <v>967</v>
      </c>
      <c r="G687" t="s">
        <v>968</v>
      </c>
      <c r="H687" t="s">
        <v>969</v>
      </c>
      <c r="I687" t="s">
        <v>970</v>
      </c>
      <c r="J687" t="s">
        <v>971</v>
      </c>
      <c r="K687" t="s">
        <v>972</v>
      </c>
      <c r="L687">
        <v>28534.66</v>
      </c>
      <c r="M687">
        <f t="shared" si="10"/>
        <v>30353.82</v>
      </c>
    </row>
    <row r="688" spans="1:13" x14ac:dyDescent="0.25">
      <c r="A688" t="s">
        <v>685</v>
      </c>
      <c r="B688" t="s">
        <v>2469</v>
      </c>
      <c r="C688" t="s">
        <v>982</v>
      </c>
      <c r="D688" t="s">
        <v>1396</v>
      </c>
      <c r="E688" t="s">
        <v>980</v>
      </c>
      <c r="F688" t="s">
        <v>967</v>
      </c>
      <c r="G688" t="s">
        <v>968</v>
      </c>
      <c r="H688" t="s">
        <v>969</v>
      </c>
      <c r="I688" t="s">
        <v>970</v>
      </c>
      <c r="J688" t="s">
        <v>971</v>
      </c>
      <c r="K688" t="s">
        <v>972</v>
      </c>
      <c r="L688">
        <v>400.52</v>
      </c>
      <c r="M688">
        <f t="shared" si="10"/>
        <v>30353.82</v>
      </c>
    </row>
    <row r="689" spans="1:13" x14ac:dyDescent="0.25">
      <c r="A689" t="s">
        <v>685</v>
      </c>
      <c r="B689" t="s">
        <v>2469</v>
      </c>
      <c r="C689" t="s">
        <v>982</v>
      </c>
      <c r="D689" t="s">
        <v>1396</v>
      </c>
      <c r="E689" t="s">
        <v>980</v>
      </c>
      <c r="F689" t="s">
        <v>967</v>
      </c>
      <c r="G689" t="s">
        <v>968</v>
      </c>
      <c r="H689" t="s">
        <v>2390</v>
      </c>
      <c r="I689" t="s">
        <v>970</v>
      </c>
      <c r="J689" t="s">
        <v>971</v>
      </c>
      <c r="K689" t="s">
        <v>972</v>
      </c>
      <c r="L689">
        <v>340.21</v>
      </c>
      <c r="M689">
        <f t="shared" si="10"/>
        <v>30353.82</v>
      </c>
    </row>
    <row r="690" spans="1:13" x14ac:dyDescent="0.25">
      <c r="A690" t="s">
        <v>844</v>
      </c>
      <c r="B690" t="s">
        <v>1542</v>
      </c>
      <c r="C690" t="s">
        <v>975</v>
      </c>
      <c r="D690" t="s">
        <v>1543</v>
      </c>
      <c r="E690" t="s">
        <v>980</v>
      </c>
      <c r="F690" t="s">
        <v>967</v>
      </c>
      <c r="G690" t="s">
        <v>968</v>
      </c>
      <c r="H690" t="s">
        <v>969</v>
      </c>
      <c r="I690" t="s">
        <v>970</v>
      </c>
      <c r="J690" t="s">
        <v>971</v>
      </c>
      <c r="K690" t="s">
        <v>972</v>
      </c>
      <c r="L690">
        <v>29327.68</v>
      </c>
      <c r="M690">
        <f t="shared" si="10"/>
        <v>83305.499999999985</v>
      </c>
    </row>
    <row r="691" spans="1:13" x14ac:dyDescent="0.25">
      <c r="A691" t="s">
        <v>451</v>
      </c>
      <c r="B691" t="s">
        <v>1602</v>
      </c>
      <c r="C691" t="s">
        <v>975</v>
      </c>
      <c r="D691" t="s">
        <v>1377</v>
      </c>
      <c r="E691" t="s">
        <v>977</v>
      </c>
      <c r="F691" t="s">
        <v>967</v>
      </c>
      <c r="G691" t="s">
        <v>968</v>
      </c>
      <c r="H691" t="s">
        <v>969</v>
      </c>
      <c r="I691" t="s">
        <v>970</v>
      </c>
      <c r="J691" t="s">
        <v>971</v>
      </c>
      <c r="K691" t="s">
        <v>972</v>
      </c>
      <c r="L691">
        <v>26178.05</v>
      </c>
      <c r="M691">
        <f t="shared" si="10"/>
        <v>83305.499999999985</v>
      </c>
    </row>
    <row r="692" spans="1:13" x14ac:dyDescent="0.25">
      <c r="A692" t="s">
        <v>663</v>
      </c>
      <c r="B692" t="s">
        <v>2366</v>
      </c>
      <c r="C692" t="s">
        <v>982</v>
      </c>
      <c r="D692" t="s">
        <v>1543</v>
      </c>
      <c r="E692" t="s">
        <v>977</v>
      </c>
      <c r="F692" t="s">
        <v>967</v>
      </c>
      <c r="G692" t="s">
        <v>968</v>
      </c>
      <c r="H692" t="s">
        <v>969</v>
      </c>
      <c r="I692" t="s">
        <v>970</v>
      </c>
      <c r="J692" t="s">
        <v>971</v>
      </c>
      <c r="K692" t="s">
        <v>972</v>
      </c>
      <c r="L692">
        <v>1095.1199999999999</v>
      </c>
      <c r="M692">
        <f t="shared" si="10"/>
        <v>83305.499999999985</v>
      </c>
    </row>
    <row r="693" spans="1:13" x14ac:dyDescent="0.25">
      <c r="A693" t="s">
        <v>560</v>
      </c>
      <c r="B693" t="s">
        <v>2377</v>
      </c>
      <c r="C693" t="s">
        <v>988</v>
      </c>
      <c r="D693" t="s">
        <v>1628</v>
      </c>
      <c r="E693" t="s">
        <v>977</v>
      </c>
      <c r="F693" t="s">
        <v>967</v>
      </c>
      <c r="G693" t="s">
        <v>968</v>
      </c>
      <c r="H693" t="s">
        <v>969</v>
      </c>
      <c r="I693" t="s">
        <v>970</v>
      </c>
      <c r="J693" t="s">
        <v>971</v>
      </c>
      <c r="K693" t="s">
        <v>972</v>
      </c>
      <c r="L693">
        <v>951.03</v>
      </c>
      <c r="M693">
        <f t="shared" si="10"/>
        <v>83305.499999999985</v>
      </c>
    </row>
    <row r="694" spans="1:13" x14ac:dyDescent="0.25">
      <c r="A694" t="s">
        <v>208</v>
      </c>
      <c r="B694" t="s">
        <v>2389</v>
      </c>
      <c r="C694" t="s">
        <v>988</v>
      </c>
      <c r="D694" t="s">
        <v>1477</v>
      </c>
      <c r="E694" t="s">
        <v>977</v>
      </c>
      <c r="F694" t="s">
        <v>967</v>
      </c>
      <c r="G694" t="s">
        <v>968</v>
      </c>
      <c r="H694" t="s">
        <v>969</v>
      </c>
      <c r="I694" t="s">
        <v>970</v>
      </c>
      <c r="J694" t="s">
        <v>971</v>
      </c>
      <c r="K694" t="s">
        <v>972</v>
      </c>
      <c r="L694">
        <v>883.36</v>
      </c>
      <c r="M694">
        <f t="shared" si="10"/>
        <v>83305.499999999985</v>
      </c>
    </row>
    <row r="695" spans="1:13" x14ac:dyDescent="0.25">
      <c r="A695" t="s">
        <v>331</v>
      </c>
      <c r="B695" t="s">
        <v>2490</v>
      </c>
      <c r="C695" t="s">
        <v>982</v>
      </c>
      <c r="D695" t="s">
        <v>1377</v>
      </c>
      <c r="E695" t="s">
        <v>977</v>
      </c>
      <c r="F695" t="s">
        <v>967</v>
      </c>
      <c r="G695" t="s">
        <v>968</v>
      </c>
      <c r="H695" t="s">
        <v>2390</v>
      </c>
      <c r="I695" t="s">
        <v>970</v>
      </c>
      <c r="J695" t="s">
        <v>971</v>
      </c>
      <c r="K695" t="s">
        <v>972</v>
      </c>
      <c r="L695">
        <v>294.45999999999998</v>
      </c>
      <c r="M695">
        <f t="shared" si="10"/>
        <v>83305.499999999985</v>
      </c>
    </row>
    <row r="696" spans="1:13" x14ac:dyDescent="0.25">
      <c r="A696" t="s">
        <v>848</v>
      </c>
      <c r="B696" t="s">
        <v>2491</v>
      </c>
      <c r="C696" t="s">
        <v>982</v>
      </c>
      <c r="D696" t="s">
        <v>1377</v>
      </c>
      <c r="E696" t="s">
        <v>977</v>
      </c>
      <c r="F696" t="s">
        <v>967</v>
      </c>
      <c r="G696" t="s">
        <v>968</v>
      </c>
      <c r="H696" t="s">
        <v>2390</v>
      </c>
      <c r="I696" t="s">
        <v>970</v>
      </c>
      <c r="J696" t="s">
        <v>971</v>
      </c>
      <c r="K696" t="s">
        <v>972</v>
      </c>
      <c r="L696">
        <v>294.45999999999998</v>
      </c>
      <c r="M696">
        <f t="shared" si="10"/>
        <v>83305.499999999985</v>
      </c>
    </row>
    <row r="697" spans="1:13" x14ac:dyDescent="0.25">
      <c r="A697" t="s">
        <v>46</v>
      </c>
      <c r="B697" t="s">
        <v>1670</v>
      </c>
      <c r="C697" t="s">
        <v>975</v>
      </c>
      <c r="D697" t="s">
        <v>1671</v>
      </c>
      <c r="E697" t="s">
        <v>980</v>
      </c>
      <c r="F697" t="s">
        <v>967</v>
      </c>
      <c r="G697" t="s">
        <v>968</v>
      </c>
      <c r="H697" t="s">
        <v>969</v>
      </c>
      <c r="I697" t="s">
        <v>970</v>
      </c>
      <c r="J697" t="s">
        <v>971</v>
      </c>
      <c r="K697" t="s">
        <v>972</v>
      </c>
      <c r="L697">
        <v>22964.36</v>
      </c>
      <c r="M697">
        <f t="shared" si="10"/>
        <v>83305.499999999985</v>
      </c>
    </row>
    <row r="698" spans="1:13" x14ac:dyDescent="0.25">
      <c r="A698" t="s">
        <v>23</v>
      </c>
      <c r="B698" t="s">
        <v>2323</v>
      </c>
      <c r="C698" t="s">
        <v>988</v>
      </c>
      <c r="D698" t="s">
        <v>1628</v>
      </c>
      <c r="E698" t="s">
        <v>980</v>
      </c>
      <c r="F698" t="s">
        <v>967</v>
      </c>
      <c r="G698" t="s">
        <v>968</v>
      </c>
      <c r="H698" t="s">
        <v>969</v>
      </c>
      <c r="I698" t="s">
        <v>970</v>
      </c>
      <c r="J698" t="s">
        <v>971</v>
      </c>
      <c r="K698" t="s">
        <v>972</v>
      </c>
      <c r="L698">
        <v>1316.98</v>
      </c>
      <c r="M698">
        <f t="shared" si="10"/>
        <v>83305.499999999985</v>
      </c>
    </row>
    <row r="699" spans="1:13" x14ac:dyDescent="0.25">
      <c r="A699" t="s">
        <v>156</v>
      </c>
      <c r="B699" t="s">
        <v>1572</v>
      </c>
      <c r="C699" t="s">
        <v>975</v>
      </c>
      <c r="D699" t="s">
        <v>1441</v>
      </c>
      <c r="E699" t="s">
        <v>980</v>
      </c>
      <c r="F699" t="s">
        <v>967</v>
      </c>
      <c r="G699" t="s">
        <v>968</v>
      </c>
      <c r="H699" t="s">
        <v>969</v>
      </c>
      <c r="I699" t="s">
        <v>970</v>
      </c>
      <c r="J699" t="s">
        <v>971</v>
      </c>
      <c r="K699" t="s">
        <v>972</v>
      </c>
      <c r="L699">
        <v>27890.1</v>
      </c>
      <c r="M699">
        <f t="shared" si="10"/>
        <v>57994.77</v>
      </c>
    </row>
    <row r="700" spans="1:13" x14ac:dyDescent="0.25">
      <c r="A700" t="s">
        <v>612</v>
      </c>
      <c r="B700" t="s">
        <v>1586</v>
      </c>
      <c r="C700" t="s">
        <v>975</v>
      </c>
      <c r="D700" t="s">
        <v>1543</v>
      </c>
      <c r="E700" t="s">
        <v>977</v>
      </c>
      <c r="F700" t="s">
        <v>967</v>
      </c>
      <c r="G700" t="s">
        <v>968</v>
      </c>
      <c r="H700" t="s">
        <v>969</v>
      </c>
      <c r="I700" t="s">
        <v>970</v>
      </c>
      <c r="J700" t="s">
        <v>971</v>
      </c>
      <c r="K700" t="s">
        <v>972</v>
      </c>
      <c r="L700">
        <v>27336.57</v>
      </c>
      <c r="M700">
        <f t="shared" si="10"/>
        <v>57994.77</v>
      </c>
    </row>
    <row r="701" spans="1:13" x14ac:dyDescent="0.25">
      <c r="A701" t="s">
        <v>815</v>
      </c>
      <c r="B701" t="s">
        <v>2307</v>
      </c>
      <c r="C701" t="s">
        <v>988</v>
      </c>
      <c r="D701" t="s">
        <v>1671</v>
      </c>
      <c r="E701" t="s">
        <v>1369</v>
      </c>
      <c r="F701" t="s">
        <v>967</v>
      </c>
      <c r="G701" t="s">
        <v>968</v>
      </c>
      <c r="H701" t="s">
        <v>969</v>
      </c>
      <c r="I701" t="s">
        <v>970</v>
      </c>
      <c r="J701" t="s">
        <v>971</v>
      </c>
      <c r="K701" t="s">
        <v>972</v>
      </c>
      <c r="L701">
        <v>1517.66</v>
      </c>
      <c r="M701">
        <f t="shared" si="10"/>
        <v>57994.77</v>
      </c>
    </row>
    <row r="702" spans="1:13" x14ac:dyDescent="0.25">
      <c r="A702" t="s">
        <v>516</v>
      </c>
      <c r="B702" t="s">
        <v>2505</v>
      </c>
      <c r="C702" t="s">
        <v>988</v>
      </c>
      <c r="D702" t="s">
        <v>1441</v>
      </c>
      <c r="E702" t="s">
        <v>977</v>
      </c>
      <c r="F702" t="s">
        <v>967</v>
      </c>
      <c r="G702" t="s">
        <v>968</v>
      </c>
      <c r="H702" t="s">
        <v>2390</v>
      </c>
      <c r="I702" t="s">
        <v>970</v>
      </c>
      <c r="J702" t="s">
        <v>971</v>
      </c>
      <c r="K702" t="s">
        <v>972</v>
      </c>
      <c r="L702">
        <v>237.28</v>
      </c>
      <c r="M702">
        <f t="shared" si="10"/>
        <v>57994.77</v>
      </c>
    </row>
    <row r="703" spans="1:13" x14ac:dyDescent="0.25">
      <c r="A703" t="s">
        <v>226</v>
      </c>
      <c r="B703" t="s">
        <v>2506</v>
      </c>
      <c r="C703" t="s">
        <v>988</v>
      </c>
      <c r="D703" t="s">
        <v>1441</v>
      </c>
      <c r="E703" t="s">
        <v>977</v>
      </c>
      <c r="F703" t="s">
        <v>967</v>
      </c>
      <c r="G703" t="s">
        <v>968</v>
      </c>
      <c r="H703" t="s">
        <v>2390</v>
      </c>
      <c r="I703" t="s">
        <v>970</v>
      </c>
      <c r="J703" t="s">
        <v>971</v>
      </c>
      <c r="K703" t="s">
        <v>972</v>
      </c>
      <c r="L703">
        <v>237.28</v>
      </c>
      <c r="M703">
        <f t="shared" si="10"/>
        <v>57994.77</v>
      </c>
    </row>
    <row r="704" spans="1:13" x14ac:dyDescent="0.25">
      <c r="A704" t="s">
        <v>15</v>
      </c>
      <c r="B704" t="s">
        <v>2507</v>
      </c>
      <c r="C704" t="s">
        <v>988</v>
      </c>
      <c r="D704" t="s">
        <v>1441</v>
      </c>
      <c r="E704" t="s">
        <v>977</v>
      </c>
      <c r="F704" t="s">
        <v>967</v>
      </c>
      <c r="G704" t="s">
        <v>968</v>
      </c>
      <c r="H704" t="s">
        <v>2390</v>
      </c>
      <c r="I704" t="s">
        <v>970</v>
      </c>
      <c r="J704" t="s">
        <v>971</v>
      </c>
      <c r="K704" t="s">
        <v>972</v>
      </c>
      <c r="L704">
        <v>236.89</v>
      </c>
      <c r="M704">
        <f t="shared" si="10"/>
        <v>57994.77</v>
      </c>
    </row>
    <row r="705" spans="1:13" x14ac:dyDescent="0.25">
      <c r="A705" t="s">
        <v>15</v>
      </c>
      <c r="B705" t="s">
        <v>2508</v>
      </c>
      <c r="C705" t="s">
        <v>988</v>
      </c>
      <c r="D705" t="s">
        <v>1441</v>
      </c>
      <c r="E705" t="s">
        <v>977</v>
      </c>
      <c r="F705" t="s">
        <v>967</v>
      </c>
      <c r="G705" t="s">
        <v>968</v>
      </c>
      <c r="H705" t="s">
        <v>2390</v>
      </c>
      <c r="I705" t="s">
        <v>970</v>
      </c>
      <c r="J705" t="s">
        <v>971</v>
      </c>
      <c r="K705" t="s">
        <v>972</v>
      </c>
      <c r="L705">
        <v>236.89</v>
      </c>
      <c r="M705">
        <f t="shared" si="10"/>
        <v>57994.77</v>
      </c>
    </row>
    <row r="706" spans="1:13" x14ac:dyDescent="0.25">
      <c r="A706" t="s">
        <v>15</v>
      </c>
      <c r="B706" t="s">
        <v>2509</v>
      </c>
      <c r="C706" t="s">
        <v>988</v>
      </c>
      <c r="D706" t="s">
        <v>1441</v>
      </c>
      <c r="E706" t="s">
        <v>977</v>
      </c>
      <c r="F706" t="s">
        <v>967</v>
      </c>
      <c r="G706" t="s">
        <v>968</v>
      </c>
      <c r="H706" t="s">
        <v>2390</v>
      </c>
      <c r="I706" t="s">
        <v>970</v>
      </c>
      <c r="J706" t="s">
        <v>971</v>
      </c>
      <c r="K706" t="s">
        <v>972</v>
      </c>
      <c r="L706">
        <v>236.89</v>
      </c>
      <c r="M706">
        <f t="shared" si="10"/>
        <v>57994.77</v>
      </c>
    </row>
    <row r="707" spans="1:13" x14ac:dyDescent="0.25">
      <c r="A707" t="s">
        <v>177</v>
      </c>
      <c r="B707" t="s">
        <v>2526</v>
      </c>
      <c r="C707" t="s">
        <v>988</v>
      </c>
      <c r="D707" t="s">
        <v>1396</v>
      </c>
      <c r="E707" t="s">
        <v>977</v>
      </c>
      <c r="F707" t="s">
        <v>967</v>
      </c>
      <c r="G707" t="s">
        <v>968</v>
      </c>
      <c r="H707" t="s">
        <v>2390</v>
      </c>
      <c r="I707" t="s">
        <v>970</v>
      </c>
      <c r="J707" t="s">
        <v>971</v>
      </c>
      <c r="K707" t="s">
        <v>972</v>
      </c>
      <c r="L707">
        <v>65.209999999999994</v>
      </c>
      <c r="M707">
        <f t="shared" ref="M707:M770" si="11">+SUMIF(A:A,A707,L:L)</f>
        <v>57994.77</v>
      </c>
    </row>
    <row r="708" spans="1:13" x14ac:dyDescent="0.25">
      <c r="A708" t="s">
        <v>865</v>
      </c>
      <c r="B708" t="s">
        <v>1562</v>
      </c>
      <c r="C708" t="s">
        <v>975</v>
      </c>
      <c r="D708" t="s">
        <v>1441</v>
      </c>
      <c r="E708" t="s">
        <v>977</v>
      </c>
      <c r="F708" t="s">
        <v>967</v>
      </c>
      <c r="G708" t="s">
        <v>968</v>
      </c>
      <c r="H708" t="s">
        <v>969</v>
      </c>
      <c r="I708" t="s">
        <v>970</v>
      </c>
      <c r="J708" t="s">
        <v>971</v>
      </c>
      <c r="K708" t="s">
        <v>972</v>
      </c>
      <c r="L708">
        <v>28107.439999999999</v>
      </c>
      <c r="M708">
        <f t="shared" si="11"/>
        <v>186054.18</v>
      </c>
    </row>
    <row r="709" spans="1:13" x14ac:dyDescent="0.25">
      <c r="A709" t="s">
        <v>296</v>
      </c>
      <c r="B709" t="s">
        <v>1561</v>
      </c>
      <c r="C709" t="s">
        <v>975</v>
      </c>
      <c r="D709" t="s">
        <v>1441</v>
      </c>
      <c r="E709" t="s">
        <v>977</v>
      </c>
      <c r="F709" t="s">
        <v>967</v>
      </c>
      <c r="G709" t="s">
        <v>968</v>
      </c>
      <c r="H709" t="s">
        <v>969</v>
      </c>
      <c r="I709" t="s">
        <v>970</v>
      </c>
      <c r="J709" t="s">
        <v>971</v>
      </c>
      <c r="K709" t="s">
        <v>972</v>
      </c>
      <c r="L709">
        <v>28107.439999999999</v>
      </c>
      <c r="M709">
        <f t="shared" si="11"/>
        <v>186054.18</v>
      </c>
    </row>
    <row r="710" spans="1:13" x14ac:dyDescent="0.25">
      <c r="A710" t="s">
        <v>307</v>
      </c>
      <c r="B710" t="s">
        <v>2380</v>
      </c>
      <c r="C710" t="s">
        <v>988</v>
      </c>
      <c r="D710" t="s">
        <v>1477</v>
      </c>
      <c r="E710" t="s">
        <v>980</v>
      </c>
      <c r="F710" t="s">
        <v>967</v>
      </c>
      <c r="G710" t="s">
        <v>968</v>
      </c>
      <c r="H710" t="s">
        <v>969</v>
      </c>
      <c r="I710" t="s">
        <v>970</v>
      </c>
      <c r="J710" t="s">
        <v>971</v>
      </c>
      <c r="K710" t="s">
        <v>972</v>
      </c>
      <c r="L710">
        <v>949.03</v>
      </c>
      <c r="M710">
        <f t="shared" si="11"/>
        <v>186054.18</v>
      </c>
    </row>
    <row r="711" spans="1:13" x14ac:dyDescent="0.25">
      <c r="A711" t="s">
        <v>307</v>
      </c>
      <c r="B711" t="s">
        <v>2381</v>
      </c>
      <c r="C711" t="s">
        <v>988</v>
      </c>
      <c r="D711" t="s">
        <v>1477</v>
      </c>
      <c r="E711" t="s">
        <v>980</v>
      </c>
      <c r="F711" t="s">
        <v>967</v>
      </c>
      <c r="G711" t="s">
        <v>968</v>
      </c>
      <c r="H711" t="s">
        <v>969</v>
      </c>
      <c r="I711" t="s">
        <v>970</v>
      </c>
      <c r="J711" t="s">
        <v>971</v>
      </c>
      <c r="K711" t="s">
        <v>972</v>
      </c>
      <c r="L711">
        <v>949.03</v>
      </c>
      <c r="M711">
        <f t="shared" si="11"/>
        <v>186054.18</v>
      </c>
    </row>
    <row r="712" spans="1:13" x14ac:dyDescent="0.25">
      <c r="A712" t="s">
        <v>754</v>
      </c>
      <c r="B712" t="s">
        <v>1627</v>
      </c>
      <c r="C712" t="s">
        <v>975</v>
      </c>
      <c r="D712" t="s">
        <v>1628</v>
      </c>
      <c r="E712" t="s">
        <v>966</v>
      </c>
      <c r="F712" t="s">
        <v>967</v>
      </c>
      <c r="G712" t="s">
        <v>968</v>
      </c>
      <c r="H712" t="s">
        <v>969</v>
      </c>
      <c r="I712" t="s">
        <v>970</v>
      </c>
      <c r="J712" t="s">
        <v>971</v>
      </c>
      <c r="K712" t="s">
        <v>972</v>
      </c>
      <c r="L712">
        <v>24925.119999999999</v>
      </c>
      <c r="M712">
        <f t="shared" si="11"/>
        <v>186054.18</v>
      </c>
    </row>
    <row r="713" spans="1:13" x14ac:dyDescent="0.25">
      <c r="A713" t="s">
        <v>754</v>
      </c>
      <c r="B713" t="s">
        <v>1629</v>
      </c>
      <c r="C713" t="s">
        <v>975</v>
      </c>
      <c r="D713" t="s">
        <v>1628</v>
      </c>
      <c r="E713" t="s">
        <v>966</v>
      </c>
      <c r="F713" t="s">
        <v>967</v>
      </c>
      <c r="G713" t="s">
        <v>968</v>
      </c>
      <c r="H713" t="s">
        <v>969</v>
      </c>
      <c r="I713" t="s">
        <v>970</v>
      </c>
      <c r="J713" t="s">
        <v>971</v>
      </c>
      <c r="K713" t="s">
        <v>972</v>
      </c>
      <c r="L713">
        <v>24925.119999999999</v>
      </c>
      <c r="M713">
        <f t="shared" si="11"/>
        <v>186054.18</v>
      </c>
    </row>
    <row r="714" spans="1:13" x14ac:dyDescent="0.25">
      <c r="A714" t="s">
        <v>754</v>
      </c>
      <c r="B714" t="s">
        <v>1630</v>
      </c>
      <c r="C714" t="s">
        <v>975</v>
      </c>
      <c r="D714" t="s">
        <v>1628</v>
      </c>
      <c r="E714" t="s">
        <v>966</v>
      </c>
      <c r="F714" t="s">
        <v>967</v>
      </c>
      <c r="G714" t="s">
        <v>968</v>
      </c>
      <c r="H714" t="s">
        <v>969</v>
      </c>
      <c r="I714" t="s">
        <v>970</v>
      </c>
      <c r="J714" t="s">
        <v>971</v>
      </c>
      <c r="K714" t="s">
        <v>972</v>
      </c>
      <c r="L714">
        <v>24925.119999999999</v>
      </c>
      <c r="M714">
        <f t="shared" si="11"/>
        <v>186054.18</v>
      </c>
    </row>
    <row r="715" spans="1:13" x14ac:dyDescent="0.25">
      <c r="A715" t="s">
        <v>532</v>
      </c>
      <c r="B715" t="s">
        <v>2525</v>
      </c>
      <c r="C715" t="s">
        <v>988</v>
      </c>
      <c r="D715" t="s">
        <v>1396</v>
      </c>
      <c r="E715" t="s">
        <v>977</v>
      </c>
      <c r="F715" t="s">
        <v>967</v>
      </c>
      <c r="G715" t="s">
        <v>968</v>
      </c>
      <c r="H715" t="s">
        <v>2390</v>
      </c>
      <c r="I715" t="s">
        <v>970</v>
      </c>
      <c r="J715" t="s">
        <v>971</v>
      </c>
      <c r="K715" t="s">
        <v>972</v>
      </c>
      <c r="L715">
        <v>65.209999999999994</v>
      </c>
      <c r="M715">
        <f t="shared" si="11"/>
        <v>186054.18</v>
      </c>
    </row>
    <row r="716" spans="1:13" x14ac:dyDescent="0.25">
      <c r="A716" t="s">
        <v>317</v>
      </c>
      <c r="B716" t="s">
        <v>1697</v>
      </c>
      <c r="C716" t="s">
        <v>975</v>
      </c>
      <c r="D716" t="s">
        <v>1477</v>
      </c>
      <c r="E716" t="s">
        <v>977</v>
      </c>
      <c r="F716" t="s">
        <v>967</v>
      </c>
      <c r="G716" t="s">
        <v>968</v>
      </c>
      <c r="H716" t="s">
        <v>969</v>
      </c>
      <c r="I716" t="s">
        <v>970</v>
      </c>
      <c r="J716" t="s">
        <v>971</v>
      </c>
      <c r="K716" t="s">
        <v>972</v>
      </c>
      <c r="L716">
        <v>20627.61</v>
      </c>
      <c r="M716">
        <f t="shared" si="11"/>
        <v>186054.18</v>
      </c>
    </row>
    <row r="717" spans="1:13" x14ac:dyDescent="0.25">
      <c r="A717" t="s">
        <v>101</v>
      </c>
      <c r="B717" t="s">
        <v>1480</v>
      </c>
      <c r="C717" t="s">
        <v>975</v>
      </c>
      <c r="D717" t="s">
        <v>1477</v>
      </c>
      <c r="E717" t="s">
        <v>1369</v>
      </c>
      <c r="F717" t="s">
        <v>967</v>
      </c>
      <c r="G717" t="s">
        <v>968</v>
      </c>
      <c r="H717" t="s">
        <v>969</v>
      </c>
      <c r="I717" t="s">
        <v>970</v>
      </c>
      <c r="J717" t="s">
        <v>971</v>
      </c>
      <c r="K717" t="s">
        <v>972</v>
      </c>
      <c r="L717">
        <v>32473.06</v>
      </c>
      <c r="M717">
        <f t="shared" si="11"/>
        <v>186054.18</v>
      </c>
    </row>
    <row r="718" spans="1:13" x14ac:dyDescent="0.25">
      <c r="A718" t="s">
        <v>799</v>
      </c>
      <c r="B718" t="s">
        <v>1609</v>
      </c>
      <c r="C718" t="s">
        <v>975</v>
      </c>
      <c r="D718" t="s">
        <v>1477</v>
      </c>
      <c r="E718" t="s">
        <v>977</v>
      </c>
      <c r="F718" t="s">
        <v>967</v>
      </c>
      <c r="G718" t="s">
        <v>968</v>
      </c>
      <c r="H718" t="s">
        <v>969</v>
      </c>
      <c r="I718" t="s">
        <v>970</v>
      </c>
      <c r="J718" t="s">
        <v>971</v>
      </c>
      <c r="K718" t="s">
        <v>972</v>
      </c>
      <c r="L718">
        <v>26034.68</v>
      </c>
      <c r="M718">
        <f t="shared" si="11"/>
        <v>179075.62999999998</v>
      </c>
    </row>
    <row r="719" spans="1:13" x14ac:dyDescent="0.25">
      <c r="A719" t="s">
        <v>707</v>
      </c>
      <c r="B719" t="s">
        <v>1395</v>
      </c>
      <c r="C719" t="s">
        <v>975</v>
      </c>
      <c r="D719" t="s">
        <v>1396</v>
      </c>
      <c r="E719" t="s">
        <v>980</v>
      </c>
      <c r="F719" t="s">
        <v>967</v>
      </c>
      <c r="G719" t="s">
        <v>968</v>
      </c>
      <c r="H719" t="s">
        <v>969</v>
      </c>
      <c r="I719" t="s">
        <v>970</v>
      </c>
      <c r="J719" t="s">
        <v>971</v>
      </c>
      <c r="K719" t="s">
        <v>972</v>
      </c>
      <c r="L719">
        <v>37146.69</v>
      </c>
      <c r="M719">
        <f t="shared" si="11"/>
        <v>179075.62999999998</v>
      </c>
    </row>
    <row r="720" spans="1:13" x14ac:dyDescent="0.25">
      <c r="A720" t="s">
        <v>229</v>
      </c>
      <c r="B720" t="s">
        <v>1713</v>
      </c>
      <c r="C720" t="s">
        <v>964</v>
      </c>
      <c r="D720" t="s">
        <v>1477</v>
      </c>
      <c r="E720" t="s">
        <v>977</v>
      </c>
      <c r="F720" t="s">
        <v>967</v>
      </c>
      <c r="G720" t="s">
        <v>968</v>
      </c>
      <c r="H720" t="s">
        <v>969</v>
      </c>
      <c r="I720" t="s">
        <v>970</v>
      </c>
      <c r="J720" t="s">
        <v>971</v>
      </c>
      <c r="K720" t="s">
        <v>972</v>
      </c>
      <c r="L720">
        <v>19315.71</v>
      </c>
      <c r="M720">
        <f t="shared" si="11"/>
        <v>179075.62999999998</v>
      </c>
    </row>
    <row r="721" spans="1:13" x14ac:dyDescent="0.25">
      <c r="A721" t="s">
        <v>229</v>
      </c>
      <c r="B721" t="s">
        <v>1721</v>
      </c>
      <c r="C721" t="s">
        <v>964</v>
      </c>
      <c r="D721" t="s">
        <v>1477</v>
      </c>
      <c r="E721" t="s">
        <v>977</v>
      </c>
      <c r="F721" t="s">
        <v>967</v>
      </c>
      <c r="G721" t="s">
        <v>968</v>
      </c>
      <c r="H721" t="s">
        <v>969</v>
      </c>
      <c r="I721" t="s">
        <v>970</v>
      </c>
      <c r="J721" t="s">
        <v>971</v>
      </c>
      <c r="K721" t="s">
        <v>972</v>
      </c>
      <c r="L721">
        <v>19315.71</v>
      </c>
      <c r="M721">
        <f t="shared" si="11"/>
        <v>179075.62999999998</v>
      </c>
    </row>
    <row r="722" spans="1:13" x14ac:dyDescent="0.25">
      <c r="A722" t="s">
        <v>59</v>
      </c>
      <c r="B722" t="s">
        <v>1715</v>
      </c>
      <c r="C722" t="s">
        <v>964</v>
      </c>
      <c r="D722" t="s">
        <v>1477</v>
      </c>
      <c r="E722" t="s">
        <v>977</v>
      </c>
      <c r="F722" t="s">
        <v>967</v>
      </c>
      <c r="G722" t="s">
        <v>968</v>
      </c>
      <c r="H722" t="s">
        <v>969</v>
      </c>
      <c r="I722" t="s">
        <v>970</v>
      </c>
      <c r="J722" t="s">
        <v>971</v>
      </c>
      <c r="K722" t="s">
        <v>972</v>
      </c>
      <c r="L722">
        <v>19315.71</v>
      </c>
      <c r="M722">
        <f t="shared" si="11"/>
        <v>179075.62999999998</v>
      </c>
    </row>
    <row r="723" spans="1:13" x14ac:dyDescent="0.25">
      <c r="A723" t="s">
        <v>59</v>
      </c>
      <c r="B723" t="s">
        <v>1716</v>
      </c>
      <c r="C723" t="s">
        <v>964</v>
      </c>
      <c r="D723" t="s">
        <v>1477</v>
      </c>
      <c r="E723" t="s">
        <v>977</v>
      </c>
      <c r="F723" t="s">
        <v>967</v>
      </c>
      <c r="G723" t="s">
        <v>968</v>
      </c>
      <c r="H723" t="s">
        <v>969</v>
      </c>
      <c r="I723" t="s">
        <v>970</v>
      </c>
      <c r="J723" t="s">
        <v>971</v>
      </c>
      <c r="K723" t="s">
        <v>972</v>
      </c>
      <c r="L723">
        <v>19315.71</v>
      </c>
      <c r="M723">
        <f t="shared" si="11"/>
        <v>179075.62999999998</v>
      </c>
    </row>
    <row r="724" spans="1:13" x14ac:dyDescent="0.25">
      <c r="A724" t="s">
        <v>830</v>
      </c>
      <c r="B724" t="s">
        <v>1717</v>
      </c>
      <c r="C724" t="s">
        <v>964</v>
      </c>
      <c r="D724" t="s">
        <v>1477</v>
      </c>
      <c r="E724" t="s">
        <v>977</v>
      </c>
      <c r="F724" t="s">
        <v>967</v>
      </c>
      <c r="G724" t="s">
        <v>968</v>
      </c>
      <c r="H724" t="s">
        <v>969</v>
      </c>
      <c r="I724" t="s">
        <v>970</v>
      </c>
      <c r="J724" t="s">
        <v>971</v>
      </c>
      <c r="K724" t="s">
        <v>972</v>
      </c>
      <c r="L724">
        <v>19315.71</v>
      </c>
      <c r="M724">
        <f t="shared" si="11"/>
        <v>179075.62999999998</v>
      </c>
    </row>
    <row r="725" spans="1:13" x14ac:dyDescent="0.25">
      <c r="A725" t="s">
        <v>830</v>
      </c>
      <c r="B725" t="s">
        <v>1719</v>
      </c>
      <c r="C725" t="s">
        <v>964</v>
      </c>
      <c r="D725" t="s">
        <v>1477</v>
      </c>
      <c r="E725" t="s">
        <v>977</v>
      </c>
      <c r="F725" t="s">
        <v>967</v>
      </c>
      <c r="G725" t="s">
        <v>968</v>
      </c>
      <c r="H725" t="s">
        <v>969</v>
      </c>
      <c r="I725" t="s">
        <v>970</v>
      </c>
      <c r="J725" t="s">
        <v>971</v>
      </c>
      <c r="K725" t="s">
        <v>972</v>
      </c>
      <c r="L725">
        <v>19315.71</v>
      </c>
      <c r="M725">
        <f t="shared" si="11"/>
        <v>179075.62999999998</v>
      </c>
    </row>
    <row r="726" spans="1:13" x14ac:dyDescent="0.25">
      <c r="A726" t="s">
        <v>420</v>
      </c>
      <c r="B726" t="s">
        <v>1720</v>
      </c>
      <c r="C726" t="s">
        <v>964</v>
      </c>
      <c r="D726" t="s">
        <v>1477</v>
      </c>
      <c r="E726" t="s">
        <v>977</v>
      </c>
      <c r="F726" t="s">
        <v>967</v>
      </c>
      <c r="G726" t="s">
        <v>968</v>
      </c>
      <c r="H726" t="s">
        <v>969</v>
      </c>
      <c r="I726" t="s">
        <v>970</v>
      </c>
      <c r="J726" t="s">
        <v>971</v>
      </c>
      <c r="K726" t="s">
        <v>972</v>
      </c>
      <c r="L726">
        <v>19315.71</v>
      </c>
      <c r="M726">
        <f t="shared" si="11"/>
        <v>540941.04000000015</v>
      </c>
    </row>
    <row r="727" spans="1:13" x14ac:dyDescent="0.25">
      <c r="A727" t="s">
        <v>420</v>
      </c>
      <c r="B727" t="s">
        <v>1722</v>
      </c>
      <c r="C727" t="s">
        <v>964</v>
      </c>
      <c r="D727" t="s">
        <v>1477</v>
      </c>
      <c r="E727" t="s">
        <v>977</v>
      </c>
      <c r="F727" t="s">
        <v>967</v>
      </c>
      <c r="G727" t="s">
        <v>968</v>
      </c>
      <c r="H727" t="s">
        <v>969</v>
      </c>
      <c r="I727" t="s">
        <v>970</v>
      </c>
      <c r="J727" t="s">
        <v>971</v>
      </c>
      <c r="K727" t="s">
        <v>972</v>
      </c>
      <c r="L727">
        <v>19315.71</v>
      </c>
      <c r="M727">
        <f t="shared" si="11"/>
        <v>540941.04000000015</v>
      </c>
    </row>
    <row r="728" spans="1:13" x14ac:dyDescent="0.25">
      <c r="A728" t="s">
        <v>926</v>
      </c>
      <c r="B728" t="s">
        <v>1714</v>
      </c>
      <c r="C728" t="s">
        <v>964</v>
      </c>
      <c r="D728" t="s">
        <v>1477</v>
      </c>
      <c r="E728" t="s">
        <v>977</v>
      </c>
      <c r="F728" t="s">
        <v>967</v>
      </c>
      <c r="G728" t="s">
        <v>968</v>
      </c>
      <c r="H728" t="s">
        <v>969</v>
      </c>
      <c r="I728" t="s">
        <v>970</v>
      </c>
      <c r="J728" t="s">
        <v>971</v>
      </c>
      <c r="K728" t="s">
        <v>972</v>
      </c>
      <c r="L728">
        <v>19315.71</v>
      </c>
      <c r="M728">
        <f t="shared" si="11"/>
        <v>540941.04000000015</v>
      </c>
    </row>
    <row r="729" spans="1:13" x14ac:dyDescent="0.25">
      <c r="A729" t="s">
        <v>926</v>
      </c>
      <c r="B729" t="s">
        <v>1718</v>
      </c>
      <c r="C729" t="s">
        <v>964</v>
      </c>
      <c r="D729" t="s">
        <v>1477</v>
      </c>
      <c r="E729" t="s">
        <v>977</v>
      </c>
      <c r="F729" t="s">
        <v>967</v>
      </c>
      <c r="G729" t="s">
        <v>968</v>
      </c>
      <c r="H729" t="s">
        <v>969</v>
      </c>
      <c r="I729" t="s">
        <v>970</v>
      </c>
      <c r="J729" t="s">
        <v>971</v>
      </c>
      <c r="K729" t="s">
        <v>972</v>
      </c>
      <c r="L729">
        <v>19315.71</v>
      </c>
      <c r="M729">
        <f t="shared" si="11"/>
        <v>540941.04000000015</v>
      </c>
    </row>
    <row r="730" spans="1:13" x14ac:dyDescent="0.25">
      <c r="A730" t="s">
        <v>713</v>
      </c>
      <c r="B730" t="s">
        <v>1631</v>
      </c>
      <c r="C730" t="s">
        <v>975</v>
      </c>
      <c r="D730" t="s">
        <v>1477</v>
      </c>
      <c r="E730" t="s">
        <v>977</v>
      </c>
      <c r="F730" t="s">
        <v>967</v>
      </c>
      <c r="G730" t="s">
        <v>968</v>
      </c>
      <c r="H730" t="s">
        <v>969</v>
      </c>
      <c r="I730" t="s">
        <v>970</v>
      </c>
      <c r="J730" t="s">
        <v>971</v>
      </c>
      <c r="K730" t="s">
        <v>972</v>
      </c>
      <c r="L730">
        <v>24462.92</v>
      </c>
      <c r="M730">
        <f t="shared" si="11"/>
        <v>540941.04000000015</v>
      </c>
    </row>
    <row r="731" spans="1:13" x14ac:dyDescent="0.25">
      <c r="A731" t="s">
        <v>556</v>
      </c>
      <c r="B731" t="s">
        <v>1536</v>
      </c>
      <c r="C731" t="s">
        <v>975</v>
      </c>
      <c r="D731" t="s">
        <v>1483</v>
      </c>
      <c r="E731" t="s">
        <v>977</v>
      </c>
      <c r="F731" t="s">
        <v>967</v>
      </c>
      <c r="G731" t="s">
        <v>968</v>
      </c>
      <c r="H731" t="s">
        <v>969</v>
      </c>
      <c r="I731" t="s">
        <v>970</v>
      </c>
      <c r="J731" t="s">
        <v>971</v>
      </c>
      <c r="K731" t="s">
        <v>972</v>
      </c>
      <c r="L731">
        <v>29929.97</v>
      </c>
      <c r="M731">
        <f t="shared" si="11"/>
        <v>540941.04000000015</v>
      </c>
    </row>
    <row r="732" spans="1:13" x14ac:dyDescent="0.25">
      <c r="A732" t="s">
        <v>253</v>
      </c>
      <c r="B732" t="s">
        <v>1544</v>
      </c>
      <c r="C732" t="s">
        <v>975</v>
      </c>
      <c r="D732" t="s">
        <v>1477</v>
      </c>
      <c r="E732" t="s">
        <v>980</v>
      </c>
      <c r="F732" t="s">
        <v>967</v>
      </c>
      <c r="G732" t="s">
        <v>968</v>
      </c>
      <c r="H732" t="s">
        <v>969</v>
      </c>
      <c r="I732" t="s">
        <v>970</v>
      </c>
      <c r="J732" t="s">
        <v>971</v>
      </c>
      <c r="K732" t="s">
        <v>972</v>
      </c>
      <c r="L732">
        <v>29083.71</v>
      </c>
      <c r="M732">
        <f t="shared" si="11"/>
        <v>540941.04000000015</v>
      </c>
    </row>
    <row r="733" spans="1:13" x14ac:dyDescent="0.25">
      <c r="A733" t="s">
        <v>217</v>
      </c>
      <c r="B733" t="s">
        <v>2378</v>
      </c>
      <c r="C733" t="s">
        <v>988</v>
      </c>
      <c r="D733" t="s">
        <v>1477</v>
      </c>
      <c r="E733" t="s">
        <v>980</v>
      </c>
      <c r="F733" t="s">
        <v>967</v>
      </c>
      <c r="G733" t="s">
        <v>968</v>
      </c>
      <c r="H733" t="s">
        <v>969</v>
      </c>
      <c r="I733" t="s">
        <v>970</v>
      </c>
      <c r="J733" t="s">
        <v>971</v>
      </c>
      <c r="K733" t="s">
        <v>972</v>
      </c>
      <c r="L733">
        <v>950.04</v>
      </c>
      <c r="M733">
        <f t="shared" si="11"/>
        <v>540941.04000000015</v>
      </c>
    </row>
    <row r="734" spans="1:13" x14ac:dyDescent="0.25">
      <c r="A734" t="s">
        <v>217</v>
      </c>
      <c r="B734" t="s">
        <v>2379</v>
      </c>
      <c r="C734" t="s">
        <v>988</v>
      </c>
      <c r="D734" t="s">
        <v>1477</v>
      </c>
      <c r="E734" t="s">
        <v>980</v>
      </c>
      <c r="F734" t="s">
        <v>967</v>
      </c>
      <c r="G734" t="s">
        <v>968</v>
      </c>
      <c r="H734" t="s">
        <v>969</v>
      </c>
      <c r="I734" t="s">
        <v>970</v>
      </c>
      <c r="J734" t="s">
        <v>971</v>
      </c>
      <c r="K734" t="s">
        <v>972</v>
      </c>
      <c r="L734">
        <v>950.04</v>
      </c>
      <c r="M734">
        <f t="shared" si="11"/>
        <v>540941.04000000015</v>
      </c>
    </row>
    <row r="735" spans="1:13" x14ac:dyDescent="0.25">
      <c r="A735" t="s">
        <v>858</v>
      </c>
      <c r="B735" t="s">
        <v>1462</v>
      </c>
      <c r="C735" t="s">
        <v>975</v>
      </c>
      <c r="D735" t="s">
        <v>1396</v>
      </c>
      <c r="E735" t="s">
        <v>966</v>
      </c>
      <c r="F735" t="s">
        <v>967</v>
      </c>
      <c r="G735" t="s">
        <v>968</v>
      </c>
      <c r="H735" t="s">
        <v>969</v>
      </c>
      <c r="I735" t="s">
        <v>970</v>
      </c>
      <c r="J735" t="s">
        <v>971</v>
      </c>
      <c r="K735" t="s">
        <v>972</v>
      </c>
      <c r="L735">
        <v>33008.28</v>
      </c>
      <c r="M735">
        <f t="shared" si="11"/>
        <v>540941.04000000015</v>
      </c>
    </row>
    <row r="736" spans="1:13" x14ac:dyDescent="0.25">
      <c r="A736" t="s">
        <v>858</v>
      </c>
      <c r="B736" t="s">
        <v>1463</v>
      </c>
      <c r="C736" t="s">
        <v>975</v>
      </c>
      <c r="D736" t="s">
        <v>1396</v>
      </c>
      <c r="E736" t="s">
        <v>966</v>
      </c>
      <c r="F736" t="s">
        <v>967</v>
      </c>
      <c r="G736" t="s">
        <v>968</v>
      </c>
      <c r="H736" t="s">
        <v>969</v>
      </c>
      <c r="I736" t="s">
        <v>970</v>
      </c>
      <c r="J736" t="s">
        <v>971</v>
      </c>
      <c r="K736" t="s">
        <v>972</v>
      </c>
      <c r="L736">
        <v>33008.28</v>
      </c>
      <c r="M736">
        <f t="shared" si="11"/>
        <v>540941.04000000015</v>
      </c>
    </row>
    <row r="737" spans="1:13" x14ac:dyDescent="0.25">
      <c r="A737" t="s">
        <v>858</v>
      </c>
      <c r="B737" t="s">
        <v>1464</v>
      </c>
      <c r="C737" t="s">
        <v>975</v>
      </c>
      <c r="D737" t="s">
        <v>1396</v>
      </c>
      <c r="E737" t="s">
        <v>966</v>
      </c>
      <c r="F737" t="s">
        <v>967</v>
      </c>
      <c r="G737" t="s">
        <v>968</v>
      </c>
      <c r="H737" t="s">
        <v>969</v>
      </c>
      <c r="I737" t="s">
        <v>970</v>
      </c>
      <c r="J737" t="s">
        <v>971</v>
      </c>
      <c r="K737" t="s">
        <v>972</v>
      </c>
      <c r="L737">
        <v>33008.28</v>
      </c>
      <c r="M737">
        <f t="shared" si="11"/>
        <v>540941.04000000015</v>
      </c>
    </row>
    <row r="738" spans="1:13" x14ac:dyDescent="0.25">
      <c r="A738" t="s">
        <v>858</v>
      </c>
      <c r="B738" t="s">
        <v>1465</v>
      </c>
      <c r="C738" t="s">
        <v>975</v>
      </c>
      <c r="D738" t="s">
        <v>1396</v>
      </c>
      <c r="E738" t="s">
        <v>966</v>
      </c>
      <c r="F738" t="s">
        <v>967</v>
      </c>
      <c r="G738" t="s">
        <v>968</v>
      </c>
      <c r="H738" t="s">
        <v>969</v>
      </c>
      <c r="I738" t="s">
        <v>970</v>
      </c>
      <c r="J738" t="s">
        <v>971</v>
      </c>
      <c r="K738" t="s">
        <v>972</v>
      </c>
      <c r="L738">
        <v>33008.28</v>
      </c>
      <c r="M738">
        <f t="shared" si="11"/>
        <v>540941.04000000015</v>
      </c>
    </row>
    <row r="739" spans="1:13" x14ac:dyDescent="0.25">
      <c r="A739" t="s">
        <v>858</v>
      </c>
      <c r="B739" t="s">
        <v>1466</v>
      </c>
      <c r="C739" t="s">
        <v>975</v>
      </c>
      <c r="D739" t="s">
        <v>1396</v>
      </c>
      <c r="E739" t="s">
        <v>966</v>
      </c>
      <c r="F739" t="s">
        <v>967</v>
      </c>
      <c r="G739" t="s">
        <v>968</v>
      </c>
      <c r="H739" t="s">
        <v>969</v>
      </c>
      <c r="I739" t="s">
        <v>970</v>
      </c>
      <c r="J739" t="s">
        <v>971</v>
      </c>
      <c r="K739" t="s">
        <v>972</v>
      </c>
      <c r="L739">
        <v>33008.28</v>
      </c>
      <c r="M739">
        <f t="shared" si="11"/>
        <v>540941.04000000015</v>
      </c>
    </row>
    <row r="740" spans="1:13" x14ac:dyDescent="0.25">
      <c r="A740" t="s">
        <v>858</v>
      </c>
      <c r="B740" t="s">
        <v>1467</v>
      </c>
      <c r="C740" t="s">
        <v>975</v>
      </c>
      <c r="D740" t="s">
        <v>1396</v>
      </c>
      <c r="E740" t="s">
        <v>966</v>
      </c>
      <c r="F740" t="s">
        <v>967</v>
      </c>
      <c r="G740" t="s">
        <v>968</v>
      </c>
      <c r="H740" t="s">
        <v>969</v>
      </c>
      <c r="I740" t="s">
        <v>970</v>
      </c>
      <c r="J740" t="s">
        <v>971</v>
      </c>
      <c r="K740" t="s">
        <v>972</v>
      </c>
      <c r="L740">
        <v>33008.28</v>
      </c>
      <c r="M740">
        <f t="shared" si="11"/>
        <v>540941.04000000015</v>
      </c>
    </row>
    <row r="741" spans="1:13" x14ac:dyDescent="0.25">
      <c r="A741" t="s">
        <v>858</v>
      </c>
      <c r="B741" t="s">
        <v>1468</v>
      </c>
      <c r="C741" t="s">
        <v>975</v>
      </c>
      <c r="D741" t="s">
        <v>1396</v>
      </c>
      <c r="E741" t="s">
        <v>966</v>
      </c>
      <c r="F741" t="s">
        <v>967</v>
      </c>
      <c r="G741" t="s">
        <v>968</v>
      </c>
      <c r="H741" t="s">
        <v>969</v>
      </c>
      <c r="I741" t="s">
        <v>970</v>
      </c>
      <c r="J741" t="s">
        <v>971</v>
      </c>
      <c r="K741" t="s">
        <v>972</v>
      </c>
      <c r="L741">
        <v>33008.28</v>
      </c>
      <c r="M741">
        <f t="shared" si="11"/>
        <v>540941.04000000015</v>
      </c>
    </row>
    <row r="742" spans="1:13" x14ac:dyDescent="0.25">
      <c r="A742" t="s">
        <v>858</v>
      </c>
      <c r="B742" t="s">
        <v>1469</v>
      </c>
      <c r="C742" t="s">
        <v>975</v>
      </c>
      <c r="D742" t="s">
        <v>1396</v>
      </c>
      <c r="E742" t="s">
        <v>966</v>
      </c>
      <c r="F742" t="s">
        <v>967</v>
      </c>
      <c r="G742" t="s">
        <v>968</v>
      </c>
      <c r="H742" t="s">
        <v>969</v>
      </c>
      <c r="I742" t="s">
        <v>970</v>
      </c>
      <c r="J742" t="s">
        <v>971</v>
      </c>
      <c r="K742" t="s">
        <v>972</v>
      </c>
      <c r="L742">
        <v>33008.28</v>
      </c>
      <c r="M742">
        <f t="shared" si="11"/>
        <v>540941.04000000015</v>
      </c>
    </row>
    <row r="743" spans="1:13" x14ac:dyDescent="0.25">
      <c r="A743" t="s">
        <v>858</v>
      </c>
      <c r="B743" t="s">
        <v>1470</v>
      </c>
      <c r="C743" t="s">
        <v>975</v>
      </c>
      <c r="D743" t="s">
        <v>1396</v>
      </c>
      <c r="E743" t="s">
        <v>966</v>
      </c>
      <c r="F743" t="s">
        <v>967</v>
      </c>
      <c r="G743" t="s">
        <v>968</v>
      </c>
      <c r="H743" t="s">
        <v>969</v>
      </c>
      <c r="I743" t="s">
        <v>970</v>
      </c>
      <c r="J743" t="s">
        <v>971</v>
      </c>
      <c r="K743" t="s">
        <v>972</v>
      </c>
      <c r="L743">
        <v>33008.28</v>
      </c>
      <c r="M743">
        <f t="shared" si="11"/>
        <v>540941.04000000015</v>
      </c>
    </row>
    <row r="744" spans="1:13" x14ac:dyDescent="0.25">
      <c r="A744" t="s">
        <v>858</v>
      </c>
      <c r="B744" t="s">
        <v>1471</v>
      </c>
      <c r="C744" t="s">
        <v>975</v>
      </c>
      <c r="D744" t="s">
        <v>1396</v>
      </c>
      <c r="E744" t="s">
        <v>966</v>
      </c>
      <c r="F744" t="s">
        <v>967</v>
      </c>
      <c r="G744" t="s">
        <v>968</v>
      </c>
      <c r="H744" t="s">
        <v>969</v>
      </c>
      <c r="I744" t="s">
        <v>970</v>
      </c>
      <c r="J744" t="s">
        <v>971</v>
      </c>
      <c r="K744" t="s">
        <v>972</v>
      </c>
      <c r="L744">
        <v>33008.28</v>
      </c>
      <c r="M744">
        <f t="shared" si="11"/>
        <v>540941.04000000015</v>
      </c>
    </row>
    <row r="745" spans="1:13" x14ac:dyDescent="0.25">
      <c r="A745" t="s">
        <v>362</v>
      </c>
      <c r="B745" t="s">
        <v>1639</v>
      </c>
      <c r="C745" t="s">
        <v>975</v>
      </c>
      <c r="D745" t="s">
        <v>1396</v>
      </c>
      <c r="E745" t="s">
        <v>977</v>
      </c>
      <c r="F745" t="s">
        <v>967</v>
      </c>
      <c r="G745" t="s">
        <v>968</v>
      </c>
      <c r="H745" t="s">
        <v>969</v>
      </c>
      <c r="I745" t="s">
        <v>970</v>
      </c>
      <c r="J745" t="s">
        <v>971</v>
      </c>
      <c r="K745" t="s">
        <v>972</v>
      </c>
      <c r="L745">
        <v>24109.54</v>
      </c>
      <c r="M745">
        <f t="shared" si="11"/>
        <v>540941.04000000015</v>
      </c>
    </row>
    <row r="746" spans="1:13" x14ac:dyDescent="0.25">
      <c r="A746" t="s">
        <v>255</v>
      </c>
      <c r="B746" t="s">
        <v>1640</v>
      </c>
      <c r="C746" t="s">
        <v>964</v>
      </c>
      <c r="D746" t="s">
        <v>1396</v>
      </c>
      <c r="E746" t="s">
        <v>977</v>
      </c>
      <c r="F746" t="s">
        <v>967</v>
      </c>
      <c r="G746" t="s">
        <v>968</v>
      </c>
      <c r="H746" t="s">
        <v>969</v>
      </c>
      <c r="I746" t="s">
        <v>970</v>
      </c>
      <c r="J746" t="s">
        <v>971</v>
      </c>
      <c r="K746" t="s">
        <v>972</v>
      </c>
      <c r="L746">
        <v>24109.18</v>
      </c>
      <c r="M746">
        <f t="shared" si="11"/>
        <v>540941.04000000015</v>
      </c>
    </row>
    <row r="747" spans="1:13" x14ac:dyDescent="0.25">
      <c r="A747" t="s">
        <v>196</v>
      </c>
      <c r="B747" t="s">
        <v>1626</v>
      </c>
      <c r="C747" t="s">
        <v>964</v>
      </c>
      <c r="D747" t="s">
        <v>1396</v>
      </c>
      <c r="E747" t="s">
        <v>977</v>
      </c>
      <c r="F747" t="s">
        <v>967</v>
      </c>
      <c r="G747" t="s">
        <v>968</v>
      </c>
      <c r="H747" t="s">
        <v>969</v>
      </c>
      <c r="I747" t="s">
        <v>970</v>
      </c>
      <c r="J747" t="s">
        <v>971</v>
      </c>
      <c r="K747" t="s">
        <v>972</v>
      </c>
      <c r="L747">
        <v>25095.69</v>
      </c>
      <c r="M747">
        <f t="shared" si="11"/>
        <v>54868.5</v>
      </c>
    </row>
    <row r="748" spans="1:13" x14ac:dyDescent="0.25">
      <c r="A748" t="s">
        <v>682</v>
      </c>
      <c r="B748" t="s">
        <v>1538</v>
      </c>
      <c r="C748" t="s">
        <v>975</v>
      </c>
      <c r="D748" t="s">
        <v>1483</v>
      </c>
      <c r="E748" t="s">
        <v>977</v>
      </c>
      <c r="F748" t="s">
        <v>967</v>
      </c>
      <c r="G748" t="s">
        <v>968</v>
      </c>
      <c r="H748" t="s">
        <v>969</v>
      </c>
      <c r="I748" t="s">
        <v>970</v>
      </c>
      <c r="J748" t="s">
        <v>971</v>
      </c>
      <c r="K748" t="s">
        <v>972</v>
      </c>
      <c r="L748">
        <v>29772.81</v>
      </c>
      <c r="M748">
        <f t="shared" si="11"/>
        <v>54868.5</v>
      </c>
    </row>
    <row r="749" spans="1:13" x14ac:dyDescent="0.25">
      <c r="A749" t="s">
        <v>202</v>
      </c>
      <c r="B749" t="s">
        <v>1579</v>
      </c>
      <c r="C749" t="s">
        <v>975</v>
      </c>
      <c r="D749" t="s">
        <v>1485</v>
      </c>
      <c r="E749" t="s">
        <v>977</v>
      </c>
      <c r="F749" t="s">
        <v>967</v>
      </c>
      <c r="G749" t="s">
        <v>968</v>
      </c>
      <c r="H749" t="s">
        <v>969</v>
      </c>
      <c r="I749" t="s">
        <v>970</v>
      </c>
      <c r="J749" t="s">
        <v>971</v>
      </c>
      <c r="K749" t="s">
        <v>972</v>
      </c>
      <c r="L749">
        <v>27768.89</v>
      </c>
      <c r="M749">
        <f t="shared" si="11"/>
        <v>125266.51999999999</v>
      </c>
    </row>
    <row r="750" spans="1:13" x14ac:dyDescent="0.25">
      <c r="A750" t="s">
        <v>193</v>
      </c>
      <c r="B750" t="s">
        <v>1580</v>
      </c>
      <c r="C750" t="s">
        <v>975</v>
      </c>
      <c r="D750" t="s">
        <v>1485</v>
      </c>
      <c r="E750" t="s">
        <v>977</v>
      </c>
      <c r="F750" t="s">
        <v>967</v>
      </c>
      <c r="G750" t="s">
        <v>968</v>
      </c>
      <c r="H750" t="s">
        <v>969</v>
      </c>
      <c r="I750" t="s">
        <v>970</v>
      </c>
      <c r="J750" t="s">
        <v>971</v>
      </c>
      <c r="K750" t="s">
        <v>972</v>
      </c>
      <c r="L750">
        <v>27768.89</v>
      </c>
      <c r="M750">
        <f t="shared" si="11"/>
        <v>125266.51999999999</v>
      </c>
    </row>
    <row r="751" spans="1:13" x14ac:dyDescent="0.25">
      <c r="A751" t="s">
        <v>432</v>
      </c>
      <c r="B751" t="s">
        <v>1861</v>
      </c>
      <c r="C751" t="s">
        <v>975</v>
      </c>
      <c r="D751" t="s">
        <v>1396</v>
      </c>
      <c r="E751" t="s">
        <v>977</v>
      </c>
      <c r="F751" t="s">
        <v>967</v>
      </c>
      <c r="G751" t="s">
        <v>968</v>
      </c>
      <c r="H751" t="s">
        <v>969</v>
      </c>
      <c r="I751" t="s">
        <v>970</v>
      </c>
      <c r="J751" t="s">
        <v>971</v>
      </c>
      <c r="K751" t="s">
        <v>972</v>
      </c>
      <c r="L751">
        <v>13683.2</v>
      </c>
      <c r="M751">
        <f t="shared" si="11"/>
        <v>125266.51999999999</v>
      </c>
    </row>
    <row r="752" spans="1:13" x14ac:dyDescent="0.25">
      <c r="A752" t="s">
        <v>432</v>
      </c>
      <c r="B752" t="s">
        <v>1862</v>
      </c>
      <c r="C752" t="s">
        <v>975</v>
      </c>
      <c r="D752" t="s">
        <v>1396</v>
      </c>
      <c r="E752" t="s">
        <v>977</v>
      </c>
      <c r="F752" t="s">
        <v>967</v>
      </c>
      <c r="G752" t="s">
        <v>968</v>
      </c>
      <c r="H752" t="s">
        <v>969</v>
      </c>
      <c r="I752" t="s">
        <v>970</v>
      </c>
      <c r="J752" t="s">
        <v>971</v>
      </c>
      <c r="K752" t="s">
        <v>972</v>
      </c>
      <c r="L752">
        <v>13683.2</v>
      </c>
      <c r="M752">
        <f t="shared" si="11"/>
        <v>125266.51999999999</v>
      </c>
    </row>
    <row r="753" spans="1:13" x14ac:dyDescent="0.25">
      <c r="A753" t="s">
        <v>432</v>
      </c>
      <c r="B753" t="s">
        <v>1863</v>
      </c>
      <c r="C753" t="s">
        <v>975</v>
      </c>
      <c r="D753" t="s">
        <v>1396</v>
      </c>
      <c r="E753" t="s">
        <v>977</v>
      </c>
      <c r="F753" t="s">
        <v>967</v>
      </c>
      <c r="G753" t="s">
        <v>968</v>
      </c>
      <c r="H753" t="s">
        <v>969</v>
      </c>
      <c r="I753" t="s">
        <v>970</v>
      </c>
      <c r="J753" t="s">
        <v>971</v>
      </c>
      <c r="K753" t="s">
        <v>972</v>
      </c>
      <c r="L753">
        <v>13683.2</v>
      </c>
      <c r="M753">
        <f t="shared" si="11"/>
        <v>125266.51999999999</v>
      </c>
    </row>
    <row r="754" spans="1:13" x14ac:dyDescent="0.25">
      <c r="A754" t="s">
        <v>432</v>
      </c>
      <c r="B754" t="s">
        <v>1864</v>
      </c>
      <c r="C754" t="s">
        <v>975</v>
      </c>
      <c r="D754" t="s">
        <v>1396</v>
      </c>
      <c r="E754" t="s">
        <v>977</v>
      </c>
      <c r="F754" t="s">
        <v>967</v>
      </c>
      <c r="G754" t="s">
        <v>968</v>
      </c>
      <c r="H754" t="s">
        <v>969</v>
      </c>
      <c r="I754" t="s">
        <v>970</v>
      </c>
      <c r="J754" t="s">
        <v>971</v>
      </c>
      <c r="K754" t="s">
        <v>972</v>
      </c>
      <c r="L754">
        <v>13683.2</v>
      </c>
      <c r="M754">
        <f t="shared" si="11"/>
        <v>125266.51999999999</v>
      </c>
    </row>
    <row r="755" spans="1:13" x14ac:dyDescent="0.25">
      <c r="A755" t="s">
        <v>432</v>
      </c>
      <c r="B755" t="s">
        <v>1865</v>
      </c>
      <c r="C755" t="s">
        <v>975</v>
      </c>
      <c r="D755" t="s">
        <v>1396</v>
      </c>
      <c r="E755" t="s">
        <v>977</v>
      </c>
      <c r="F755" t="s">
        <v>967</v>
      </c>
      <c r="G755" t="s">
        <v>968</v>
      </c>
      <c r="H755" t="s">
        <v>969</v>
      </c>
      <c r="I755" t="s">
        <v>970</v>
      </c>
      <c r="J755" t="s">
        <v>971</v>
      </c>
      <c r="K755" t="s">
        <v>972</v>
      </c>
      <c r="L755">
        <v>13683.2</v>
      </c>
      <c r="M755">
        <f t="shared" si="11"/>
        <v>125266.51999999999</v>
      </c>
    </row>
    <row r="756" spans="1:13" x14ac:dyDescent="0.25">
      <c r="A756" t="s">
        <v>198</v>
      </c>
      <c r="B756" t="s">
        <v>2324</v>
      </c>
      <c r="C756" t="s">
        <v>988</v>
      </c>
      <c r="D756" t="s">
        <v>1528</v>
      </c>
      <c r="E756" t="s">
        <v>977</v>
      </c>
      <c r="F756" t="s">
        <v>967</v>
      </c>
      <c r="G756" t="s">
        <v>968</v>
      </c>
      <c r="H756" t="s">
        <v>969</v>
      </c>
      <c r="I756" t="s">
        <v>970</v>
      </c>
      <c r="J756" t="s">
        <v>971</v>
      </c>
      <c r="K756" t="s">
        <v>972</v>
      </c>
      <c r="L756">
        <v>1312.74</v>
      </c>
      <c r="M756">
        <f t="shared" si="11"/>
        <v>125266.51999999999</v>
      </c>
    </row>
    <row r="757" spans="1:13" x14ac:dyDescent="0.25">
      <c r="A757" t="s">
        <v>340</v>
      </c>
      <c r="B757" t="s">
        <v>1551</v>
      </c>
      <c r="C757" t="s">
        <v>975</v>
      </c>
      <c r="D757" t="s">
        <v>1483</v>
      </c>
      <c r="E757" t="s">
        <v>977</v>
      </c>
      <c r="F757" t="s">
        <v>967</v>
      </c>
      <c r="G757" t="s">
        <v>968</v>
      </c>
      <c r="H757" t="s">
        <v>969</v>
      </c>
      <c r="I757" t="s">
        <v>970</v>
      </c>
      <c r="J757" t="s">
        <v>971</v>
      </c>
      <c r="K757" t="s">
        <v>972</v>
      </c>
      <c r="L757">
        <v>28366.35</v>
      </c>
      <c r="M757">
        <f t="shared" si="11"/>
        <v>276862.84999999998</v>
      </c>
    </row>
    <row r="758" spans="1:13" x14ac:dyDescent="0.25">
      <c r="A758" t="s">
        <v>463</v>
      </c>
      <c r="B758" t="s">
        <v>1552</v>
      </c>
      <c r="C758" t="s">
        <v>975</v>
      </c>
      <c r="D758" t="s">
        <v>1483</v>
      </c>
      <c r="E758" t="s">
        <v>977</v>
      </c>
      <c r="F758" t="s">
        <v>967</v>
      </c>
      <c r="G758" t="s">
        <v>968</v>
      </c>
      <c r="H758" t="s">
        <v>969</v>
      </c>
      <c r="I758" t="s">
        <v>970</v>
      </c>
      <c r="J758" t="s">
        <v>971</v>
      </c>
      <c r="K758" t="s">
        <v>972</v>
      </c>
      <c r="L758">
        <v>28366.35</v>
      </c>
      <c r="M758">
        <f t="shared" si="11"/>
        <v>276862.84999999998</v>
      </c>
    </row>
    <row r="759" spans="1:13" x14ac:dyDescent="0.25">
      <c r="A759" t="s">
        <v>263</v>
      </c>
      <c r="B759" t="s">
        <v>1491</v>
      </c>
      <c r="C759" t="s">
        <v>964</v>
      </c>
      <c r="D759" t="s">
        <v>998</v>
      </c>
      <c r="E759" t="s">
        <v>980</v>
      </c>
      <c r="F759" t="s">
        <v>967</v>
      </c>
      <c r="G759" t="s">
        <v>968</v>
      </c>
      <c r="H759" t="s">
        <v>969</v>
      </c>
      <c r="I759" t="s">
        <v>970</v>
      </c>
      <c r="J759" t="s">
        <v>971</v>
      </c>
      <c r="K759" t="s">
        <v>972</v>
      </c>
      <c r="L759">
        <v>31651.53</v>
      </c>
      <c r="M759">
        <f t="shared" si="11"/>
        <v>276862.84999999998</v>
      </c>
    </row>
    <row r="760" spans="1:13" x14ac:dyDescent="0.25">
      <c r="A760" t="s">
        <v>757</v>
      </c>
      <c r="B760" t="s">
        <v>1539</v>
      </c>
      <c r="C760" t="s">
        <v>964</v>
      </c>
      <c r="D760" t="s">
        <v>1483</v>
      </c>
      <c r="E760" t="s">
        <v>977</v>
      </c>
      <c r="F760" t="s">
        <v>967</v>
      </c>
      <c r="G760" t="s">
        <v>968</v>
      </c>
      <c r="H760" t="s">
        <v>969</v>
      </c>
      <c r="I760" t="s">
        <v>970</v>
      </c>
      <c r="J760" t="s">
        <v>971</v>
      </c>
      <c r="K760" t="s">
        <v>972</v>
      </c>
      <c r="L760">
        <v>29772.69</v>
      </c>
      <c r="M760">
        <f t="shared" si="11"/>
        <v>276862.84999999998</v>
      </c>
    </row>
    <row r="761" spans="1:13" x14ac:dyDescent="0.25">
      <c r="A761" t="s">
        <v>837</v>
      </c>
      <c r="B761" t="s">
        <v>1529</v>
      </c>
      <c r="C761" t="s">
        <v>975</v>
      </c>
      <c r="D761" t="s">
        <v>1485</v>
      </c>
      <c r="E761" t="s">
        <v>977</v>
      </c>
      <c r="F761" t="s">
        <v>967</v>
      </c>
      <c r="G761" t="s">
        <v>968</v>
      </c>
      <c r="H761" t="s">
        <v>969</v>
      </c>
      <c r="I761" t="s">
        <v>970</v>
      </c>
      <c r="J761" t="s">
        <v>971</v>
      </c>
      <c r="K761" t="s">
        <v>972</v>
      </c>
      <c r="L761">
        <v>30557.040000000001</v>
      </c>
      <c r="M761">
        <f t="shared" si="11"/>
        <v>276862.84999999998</v>
      </c>
    </row>
    <row r="762" spans="1:13" x14ac:dyDescent="0.25">
      <c r="A762" t="s">
        <v>368</v>
      </c>
      <c r="B762" t="s">
        <v>1482</v>
      </c>
      <c r="C762" t="s">
        <v>975</v>
      </c>
      <c r="D762" t="s">
        <v>1483</v>
      </c>
      <c r="E762" t="s">
        <v>977</v>
      </c>
      <c r="F762" t="s">
        <v>967</v>
      </c>
      <c r="G762" t="s">
        <v>968</v>
      </c>
      <c r="H762" t="s">
        <v>969</v>
      </c>
      <c r="I762" t="s">
        <v>970</v>
      </c>
      <c r="J762" t="s">
        <v>971</v>
      </c>
      <c r="K762" t="s">
        <v>972</v>
      </c>
      <c r="L762">
        <v>32387.51</v>
      </c>
      <c r="M762">
        <f t="shared" si="11"/>
        <v>276862.84999999998</v>
      </c>
    </row>
    <row r="763" spans="1:13" x14ac:dyDescent="0.25">
      <c r="A763" t="s">
        <v>400</v>
      </c>
      <c r="B763" t="s">
        <v>1554</v>
      </c>
      <c r="C763" t="s">
        <v>975</v>
      </c>
      <c r="D763" t="s">
        <v>1485</v>
      </c>
      <c r="E763" t="s">
        <v>966</v>
      </c>
      <c r="F763" t="s">
        <v>967</v>
      </c>
      <c r="G763" t="s">
        <v>968</v>
      </c>
      <c r="H763" t="s">
        <v>969</v>
      </c>
      <c r="I763" t="s">
        <v>970</v>
      </c>
      <c r="J763" t="s">
        <v>971</v>
      </c>
      <c r="K763" t="s">
        <v>972</v>
      </c>
      <c r="L763">
        <v>28318.1</v>
      </c>
      <c r="M763">
        <f t="shared" si="11"/>
        <v>276862.84999999998</v>
      </c>
    </row>
    <row r="764" spans="1:13" x14ac:dyDescent="0.25">
      <c r="A764" t="s">
        <v>605</v>
      </c>
      <c r="B764" t="s">
        <v>1442</v>
      </c>
      <c r="C764" t="s">
        <v>975</v>
      </c>
      <c r="D764" t="s">
        <v>1443</v>
      </c>
      <c r="E764" t="s">
        <v>980</v>
      </c>
      <c r="F764" t="s">
        <v>967</v>
      </c>
      <c r="G764" t="s">
        <v>968</v>
      </c>
      <c r="H764" t="s">
        <v>969</v>
      </c>
      <c r="I764" t="s">
        <v>970</v>
      </c>
      <c r="J764" t="s">
        <v>971</v>
      </c>
      <c r="K764" t="s">
        <v>972</v>
      </c>
      <c r="L764">
        <v>35184.53</v>
      </c>
      <c r="M764">
        <f t="shared" si="11"/>
        <v>276862.84999999998</v>
      </c>
    </row>
    <row r="765" spans="1:13" x14ac:dyDescent="0.25">
      <c r="A765" t="s">
        <v>479</v>
      </c>
      <c r="B765" t="s">
        <v>1484</v>
      </c>
      <c r="C765" t="s">
        <v>975</v>
      </c>
      <c r="D765" t="s">
        <v>1485</v>
      </c>
      <c r="E765" t="s">
        <v>977</v>
      </c>
      <c r="F765" t="s">
        <v>967</v>
      </c>
      <c r="G765" t="s">
        <v>968</v>
      </c>
      <c r="H765" t="s">
        <v>969</v>
      </c>
      <c r="I765" t="s">
        <v>970</v>
      </c>
      <c r="J765" t="s">
        <v>971</v>
      </c>
      <c r="K765" t="s">
        <v>972</v>
      </c>
      <c r="L765">
        <v>32258.75</v>
      </c>
      <c r="M765">
        <f t="shared" si="11"/>
        <v>276862.84999999998</v>
      </c>
    </row>
    <row r="766" spans="1:13" x14ac:dyDescent="0.25">
      <c r="A766" t="s">
        <v>909</v>
      </c>
      <c r="B766" t="s">
        <v>978</v>
      </c>
      <c r="C766" t="s">
        <v>975</v>
      </c>
      <c r="D766" t="s">
        <v>979</v>
      </c>
      <c r="E766" t="s">
        <v>980</v>
      </c>
      <c r="F766" t="s">
        <v>967</v>
      </c>
      <c r="G766" t="s">
        <v>968</v>
      </c>
      <c r="H766" t="s">
        <v>969</v>
      </c>
      <c r="I766" t="s">
        <v>970</v>
      </c>
      <c r="J766" t="s">
        <v>971</v>
      </c>
      <c r="K766" t="s">
        <v>972</v>
      </c>
      <c r="L766">
        <v>35880</v>
      </c>
      <c r="M766">
        <f t="shared" si="11"/>
        <v>273242.76999999996</v>
      </c>
    </row>
    <row r="767" spans="1:13" x14ac:dyDescent="0.25">
      <c r="A767" t="s">
        <v>81</v>
      </c>
      <c r="B767" t="s">
        <v>1574</v>
      </c>
      <c r="C767" t="s">
        <v>975</v>
      </c>
      <c r="D767" t="s">
        <v>1528</v>
      </c>
      <c r="E767" t="s">
        <v>977</v>
      </c>
      <c r="F767" t="s">
        <v>967</v>
      </c>
      <c r="G767" t="s">
        <v>968</v>
      </c>
      <c r="H767" t="s">
        <v>969</v>
      </c>
      <c r="I767" t="s">
        <v>970</v>
      </c>
      <c r="J767" t="s">
        <v>971</v>
      </c>
      <c r="K767" t="s">
        <v>972</v>
      </c>
      <c r="L767">
        <v>27819.64</v>
      </c>
      <c r="M767">
        <f t="shared" si="11"/>
        <v>273242.76999999996</v>
      </c>
    </row>
    <row r="768" spans="1:13" x14ac:dyDescent="0.25">
      <c r="A768" t="s">
        <v>373</v>
      </c>
      <c r="B768" t="s">
        <v>1573</v>
      </c>
      <c r="C768" t="s">
        <v>975</v>
      </c>
      <c r="D768" t="s">
        <v>1528</v>
      </c>
      <c r="E768" t="s">
        <v>977</v>
      </c>
      <c r="F768" t="s">
        <v>967</v>
      </c>
      <c r="G768" t="s">
        <v>968</v>
      </c>
      <c r="H768" t="s">
        <v>969</v>
      </c>
      <c r="I768" t="s">
        <v>970</v>
      </c>
      <c r="J768" t="s">
        <v>971</v>
      </c>
      <c r="K768" t="s">
        <v>972</v>
      </c>
      <c r="L768">
        <v>27819.64</v>
      </c>
      <c r="M768">
        <f t="shared" si="11"/>
        <v>273242.76999999996</v>
      </c>
    </row>
    <row r="769" spans="1:13" x14ac:dyDescent="0.25">
      <c r="A769" t="s">
        <v>808</v>
      </c>
      <c r="B769" t="s">
        <v>997</v>
      </c>
      <c r="C769" t="s">
        <v>975</v>
      </c>
      <c r="D769" t="s">
        <v>998</v>
      </c>
      <c r="E769" t="s">
        <v>977</v>
      </c>
      <c r="F769" t="s">
        <v>967</v>
      </c>
      <c r="G769" t="s">
        <v>968</v>
      </c>
      <c r="H769" t="s">
        <v>969</v>
      </c>
      <c r="I769" t="s">
        <v>970</v>
      </c>
      <c r="J769" t="s">
        <v>971</v>
      </c>
      <c r="K769" t="s">
        <v>972</v>
      </c>
      <c r="L769">
        <v>63291.08</v>
      </c>
      <c r="M769">
        <f t="shared" si="11"/>
        <v>273242.76999999996</v>
      </c>
    </row>
    <row r="770" spans="1:13" x14ac:dyDescent="0.25">
      <c r="A770" t="s">
        <v>48</v>
      </c>
      <c r="B770" t="s">
        <v>1537</v>
      </c>
      <c r="C770" t="s">
        <v>975</v>
      </c>
      <c r="D770" t="s">
        <v>991</v>
      </c>
      <c r="E770" t="s">
        <v>977</v>
      </c>
      <c r="F770" t="s">
        <v>967</v>
      </c>
      <c r="G770" t="s">
        <v>968</v>
      </c>
      <c r="H770" t="s">
        <v>969</v>
      </c>
      <c r="I770" t="s">
        <v>970</v>
      </c>
      <c r="J770" t="s">
        <v>971</v>
      </c>
      <c r="K770" t="s">
        <v>972</v>
      </c>
      <c r="L770">
        <v>29883.06</v>
      </c>
      <c r="M770">
        <f t="shared" si="11"/>
        <v>273242.76999999996</v>
      </c>
    </row>
    <row r="771" spans="1:13" x14ac:dyDescent="0.25">
      <c r="A771" t="s">
        <v>489</v>
      </c>
      <c r="B771" t="s">
        <v>1524</v>
      </c>
      <c r="C771" t="s">
        <v>964</v>
      </c>
      <c r="D771" t="s">
        <v>1525</v>
      </c>
      <c r="E771" t="s">
        <v>977</v>
      </c>
      <c r="F771" t="s">
        <v>967</v>
      </c>
      <c r="G771" t="s">
        <v>968</v>
      </c>
      <c r="H771" t="s">
        <v>969</v>
      </c>
      <c r="I771" t="s">
        <v>970</v>
      </c>
      <c r="J771" t="s">
        <v>971</v>
      </c>
      <c r="K771" t="s">
        <v>972</v>
      </c>
      <c r="L771">
        <v>30775.42</v>
      </c>
      <c r="M771">
        <f t="shared" ref="M771:M834" si="12">+SUMIF(A:A,A771,L:L)</f>
        <v>273242.76999999996</v>
      </c>
    </row>
    <row r="772" spans="1:13" x14ac:dyDescent="0.25">
      <c r="A772" t="s">
        <v>917</v>
      </c>
      <c r="B772" t="s">
        <v>1587</v>
      </c>
      <c r="C772" t="s">
        <v>975</v>
      </c>
      <c r="D772" t="s">
        <v>1528</v>
      </c>
      <c r="E772" t="s">
        <v>980</v>
      </c>
      <c r="F772" t="s">
        <v>967</v>
      </c>
      <c r="G772" t="s">
        <v>968</v>
      </c>
      <c r="H772" t="s">
        <v>969</v>
      </c>
      <c r="I772" t="s">
        <v>970</v>
      </c>
      <c r="J772" t="s">
        <v>971</v>
      </c>
      <c r="K772" t="s">
        <v>972</v>
      </c>
      <c r="L772">
        <v>27213.279999999999</v>
      </c>
      <c r="M772">
        <f t="shared" si="12"/>
        <v>273242.76999999996</v>
      </c>
    </row>
    <row r="773" spans="1:13" x14ac:dyDescent="0.25">
      <c r="A773" t="s">
        <v>711</v>
      </c>
      <c r="B773" t="s">
        <v>1527</v>
      </c>
      <c r="C773" t="s">
        <v>975</v>
      </c>
      <c r="D773" t="s">
        <v>1528</v>
      </c>
      <c r="E773" t="s">
        <v>977</v>
      </c>
      <c r="F773" t="s">
        <v>967</v>
      </c>
      <c r="G773" t="s">
        <v>968</v>
      </c>
      <c r="H773" t="s">
        <v>969</v>
      </c>
      <c r="I773" t="s">
        <v>970</v>
      </c>
      <c r="J773" t="s">
        <v>971</v>
      </c>
      <c r="K773" t="s">
        <v>972</v>
      </c>
      <c r="L773">
        <v>30560.65</v>
      </c>
      <c r="M773">
        <f t="shared" si="12"/>
        <v>273242.76999999996</v>
      </c>
    </row>
    <row r="774" spans="1:13" x14ac:dyDescent="0.25">
      <c r="A774" t="s">
        <v>640</v>
      </c>
      <c r="B774" t="s">
        <v>1545</v>
      </c>
      <c r="C774" t="s">
        <v>975</v>
      </c>
      <c r="D774" t="s">
        <v>991</v>
      </c>
      <c r="E774" t="s">
        <v>980</v>
      </c>
      <c r="F774" t="s">
        <v>967</v>
      </c>
      <c r="G774" t="s">
        <v>968</v>
      </c>
      <c r="H774" t="s">
        <v>969</v>
      </c>
      <c r="I774" t="s">
        <v>970</v>
      </c>
      <c r="J774" t="s">
        <v>971</v>
      </c>
      <c r="K774" t="s">
        <v>972</v>
      </c>
      <c r="L774">
        <v>29029.360000000001</v>
      </c>
      <c r="M774">
        <f t="shared" si="12"/>
        <v>29029.360000000001</v>
      </c>
    </row>
    <row r="775" spans="1:13" x14ac:dyDescent="0.25">
      <c r="A775" t="s">
        <v>13</v>
      </c>
      <c r="B775" t="s">
        <v>2304</v>
      </c>
      <c r="C775" t="s">
        <v>982</v>
      </c>
      <c r="D775" t="s">
        <v>991</v>
      </c>
      <c r="E775" t="s">
        <v>977</v>
      </c>
      <c r="F775" t="s">
        <v>967</v>
      </c>
      <c r="G775" t="s">
        <v>968</v>
      </c>
      <c r="H775" t="s">
        <v>969</v>
      </c>
      <c r="I775" t="s">
        <v>970</v>
      </c>
      <c r="J775" t="s">
        <v>971</v>
      </c>
      <c r="K775" t="s">
        <v>972</v>
      </c>
      <c r="L775">
        <v>1561.41</v>
      </c>
      <c r="M775">
        <f t="shared" si="12"/>
        <v>59388.130000000005</v>
      </c>
    </row>
    <row r="776" spans="1:13" x14ac:dyDescent="0.25">
      <c r="A776" t="s">
        <v>43</v>
      </c>
      <c r="B776" t="s">
        <v>1492</v>
      </c>
      <c r="C776" t="s">
        <v>975</v>
      </c>
      <c r="D776" t="s">
        <v>991</v>
      </c>
      <c r="E776" t="s">
        <v>980</v>
      </c>
      <c r="F776" t="s">
        <v>967</v>
      </c>
      <c r="G776" t="s">
        <v>968</v>
      </c>
      <c r="H776" t="s">
        <v>969</v>
      </c>
      <c r="I776" t="s">
        <v>970</v>
      </c>
      <c r="J776" t="s">
        <v>971</v>
      </c>
      <c r="K776" t="s">
        <v>972</v>
      </c>
      <c r="L776">
        <v>31543.1</v>
      </c>
      <c r="M776">
        <f t="shared" si="12"/>
        <v>59388.130000000005</v>
      </c>
    </row>
    <row r="777" spans="1:13" x14ac:dyDescent="0.25">
      <c r="A777" t="s">
        <v>823</v>
      </c>
      <c r="B777" t="s">
        <v>1601</v>
      </c>
      <c r="C777" t="s">
        <v>964</v>
      </c>
      <c r="D777" t="s">
        <v>998</v>
      </c>
      <c r="E777" t="s">
        <v>980</v>
      </c>
      <c r="F777" t="s">
        <v>967</v>
      </c>
      <c r="G777" t="s">
        <v>968</v>
      </c>
      <c r="H777" t="s">
        <v>969</v>
      </c>
      <c r="I777" t="s">
        <v>970</v>
      </c>
      <c r="J777" t="s">
        <v>971</v>
      </c>
      <c r="K777" t="s">
        <v>972</v>
      </c>
      <c r="L777">
        <v>26283.62</v>
      </c>
      <c r="M777">
        <f t="shared" si="12"/>
        <v>59388.130000000005</v>
      </c>
    </row>
    <row r="778" spans="1:13" x14ac:dyDescent="0.25">
      <c r="A778" t="s">
        <v>356</v>
      </c>
      <c r="B778" t="s">
        <v>2462</v>
      </c>
      <c r="C778" t="s">
        <v>982</v>
      </c>
      <c r="D778" t="s">
        <v>1443</v>
      </c>
      <c r="E778" t="s">
        <v>977</v>
      </c>
      <c r="F778" t="s">
        <v>967</v>
      </c>
      <c r="G778" t="s">
        <v>968</v>
      </c>
      <c r="H778" t="s">
        <v>2390</v>
      </c>
      <c r="I778" t="s">
        <v>970</v>
      </c>
      <c r="J778" t="s">
        <v>971</v>
      </c>
      <c r="K778" t="s">
        <v>972</v>
      </c>
      <c r="L778">
        <v>455.81</v>
      </c>
      <c r="M778">
        <f t="shared" si="12"/>
        <v>136508.68000000002</v>
      </c>
    </row>
    <row r="779" spans="1:13" x14ac:dyDescent="0.25">
      <c r="A779" t="s">
        <v>518</v>
      </c>
      <c r="B779" t="s">
        <v>1350</v>
      </c>
      <c r="C779" t="s">
        <v>975</v>
      </c>
      <c r="D779" t="s">
        <v>1351</v>
      </c>
      <c r="E779" t="s">
        <v>980</v>
      </c>
      <c r="F779" t="s">
        <v>967</v>
      </c>
      <c r="G779" t="s">
        <v>968</v>
      </c>
      <c r="H779" t="s">
        <v>969</v>
      </c>
      <c r="I779" t="s">
        <v>970</v>
      </c>
      <c r="J779" t="s">
        <v>971</v>
      </c>
      <c r="K779" t="s">
        <v>972</v>
      </c>
      <c r="L779">
        <v>38730.81</v>
      </c>
      <c r="M779">
        <f t="shared" si="12"/>
        <v>136508.68000000002</v>
      </c>
    </row>
    <row r="780" spans="1:13" x14ac:dyDescent="0.25">
      <c r="A780" t="s">
        <v>50</v>
      </c>
      <c r="B780" t="s">
        <v>1352</v>
      </c>
      <c r="C780" t="s">
        <v>975</v>
      </c>
      <c r="D780" t="s">
        <v>1351</v>
      </c>
      <c r="E780" t="s">
        <v>980</v>
      </c>
      <c r="F780" t="s">
        <v>967</v>
      </c>
      <c r="G780" t="s">
        <v>968</v>
      </c>
      <c r="H780" t="s">
        <v>969</v>
      </c>
      <c r="I780" t="s">
        <v>970</v>
      </c>
      <c r="J780" t="s">
        <v>971</v>
      </c>
      <c r="K780" t="s">
        <v>972</v>
      </c>
      <c r="L780">
        <v>38730.81</v>
      </c>
      <c r="M780">
        <f t="shared" si="12"/>
        <v>136508.68000000002</v>
      </c>
    </row>
    <row r="781" spans="1:13" x14ac:dyDescent="0.25">
      <c r="A781" t="s">
        <v>18</v>
      </c>
      <c r="B781" t="s">
        <v>1623</v>
      </c>
      <c r="C781" t="s">
        <v>975</v>
      </c>
      <c r="D781" t="s">
        <v>1443</v>
      </c>
      <c r="E781" t="s">
        <v>977</v>
      </c>
      <c r="F781" t="s">
        <v>967</v>
      </c>
      <c r="G781" t="s">
        <v>968</v>
      </c>
      <c r="H781" t="s">
        <v>969</v>
      </c>
      <c r="I781" t="s">
        <v>970</v>
      </c>
      <c r="J781" t="s">
        <v>971</v>
      </c>
      <c r="K781" t="s">
        <v>972</v>
      </c>
      <c r="L781">
        <v>25245.13</v>
      </c>
      <c r="M781">
        <f t="shared" si="12"/>
        <v>136508.68000000002</v>
      </c>
    </row>
    <row r="782" spans="1:13" x14ac:dyDescent="0.25">
      <c r="A782" t="s">
        <v>727</v>
      </c>
      <c r="B782" t="s">
        <v>1481</v>
      </c>
      <c r="C782" t="s">
        <v>975</v>
      </c>
      <c r="D782" t="s">
        <v>1443</v>
      </c>
      <c r="E782" t="s">
        <v>980</v>
      </c>
      <c r="F782" t="s">
        <v>967</v>
      </c>
      <c r="G782" t="s">
        <v>968</v>
      </c>
      <c r="H782" t="s">
        <v>969</v>
      </c>
      <c r="I782" t="s">
        <v>970</v>
      </c>
      <c r="J782" t="s">
        <v>971</v>
      </c>
      <c r="K782" t="s">
        <v>972</v>
      </c>
      <c r="L782">
        <v>32451.14</v>
      </c>
      <c r="M782">
        <f t="shared" si="12"/>
        <v>136508.68000000002</v>
      </c>
    </row>
    <row r="783" spans="1:13" x14ac:dyDescent="0.25">
      <c r="A783" t="s">
        <v>355</v>
      </c>
      <c r="B783" t="s">
        <v>2456</v>
      </c>
      <c r="C783" t="s">
        <v>2171</v>
      </c>
      <c r="D783" t="s">
        <v>991</v>
      </c>
      <c r="E783" t="s">
        <v>977</v>
      </c>
      <c r="F783" t="s">
        <v>967</v>
      </c>
      <c r="G783" t="s">
        <v>968</v>
      </c>
      <c r="H783" t="s">
        <v>969</v>
      </c>
      <c r="I783" t="s">
        <v>970</v>
      </c>
      <c r="J783" t="s">
        <v>971</v>
      </c>
      <c r="K783" t="s">
        <v>972</v>
      </c>
      <c r="L783">
        <v>483.92</v>
      </c>
      <c r="M783">
        <f t="shared" si="12"/>
        <v>136508.68000000002</v>
      </c>
    </row>
    <row r="784" spans="1:13" x14ac:dyDescent="0.25">
      <c r="A784" t="s">
        <v>355</v>
      </c>
      <c r="B784" t="s">
        <v>2456</v>
      </c>
      <c r="C784" t="s">
        <v>2171</v>
      </c>
      <c r="D784" t="s">
        <v>991</v>
      </c>
      <c r="E784" t="s">
        <v>977</v>
      </c>
      <c r="F784" t="s">
        <v>967</v>
      </c>
      <c r="G784" t="s">
        <v>968</v>
      </c>
      <c r="H784" t="s">
        <v>2390</v>
      </c>
      <c r="I784" t="s">
        <v>970</v>
      </c>
      <c r="J784" t="s">
        <v>971</v>
      </c>
      <c r="K784" t="s">
        <v>972</v>
      </c>
      <c r="L784">
        <v>411.06</v>
      </c>
      <c r="M784">
        <f t="shared" si="12"/>
        <v>136508.68000000002</v>
      </c>
    </row>
    <row r="785" spans="1:13" x14ac:dyDescent="0.25">
      <c r="A785" t="s">
        <v>366</v>
      </c>
      <c r="B785" t="s">
        <v>1560</v>
      </c>
      <c r="C785" t="s">
        <v>975</v>
      </c>
      <c r="D785" t="s">
        <v>991</v>
      </c>
      <c r="E785" t="s">
        <v>977</v>
      </c>
      <c r="F785" t="s">
        <v>967</v>
      </c>
      <c r="G785" t="s">
        <v>968</v>
      </c>
      <c r="H785" t="s">
        <v>969</v>
      </c>
      <c r="I785" t="s">
        <v>970</v>
      </c>
      <c r="J785" t="s">
        <v>971</v>
      </c>
      <c r="K785" t="s">
        <v>972</v>
      </c>
      <c r="L785">
        <v>28236.3</v>
      </c>
      <c r="M785">
        <f t="shared" si="12"/>
        <v>173270.16999999998</v>
      </c>
    </row>
    <row r="786" spans="1:13" x14ac:dyDescent="0.25">
      <c r="A786" t="s">
        <v>522</v>
      </c>
      <c r="B786" t="s">
        <v>1558</v>
      </c>
      <c r="C786" t="s">
        <v>975</v>
      </c>
      <c r="D786" t="s">
        <v>991</v>
      </c>
      <c r="E786" t="s">
        <v>977</v>
      </c>
      <c r="F786" t="s">
        <v>967</v>
      </c>
      <c r="G786" t="s">
        <v>968</v>
      </c>
      <c r="H786" t="s">
        <v>969</v>
      </c>
      <c r="I786" t="s">
        <v>970</v>
      </c>
      <c r="J786" t="s">
        <v>971</v>
      </c>
      <c r="K786" t="s">
        <v>972</v>
      </c>
      <c r="L786">
        <v>28237.59</v>
      </c>
      <c r="M786">
        <f t="shared" si="12"/>
        <v>173270.16999999998</v>
      </c>
    </row>
    <row r="787" spans="1:13" x14ac:dyDescent="0.25">
      <c r="A787" t="s">
        <v>882</v>
      </c>
      <c r="B787" t="s">
        <v>1557</v>
      </c>
      <c r="C787" t="s">
        <v>975</v>
      </c>
      <c r="D787" t="s">
        <v>991</v>
      </c>
      <c r="E787" t="s">
        <v>977</v>
      </c>
      <c r="F787" t="s">
        <v>967</v>
      </c>
      <c r="G787" t="s">
        <v>968</v>
      </c>
      <c r="H787" t="s">
        <v>969</v>
      </c>
      <c r="I787" t="s">
        <v>970</v>
      </c>
      <c r="J787" t="s">
        <v>971</v>
      </c>
      <c r="K787" t="s">
        <v>972</v>
      </c>
      <c r="L787">
        <v>28237.59</v>
      </c>
      <c r="M787">
        <f t="shared" si="12"/>
        <v>173270.16999999998</v>
      </c>
    </row>
    <row r="788" spans="1:13" x14ac:dyDescent="0.25">
      <c r="A788" t="s">
        <v>379</v>
      </c>
      <c r="B788" t="s">
        <v>1559</v>
      </c>
      <c r="C788" t="s">
        <v>975</v>
      </c>
      <c r="D788" t="s">
        <v>991</v>
      </c>
      <c r="E788" t="s">
        <v>977</v>
      </c>
      <c r="F788" t="s">
        <v>967</v>
      </c>
      <c r="G788" t="s">
        <v>968</v>
      </c>
      <c r="H788" t="s">
        <v>969</v>
      </c>
      <c r="I788" t="s">
        <v>970</v>
      </c>
      <c r="J788" t="s">
        <v>971</v>
      </c>
      <c r="K788" t="s">
        <v>972</v>
      </c>
      <c r="L788">
        <v>28237.59</v>
      </c>
      <c r="M788">
        <f t="shared" si="12"/>
        <v>173270.16999999998</v>
      </c>
    </row>
    <row r="789" spans="1:13" x14ac:dyDescent="0.25">
      <c r="A789" t="s">
        <v>898</v>
      </c>
      <c r="B789" t="s">
        <v>1445</v>
      </c>
      <c r="C789" t="s">
        <v>975</v>
      </c>
      <c r="D789" t="s">
        <v>1446</v>
      </c>
      <c r="E789" t="s">
        <v>980</v>
      </c>
      <c r="F789" t="s">
        <v>967</v>
      </c>
      <c r="G789" t="s">
        <v>968</v>
      </c>
      <c r="H789" t="s">
        <v>969</v>
      </c>
      <c r="I789" t="s">
        <v>970</v>
      </c>
      <c r="J789" t="s">
        <v>971</v>
      </c>
      <c r="K789" t="s">
        <v>972</v>
      </c>
      <c r="L789">
        <v>35032.959999999999</v>
      </c>
      <c r="M789">
        <f t="shared" si="12"/>
        <v>173270.16999999998</v>
      </c>
    </row>
    <row r="790" spans="1:13" x14ac:dyDescent="0.25">
      <c r="A790" t="s">
        <v>643</v>
      </c>
      <c r="B790" t="s">
        <v>1622</v>
      </c>
      <c r="C790" t="s">
        <v>975</v>
      </c>
      <c r="D790" t="s">
        <v>1443</v>
      </c>
      <c r="E790" t="s">
        <v>977</v>
      </c>
      <c r="F790" t="s">
        <v>967</v>
      </c>
      <c r="G790" t="s">
        <v>968</v>
      </c>
      <c r="H790" t="s">
        <v>969</v>
      </c>
      <c r="I790" t="s">
        <v>970</v>
      </c>
      <c r="J790" t="s">
        <v>971</v>
      </c>
      <c r="K790" t="s">
        <v>972</v>
      </c>
      <c r="L790">
        <v>25288.14</v>
      </c>
      <c r="M790">
        <f t="shared" si="12"/>
        <v>173270.16999999998</v>
      </c>
    </row>
    <row r="791" spans="1:13" x14ac:dyDescent="0.25">
      <c r="A791" t="s">
        <v>704</v>
      </c>
      <c r="B791" t="s">
        <v>1610</v>
      </c>
      <c r="C791" t="s">
        <v>975</v>
      </c>
      <c r="D791" t="s">
        <v>1351</v>
      </c>
      <c r="E791" t="s">
        <v>977</v>
      </c>
      <c r="F791" t="s">
        <v>967</v>
      </c>
      <c r="G791" t="s">
        <v>968</v>
      </c>
      <c r="H791" t="s">
        <v>969</v>
      </c>
      <c r="I791" t="s">
        <v>970</v>
      </c>
      <c r="J791" t="s">
        <v>971</v>
      </c>
      <c r="K791" t="s">
        <v>972</v>
      </c>
      <c r="L791">
        <v>26026.33</v>
      </c>
      <c r="M791">
        <f t="shared" si="12"/>
        <v>62436.820000000007</v>
      </c>
    </row>
    <row r="792" spans="1:13" x14ac:dyDescent="0.25">
      <c r="A792" t="s">
        <v>426</v>
      </c>
      <c r="B792" t="s">
        <v>1453</v>
      </c>
      <c r="C792" t="s">
        <v>975</v>
      </c>
      <c r="D792" t="s">
        <v>1443</v>
      </c>
      <c r="E792" t="s">
        <v>977</v>
      </c>
      <c r="F792" t="s">
        <v>967</v>
      </c>
      <c r="G792" t="s">
        <v>968</v>
      </c>
      <c r="H792" t="s">
        <v>969</v>
      </c>
      <c r="I792" t="s">
        <v>970</v>
      </c>
      <c r="J792" t="s">
        <v>971</v>
      </c>
      <c r="K792" t="s">
        <v>972</v>
      </c>
      <c r="L792">
        <v>34226.32</v>
      </c>
      <c r="M792">
        <f t="shared" si="12"/>
        <v>62436.820000000007</v>
      </c>
    </row>
    <row r="793" spans="1:13" x14ac:dyDescent="0.25">
      <c r="A793" t="s">
        <v>723</v>
      </c>
      <c r="B793" t="s">
        <v>2320</v>
      </c>
      <c r="C793" t="s">
        <v>988</v>
      </c>
      <c r="D793" t="s">
        <v>1351</v>
      </c>
      <c r="E793" t="s">
        <v>980</v>
      </c>
      <c r="F793" t="s">
        <v>967</v>
      </c>
      <c r="G793" t="s">
        <v>968</v>
      </c>
      <c r="H793" t="s">
        <v>969</v>
      </c>
      <c r="I793" t="s">
        <v>970</v>
      </c>
      <c r="J793" t="s">
        <v>971</v>
      </c>
      <c r="K793" t="s">
        <v>972</v>
      </c>
      <c r="L793">
        <v>1360.98</v>
      </c>
      <c r="M793">
        <f t="shared" si="12"/>
        <v>62436.820000000007</v>
      </c>
    </row>
    <row r="794" spans="1:13" x14ac:dyDescent="0.25">
      <c r="A794" t="s">
        <v>283</v>
      </c>
      <c r="B794" t="s">
        <v>2401</v>
      </c>
      <c r="C794" t="s">
        <v>982</v>
      </c>
      <c r="D794" t="s">
        <v>1351</v>
      </c>
      <c r="E794" t="s">
        <v>977</v>
      </c>
      <c r="F794" t="s">
        <v>967</v>
      </c>
      <c r="G794" t="s">
        <v>968</v>
      </c>
      <c r="H794" t="s">
        <v>969</v>
      </c>
      <c r="I794" t="s">
        <v>970</v>
      </c>
      <c r="J794" t="s">
        <v>971</v>
      </c>
      <c r="K794" t="s">
        <v>972</v>
      </c>
      <c r="L794">
        <v>823.19</v>
      </c>
      <c r="M794">
        <f t="shared" si="12"/>
        <v>62436.820000000007</v>
      </c>
    </row>
    <row r="795" spans="1:13" x14ac:dyDescent="0.25">
      <c r="A795" t="s">
        <v>254</v>
      </c>
      <c r="B795" t="s">
        <v>1530</v>
      </c>
      <c r="C795" t="s">
        <v>964</v>
      </c>
      <c r="D795" t="s">
        <v>1351</v>
      </c>
      <c r="E795" t="s">
        <v>966</v>
      </c>
      <c r="F795" t="s">
        <v>967</v>
      </c>
      <c r="G795" t="s">
        <v>968</v>
      </c>
      <c r="H795" t="s">
        <v>969</v>
      </c>
      <c r="I795" t="s">
        <v>970</v>
      </c>
      <c r="J795" t="s">
        <v>971</v>
      </c>
      <c r="K795" t="s">
        <v>972</v>
      </c>
      <c r="L795">
        <v>30294.15</v>
      </c>
      <c r="M795">
        <f t="shared" si="12"/>
        <v>190514.14</v>
      </c>
    </row>
    <row r="796" spans="1:13" x14ac:dyDescent="0.25">
      <c r="A796" t="s">
        <v>254</v>
      </c>
      <c r="B796" t="s">
        <v>1531</v>
      </c>
      <c r="C796" t="s">
        <v>964</v>
      </c>
      <c r="D796" t="s">
        <v>1351</v>
      </c>
      <c r="E796" t="s">
        <v>966</v>
      </c>
      <c r="F796" t="s">
        <v>967</v>
      </c>
      <c r="G796" t="s">
        <v>968</v>
      </c>
      <c r="H796" t="s">
        <v>969</v>
      </c>
      <c r="I796" t="s">
        <v>970</v>
      </c>
      <c r="J796" t="s">
        <v>971</v>
      </c>
      <c r="K796" t="s">
        <v>972</v>
      </c>
      <c r="L796">
        <v>30294.15</v>
      </c>
      <c r="M796">
        <f t="shared" si="12"/>
        <v>190514.14</v>
      </c>
    </row>
    <row r="797" spans="1:13" x14ac:dyDescent="0.25">
      <c r="A797" t="s">
        <v>254</v>
      </c>
      <c r="B797" t="s">
        <v>1532</v>
      </c>
      <c r="C797" t="s">
        <v>964</v>
      </c>
      <c r="D797" t="s">
        <v>1351</v>
      </c>
      <c r="E797" t="s">
        <v>966</v>
      </c>
      <c r="F797" t="s">
        <v>967</v>
      </c>
      <c r="G797" t="s">
        <v>968</v>
      </c>
      <c r="H797" t="s">
        <v>969</v>
      </c>
      <c r="I797" t="s">
        <v>970</v>
      </c>
      <c r="J797" t="s">
        <v>971</v>
      </c>
      <c r="K797" t="s">
        <v>972</v>
      </c>
      <c r="L797">
        <v>30294.15</v>
      </c>
      <c r="M797">
        <f t="shared" si="12"/>
        <v>190514.14</v>
      </c>
    </row>
    <row r="798" spans="1:13" x14ac:dyDescent="0.25">
      <c r="A798" t="s">
        <v>254</v>
      </c>
      <c r="B798" t="s">
        <v>1533</v>
      </c>
      <c r="C798" t="s">
        <v>964</v>
      </c>
      <c r="D798" t="s">
        <v>1351</v>
      </c>
      <c r="E798" t="s">
        <v>966</v>
      </c>
      <c r="F798" t="s">
        <v>967</v>
      </c>
      <c r="G798" t="s">
        <v>968</v>
      </c>
      <c r="H798" t="s">
        <v>969</v>
      </c>
      <c r="I798" t="s">
        <v>970</v>
      </c>
      <c r="J798" t="s">
        <v>971</v>
      </c>
      <c r="K798" t="s">
        <v>972</v>
      </c>
      <c r="L798">
        <v>30294.15</v>
      </c>
      <c r="M798">
        <f t="shared" si="12"/>
        <v>190514.14</v>
      </c>
    </row>
    <row r="799" spans="1:13" x14ac:dyDescent="0.25">
      <c r="A799" t="s">
        <v>254</v>
      </c>
      <c r="B799" t="s">
        <v>1534</v>
      </c>
      <c r="C799" t="s">
        <v>964</v>
      </c>
      <c r="D799" t="s">
        <v>1351</v>
      </c>
      <c r="E799" t="s">
        <v>966</v>
      </c>
      <c r="F799" t="s">
        <v>967</v>
      </c>
      <c r="G799" t="s">
        <v>968</v>
      </c>
      <c r="H799" t="s">
        <v>969</v>
      </c>
      <c r="I799" t="s">
        <v>970</v>
      </c>
      <c r="J799" t="s">
        <v>971</v>
      </c>
      <c r="K799" t="s">
        <v>972</v>
      </c>
      <c r="L799">
        <v>30294.15</v>
      </c>
      <c r="M799">
        <f t="shared" si="12"/>
        <v>190514.14</v>
      </c>
    </row>
    <row r="800" spans="1:13" x14ac:dyDescent="0.25">
      <c r="A800" t="s">
        <v>409</v>
      </c>
      <c r="B800" t="s">
        <v>1347</v>
      </c>
      <c r="C800" t="s">
        <v>975</v>
      </c>
      <c r="D800" t="s">
        <v>1348</v>
      </c>
      <c r="E800" t="s">
        <v>977</v>
      </c>
      <c r="F800" t="s">
        <v>967</v>
      </c>
      <c r="G800" t="s">
        <v>968</v>
      </c>
      <c r="H800" t="s">
        <v>969</v>
      </c>
      <c r="I800" t="s">
        <v>970</v>
      </c>
      <c r="J800" t="s">
        <v>971</v>
      </c>
      <c r="K800" t="s">
        <v>972</v>
      </c>
      <c r="L800">
        <v>39043.39</v>
      </c>
      <c r="M800">
        <f t="shared" si="12"/>
        <v>190514.14</v>
      </c>
    </row>
    <row r="801" spans="1:13" x14ac:dyDescent="0.25">
      <c r="A801" t="s">
        <v>584</v>
      </c>
      <c r="B801" t="s">
        <v>1541</v>
      </c>
      <c r="C801" t="s">
        <v>975</v>
      </c>
      <c r="D801" t="s">
        <v>1408</v>
      </c>
      <c r="E801" t="s">
        <v>980</v>
      </c>
      <c r="F801" t="s">
        <v>967</v>
      </c>
      <c r="G801" t="s">
        <v>968</v>
      </c>
      <c r="H801" t="s">
        <v>969</v>
      </c>
      <c r="I801" t="s">
        <v>970</v>
      </c>
      <c r="J801" t="s">
        <v>971</v>
      </c>
      <c r="K801" t="s">
        <v>972</v>
      </c>
      <c r="L801">
        <v>29386.74</v>
      </c>
      <c r="M801">
        <f t="shared" si="12"/>
        <v>717579.17999999982</v>
      </c>
    </row>
    <row r="802" spans="1:13" x14ac:dyDescent="0.25">
      <c r="A802" t="s">
        <v>5</v>
      </c>
      <c r="B802" t="s">
        <v>1556</v>
      </c>
      <c r="C802" t="s">
        <v>964</v>
      </c>
      <c r="D802" t="s">
        <v>1348</v>
      </c>
      <c r="E802" t="s">
        <v>966</v>
      </c>
      <c r="F802" t="s">
        <v>967</v>
      </c>
      <c r="G802" t="s">
        <v>968</v>
      </c>
      <c r="H802" t="s">
        <v>969</v>
      </c>
      <c r="I802" t="s">
        <v>970</v>
      </c>
      <c r="J802" t="s">
        <v>971</v>
      </c>
      <c r="K802" t="s">
        <v>972</v>
      </c>
      <c r="L802">
        <v>28266.240000000002</v>
      </c>
      <c r="M802">
        <f t="shared" si="12"/>
        <v>717579.17999999982</v>
      </c>
    </row>
    <row r="803" spans="1:13" x14ac:dyDescent="0.25">
      <c r="A803" t="s">
        <v>36</v>
      </c>
      <c r="B803" t="s">
        <v>1553</v>
      </c>
      <c r="C803" t="s">
        <v>975</v>
      </c>
      <c r="D803" t="s">
        <v>1446</v>
      </c>
      <c r="E803" t="s">
        <v>966</v>
      </c>
      <c r="F803" t="s">
        <v>967</v>
      </c>
      <c r="G803" t="s">
        <v>968</v>
      </c>
      <c r="H803" t="s">
        <v>969</v>
      </c>
      <c r="I803" t="s">
        <v>970</v>
      </c>
      <c r="J803" t="s">
        <v>971</v>
      </c>
      <c r="K803" t="s">
        <v>972</v>
      </c>
      <c r="L803">
        <v>28321.4</v>
      </c>
      <c r="M803">
        <f t="shared" si="12"/>
        <v>717579.17999999982</v>
      </c>
    </row>
    <row r="804" spans="1:13" x14ac:dyDescent="0.25">
      <c r="A804" t="s">
        <v>752</v>
      </c>
      <c r="B804" t="s">
        <v>1495</v>
      </c>
      <c r="C804" t="s">
        <v>964</v>
      </c>
      <c r="D804" t="s">
        <v>1348</v>
      </c>
      <c r="E804" t="s">
        <v>966</v>
      </c>
      <c r="F804" t="s">
        <v>967</v>
      </c>
      <c r="G804" t="s">
        <v>968</v>
      </c>
      <c r="H804" t="s">
        <v>969</v>
      </c>
      <c r="I804" t="s">
        <v>970</v>
      </c>
      <c r="J804" t="s">
        <v>971</v>
      </c>
      <c r="K804" t="s">
        <v>972</v>
      </c>
      <c r="L804">
        <v>31365.95</v>
      </c>
      <c r="M804">
        <f t="shared" si="12"/>
        <v>717579.17999999982</v>
      </c>
    </row>
    <row r="805" spans="1:13" x14ac:dyDescent="0.25">
      <c r="A805" t="s">
        <v>752</v>
      </c>
      <c r="B805" t="s">
        <v>1498</v>
      </c>
      <c r="C805" t="s">
        <v>964</v>
      </c>
      <c r="D805" t="s">
        <v>1348</v>
      </c>
      <c r="E805" t="s">
        <v>966</v>
      </c>
      <c r="F805" t="s">
        <v>967</v>
      </c>
      <c r="G805" t="s">
        <v>968</v>
      </c>
      <c r="H805" t="s">
        <v>969</v>
      </c>
      <c r="I805" t="s">
        <v>970</v>
      </c>
      <c r="J805" t="s">
        <v>971</v>
      </c>
      <c r="K805" t="s">
        <v>972</v>
      </c>
      <c r="L805">
        <v>31365.95</v>
      </c>
      <c r="M805">
        <f t="shared" si="12"/>
        <v>717579.17999999982</v>
      </c>
    </row>
    <row r="806" spans="1:13" x14ac:dyDescent="0.25">
      <c r="A806" t="s">
        <v>752</v>
      </c>
      <c r="B806" t="s">
        <v>1500</v>
      </c>
      <c r="C806" t="s">
        <v>964</v>
      </c>
      <c r="D806" t="s">
        <v>1348</v>
      </c>
      <c r="E806" t="s">
        <v>966</v>
      </c>
      <c r="F806" t="s">
        <v>967</v>
      </c>
      <c r="G806" t="s">
        <v>968</v>
      </c>
      <c r="H806" t="s">
        <v>969</v>
      </c>
      <c r="I806" t="s">
        <v>970</v>
      </c>
      <c r="J806" t="s">
        <v>971</v>
      </c>
      <c r="K806" t="s">
        <v>972</v>
      </c>
      <c r="L806">
        <v>31365.95</v>
      </c>
      <c r="M806">
        <f t="shared" si="12"/>
        <v>717579.17999999982</v>
      </c>
    </row>
    <row r="807" spans="1:13" x14ac:dyDescent="0.25">
      <c r="A807" t="s">
        <v>752</v>
      </c>
      <c r="B807" t="s">
        <v>1501</v>
      </c>
      <c r="C807" t="s">
        <v>964</v>
      </c>
      <c r="D807" t="s">
        <v>1348</v>
      </c>
      <c r="E807" t="s">
        <v>966</v>
      </c>
      <c r="F807" t="s">
        <v>967</v>
      </c>
      <c r="G807" t="s">
        <v>968</v>
      </c>
      <c r="H807" t="s">
        <v>969</v>
      </c>
      <c r="I807" t="s">
        <v>970</v>
      </c>
      <c r="J807" t="s">
        <v>971</v>
      </c>
      <c r="K807" t="s">
        <v>972</v>
      </c>
      <c r="L807">
        <v>31365.95</v>
      </c>
      <c r="M807">
        <f t="shared" si="12"/>
        <v>717579.17999999982</v>
      </c>
    </row>
    <row r="808" spans="1:13" x14ac:dyDescent="0.25">
      <c r="A808" t="s">
        <v>752</v>
      </c>
      <c r="B808" t="s">
        <v>1504</v>
      </c>
      <c r="C808" t="s">
        <v>964</v>
      </c>
      <c r="D808" t="s">
        <v>1348</v>
      </c>
      <c r="E808" t="s">
        <v>966</v>
      </c>
      <c r="F808" t="s">
        <v>967</v>
      </c>
      <c r="G808" t="s">
        <v>968</v>
      </c>
      <c r="H808" t="s">
        <v>969</v>
      </c>
      <c r="I808" t="s">
        <v>970</v>
      </c>
      <c r="J808" t="s">
        <v>971</v>
      </c>
      <c r="K808" t="s">
        <v>972</v>
      </c>
      <c r="L808">
        <v>31365.95</v>
      </c>
      <c r="M808">
        <f t="shared" si="12"/>
        <v>717579.17999999982</v>
      </c>
    </row>
    <row r="809" spans="1:13" x14ac:dyDescent="0.25">
      <c r="A809" t="s">
        <v>396</v>
      </c>
      <c r="B809" t="s">
        <v>1496</v>
      </c>
      <c r="C809" t="s">
        <v>964</v>
      </c>
      <c r="D809" t="s">
        <v>1348</v>
      </c>
      <c r="E809" t="s">
        <v>966</v>
      </c>
      <c r="F809" t="s">
        <v>967</v>
      </c>
      <c r="G809" t="s">
        <v>968</v>
      </c>
      <c r="H809" t="s">
        <v>969</v>
      </c>
      <c r="I809" t="s">
        <v>970</v>
      </c>
      <c r="J809" t="s">
        <v>971</v>
      </c>
      <c r="K809" t="s">
        <v>972</v>
      </c>
      <c r="L809">
        <v>31365.95</v>
      </c>
      <c r="M809">
        <f t="shared" si="12"/>
        <v>717579.17999999982</v>
      </c>
    </row>
    <row r="810" spans="1:13" x14ac:dyDescent="0.25">
      <c r="A810" t="s">
        <v>396</v>
      </c>
      <c r="B810" t="s">
        <v>1497</v>
      </c>
      <c r="C810" t="s">
        <v>964</v>
      </c>
      <c r="D810" t="s">
        <v>1348</v>
      </c>
      <c r="E810" t="s">
        <v>966</v>
      </c>
      <c r="F810" t="s">
        <v>967</v>
      </c>
      <c r="G810" t="s">
        <v>968</v>
      </c>
      <c r="H810" t="s">
        <v>969</v>
      </c>
      <c r="I810" t="s">
        <v>970</v>
      </c>
      <c r="J810" t="s">
        <v>971</v>
      </c>
      <c r="K810" t="s">
        <v>972</v>
      </c>
      <c r="L810">
        <v>31365.95</v>
      </c>
      <c r="M810">
        <f t="shared" si="12"/>
        <v>717579.17999999982</v>
      </c>
    </row>
    <row r="811" spans="1:13" x14ac:dyDescent="0.25">
      <c r="A811" t="s">
        <v>396</v>
      </c>
      <c r="B811" t="s">
        <v>1499</v>
      </c>
      <c r="C811" t="s">
        <v>964</v>
      </c>
      <c r="D811" t="s">
        <v>1348</v>
      </c>
      <c r="E811" t="s">
        <v>966</v>
      </c>
      <c r="F811" t="s">
        <v>967</v>
      </c>
      <c r="G811" t="s">
        <v>968</v>
      </c>
      <c r="H811" t="s">
        <v>969</v>
      </c>
      <c r="I811" t="s">
        <v>970</v>
      </c>
      <c r="J811" t="s">
        <v>971</v>
      </c>
      <c r="K811" t="s">
        <v>972</v>
      </c>
      <c r="L811">
        <v>31365.95</v>
      </c>
      <c r="M811">
        <f t="shared" si="12"/>
        <v>717579.17999999982</v>
      </c>
    </row>
    <row r="812" spans="1:13" x14ac:dyDescent="0.25">
      <c r="A812" t="s">
        <v>396</v>
      </c>
      <c r="B812" t="s">
        <v>1502</v>
      </c>
      <c r="C812" t="s">
        <v>964</v>
      </c>
      <c r="D812" t="s">
        <v>1348</v>
      </c>
      <c r="E812" t="s">
        <v>966</v>
      </c>
      <c r="F812" t="s">
        <v>967</v>
      </c>
      <c r="G812" t="s">
        <v>968</v>
      </c>
      <c r="H812" t="s">
        <v>969</v>
      </c>
      <c r="I812" t="s">
        <v>970</v>
      </c>
      <c r="J812" t="s">
        <v>971</v>
      </c>
      <c r="K812" t="s">
        <v>972</v>
      </c>
      <c r="L812">
        <v>31365.95</v>
      </c>
      <c r="M812">
        <f t="shared" si="12"/>
        <v>717579.17999999982</v>
      </c>
    </row>
    <row r="813" spans="1:13" x14ac:dyDescent="0.25">
      <c r="A813" t="s">
        <v>396</v>
      </c>
      <c r="B813" t="s">
        <v>1503</v>
      </c>
      <c r="C813" t="s">
        <v>964</v>
      </c>
      <c r="D813" t="s">
        <v>1348</v>
      </c>
      <c r="E813" t="s">
        <v>966</v>
      </c>
      <c r="F813" t="s">
        <v>967</v>
      </c>
      <c r="G813" t="s">
        <v>968</v>
      </c>
      <c r="H813" t="s">
        <v>969</v>
      </c>
      <c r="I813" t="s">
        <v>970</v>
      </c>
      <c r="J813" t="s">
        <v>971</v>
      </c>
      <c r="K813" t="s">
        <v>972</v>
      </c>
      <c r="L813">
        <v>31365.95</v>
      </c>
      <c r="M813">
        <f t="shared" si="12"/>
        <v>717579.17999999982</v>
      </c>
    </row>
    <row r="814" spans="1:13" x14ac:dyDescent="0.25">
      <c r="A814" t="s">
        <v>666</v>
      </c>
      <c r="B814" t="s">
        <v>1505</v>
      </c>
      <c r="C814" t="s">
        <v>964</v>
      </c>
      <c r="D814" t="s">
        <v>1348</v>
      </c>
      <c r="E814" t="s">
        <v>966</v>
      </c>
      <c r="F814" t="s">
        <v>967</v>
      </c>
      <c r="G814" t="s">
        <v>968</v>
      </c>
      <c r="H814" t="s">
        <v>969</v>
      </c>
      <c r="I814" t="s">
        <v>970</v>
      </c>
      <c r="J814" t="s">
        <v>971</v>
      </c>
      <c r="K814" t="s">
        <v>972</v>
      </c>
      <c r="L814">
        <v>31365.94</v>
      </c>
      <c r="M814">
        <f t="shared" si="12"/>
        <v>717579.17999999982</v>
      </c>
    </row>
    <row r="815" spans="1:13" x14ac:dyDescent="0.25">
      <c r="A815" t="s">
        <v>666</v>
      </c>
      <c r="B815" t="s">
        <v>1506</v>
      </c>
      <c r="C815" t="s">
        <v>964</v>
      </c>
      <c r="D815" t="s">
        <v>1348</v>
      </c>
      <c r="E815" t="s">
        <v>966</v>
      </c>
      <c r="F815" t="s">
        <v>967</v>
      </c>
      <c r="G815" t="s">
        <v>968</v>
      </c>
      <c r="H815" t="s">
        <v>969</v>
      </c>
      <c r="I815" t="s">
        <v>970</v>
      </c>
      <c r="J815" t="s">
        <v>971</v>
      </c>
      <c r="K815" t="s">
        <v>972</v>
      </c>
      <c r="L815">
        <v>31365.94</v>
      </c>
      <c r="M815">
        <f t="shared" si="12"/>
        <v>717579.17999999982</v>
      </c>
    </row>
    <row r="816" spans="1:13" x14ac:dyDescent="0.25">
      <c r="A816" t="s">
        <v>666</v>
      </c>
      <c r="B816" t="s">
        <v>1507</v>
      </c>
      <c r="C816" t="s">
        <v>964</v>
      </c>
      <c r="D816" t="s">
        <v>1348</v>
      </c>
      <c r="E816" t="s">
        <v>966</v>
      </c>
      <c r="F816" t="s">
        <v>967</v>
      </c>
      <c r="G816" t="s">
        <v>968</v>
      </c>
      <c r="H816" t="s">
        <v>969</v>
      </c>
      <c r="I816" t="s">
        <v>970</v>
      </c>
      <c r="J816" t="s">
        <v>971</v>
      </c>
      <c r="K816" t="s">
        <v>972</v>
      </c>
      <c r="L816">
        <v>31365.94</v>
      </c>
      <c r="M816">
        <f t="shared" si="12"/>
        <v>717579.17999999982</v>
      </c>
    </row>
    <row r="817" spans="1:13" x14ac:dyDescent="0.25">
      <c r="A817" t="s">
        <v>666</v>
      </c>
      <c r="B817" t="s">
        <v>1508</v>
      </c>
      <c r="C817" t="s">
        <v>964</v>
      </c>
      <c r="D817" t="s">
        <v>1348</v>
      </c>
      <c r="E817" t="s">
        <v>966</v>
      </c>
      <c r="F817" t="s">
        <v>967</v>
      </c>
      <c r="G817" t="s">
        <v>968</v>
      </c>
      <c r="H817" t="s">
        <v>969</v>
      </c>
      <c r="I817" t="s">
        <v>970</v>
      </c>
      <c r="J817" t="s">
        <v>971</v>
      </c>
      <c r="K817" t="s">
        <v>972</v>
      </c>
      <c r="L817">
        <v>31365.94</v>
      </c>
      <c r="M817">
        <f t="shared" si="12"/>
        <v>717579.17999999982</v>
      </c>
    </row>
    <row r="818" spans="1:13" x14ac:dyDescent="0.25">
      <c r="A818" t="s">
        <v>666</v>
      </c>
      <c r="B818" t="s">
        <v>1509</v>
      </c>
      <c r="C818" t="s">
        <v>964</v>
      </c>
      <c r="D818" t="s">
        <v>1348</v>
      </c>
      <c r="E818" t="s">
        <v>966</v>
      </c>
      <c r="F818" t="s">
        <v>967</v>
      </c>
      <c r="G818" t="s">
        <v>968</v>
      </c>
      <c r="H818" t="s">
        <v>969</v>
      </c>
      <c r="I818" t="s">
        <v>970</v>
      </c>
      <c r="J818" t="s">
        <v>971</v>
      </c>
      <c r="K818" t="s">
        <v>972</v>
      </c>
      <c r="L818">
        <v>31365.94</v>
      </c>
      <c r="M818">
        <f t="shared" si="12"/>
        <v>717579.17999999982</v>
      </c>
    </row>
    <row r="819" spans="1:13" x14ac:dyDescent="0.25">
      <c r="A819" t="s">
        <v>666</v>
      </c>
      <c r="B819" t="s">
        <v>1510</v>
      </c>
      <c r="C819" t="s">
        <v>964</v>
      </c>
      <c r="D819" t="s">
        <v>1348</v>
      </c>
      <c r="E819" t="s">
        <v>966</v>
      </c>
      <c r="F819" t="s">
        <v>967</v>
      </c>
      <c r="G819" t="s">
        <v>968</v>
      </c>
      <c r="H819" t="s">
        <v>969</v>
      </c>
      <c r="I819" t="s">
        <v>970</v>
      </c>
      <c r="J819" t="s">
        <v>971</v>
      </c>
      <c r="K819" t="s">
        <v>972</v>
      </c>
      <c r="L819">
        <v>31365.94</v>
      </c>
      <c r="M819">
        <f t="shared" si="12"/>
        <v>717579.17999999982</v>
      </c>
    </row>
    <row r="820" spans="1:13" x14ac:dyDescent="0.25">
      <c r="A820" t="s">
        <v>666</v>
      </c>
      <c r="B820" t="s">
        <v>1511</v>
      </c>
      <c r="C820" t="s">
        <v>964</v>
      </c>
      <c r="D820" t="s">
        <v>1348</v>
      </c>
      <c r="E820" t="s">
        <v>966</v>
      </c>
      <c r="F820" t="s">
        <v>967</v>
      </c>
      <c r="G820" t="s">
        <v>968</v>
      </c>
      <c r="H820" t="s">
        <v>969</v>
      </c>
      <c r="I820" t="s">
        <v>970</v>
      </c>
      <c r="J820" t="s">
        <v>971</v>
      </c>
      <c r="K820" t="s">
        <v>972</v>
      </c>
      <c r="L820">
        <v>31365.94</v>
      </c>
      <c r="M820">
        <f t="shared" si="12"/>
        <v>717579.17999999982</v>
      </c>
    </row>
    <row r="821" spans="1:13" x14ac:dyDescent="0.25">
      <c r="A821" t="s">
        <v>666</v>
      </c>
      <c r="B821" t="s">
        <v>1512</v>
      </c>
      <c r="C821" t="s">
        <v>964</v>
      </c>
      <c r="D821" t="s">
        <v>1348</v>
      </c>
      <c r="E821" t="s">
        <v>966</v>
      </c>
      <c r="F821" t="s">
        <v>967</v>
      </c>
      <c r="G821" t="s">
        <v>968</v>
      </c>
      <c r="H821" t="s">
        <v>969</v>
      </c>
      <c r="I821" t="s">
        <v>970</v>
      </c>
      <c r="J821" t="s">
        <v>971</v>
      </c>
      <c r="K821" t="s">
        <v>972</v>
      </c>
      <c r="L821">
        <v>31365.94</v>
      </c>
      <c r="M821">
        <f t="shared" si="12"/>
        <v>717579.17999999982</v>
      </c>
    </row>
    <row r="822" spans="1:13" x14ac:dyDescent="0.25">
      <c r="A822" t="s">
        <v>818</v>
      </c>
      <c r="B822" t="s">
        <v>2486</v>
      </c>
      <c r="C822" t="s">
        <v>988</v>
      </c>
      <c r="D822" t="s">
        <v>1348</v>
      </c>
      <c r="E822" t="s">
        <v>980</v>
      </c>
      <c r="F822" t="s">
        <v>967</v>
      </c>
      <c r="G822" t="s">
        <v>968</v>
      </c>
      <c r="H822" t="s">
        <v>2390</v>
      </c>
      <c r="I822" t="s">
        <v>970</v>
      </c>
      <c r="J822" t="s">
        <v>971</v>
      </c>
      <c r="K822" t="s">
        <v>972</v>
      </c>
      <c r="L822">
        <v>332.62</v>
      </c>
      <c r="M822">
        <f t="shared" si="12"/>
        <v>717579.17999999982</v>
      </c>
    </row>
    <row r="823" spans="1:13" x14ac:dyDescent="0.25">
      <c r="A823" t="s">
        <v>189</v>
      </c>
      <c r="B823" t="s">
        <v>1458</v>
      </c>
      <c r="C823" t="s">
        <v>964</v>
      </c>
      <c r="D823" t="s">
        <v>1457</v>
      </c>
      <c r="E823" t="s">
        <v>977</v>
      </c>
      <c r="F823" t="s">
        <v>967</v>
      </c>
      <c r="G823" t="s">
        <v>968</v>
      </c>
      <c r="H823" t="s">
        <v>969</v>
      </c>
      <c r="I823" t="s">
        <v>970</v>
      </c>
      <c r="J823" t="s">
        <v>971</v>
      </c>
      <c r="K823" t="s">
        <v>972</v>
      </c>
      <c r="L823">
        <v>33713.910000000003</v>
      </c>
      <c r="M823">
        <f t="shared" si="12"/>
        <v>717579.17999999982</v>
      </c>
    </row>
    <row r="824" spans="1:13" x14ac:dyDescent="0.25">
      <c r="A824" t="s">
        <v>456</v>
      </c>
      <c r="B824" t="s">
        <v>1473</v>
      </c>
      <c r="C824" t="s">
        <v>975</v>
      </c>
      <c r="D824" t="s">
        <v>1348</v>
      </c>
      <c r="E824" t="s">
        <v>977</v>
      </c>
      <c r="F824" t="s">
        <v>967</v>
      </c>
      <c r="G824" t="s">
        <v>968</v>
      </c>
      <c r="H824" t="s">
        <v>969</v>
      </c>
      <c r="I824" t="s">
        <v>970</v>
      </c>
      <c r="J824" t="s">
        <v>971</v>
      </c>
      <c r="K824" t="s">
        <v>972</v>
      </c>
      <c r="L824">
        <v>32971.25</v>
      </c>
      <c r="M824">
        <f t="shared" si="12"/>
        <v>717579.17999999982</v>
      </c>
    </row>
    <row r="825" spans="1:13" x14ac:dyDescent="0.25">
      <c r="A825" t="s">
        <v>746</v>
      </c>
      <c r="B825" t="s">
        <v>1202</v>
      </c>
      <c r="C825" t="s">
        <v>975</v>
      </c>
      <c r="D825" t="s">
        <v>1201</v>
      </c>
      <c r="E825" t="s">
        <v>977</v>
      </c>
      <c r="F825" t="s">
        <v>967</v>
      </c>
      <c r="G825" t="s">
        <v>968</v>
      </c>
      <c r="H825" t="s">
        <v>969</v>
      </c>
      <c r="I825" t="s">
        <v>970</v>
      </c>
      <c r="J825" t="s">
        <v>971</v>
      </c>
      <c r="K825" t="s">
        <v>972</v>
      </c>
      <c r="L825">
        <v>44440.98</v>
      </c>
      <c r="M825">
        <f t="shared" si="12"/>
        <v>435599.14000000007</v>
      </c>
    </row>
    <row r="826" spans="1:13" x14ac:dyDescent="0.25">
      <c r="A826" t="s">
        <v>171</v>
      </c>
      <c r="B826" t="s">
        <v>1203</v>
      </c>
      <c r="C826" t="s">
        <v>975</v>
      </c>
      <c r="D826" t="s">
        <v>1201</v>
      </c>
      <c r="E826" t="s">
        <v>977</v>
      </c>
      <c r="F826" t="s">
        <v>967</v>
      </c>
      <c r="G826" t="s">
        <v>968</v>
      </c>
      <c r="H826" t="s">
        <v>969</v>
      </c>
      <c r="I826" t="s">
        <v>970</v>
      </c>
      <c r="J826" t="s">
        <v>971</v>
      </c>
      <c r="K826" t="s">
        <v>972</v>
      </c>
      <c r="L826">
        <v>44440.98</v>
      </c>
      <c r="M826">
        <f t="shared" si="12"/>
        <v>435599.14000000007</v>
      </c>
    </row>
    <row r="827" spans="1:13" x14ac:dyDescent="0.25">
      <c r="A827" t="s">
        <v>535</v>
      </c>
      <c r="B827" t="s">
        <v>1205</v>
      </c>
      <c r="C827" t="s">
        <v>975</v>
      </c>
      <c r="D827" t="s">
        <v>1201</v>
      </c>
      <c r="E827" t="s">
        <v>977</v>
      </c>
      <c r="F827" t="s">
        <v>967</v>
      </c>
      <c r="G827" t="s">
        <v>968</v>
      </c>
      <c r="H827" t="s">
        <v>969</v>
      </c>
      <c r="I827" t="s">
        <v>970</v>
      </c>
      <c r="J827" t="s">
        <v>971</v>
      </c>
      <c r="K827" t="s">
        <v>972</v>
      </c>
      <c r="L827">
        <v>44440.98</v>
      </c>
      <c r="M827">
        <f t="shared" si="12"/>
        <v>435599.14000000007</v>
      </c>
    </row>
    <row r="828" spans="1:13" x14ac:dyDescent="0.25">
      <c r="A828" t="s">
        <v>575</v>
      </c>
      <c r="B828" t="s">
        <v>1200</v>
      </c>
      <c r="C828" t="s">
        <v>975</v>
      </c>
      <c r="D828" t="s">
        <v>1201</v>
      </c>
      <c r="E828" t="s">
        <v>977</v>
      </c>
      <c r="F828" t="s">
        <v>967</v>
      </c>
      <c r="G828" t="s">
        <v>968</v>
      </c>
      <c r="H828" t="s">
        <v>969</v>
      </c>
      <c r="I828" t="s">
        <v>970</v>
      </c>
      <c r="J828" t="s">
        <v>971</v>
      </c>
      <c r="K828" t="s">
        <v>972</v>
      </c>
      <c r="L828">
        <v>44440.98</v>
      </c>
      <c r="M828">
        <f t="shared" si="12"/>
        <v>435599.14000000007</v>
      </c>
    </row>
    <row r="829" spans="1:13" x14ac:dyDescent="0.25">
      <c r="A829" t="s">
        <v>357</v>
      </c>
      <c r="B829" t="s">
        <v>1204</v>
      </c>
      <c r="C829" t="s">
        <v>975</v>
      </c>
      <c r="D829" t="s">
        <v>1201</v>
      </c>
      <c r="E829" t="s">
        <v>977</v>
      </c>
      <c r="F829" t="s">
        <v>967</v>
      </c>
      <c r="G829" t="s">
        <v>968</v>
      </c>
      <c r="H829" t="s">
        <v>969</v>
      </c>
      <c r="I829" t="s">
        <v>970</v>
      </c>
      <c r="J829" t="s">
        <v>971</v>
      </c>
      <c r="K829" t="s">
        <v>972</v>
      </c>
      <c r="L829">
        <v>44440.98</v>
      </c>
      <c r="M829">
        <f t="shared" si="12"/>
        <v>435599.14000000007</v>
      </c>
    </row>
    <row r="830" spans="1:13" x14ac:dyDescent="0.25">
      <c r="A830" t="s">
        <v>676</v>
      </c>
      <c r="B830" t="s">
        <v>1206</v>
      </c>
      <c r="C830" t="s">
        <v>975</v>
      </c>
      <c r="D830" t="s">
        <v>1201</v>
      </c>
      <c r="E830" t="s">
        <v>977</v>
      </c>
      <c r="F830" t="s">
        <v>967</v>
      </c>
      <c r="G830" t="s">
        <v>968</v>
      </c>
      <c r="H830" t="s">
        <v>969</v>
      </c>
      <c r="I830" t="s">
        <v>970</v>
      </c>
      <c r="J830" t="s">
        <v>971</v>
      </c>
      <c r="K830" t="s">
        <v>972</v>
      </c>
      <c r="L830">
        <v>44440.98</v>
      </c>
      <c r="M830">
        <f t="shared" si="12"/>
        <v>435599.14000000007</v>
      </c>
    </row>
    <row r="831" spans="1:13" x14ac:dyDescent="0.25">
      <c r="A831" t="s">
        <v>547</v>
      </c>
      <c r="B831" t="s">
        <v>1448</v>
      </c>
      <c r="C831" t="s">
        <v>975</v>
      </c>
      <c r="D831" t="s">
        <v>1348</v>
      </c>
      <c r="E831" t="s">
        <v>977</v>
      </c>
      <c r="F831" t="s">
        <v>967</v>
      </c>
      <c r="G831" t="s">
        <v>968</v>
      </c>
      <c r="H831" t="s">
        <v>969</v>
      </c>
      <c r="I831" t="s">
        <v>970</v>
      </c>
      <c r="J831" t="s">
        <v>971</v>
      </c>
      <c r="K831" t="s">
        <v>972</v>
      </c>
      <c r="L831">
        <v>34584.400000000001</v>
      </c>
      <c r="M831">
        <f t="shared" si="12"/>
        <v>435599.14000000007</v>
      </c>
    </row>
    <row r="832" spans="1:13" x14ac:dyDescent="0.25">
      <c r="A832" t="s">
        <v>74</v>
      </c>
      <c r="B832" t="s">
        <v>1451</v>
      </c>
      <c r="C832" t="s">
        <v>975</v>
      </c>
      <c r="D832" t="s">
        <v>1408</v>
      </c>
      <c r="E832" t="s">
        <v>980</v>
      </c>
      <c r="F832" t="s">
        <v>967</v>
      </c>
      <c r="G832" t="s">
        <v>968</v>
      </c>
      <c r="H832" t="s">
        <v>969</v>
      </c>
      <c r="I832" t="s">
        <v>970</v>
      </c>
      <c r="J832" t="s">
        <v>971</v>
      </c>
      <c r="K832" t="s">
        <v>972</v>
      </c>
      <c r="L832">
        <v>34343.269999999997</v>
      </c>
      <c r="M832">
        <f t="shared" si="12"/>
        <v>435599.14000000007</v>
      </c>
    </row>
    <row r="833" spans="1:13" x14ac:dyDescent="0.25">
      <c r="A833" t="s">
        <v>378</v>
      </c>
      <c r="B833" t="s">
        <v>1450</v>
      </c>
      <c r="C833" t="s">
        <v>975</v>
      </c>
      <c r="D833" t="s">
        <v>1408</v>
      </c>
      <c r="E833" t="s">
        <v>980</v>
      </c>
      <c r="F833" t="s">
        <v>967</v>
      </c>
      <c r="G833" t="s">
        <v>968</v>
      </c>
      <c r="H833" t="s">
        <v>969</v>
      </c>
      <c r="I833" t="s">
        <v>970</v>
      </c>
      <c r="J833" t="s">
        <v>971</v>
      </c>
      <c r="K833" t="s">
        <v>972</v>
      </c>
      <c r="L833">
        <v>34343.269999999997</v>
      </c>
      <c r="M833">
        <f t="shared" si="12"/>
        <v>435599.14000000007</v>
      </c>
    </row>
    <row r="834" spans="1:13" x14ac:dyDescent="0.25">
      <c r="A834" t="s">
        <v>820</v>
      </c>
      <c r="B834" t="s">
        <v>1487</v>
      </c>
      <c r="C834" t="s">
        <v>975</v>
      </c>
      <c r="D834" t="s">
        <v>1457</v>
      </c>
      <c r="E834" t="s">
        <v>977</v>
      </c>
      <c r="F834" t="s">
        <v>967</v>
      </c>
      <c r="G834" t="s">
        <v>968</v>
      </c>
      <c r="H834" t="s">
        <v>969</v>
      </c>
      <c r="I834" t="s">
        <v>970</v>
      </c>
      <c r="J834" t="s">
        <v>971</v>
      </c>
      <c r="K834" t="s">
        <v>972</v>
      </c>
      <c r="L834">
        <v>31968.26</v>
      </c>
      <c r="M834">
        <f t="shared" si="12"/>
        <v>435599.14000000007</v>
      </c>
    </row>
    <row r="835" spans="1:13" x14ac:dyDescent="0.25">
      <c r="A835" t="s">
        <v>600</v>
      </c>
      <c r="B835" t="s">
        <v>1456</v>
      </c>
      <c r="C835" t="s">
        <v>975</v>
      </c>
      <c r="D835" t="s">
        <v>1457</v>
      </c>
      <c r="E835" t="s">
        <v>977</v>
      </c>
      <c r="F835" t="s">
        <v>967</v>
      </c>
      <c r="G835" t="s">
        <v>968</v>
      </c>
      <c r="H835" t="s">
        <v>969</v>
      </c>
      <c r="I835" t="s">
        <v>970</v>
      </c>
      <c r="J835" t="s">
        <v>971</v>
      </c>
      <c r="K835" t="s">
        <v>972</v>
      </c>
      <c r="L835">
        <v>33714.06</v>
      </c>
      <c r="M835">
        <f t="shared" ref="M835:M898" si="13">+SUMIF(A:A,A835,L:L)</f>
        <v>435599.14000000007</v>
      </c>
    </row>
    <row r="836" spans="1:13" x14ac:dyDescent="0.25">
      <c r="A836" t="s">
        <v>545</v>
      </c>
      <c r="B836" t="s">
        <v>2494</v>
      </c>
      <c r="C836" t="s">
        <v>988</v>
      </c>
      <c r="D836" t="s">
        <v>1348</v>
      </c>
      <c r="E836" t="s">
        <v>977</v>
      </c>
      <c r="F836" t="s">
        <v>967</v>
      </c>
      <c r="G836" t="s">
        <v>968</v>
      </c>
      <c r="H836" t="s">
        <v>2390</v>
      </c>
      <c r="I836" t="s">
        <v>970</v>
      </c>
      <c r="J836" t="s">
        <v>971</v>
      </c>
      <c r="K836" t="s">
        <v>972</v>
      </c>
      <c r="L836">
        <v>282.45999999999998</v>
      </c>
      <c r="M836">
        <f t="shared" si="13"/>
        <v>37618.93</v>
      </c>
    </row>
    <row r="837" spans="1:13" x14ac:dyDescent="0.25">
      <c r="A837" t="s">
        <v>586</v>
      </c>
      <c r="B837" t="s">
        <v>2495</v>
      </c>
      <c r="C837" t="s">
        <v>988</v>
      </c>
      <c r="D837" t="s">
        <v>1348</v>
      </c>
      <c r="E837" t="s">
        <v>977</v>
      </c>
      <c r="F837" t="s">
        <v>967</v>
      </c>
      <c r="G837" t="s">
        <v>968</v>
      </c>
      <c r="H837" t="s">
        <v>2390</v>
      </c>
      <c r="I837" t="s">
        <v>970</v>
      </c>
      <c r="J837" t="s">
        <v>971</v>
      </c>
      <c r="K837" t="s">
        <v>972</v>
      </c>
      <c r="L837">
        <v>282.45999999999998</v>
      </c>
      <c r="M837">
        <f t="shared" si="13"/>
        <v>37618.93</v>
      </c>
    </row>
    <row r="838" spans="1:13" x14ac:dyDescent="0.25">
      <c r="A838" t="s">
        <v>114</v>
      </c>
      <c r="B838" t="s">
        <v>2493</v>
      </c>
      <c r="C838" t="s">
        <v>988</v>
      </c>
      <c r="D838" t="s">
        <v>1348</v>
      </c>
      <c r="E838" t="s">
        <v>977</v>
      </c>
      <c r="F838" t="s">
        <v>967</v>
      </c>
      <c r="G838" t="s">
        <v>968</v>
      </c>
      <c r="H838" t="s">
        <v>2390</v>
      </c>
      <c r="I838" t="s">
        <v>970</v>
      </c>
      <c r="J838" t="s">
        <v>971</v>
      </c>
      <c r="K838" t="s">
        <v>972</v>
      </c>
      <c r="L838">
        <v>282.45999999999998</v>
      </c>
      <c r="M838">
        <f t="shared" si="13"/>
        <v>37618.93</v>
      </c>
    </row>
    <row r="839" spans="1:13" x14ac:dyDescent="0.25">
      <c r="A839" t="s">
        <v>734</v>
      </c>
      <c r="B839" t="s">
        <v>1403</v>
      </c>
      <c r="C839" t="s">
        <v>975</v>
      </c>
      <c r="D839" t="s">
        <v>1384</v>
      </c>
      <c r="E839" t="s">
        <v>977</v>
      </c>
      <c r="F839" t="s">
        <v>967</v>
      </c>
      <c r="G839" t="s">
        <v>968</v>
      </c>
      <c r="H839" t="s">
        <v>969</v>
      </c>
      <c r="I839" t="s">
        <v>970</v>
      </c>
      <c r="J839" t="s">
        <v>971</v>
      </c>
      <c r="K839" t="s">
        <v>972</v>
      </c>
      <c r="L839">
        <v>36771.550000000003</v>
      </c>
      <c r="M839">
        <f t="shared" si="13"/>
        <v>37618.93</v>
      </c>
    </row>
    <row r="840" spans="1:13" x14ac:dyDescent="0.25">
      <c r="A840" t="s">
        <v>93</v>
      </c>
      <c r="B840" t="s">
        <v>1526</v>
      </c>
      <c r="C840" t="s">
        <v>975</v>
      </c>
      <c r="D840" t="s">
        <v>1457</v>
      </c>
      <c r="E840" t="s">
        <v>980</v>
      </c>
      <c r="F840" t="s">
        <v>967</v>
      </c>
      <c r="G840" t="s">
        <v>968</v>
      </c>
      <c r="H840" t="s">
        <v>969</v>
      </c>
      <c r="I840" t="s">
        <v>970</v>
      </c>
      <c r="J840" t="s">
        <v>971</v>
      </c>
      <c r="K840" t="s">
        <v>972</v>
      </c>
      <c r="L840">
        <v>30747.3</v>
      </c>
      <c r="M840">
        <f t="shared" si="13"/>
        <v>173782.40000000002</v>
      </c>
    </row>
    <row r="841" spans="1:13" x14ac:dyDescent="0.25">
      <c r="A841" t="s">
        <v>500</v>
      </c>
      <c r="B841" t="s">
        <v>1409</v>
      </c>
      <c r="C841" t="s">
        <v>975</v>
      </c>
      <c r="D841" t="s">
        <v>1408</v>
      </c>
      <c r="E841" t="s">
        <v>980</v>
      </c>
      <c r="F841" t="s">
        <v>967</v>
      </c>
      <c r="G841" t="s">
        <v>968</v>
      </c>
      <c r="H841" t="s">
        <v>969</v>
      </c>
      <c r="I841" t="s">
        <v>970</v>
      </c>
      <c r="J841" t="s">
        <v>971</v>
      </c>
      <c r="K841" t="s">
        <v>972</v>
      </c>
      <c r="L841">
        <v>36547.72</v>
      </c>
      <c r="M841">
        <f t="shared" si="13"/>
        <v>173782.40000000002</v>
      </c>
    </row>
    <row r="842" spans="1:13" x14ac:dyDescent="0.25">
      <c r="A842" t="s">
        <v>393</v>
      </c>
      <c r="B842" t="s">
        <v>1407</v>
      </c>
      <c r="C842" t="s">
        <v>975</v>
      </c>
      <c r="D842" t="s">
        <v>1408</v>
      </c>
      <c r="E842" t="s">
        <v>980</v>
      </c>
      <c r="F842" t="s">
        <v>967</v>
      </c>
      <c r="G842" t="s">
        <v>968</v>
      </c>
      <c r="H842" t="s">
        <v>969</v>
      </c>
      <c r="I842" t="s">
        <v>970</v>
      </c>
      <c r="J842" t="s">
        <v>971</v>
      </c>
      <c r="K842" t="s">
        <v>972</v>
      </c>
      <c r="L842">
        <v>36547.72</v>
      </c>
      <c r="M842">
        <f t="shared" si="13"/>
        <v>173782.40000000002</v>
      </c>
    </row>
    <row r="843" spans="1:13" x14ac:dyDescent="0.25">
      <c r="A843" t="s">
        <v>589</v>
      </c>
      <c r="B843" t="s">
        <v>2315</v>
      </c>
      <c r="C843" t="s">
        <v>988</v>
      </c>
      <c r="D843" t="s">
        <v>1413</v>
      </c>
      <c r="E843" t="s">
        <v>977</v>
      </c>
      <c r="F843" t="s">
        <v>967</v>
      </c>
      <c r="G843" t="s">
        <v>968</v>
      </c>
      <c r="H843" t="s">
        <v>969</v>
      </c>
      <c r="I843" t="s">
        <v>970</v>
      </c>
      <c r="J843" t="s">
        <v>971</v>
      </c>
      <c r="K843" t="s">
        <v>972</v>
      </c>
      <c r="L843">
        <v>1438.92</v>
      </c>
      <c r="M843">
        <f t="shared" si="13"/>
        <v>173782.40000000002</v>
      </c>
    </row>
    <row r="844" spans="1:13" x14ac:dyDescent="0.25">
      <c r="A844" t="s">
        <v>343</v>
      </c>
      <c r="B844" t="s">
        <v>2318</v>
      </c>
      <c r="C844" t="s">
        <v>988</v>
      </c>
      <c r="D844" t="s">
        <v>1288</v>
      </c>
      <c r="E844" t="s">
        <v>977</v>
      </c>
      <c r="F844" t="s">
        <v>967</v>
      </c>
      <c r="G844" t="s">
        <v>968</v>
      </c>
      <c r="H844" t="s">
        <v>969</v>
      </c>
      <c r="I844" t="s">
        <v>970</v>
      </c>
      <c r="J844" t="s">
        <v>971</v>
      </c>
      <c r="K844" t="s">
        <v>972</v>
      </c>
      <c r="L844">
        <v>1410.1</v>
      </c>
      <c r="M844">
        <f t="shared" si="13"/>
        <v>173782.40000000002</v>
      </c>
    </row>
    <row r="845" spans="1:13" x14ac:dyDescent="0.25">
      <c r="A845" t="s">
        <v>803</v>
      </c>
      <c r="B845" t="s">
        <v>1459</v>
      </c>
      <c r="C845" t="s">
        <v>975</v>
      </c>
      <c r="D845" t="s">
        <v>1384</v>
      </c>
      <c r="E845" t="s">
        <v>966</v>
      </c>
      <c r="F845" t="s">
        <v>967</v>
      </c>
      <c r="G845" t="s">
        <v>968</v>
      </c>
      <c r="H845" t="s">
        <v>969</v>
      </c>
      <c r="I845" t="s">
        <v>970</v>
      </c>
      <c r="J845" t="s">
        <v>971</v>
      </c>
      <c r="K845" t="s">
        <v>972</v>
      </c>
      <c r="L845">
        <v>33545.32</v>
      </c>
      <c r="M845">
        <f t="shared" si="13"/>
        <v>173782.40000000002</v>
      </c>
    </row>
    <row r="846" spans="1:13" x14ac:dyDescent="0.25">
      <c r="A846" t="s">
        <v>803</v>
      </c>
      <c r="B846" t="s">
        <v>1460</v>
      </c>
      <c r="C846" t="s">
        <v>975</v>
      </c>
      <c r="D846" t="s">
        <v>1384</v>
      </c>
      <c r="E846" t="s">
        <v>966</v>
      </c>
      <c r="F846" t="s">
        <v>967</v>
      </c>
      <c r="G846" t="s">
        <v>968</v>
      </c>
      <c r="H846" t="s">
        <v>969</v>
      </c>
      <c r="I846" t="s">
        <v>970</v>
      </c>
      <c r="J846" t="s">
        <v>971</v>
      </c>
      <c r="K846" t="s">
        <v>972</v>
      </c>
      <c r="L846">
        <v>33545.32</v>
      </c>
      <c r="M846">
        <f t="shared" si="13"/>
        <v>173782.40000000002</v>
      </c>
    </row>
    <row r="847" spans="1:13" x14ac:dyDescent="0.25">
      <c r="A847" t="s">
        <v>100</v>
      </c>
      <c r="B847" t="s">
        <v>1447</v>
      </c>
      <c r="C847" t="s">
        <v>975</v>
      </c>
      <c r="D847" t="s">
        <v>1386</v>
      </c>
      <c r="E847" t="s">
        <v>980</v>
      </c>
      <c r="F847" t="s">
        <v>967</v>
      </c>
      <c r="G847" t="s">
        <v>968</v>
      </c>
      <c r="H847" t="s">
        <v>969</v>
      </c>
      <c r="I847" t="s">
        <v>970</v>
      </c>
      <c r="J847" t="s">
        <v>971</v>
      </c>
      <c r="K847" t="s">
        <v>972</v>
      </c>
      <c r="L847">
        <v>34909.199999999997</v>
      </c>
      <c r="M847">
        <f t="shared" si="13"/>
        <v>175184.02</v>
      </c>
    </row>
    <row r="848" spans="1:13" x14ac:dyDescent="0.25">
      <c r="A848" t="s">
        <v>778</v>
      </c>
      <c r="B848" t="s">
        <v>2331</v>
      </c>
      <c r="C848" t="s">
        <v>988</v>
      </c>
      <c r="D848" t="s">
        <v>1386</v>
      </c>
      <c r="E848" t="s">
        <v>966</v>
      </c>
      <c r="F848" t="s">
        <v>967</v>
      </c>
      <c r="G848" t="s">
        <v>968</v>
      </c>
      <c r="H848" t="s">
        <v>969</v>
      </c>
      <c r="I848" t="s">
        <v>970</v>
      </c>
      <c r="J848" t="s">
        <v>971</v>
      </c>
      <c r="K848" t="s">
        <v>972</v>
      </c>
      <c r="L848">
        <v>1144.04</v>
      </c>
      <c r="M848">
        <f t="shared" si="13"/>
        <v>175184.02</v>
      </c>
    </row>
    <row r="849" spans="1:13" x14ac:dyDescent="0.25">
      <c r="A849" t="s">
        <v>336</v>
      </c>
      <c r="B849" t="s">
        <v>1439</v>
      </c>
      <c r="C849" t="s">
        <v>975</v>
      </c>
      <c r="D849" t="s">
        <v>1288</v>
      </c>
      <c r="E849" t="s">
        <v>977</v>
      </c>
      <c r="F849" t="s">
        <v>967</v>
      </c>
      <c r="G849" t="s">
        <v>968</v>
      </c>
      <c r="H849" t="s">
        <v>969</v>
      </c>
      <c r="I849" t="s">
        <v>970</v>
      </c>
      <c r="J849" t="s">
        <v>971</v>
      </c>
      <c r="K849" t="s">
        <v>972</v>
      </c>
      <c r="L849">
        <v>35409.25</v>
      </c>
      <c r="M849">
        <f t="shared" si="13"/>
        <v>175184.02</v>
      </c>
    </row>
    <row r="850" spans="1:13" x14ac:dyDescent="0.25">
      <c r="A850" t="s">
        <v>528</v>
      </c>
      <c r="B850" t="s">
        <v>1383</v>
      </c>
      <c r="C850" t="s">
        <v>975</v>
      </c>
      <c r="D850" t="s">
        <v>1384</v>
      </c>
      <c r="E850" t="s">
        <v>980</v>
      </c>
      <c r="F850" t="s">
        <v>967</v>
      </c>
      <c r="G850" t="s">
        <v>968</v>
      </c>
      <c r="H850" t="s">
        <v>969</v>
      </c>
      <c r="I850" t="s">
        <v>970</v>
      </c>
      <c r="J850" t="s">
        <v>971</v>
      </c>
      <c r="K850" t="s">
        <v>972</v>
      </c>
      <c r="L850">
        <v>37826.86</v>
      </c>
      <c r="M850">
        <f t="shared" si="13"/>
        <v>175184.02</v>
      </c>
    </row>
    <row r="851" spans="1:13" x14ac:dyDescent="0.25">
      <c r="A851" t="s">
        <v>633</v>
      </c>
      <c r="B851" t="s">
        <v>1472</v>
      </c>
      <c r="C851" t="s">
        <v>975</v>
      </c>
      <c r="D851" t="s">
        <v>1384</v>
      </c>
      <c r="E851" t="s">
        <v>977</v>
      </c>
      <c r="F851" t="s">
        <v>967</v>
      </c>
      <c r="G851" t="s">
        <v>968</v>
      </c>
      <c r="H851" t="s">
        <v>969</v>
      </c>
      <c r="I851" t="s">
        <v>970</v>
      </c>
      <c r="J851" t="s">
        <v>971</v>
      </c>
      <c r="K851" t="s">
        <v>972</v>
      </c>
      <c r="L851">
        <v>32975.49</v>
      </c>
      <c r="M851">
        <f t="shared" si="13"/>
        <v>175184.02</v>
      </c>
    </row>
    <row r="852" spans="1:13" x14ac:dyDescent="0.25">
      <c r="A852" t="s">
        <v>40</v>
      </c>
      <c r="B852" t="s">
        <v>1474</v>
      </c>
      <c r="C852" t="s">
        <v>975</v>
      </c>
      <c r="D852" t="s">
        <v>1384</v>
      </c>
      <c r="E852" t="s">
        <v>966</v>
      </c>
      <c r="F852" t="s">
        <v>967</v>
      </c>
      <c r="G852" t="s">
        <v>968</v>
      </c>
      <c r="H852" t="s">
        <v>969</v>
      </c>
      <c r="I852" t="s">
        <v>970</v>
      </c>
      <c r="J852" t="s">
        <v>971</v>
      </c>
      <c r="K852" t="s">
        <v>972</v>
      </c>
      <c r="L852">
        <v>32919.18</v>
      </c>
      <c r="M852">
        <f t="shared" si="13"/>
        <v>175184.02</v>
      </c>
    </row>
    <row r="853" spans="1:13" x14ac:dyDescent="0.25">
      <c r="A853" t="s">
        <v>413</v>
      </c>
      <c r="B853" t="s">
        <v>2258</v>
      </c>
      <c r="C853" t="s">
        <v>982</v>
      </c>
      <c r="D853" t="s">
        <v>1384</v>
      </c>
      <c r="E853" t="s">
        <v>977</v>
      </c>
      <c r="F853" t="s">
        <v>967</v>
      </c>
      <c r="G853" t="s">
        <v>968</v>
      </c>
      <c r="H853" t="s">
        <v>969</v>
      </c>
      <c r="I853" t="s">
        <v>970</v>
      </c>
      <c r="J853" t="s">
        <v>971</v>
      </c>
      <c r="K853" t="s">
        <v>972</v>
      </c>
      <c r="L853">
        <v>1898.05</v>
      </c>
      <c r="M853">
        <f t="shared" si="13"/>
        <v>324142.34999999998</v>
      </c>
    </row>
    <row r="854" spans="1:13" x14ac:dyDescent="0.25">
      <c r="A854" t="s">
        <v>931</v>
      </c>
      <c r="B854" t="s">
        <v>1389</v>
      </c>
      <c r="C854" t="s">
        <v>975</v>
      </c>
      <c r="D854" t="s">
        <v>1386</v>
      </c>
      <c r="E854" t="s">
        <v>980</v>
      </c>
      <c r="F854" t="s">
        <v>967</v>
      </c>
      <c r="G854" t="s">
        <v>968</v>
      </c>
      <c r="H854" t="s">
        <v>969</v>
      </c>
      <c r="I854" t="s">
        <v>970</v>
      </c>
      <c r="J854" t="s">
        <v>971</v>
      </c>
      <c r="K854" t="s">
        <v>972</v>
      </c>
      <c r="L854">
        <v>37591.129999999997</v>
      </c>
      <c r="M854">
        <f t="shared" si="13"/>
        <v>324142.34999999998</v>
      </c>
    </row>
    <row r="855" spans="1:13" x14ac:dyDescent="0.25">
      <c r="A855" t="s">
        <v>828</v>
      </c>
      <c r="B855" t="s">
        <v>2369</v>
      </c>
      <c r="C855" t="s">
        <v>988</v>
      </c>
      <c r="D855" t="s">
        <v>983</v>
      </c>
      <c r="E855" t="s">
        <v>977</v>
      </c>
      <c r="F855" t="s">
        <v>967</v>
      </c>
      <c r="G855" t="s">
        <v>968</v>
      </c>
      <c r="H855" t="s">
        <v>969</v>
      </c>
      <c r="I855" t="s">
        <v>970</v>
      </c>
      <c r="J855" t="s">
        <v>971</v>
      </c>
      <c r="K855" t="s">
        <v>972</v>
      </c>
      <c r="L855">
        <v>1093.67</v>
      </c>
      <c r="M855">
        <f t="shared" si="13"/>
        <v>324142.34999999998</v>
      </c>
    </row>
    <row r="856" spans="1:13" x14ac:dyDescent="0.25">
      <c r="A856" t="s">
        <v>257</v>
      </c>
      <c r="B856" t="s">
        <v>2328</v>
      </c>
      <c r="C856" t="s">
        <v>988</v>
      </c>
      <c r="D856" t="s">
        <v>1386</v>
      </c>
      <c r="E856" t="s">
        <v>977</v>
      </c>
      <c r="F856" t="s">
        <v>967</v>
      </c>
      <c r="G856" t="s">
        <v>968</v>
      </c>
      <c r="H856" t="s">
        <v>969</v>
      </c>
      <c r="I856" t="s">
        <v>970</v>
      </c>
      <c r="J856" t="s">
        <v>971</v>
      </c>
      <c r="K856" t="s">
        <v>972</v>
      </c>
      <c r="L856">
        <v>1186.07</v>
      </c>
      <c r="M856">
        <f t="shared" si="13"/>
        <v>324142.34999999998</v>
      </c>
    </row>
    <row r="857" spans="1:13" x14ac:dyDescent="0.25">
      <c r="A857" t="s">
        <v>514</v>
      </c>
      <c r="B857" t="s">
        <v>1385</v>
      </c>
      <c r="C857" t="s">
        <v>975</v>
      </c>
      <c r="D857" t="s">
        <v>1386</v>
      </c>
      <c r="E857" t="s">
        <v>980</v>
      </c>
      <c r="F857" t="s">
        <v>967</v>
      </c>
      <c r="G857" t="s">
        <v>968</v>
      </c>
      <c r="H857" t="s">
        <v>969</v>
      </c>
      <c r="I857" t="s">
        <v>970</v>
      </c>
      <c r="J857" t="s">
        <v>971</v>
      </c>
      <c r="K857" t="s">
        <v>972</v>
      </c>
      <c r="L857">
        <v>37760.39</v>
      </c>
      <c r="M857">
        <f t="shared" si="13"/>
        <v>324142.34999999998</v>
      </c>
    </row>
    <row r="858" spans="1:13" x14ac:dyDescent="0.25">
      <c r="A858" t="s">
        <v>514</v>
      </c>
      <c r="B858" t="s">
        <v>1387</v>
      </c>
      <c r="C858" t="s">
        <v>975</v>
      </c>
      <c r="D858" t="s">
        <v>1386</v>
      </c>
      <c r="E858" t="s">
        <v>980</v>
      </c>
      <c r="F858" t="s">
        <v>967</v>
      </c>
      <c r="G858" t="s">
        <v>968</v>
      </c>
      <c r="H858" t="s">
        <v>969</v>
      </c>
      <c r="I858" t="s">
        <v>970</v>
      </c>
      <c r="J858" t="s">
        <v>971</v>
      </c>
      <c r="K858" t="s">
        <v>972</v>
      </c>
      <c r="L858">
        <v>37760.39</v>
      </c>
      <c r="M858">
        <f t="shared" si="13"/>
        <v>324142.34999999998</v>
      </c>
    </row>
    <row r="859" spans="1:13" x14ac:dyDescent="0.25">
      <c r="A859" t="s">
        <v>890</v>
      </c>
      <c r="B859" t="s">
        <v>1287</v>
      </c>
      <c r="C859" t="s">
        <v>975</v>
      </c>
      <c r="D859" t="s">
        <v>1288</v>
      </c>
      <c r="E859" t="s">
        <v>966</v>
      </c>
      <c r="F859" t="s">
        <v>967</v>
      </c>
      <c r="G859" t="s">
        <v>968</v>
      </c>
      <c r="H859" t="s">
        <v>969</v>
      </c>
      <c r="I859" t="s">
        <v>970</v>
      </c>
      <c r="J859" t="s">
        <v>971</v>
      </c>
      <c r="K859" t="s">
        <v>972</v>
      </c>
      <c r="L859">
        <v>41146.28</v>
      </c>
      <c r="M859">
        <f t="shared" si="13"/>
        <v>324142.34999999998</v>
      </c>
    </row>
    <row r="860" spans="1:13" x14ac:dyDescent="0.25">
      <c r="A860" t="s">
        <v>890</v>
      </c>
      <c r="B860" t="s">
        <v>1289</v>
      </c>
      <c r="C860" t="s">
        <v>975</v>
      </c>
      <c r="D860" t="s">
        <v>1288</v>
      </c>
      <c r="E860" t="s">
        <v>966</v>
      </c>
      <c r="F860" t="s">
        <v>967</v>
      </c>
      <c r="G860" t="s">
        <v>968</v>
      </c>
      <c r="H860" t="s">
        <v>969</v>
      </c>
      <c r="I860" t="s">
        <v>970</v>
      </c>
      <c r="J860" t="s">
        <v>971</v>
      </c>
      <c r="K860" t="s">
        <v>972</v>
      </c>
      <c r="L860">
        <v>41146.28</v>
      </c>
      <c r="M860">
        <f t="shared" si="13"/>
        <v>324142.34999999998</v>
      </c>
    </row>
    <row r="861" spans="1:13" x14ac:dyDescent="0.25">
      <c r="A861" t="s">
        <v>890</v>
      </c>
      <c r="B861" t="s">
        <v>1290</v>
      </c>
      <c r="C861" t="s">
        <v>975</v>
      </c>
      <c r="D861" t="s">
        <v>1288</v>
      </c>
      <c r="E861" t="s">
        <v>966</v>
      </c>
      <c r="F861" t="s">
        <v>967</v>
      </c>
      <c r="G861" t="s">
        <v>968</v>
      </c>
      <c r="H861" t="s">
        <v>969</v>
      </c>
      <c r="I861" t="s">
        <v>970</v>
      </c>
      <c r="J861" t="s">
        <v>971</v>
      </c>
      <c r="K861" t="s">
        <v>972</v>
      </c>
      <c r="L861">
        <v>41146.28</v>
      </c>
      <c r="M861">
        <f t="shared" si="13"/>
        <v>324142.34999999998</v>
      </c>
    </row>
    <row r="862" spans="1:13" x14ac:dyDescent="0.25">
      <c r="A862" t="s">
        <v>890</v>
      </c>
      <c r="B862" t="s">
        <v>1291</v>
      </c>
      <c r="C862" t="s">
        <v>975</v>
      </c>
      <c r="D862" t="s">
        <v>1288</v>
      </c>
      <c r="E862" t="s">
        <v>966</v>
      </c>
      <c r="F862" t="s">
        <v>967</v>
      </c>
      <c r="G862" t="s">
        <v>968</v>
      </c>
      <c r="H862" t="s">
        <v>969</v>
      </c>
      <c r="I862" t="s">
        <v>970</v>
      </c>
      <c r="J862" t="s">
        <v>971</v>
      </c>
      <c r="K862" t="s">
        <v>972</v>
      </c>
      <c r="L862">
        <v>41146.28</v>
      </c>
      <c r="M862">
        <f t="shared" si="13"/>
        <v>324142.34999999998</v>
      </c>
    </row>
    <row r="863" spans="1:13" x14ac:dyDescent="0.25">
      <c r="A863" t="s">
        <v>52</v>
      </c>
      <c r="B863" t="s">
        <v>1268</v>
      </c>
      <c r="C863" t="s">
        <v>975</v>
      </c>
      <c r="D863" t="s">
        <v>1201</v>
      </c>
      <c r="E863" t="s">
        <v>977</v>
      </c>
      <c r="F863" t="s">
        <v>967</v>
      </c>
      <c r="G863" t="s">
        <v>968</v>
      </c>
      <c r="H863" t="s">
        <v>969</v>
      </c>
      <c r="I863" t="s">
        <v>970</v>
      </c>
      <c r="J863" t="s">
        <v>971</v>
      </c>
      <c r="K863" t="s">
        <v>972</v>
      </c>
      <c r="L863">
        <v>42267.53</v>
      </c>
      <c r="M863">
        <f t="shared" si="13"/>
        <v>324142.34999999998</v>
      </c>
    </row>
    <row r="864" spans="1:13" x14ac:dyDescent="0.25">
      <c r="A864" t="s">
        <v>90</v>
      </c>
      <c r="B864" t="s">
        <v>1357</v>
      </c>
      <c r="C864" t="s">
        <v>975</v>
      </c>
      <c r="D864" t="s">
        <v>1288</v>
      </c>
      <c r="E864" t="s">
        <v>980</v>
      </c>
      <c r="F864" t="s">
        <v>967</v>
      </c>
      <c r="G864" t="s">
        <v>968</v>
      </c>
      <c r="H864" t="s">
        <v>969</v>
      </c>
      <c r="I864" t="s">
        <v>970</v>
      </c>
      <c r="J864" t="s">
        <v>971</v>
      </c>
      <c r="K864" t="s">
        <v>972</v>
      </c>
      <c r="L864">
        <v>38629.050000000003</v>
      </c>
      <c r="M864">
        <f t="shared" si="13"/>
        <v>471159.08000000007</v>
      </c>
    </row>
    <row r="865" spans="1:13" x14ac:dyDescent="0.25">
      <c r="A865" t="s">
        <v>912</v>
      </c>
      <c r="B865" t="s">
        <v>1379</v>
      </c>
      <c r="C865" t="s">
        <v>975</v>
      </c>
      <c r="D865" t="s">
        <v>1201</v>
      </c>
      <c r="E865" t="s">
        <v>980</v>
      </c>
      <c r="F865" t="s">
        <v>967</v>
      </c>
      <c r="G865" t="s">
        <v>968</v>
      </c>
      <c r="H865" t="s">
        <v>969</v>
      </c>
      <c r="I865" t="s">
        <v>970</v>
      </c>
      <c r="J865" t="s">
        <v>971</v>
      </c>
      <c r="K865" t="s">
        <v>972</v>
      </c>
      <c r="L865">
        <v>38108.11</v>
      </c>
      <c r="M865">
        <f t="shared" si="13"/>
        <v>471159.08000000007</v>
      </c>
    </row>
    <row r="866" spans="1:13" x14ac:dyDescent="0.25">
      <c r="A866" t="s">
        <v>617</v>
      </c>
      <c r="B866" t="s">
        <v>1355</v>
      </c>
      <c r="C866" t="s">
        <v>975</v>
      </c>
      <c r="D866" t="s">
        <v>1356</v>
      </c>
      <c r="E866" t="s">
        <v>980</v>
      </c>
      <c r="F866" t="s">
        <v>967</v>
      </c>
      <c r="G866" t="s">
        <v>968</v>
      </c>
      <c r="H866" t="s">
        <v>969</v>
      </c>
      <c r="I866" t="s">
        <v>970</v>
      </c>
      <c r="J866" t="s">
        <v>971</v>
      </c>
      <c r="K866" t="s">
        <v>972</v>
      </c>
      <c r="L866">
        <v>38660.65</v>
      </c>
      <c r="M866">
        <f t="shared" si="13"/>
        <v>471159.08000000007</v>
      </c>
    </row>
    <row r="867" spans="1:13" x14ac:dyDescent="0.25">
      <c r="A867" t="s">
        <v>819</v>
      </c>
      <c r="B867" t="s">
        <v>2299</v>
      </c>
      <c r="C867" t="s">
        <v>988</v>
      </c>
      <c r="D867" t="s">
        <v>1288</v>
      </c>
      <c r="E867" t="s">
        <v>977</v>
      </c>
      <c r="F867" t="s">
        <v>967</v>
      </c>
      <c r="G867" t="s">
        <v>968</v>
      </c>
      <c r="H867" t="s">
        <v>969</v>
      </c>
      <c r="I867" t="s">
        <v>970</v>
      </c>
      <c r="J867" t="s">
        <v>971</v>
      </c>
      <c r="K867" t="s">
        <v>972</v>
      </c>
      <c r="L867">
        <v>1599.32</v>
      </c>
      <c r="M867">
        <f t="shared" si="13"/>
        <v>471159.08000000007</v>
      </c>
    </row>
    <row r="868" spans="1:13" x14ac:dyDescent="0.25">
      <c r="A868" t="s">
        <v>899</v>
      </c>
      <c r="B868" t="s">
        <v>1490</v>
      </c>
      <c r="C868" t="s">
        <v>964</v>
      </c>
      <c r="D868" t="s">
        <v>1356</v>
      </c>
      <c r="E868" t="s">
        <v>977</v>
      </c>
      <c r="F868" t="s">
        <v>967</v>
      </c>
      <c r="G868" t="s">
        <v>968</v>
      </c>
      <c r="H868" t="s">
        <v>969</v>
      </c>
      <c r="I868" t="s">
        <v>970</v>
      </c>
      <c r="J868" t="s">
        <v>971</v>
      </c>
      <c r="K868" t="s">
        <v>972</v>
      </c>
      <c r="L868">
        <v>31658.51</v>
      </c>
      <c r="M868">
        <f t="shared" si="13"/>
        <v>471159.08000000007</v>
      </c>
    </row>
    <row r="869" spans="1:13" x14ac:dyDescent="0.25">
      <c r="A869" t="s">
        <v>519</v>
      </c>
      <c r="B869" t="s">
        <v>1317</v>
      </c>
      <c r="C869" t="s">
        <v>975</v>
      </c>
      <c r="D869" t="s">
        <v>1201</v>
      </c>
      <c r="E869" t="s">
        <v>980</v>
      </c>
      <c r="F869" t="s">
        <v>967</v>
      </c>
      <c r="G869" t="s">
        <v>968</v>
      </c>
      <c r="H869" t="s">
        <v>969</v>
      </c>
      <c r="I869" t="s">
        <v>970</v>
      </c>
      <c r="J869" t="s">
        <v>971</v>
      </c>
      <c r="K869" t="s">
        <v>972</v>
      </c>
      <c r="L869">
        <v>40355.39</v>
      </c>
      <c r="M869">
        <f t="shared" si="13"/>
        <v>471159.08000000007</v>
      </c>
    </row>
    <row r="870" spans="1:13" x14ac:dyDescent="0.25">
      <c r="A870" t="s">
        <v>519</v>
      </c>
      <c r="B870" t="s">
        <v>1318</v>
      </c>
      <c r="C870" t="s">
        <v>975</v>
      </c>
      <c r="D870" t="s">
        <v>1201</v>
      </c>
      <c r="E870" t="s">
        <v>980</v>
      </c>
      <c r="F870" t="s">
        <v>967</v>
      </c>
      <c r="G870" t="s">
        <v>968</v>
      </c>
      <c r="H870" t="s">
        <v>969</v>
      </c>
      <c r="I870" t="s">
        <v>970</v>
      </c>
      <c r="J870" t="s">
        <v>971</v>
      </c>
      <c r="K870" t="s">
        <v>972</v>
      </c>
      <c r="L870">
        <v>40355.39</v>
      </c>
      <c r="M870">
        <f t="shared" si="13"/>
        <v>471159.08000000007</v>
      </c>
    </row>
    <row r="871" spans="1:13" x14ac:dyDescent="0.25">
      <c r="A871" t="s">
        <v>519</v>
      </c>
      <c r="B871" t="s">
        <v>1319</v>
      </c>
      <c r="C871" t="s">
        <v>975</v>
      </c>
      <c r="D871" t="s">
        <v>1201</v>
      </c>
      <c r="E871" t="s">
        <v>980</v>
      </c>
      <c r="F871" t="s">
        <v>967</v>
      </c>
      <c r="G871" t="s">
        <v>968</v>
      </c>
      <c r="H871" t="s">
        <v>969</v>
      </c>
      <c r="I871" t="s">
        <v>970</v>
      </c>
      <c r="J871" t="s">
        <v>971</v>
      </c>
      <c r="K871" t="s">
        <v>972</v>
      </c>
      <c r="L871">
        <v>40355.39</v>
      </c>
      <c r="M871">
        <f t="shared" si="13"/>
        <v>471159.08000000007</v>
      </c>
    </row>
    <row r="872" spans="1:13" x14ac:dyDescent="0.25">
      <c r="A872" t="s">
        <v>519</v>
      </c>
      <c r="B872" t="s">
        <v>1320</v>
      </c>
      <c r="C872" t="s">
        <v>975</v>
      </c>
      <c r="D872" t="s">
        <v>1201</v>
      </c>
      <c r="E872" t="s">
        <v>980</v>
      </c>
      <c r="F872" t="s">
        <v>967</v>
      </c>
      <c r="G872" t="s">
        <v>968</v>
      </c>
      <c r="H872" t="s">
        <v>969</v>
      </c>
      <c r="I872" t="s">
        <v>970</v>
      </c>
      <c r="J872" t="s">
        <v>971</v>
      </c>
      <c r="K872" t="s">
        <v>972</v>
      </c>
      <c r="L872">
        <v>40355.39</v>
      </c>
      <c r="M872">
        <f t="shared" si="13"/>
        <v>471159.08000000007</v>
      </c>
    </row>
    <row r="873" spans="1:13" x14ac:dyDescent="0.25">
      <c r="A873" t="s">
        <v>519</v>
      </c>
      <c r="B873" t="s">
        <v>1321</v>
      </c>
      <c r="C873" t="s">
        <v>975</v>
      </c>
      <c r="D873" t="s">
        <v>1201</v>
      </c>
      <c r="E873" t="s">
        <v>980</v>
      </c>
      <c r="F873" t="s">
        <v>967</v>
      </c>
      <c r="G873" t="s">
        <v>968</v>
      </c>
      <c r="H873" t="s">
        <v>969</v>
      </c>
      <c r="I873" t="s">
        <v>970</v>
      </c>
      <c r="J873" t="s">
        <v>971</v>
      </c>
      <c r="K873" t="s">
        <v>972</v>
      </c>
      <c r="L873">
        <v>40355.39</v>
      </c>
      <c r="M873">
        <f t="shared" si="13"/>
        <v>471159.08000000007</v>
      </c>
    </row>
    <row r="874" spans="1:13" x14ac:dyDescent="0.25">
      <c r="A874" t="s">
        <v>495</v>
      </c>
      <c r="B874" t="s">
        <v>1302</v>
      </c>
      <c r="C874" t="s">
        <v>975</v>
      </c>
      <c r="D874" t="s">
        <v>1293</v>
      </c>
      <c r="E874" t="s">
        <v>977</v>
      </c>
      <c r="F874" t="s">
        <v>967</v>
      </c>
      <c r="G874" t="s">
        <v>968</v>
      </c>
      <c r="H874" t="s">
        <v>969</v>
      </c>
      <c r="I874" t="s">
        <v>970</v>
      </c>
      <c r="J874" t="s">
        <v>971</v>
      </c>
      <c r="K874" t="s">
        <v>972</v>
      </c>
      <c r="L874">
        <v>40787.24</v>
      </c>
      <c r="M874">
        <f t="shared" si="13"/>
        <v>471159.08000000007</v>
      </c>
    </row>
    <row r="875" spans="1:13" x14ac:dyDescent="0.25">
      <c r="A875" t="s">
        <v>455</v>
      </c>
      <c r="B875" t="s">
        <v>1354</v>
      </c>
      <c r="C875" t="s">
        <v>975</v>
      </c>
      <c r="D875" t="s">
        <v>1201</v>
      </c>
      <c r="E875" t="s">
        <v>977</v>
      </c>
      <c r="F875" t="s">
        <v>967</v>
      </c>
      <c r="G875" t="s">
        <v>968</v>
      </c>
      <c r="H875" t="s">
        <v>969</v>
      </c>
      <c r="I875" t="s">
        <v>970</v>
      </c>
      <c r="J875" t="s">
        <v>971</v>
      </c>
      <c r="K875" t="s">
        <v>972</v>
      </c>
      <c r="L875">
        <v>38666.61</v>
      </c>
      <c r="M875">
        <f t="shared" si="13"/>
        <v>471159.08000000007</v>
      </c>
    </row>
    <row r="876" spans="1:13" x14ac:dyDescent="0.25">
      <c r="A876" t="s">
        <v>461</v>
      </c>
      <c r="B876" t="s">
        <v>1283</v>
      </c>
      <c r="C876" t="s">
        <v>975</v>
      </c>
      <c r="D876" t="s">
        <v>1201</v>
      </c>
      <c r="E876" t="s">
        <v>980</v>
      </c>
      <c r="F876" t="s">
        <v>967</v>
      </c>
      <c r="G876" t="s">
        <v>968</v>
      </c>
      <c r="H876" t="s">
        <v>969</v>
      </c>
      <c r="I876" t="s">
        <v>970</v>
      </c>
      <c r="J876" t="s">
        <v>971</v>
      </c>
      <c r="K876" t="s">
        <v>972</v>
      </c>
      <c r="L876">
        <v>41272.639999999999</v>
      </c>
      <c r="M876">
        <f t="shared" si="13"/>
        <v>471159.08000000007</v>
      </c>
    </row>
    <row r="877" spans="1:13" x14ac:dyDescent="0.25">
      <c r="A877" t="s">
        <v>105</v>
      </c>
      <c r="B877" t="s">
        <v>1414</v>
      </c>
      <c r="C877" t="s">
        <v>975</v>
      </c>
      <c r="D877" t="s">
        <v>1356</v>
      </c>
      <c r="E877" t="s">
        <v>977</v>
      </c>
      <c r="F877" t="s">
        <v>967</v>
      </c>
      <c r="G877" t="s">
        <v>968</v>
      </c>
      <c r="H877" t="s">
        <v>969</v>
      </c>
      <c r="I877" t="s">
        <v>970</v>
      </c>
      <c r="J877" t="s">
        <v>971</v>
      </c>
      <c r="K877" t="s">
        <v>972</v>
      </c>
      <c r="L877">
        <v>36036.89</v>
      </c>
      <c r="M877">
        <f t="shared" si="13"/>
        <v>139460.88</v>
      </c>
    </row>
    <row r="878" spans="1:13" x14ac:dyDescent="0.25">
      <c r="A878" t="s">
        <v>415</v>
      </c>
      <c r="B878" t="s">
        <v>1535</v>
      </c>
      <c r="C878" t="s">
        <v>975</v>
      </c>
      <c r="D878" t="s">
        <v>1413</v>
      </c>
      <c r="E878" t="s">
        <v>977</v>
      </c>
      <c r="F878" t="s">
        <v>967</v>
      </c>
      <c r="G878" t="s">
        <v>968</v>
      </c>
      <c r="H878" t="s">
        <v>969</v>
      </c>
      <c r="I878" t="s">
        <v>970</v>
      </c>
      <c r="J878" t="s">
        <v>971</v>
      </c>
      <c r="K878" t="s">
        <v>972</v>
      </c>
      <c r="L878">
        <v>30123.43</v>
      </c>
      <c r="M878">
        <f t="shared" si="13"/>
        <v>139460.88</v>
      </c>
    </row>
    <row r="879" spans="1:13" x14ac:dyDescent="0.25">
      <c r="A879" t="s">
        <v>228</v>
      </c>
      <c r="B879" t="s">
        <v>1391</v>
      </c>
      <c r="C879" t="s">
        <v>975</v>
      </c>
      <c r="D879" t="s">
        <v>1356</v>
      </c>
      <c r="E879" t="s">
        <v>977</v>
      </c>
      <c r="F879" t="s">
        <v>967</v>
      </c>
      <c r="G879" t="s">
        <v>968</v>
      </c>
      <c r="H879" t="s">
        <v>969</v>
      </c>
      <c r="I879" t="s">
        <v>970</v>
      </c>
      <c r="J879" t="s">
        <v>971</v>
      </c>
      <c r="K879" t="s">
        <v>972</v>
      </c>
      <c r="L879">
        <v>37517.800000000003</v>
      </c>
      <c r="M879">
        <f t="shared" si="13"/>
        <v>139460.88</v>
      </c>
    </row>
    <row r="880" spans="1:13" x14ac:dyDescent="0.25">
      <c r="A880" t="s">
        <v>592</v>
      </c>
      <c r="B880" t="s">
        <v>1436</v>
      </c>
      <c r="C880" t="s">
        <v>964</v>
      </c>
      <c r="D880" t="s">
        <v>1356</v>
      </c>
      <c r="E880" t="s">
        <v>977</v>
      </c>
      <c r="F880" t="s">
        <v>967</v>
      </c>
      <c r="G880" t="s">
        <v>968</v>
      </c>
      <c r="H880" t="s">
        <v>969</v>
      </c>
      <c r="I880" t="s">
        <v>970</v>
      </c>
      <c r="J880" t="s">
        <v>971</v>
      </c>
      <c r="K880" t="s">
        <v>972</v>
      </c>
      <c r="L880">
        <v>35782.76</v>
      </c>
      <c r="M880">
        <f t="shared" si="13"/>
        <v>139460.88</v>
      </c>
    </row>
    <row r="881" spans="1:13" x14ac:dyDescent="0.25">
      <c r="A881" t="s">
        <v>103</v>
      </c>
      <c r="B881" t="s">
        <v>1410</v>
      </c>
      <c r="C881" t="s">
        <v>975</v>
      </c>
      <c r="D881" t="s">
        <v>979</v>
      </c>
      <c r="E881" t="s">
        <v>977</v>
      </c>
      <c r="F881" t="s">
        <v>967</v>
      </c>
      <c r="G881" t="s">
        <v>968</v>
      </c>
      <c r="H881" t="s">
        <v>969</v>
      </c>
      <c r="I881" t="s">
        <v>970</v>
      </c>
      <c r="J881" t="s">
        <v>971</v>
      </c>
      <c r="K881" t="s">
        <v>972</v>
      </c>
      <c r="L881">
        <v>36373.300000000003</v>
      </c>
      <c r="M881">
        <f t="shared" si="13"/>
        <v>115653.29000000001</v>
      </c>
    </row>
    <row r="882" spans="1:13" x14ac:dyDescent="0.25">
      <c r="A882" t="s">
        <v>564</v>
      </c>
      <c r="B882" t="s">
        <v>1345</v>
      </c>
      <c r="C882" t="s">
        <v>975</v>
      </c>
      <c r="D882" t="s">
        <v>979</v>
      </c>
      <c r="E882" t="s">
        <v>977</v>
      </c>
      <c r="F882" t="s">
        <v>967</v>
      </c>
      <c r="G882" t="s">
        <v>968</v>
      </c>
      <c r="H882" t="s">
        <v>969</v>
      </c>
      <c r="I882" t="s">
        <v>970</v>
      </c>
      <c r="J882" t="s">
        <v>971</v>
      </c>
      <c r="K882" t="s">
        <v>972</v>
      </c>
      <c r="L882">
        <v>39170.629999999997</v>
      </c>
      <c r="M882">
        <f t="shared" si="13"/>
        <v>115653.29000000001</v>
      </c>
    </row>
    <row r="883" spans="1:13" x14ac:dyDescent="0.25">
      <c r="A883" t="s">
        <v>30</v>
      </c>
      <c r="B883" t="s">
        <v>1360</v>
      </c>
      <c r="C883" t="s">
        <v>975</v>
      </c>
      <c r="D883" t="s">
        <v>1230</v>
      </c>
      <c r="E883" t="s">
        <v>977</v>
      </c>
      <c r="F883" t="s">
        <v>967</v>
      </c>
      <c r="G883" t="s">
        <v>968</v>
      </c>
      <c r="H883" t="s">
        <v>969</v>
      </c>
      <c r="I883" t="s">
        <v>970</v>
      </c>
      <c r="J883" t="s">
        <v>971</v>
      </c>
      <c r="K883" t="s">
        <v>972</v>
      </c>
      <c r="L883">
        <v>38397.980000000003</v>
      </c>
      <c r="M883">
        <f t="shared" si="13"/>
        <v>115653.29000000001</v>
      </c>
    </row>
    <row r="884" spans="1:13" x14ac:dyDescent="0.25">
      <c r="A884" t="s">
        <v>743</v>
      </c>
      <c r="B884" t="s">
        <v>2289</v>
      </c>
      <c r="C884" t="s">
        <v>982</v>
      </c>
      <c r="D884" t="s">
        <v>1288</v>
      </c>
      <c r="E884" t="s">
        <v>966</v>
      </c>
      <c r="F884" t="s">
        <v>967</v>
      </c>
      <c r="G884" t="s">
        <v>968</v>
      </c>
      <c r="H884" t="s">
        <v>969</v>
      </c>
      <c r="I884" t="s">
        <v>970</v>
      </c>
      <c r="J884" t="s">
        <v>971</v>
      </c>
      <c r="K884" t="s">
        <v>972</v>
      </c>
      <c r="L884">
        <v>1711.38</v>
      </c>
      <c r="M884">
        <f t="shared" si="13"/>
        <v>115653.29000000001</v>
      </c>
    </row>
    <row r="885" spans="1:13" x14ac:dyDescent="0.25">
      <c r="A885" t="s">
        <v>630</v>
      </c>
      <c r="B885" t="s">
        <v>1437</v>
      </c>
      <c r="C885" t="s">
        <v>964</v>
      </c>
      <c r="D885" t="s">
        <v>1413</v>
      </c>
      <c r="E885" t="s">
        <v>966</v>
      </c>
      <c r="F885" t="s">
        <v>967</v>
      </c>
      <c r="G885" t="s">
        <v>968</v>
      </c>
      <c r="H885" t="s">
        <v>969</v>
      </c>
      <c r="I885" t="s">
        <v>970</v>
      </c>
      <c r="J885" t="s">
        <v>971</v>
      </c>
      <c r="K885" t="s">
        <v>972</v>
      </c>
      <c r="L885">
        <v>35648.35</v>
      </c>
      <c r="M885">
        <f t="shared" si="13"/>
        <v>217488.5</v>
      </c>
    </row>
    <row r="886" spans="1:13" x14ac:dyDescent="0.25">
      <c r="A886" t="s">
        <v>630</v>
      </c>
      <c r="B886" t="s">
        <v>1438</v>
      </c>
      <c r="C886" t="s">
        <v>964</v>
      </c>
      <c r="D886" t="s">
        <v>1413</v>
      </c>
      <c r="E886" t="s">
        <v>966</v>
      </c>
      <c r="F886" t="s">
        <v>967</v>
      </c>
      <c r="G886" t="s">
        <v>968</v>
      </c>
      <c r="H886" t="s">
        <v>969</v>
      </c>
      <c r="I886" t="s">
        <v>970</v>
      </c>
      <c r="J886" t="s">
        <v>971</v>
      </c>
      <c r="K886" t="s">
        <v>972</v>
      </c>
      <c r="L886">
        <v>35648.35</v>
      </c>
      <c r="M886">
        <f t="shared" si="13"/>
        <v>217488.5</v>
      </c>
    </row>
    <row r="887" spans="1:13" x14ac:dyDescent="0.25">
      <c r="A887" t="s">
        <v>763</v>
      </c>
      <c r="B887" t="s">
        <v>2279</v>
      </c>
      <c r="C887" t="s">
        <v>982</v>
      </c>
      <c r="D887" t="s">
        <v>1356</v>
      </c>
      <c r="E887" t="s">
        <v>966</v>
      </c>
      <c r="F887" t="s">
        <v>967</v>
      </c>
      <c r="G887" t="s">
        <v>968</v>
      </c>
      <c r="H887" t="s">
        <v>969</v>
      </c>
      <c r="I887" t="s">
        <v>970</v>
      </c>
      <c r="J887" t="s">
        <v>971</v>
      </c>
      <c r="K887" t="s">
        <v>972</v>
      </c>
      <c r="L887">
        <v>1763.51</v>
      </c>
      <c r="M887">
        <f t="shared" si="13"/>
        <v>217488.5</v>
      </c>
    </row>
    <row r="888" spans="1:13" x14ac:dyDescent="0.25">
      <c r="A888" t="s">
        <v>763</v>
      </c>
      <c r="B888" t="s">
        <v>2280</v>
      </c>
      <c r="C888" t="s">
        <v>988</v>
      </c>
      <c r="D888" t="s">
        <v>1356</v>
      </c>
      <c r="E888" t="s">
        <v>966</v>
      </c>
      <c r="F888" t="s">
        <v>967</v>
      </c>
      <c r="G888" t="s">
        <v>968</v>
      </c>
      <c r="H888" t="s">
        <v>969</v>
      </c>
      <c r="I888" t="s">
        <v>970</v>
      </c>
      <c r="J888" t="s">
        <v>971</v>
      </c>
      <c r="K888" t="s">
        <v>972</v>
      </c>
      <c r="L888">
        <v>1763.51</v>
      </c>
      <c r="M888">
        <f t="shared" si="13"/>
        <v>217488.5</v>
      </c>
    </row>
    <row r="889" spans="1:13" x14ac:dyDescent="0.25">
      <c r="A889" t="s">
        <v>763</v>
      </c>
      <c r="B889" t="s">
        <v>2279</v>
      </c>
      <c r="C889" t="s">
        <v>982</v>
      </c>
      <c r="D889" t="s">
        <v>1356</v>
      </c>
      <c r="E889" t="s">
        <v>966</v>
      </c>
      <c r="F889" t="s">
        <v>967</v>
      </c>
      <c r="G889" t="s">
        <v>968</v>
      </c>
      <c r="H889" t="s">
        <v>969</v>
      </c>
      <c r="I889" t="s">
        <v>970</v>
      </c>
      <c r="J889" t="s">
        <v>971</v>
      </c>
      <c r="K889" t="s">
        <v>972</v>
      </c>
      <c r="L889">
        <v>1358.86</v>
      </c>
      <c r="M889">
        <f t="shared" si="13"/>
        <v>217488.5</v>
      </c>
    </row>
    <row r="890" spans="1:13" x14ac:dyDescent="0.25">
      <c r="A890" t="s">
        <v>763</v>
      </c>
      <c r="B890" t="s">
        <v>2280</v>
      </c>
      <c r="C890" t="s">
        <v>988</v>
      </c>
      <c r="D890" t="s">
        <v>1356</v>
      </c>
      <c r="E890" t="s">
        <v>966</v>
      </c>
      <c r="F890" t="s">
        <v>967</v>
      </c>
      <c r="G890" t="s">
        <v>968</v>
      </c>
      <c r="H890" t="s">
        <v>969</v>
      </c>
      <c r="I890" t="s">
        <v>970</v>
      </c>
      <c r="J890" t="s">
        <v>971</v>
      </c>
      <c r="K890" t="s">
        <v>972</v>
      </c>
      <c r="L890">
        <v>1358.86</v>
      </c>
      <c r="M890">
        <f t="shared" si="13"/>
        <v>217488.5</v>
      </c>
    </row>
    <row r="891" spans="1:13" x14ac:dyDescent="0.25">
      <c r="A891" t="s">
        <v>227</v>
      </c>
      <c r="B891" t="s">
        <v>1412</v>
      </c>
      <c r="C891" t="s">
        <v>975</v>
      </c>
      <c r="D891" t="s">
        <v>1413</v>
      </c>
      <c r="E891" t="s">
        <v>977</v>
      </c>
      <c r="F891" t="s">
        <v>967</v>
      </c>
      <c r="G891" t="s">
        <v>968</v>
      </c>
      <c r="H891" t="s">
        <v>969</v>
      </c>
      <c r="I891" t="s">
        <v>970</v>
      </c>
      <c r="J891" t="s">
        <v>971</v>
      </c>
      <c r="K891" t="s">
        <v>972</v>
      </c>
      <c r="L891">
        <v>36058.47</v>
      </c>
      <c r="M891">
        <f t="shared" si="13"/>
        <v>217488.5</v>
      </c>
    </row>
    <row r="892" spans="1:13" x14ac:dyDescent="0.25">
      <c r="A892" t="s">
        <v>414</v>
      </c>
      <c r="B892" t="s">
        <v>1346</v>
      </c>
      <c r="C892" t="s">
        <v>975</v>
      </c>
      <c r="D892" t="s">
        <v>983</v>
      </c>
      <c r="E892" t="s">
        <v>980</v>
      </c>
      <c r="F892" t="s">
        <v>967</v>
      </c>
      <c r="G892" t="s">
        <v>968</v>
      </c>
      <c r="H892" t="s">
        <v>969</v>
      </c>
      <c r="I892" t="s">
        <v>970</v>
      </c>
      <c r="J892" t="s">
        <v>971</v>
      </c>
      <c r="K892" t="s">
        <v>972</v>
      </c>
      <c r="L892">
        <v>39080.93</v>
      </c>
      <c r="M892">
        <f t="shared" si="13"/>
        <v>217488.5</v>
      </c>
    </row>
    <row r="893" spans="1:13" x14ac:dyDescent="0.25">
      <c r="A893" t="s">
        <v>710</v>
      </c>
      <c r="B893" t="s">
        <v>1475</v>
      </c>
      <c r="C893" t="s">
        <v>975</v>
      </c>
      <c r="D893" t="s">
        <v>983</v>
      </c>
      <c r="E893" t="s">
        <v>977</v>
      </c>
      <c r="F893" t="s">
        <v>967</v>
      </c>
      <c r="G893" t="s">
        <v>968</v>
      </c>
      <c r="H893" t="s">
        <v>969</v>
      </c>
      <c r="I893" t="s">
        <v>970</v>
      </c>
      <c r="J893" t="s">
        <v>971</v>
      </c>
      <c r="K893" t="s">
        <v>972</v>
      </c>
      <c r="L893">
        <v>32678.62</v>
      </c>
      <c r="M893">
        <f t="shared" si="13"/>
        <v>217488.5</v>
      </c>
    </row>
    <row r="894" spans="1:13" x14ac:dyDescent="0.25">
      <c r="A894" t="s">
        <v>670</v>
      </c>
      <c r="B894" t="s">
        <v>1486</v>
      </c>
      <c r="C894" t="s">
        <v>975</v>
      </c>
      <c r="D894" t="s">
        <v>1356</v>
      </c>
      <c r="E894" t="s">
        <v>977</v>
      </c>
      <c r="F894" t="s">
        <v>967</v>
      </c>
      <c r="G894" t="s">
        <v>968</v>
      </c>
      <c r="H894" t="s">
        <v>969</v>
      </c>
      <c r="I894" t="s">
        <v>970</v>
      </c>
      <c r="J894" t="s">
        <v>971</v>
      </c>
      <c r="K894" t="s">
        <v>972</v>
      </c>
      <c r="L894">
        <v>32129.040000000001</v>
      </c>
      <c r="M894">
        <f t="shared" si="13"/>
        <v>217488.5</v>
      </c>
    </row>
    <row r="895" spans="1:13" x14ac:dyDescent="0.25">
      <c r="A895" t="s">
        <v>351</v>
      </c>
      <c r="B895" t="s">
        <v>2372</v>
      </c>
      <c r="C895" t="s">
        <v>988</v>
      </c>
      <c r="D895" t="s">
        <v>1522</v>
      </c>
      <c r="E895" t="s">
        <v>977</v>
      </c>
      <c r="F895" t="s">
        <v>967</v>
      </c>
      <c r="G895" t="s">
        <v>968</v>
      </c>
      <c r="H895" t="s">
        <v>969</v>
      </c>
      <c r="I895" t="s">
        <v>970</v>
      </c>
      <c r="J895" t="s">
        <v>971</v>
      </c>
      <c r="K895" t="s">
        <v>972</v>
      </c>
      <c r="L895">
        <v>1028.1500000000001</v>
      </c>
      <c r="M895">
        <f t="shared" si="13"/>
        <v>706853.12999999977</v>
      </c>
    </row>
    <row r="896" spans="1:13" x14ac:dyDescent="0.25">
      <c r="A896" t="s">
        <v>235</v>
      </c>
      <c r="B896" t="s">
        <v>2317</v>
      </c>
      <c r="C896" t="s">
        <v>988</v>
      </c>
      <c r="D896" t="s">
        <v>1356</v>
      </c>
      <c r="E896" t="s">
        <v>980</v>
      </c>
      <c r="F896" t="s">
        <v>967</v>
      </c>
      <c r="G896" t="s">
        <v>968</v>
      </c>
      <c r="H896" t="s">
        <v>969</v>
      </c>
      <c r="I896" t="s">
        <v>970</v>
      </c>
      <c r="J896" t="s">
        <v>971</v>
      </c>
      <c r="K896" t="s">
        <v>972</v>
      </c>
      <c r="L896">
        <v>1411.91</v>
      </c>
      <c r="M896">
        <f t="shared" si="13"/>
        <v>706853.12999999977</v>
      </c>
    </row>
    <row r="897" spans="1:13" x14ac:dyDescent="0.25">
      <c r="A897" t="s">
        <v>275</v>
      </c>
      <c r="B897" t="s">
        <v>2268</v>
      </c>
      <c r="C897" t="s">
        <v>988</v>
      </c>
      <c r="D897" t="s">
        <v>1522</v>
      </c>
      <c r="E897" t="s">
        <v>966</v>
      </c>
      <c r="F897" t="s">
        <v>967</v>
      </c>
      <c r="G897" t="s">
        <v>968</v>
      </c>
      <c r="H897" t="s">
        <v>969</v>
      </c>
      <c r="I897" t="s">
        <v>970</v>
      </c>
      <c r="J897" t="s">
        <v>971</v>
      </c>
      <c r="K897" t="s">
        <v>972</v>
      </c>
      <c r="L897">
        <v>1818.05</v>
      </c>
      <c r="M897">
        <f t="shared" si="13"/>
        <v>706853.12999999977</v>
      </c>
    </row>
    <row r="898" spans="1:13" x14ac:dyDescent="0.25">
      <c r="A898" t="s">
        <v>275</v>
      </c>
      <c r="B898" t="s">
        <v>2269</v>
      </c>
      <c r="C898" t="s">
        <v>982</v>
      </c>
      <c r="D898" t="s">
        <v>1522</v>
      </c>
      <c r="E898" t="s">
        <v>966</v>
      </c>
      <c r="F898" t="s">
        <v>967</v>
      </c>
      <c r="G898" t="s">
        <v>968</v>
      </c>
      <c r="H898" t="s">
        <v>969</v>
      </c>
      <c r="I898" t="s">
        <v>970</v>
      </c>
      <c r="J898" t="s">
        <v>971</v>
      </c>
      <c r="K898" t="s">
        <v>972</v>
      </c>
      <c r="L898">
        <v>1818.05</v>
      </c>
      <c r="M898">
        <f t="shared" si="13"/>
        <v>706853.12999999977</v>
      </c>
    </row>
    <row r="899" spans="1:13" x14ac:dyDescent="0.25">
      <c r="A899" t="s">
        <v>275</v>
      </c>
      <c r="B899" t="s">
        <v>2270</v>
      </c>
      <c r="C899" t="s">
        <v>982</v>
      </c>
      <c r="D899" t="s">
        <v>1522</v>
      </c>
      <c r="E899" t="s">
        <v>966</v>
      </c>
      <c r="F899" t="s">
        <v>967</v>
      </c>
      <c r="G899" t="s">
        <v>968</v>
      </c>
      <c r="H899" t="s">
        <v>969</v>
      </c>
      <c r="I899" t="s">
        <v>970</v>
      </c>
      <c r="J899" t="s">
        <v>971</v>
      </c>
      <c r="K899" t="s">
        <v>972</v>
      </c>
      <c r="L899">
        <v>1818.05</v>
      </c>
      <c r="M899">
        <f t="shared" ref="M899:M962" si="14">+SUMIF(A:A,A899,L:L)</f>
        <v>706853.12999999977</v>
      </c>
    </row>
    <row r="900" spans="1:13" x14ac:dyDescent="0.25">
      <c r="A900" t="s">
        <v>275</v>
      </c>
      <c r="B900" t="s">
        <v>2271</v>
      </c>
      <c r="C900" t="s">
        <v>982</v>
      </c>
      <c r="D900" t="s">
        <v>1522</v>
      </c>
      <c r="E900" t="s">
        <v>966</v>
      </c>
      <c r="F900" t="s">
        <v>967</v>
      </c>
      <c r="G900" t="s">
        <v>968</v>
      </c>
      <c r="H900" t="s">
        <v>969</v>
      </c>
      <c r="I900" t="s">
        <v>970</v>
      </c>
      <c r="J900" t="s">
        <v>971</v>
      </c>
      <c r="K900" t="s">
        <v>972</v>
      </c>
      <c r="L900">
        <v>1818.05</v>
      </c>
      <c r="M900">
        <f t="shared" si="14"/>
        <v>706853.12999999977</v>
      </c>
    </row>
    <row r="901" spans="1:13" x14ac:dyDescent="0.25">
      <c r="A901" t="s">
        <v>275</v>
      </c>
      <c r="B901" t="s">
        <v>2272</v>
      </c>
      <c r="C901" t="s">
        <v>982</v>
      </c>
      <c r="D901" t="s">
        <v>1522</v>
      </c>
      <c r="E901" t="s">
        <v>966</v>
      </c>
      <c r="F901" t="s">
        <v>967</v>
      </c>
      <c r="G901" t="s">
        <v>968</v>
      </c>
      <c r="H901" t="s">
        <v>969</v>
      </c>
      <c r="I901" t="s">
        <v>970</v>
      </c>
      <c r="J901" t="s">
        <v>971</v>
      </c>
      <c r="K901" t="s">
        <v>972</v>
      </c>
      <c r="L901">
        <v>1818.05</v>
      </c>
      <c r="M901">
        <f t="shared" si="14"/>
        <v>706853.12999999977</v>
      </c>
    </row>
    <row r="902" spans="1:13" x14ac:dyDescent="0.25">
      <c r="A902" t="s">
        <v>275</v>
      </c>
      <c r="B902" t="s">
        <v>2271</v>
      </c>
      <c r="C902" t="s">
        <v>982</v>
      </c>
      <c r="D902" t="s">
        <v>1522</v>
      </c>
      <c r="E902" t="s">
        <v>966</v>
      </c>
      <c r="F902" t="s">
        <v>967</v>
      </c>
      <c r="G902" t="s">
        <v>968</v>
      </c>
      <c r="H902" t="s">
        <v>969</v>
      </c>
      <c r="I902" t="s">
        <v>970</v>
      </c>
      <c r="J902" t="s">
        <v>971</v>
      </c>
      <c r="K902" t="s">
        <v>972</v>
      </c>
      <c r="L902">
        <v>1400.89</v>
      </c>
      <c r="M902">
        <f t="shared" si="14"/>
        <v>706853.12999999977</v>
      </c>
    </row>
    <row r="903" spans="1:13" x14ac:dyDescent="0.25">
      <c r="A903" t="s">
        <v>275</v>
      </c>
      <c r="B903" t="s">
        <v>2270</v>
      </c>
      <c r="C903" t="s">
        <v>982</v>
      </c>
      <c r="D903" t="s">
        <v>1522</v>
      </c>
      <c r="E903" t="s">
        <v>966</v>
      </c>
      <c r="F903" t="s">
        <v>967</v>
      </c>
      <c r="G903" t="s">
        <v>968</v>
      </c>
      <c r="H903" t="s">
        <v>969</v>
      </c>
      <c r="I903" t="s">
        <v>970</v>
      </c>
      <c r="J903" t="s">
        <v>971</v>
      </c>
      <c r="K903" t="s">
        <v>972</v>
      </c>
      <c r="L903">
        <v>1400.89</v>
      </c>
      <c r="M903">
        <f t="shared" si="14"/>
        <v>706853.12999999977</v>
      </c>
    </row>
    <row r="904" spans="1:13" x14ac:dyDescent="0.25">
      <c r="A904" t="s">
        <v>275</v>
      </c>
      <c r="B904" t="s">
        <v>2272</v>
      </c>
      <c r="C904" t="s">
        <v>982</v>
      </c>
      <c r="D904" t="s">
        <v>1522</v>
      </c>
      <c r="E904" t="s">
        <v>966</v>
      </c>
      <c r="F904" t="s">
        <v>967</v>
      </c>
      <c r="G904" t="s">
        <v>968</v>
      </c>
      <c r="H904" t="s">
        <v>969</v>
      </c>
      <c r="I904" t="s">
        <v>970</v>
      </c>
      <c r="J904" t="s">
        <v>971</v>
      </c>
      <c r="K904" t="s">
        <v>972</v>
      </c>
      <c r="L904">
        <v>1400.89</v>
      </c>
      <c r="M904">
        <f t="shared" si="14"/>
        <v>706853.12999999977</v>
      </c>
    </row>
    <row r="905" spans="1:13" x14ac:dyDescent="0.25">
      <c r="A905" t="s">
        <v>275</v>
      </c>
      <c r="B905" t="s">
        <v>2269</v>
      </c>
      <c r="C905" t="s">
        <v>982</v>
      </c>
      <c r="D905" t="s">
        <v>1522</v>
      </c>
      <c r="E905" t="s">
        <v>966</v>
      </c>
      <c r="F905" t="s">
        <v>967</v>
      </c>
      <c r="G905" t="s">
        <v>968</v>
      </c>
      <c r="H905" t="s">
        <v>969</v>
      </c>
      <c r="I905" t="s">
        <v>970</v>
      </c>
      <c r="J905" t="s">
        <v>971</v>
      </c>
      <c r="K905" t="s">
        <v>972</v>
      </c>
      <c r="L905">
        <v>1400.89</v>
      </c>
      <c r="M905">
        <f t="shared" si="14"/>
        <v>706853.12999999977</v>
      </c>
    </row>
    <row r="906" spans="1:13" x14ac:dyDescent="0.25">
      <c r="A906" t="s">
        <v>275</v>
      </c>
      <c r="B906" t="s">
        <v>2268</v>
      </c>
      <c r="C906" t="s">
        <v>988</v>
      </c>
      <c r="D906" t="s">
        <v>1522</v>
      </c>
      <c r="E906" t="s">
        <v>966</v>
      </c>
      <c r="F906" t="s">
        <v>967</v>
      </c>
      <c r="G906" t="s">
        <v>968</v>
      </c>
      <c r="H906" t="s">
        <v>969</v>
      </c>
      <c r="I906" t="s">
        <v>970</v>
      </c>
      <c r="J906" t="s">
        <v>971</v>
      </c>
      <c r="K906" t="s">
        <v>972</v>
      </c>
      <c r="L906">
        <v>1400.89</v>
      </c>
      <c r="M906">
        <f t="shared" si="14"/>
        <v>706853.12999999977</v>
      </c>
    </row>
    <row r="907" spans="1:13" x14ac:dyDescent="0.25">
      <c r="A907" t="s">
        <v>443</v>
      </c>
      <c r="B907" t="s">
        <v>1521</v>
      </c>
      <c r="C907" t="s">
        <v>975</v>
      </c>
      <c r="D907" t="s">
        <v>1522</v>
      </c>
      <c r="E907" t="s">
        <v>977</v>
      </c>
      <c r="F907" t="s">
        <v>967</v>
      </c>
      <c r="G907" t="s">
        <v>968</v>
      </c>
      <c r="H907" t="s">
        <v>969</v>
      </c>
      <c r="I907" t="s">
        <v>970</v>
      </c>
      <c r="J907" t="s">
        <v>971</v>
      </c>
      <c r="K907" t="s">
        <v>972</v>
      </c>
      <c r="L907">
        <v>30846.55</v>
      </c>
      <c r="M907">
        <f t="shared" si="14"/>
        <v>706853.12999999977</v>
      </c>
    </row>
    <row r="908" spans="1:13" x14ac:dyDescent="0.25">
      <c r="A908" t="s">
        <v>443</v>
      </c>
      <c r="B908" t="s">
        <v>1523</v>
      </c>
      <c r="C908" t="s">
        <v>975</v>
      </c>
      <c r="D908" t="s">
        <v>1522</v>
      </c>
      <c r="E908" t="s">
        <v>977</v>
      </c>
      <c r="F908" t="s">
        <v>967</v>
      </c>
      <c r="G908" t="s">
        <v>968</v>
      </c>
      <c r="H908" t="s">
        <v>969</v>
      </c>
      <c r="I908" t="s">
        <v>970</v>
      </c>
      <c r="J908" t="s">
        <v>971</v>
      </c>
      <c r="K908" t="s">
        <v>972</v>
      </c>
      <c r="L908">
        <v>30846.55</v>
      </c>
      <c r="M908">
        <f t="shared" si="14"/>
        <v>706853.12999999977</v>
      </c>
    </row>
    <row r="909" spans="1:13" x14ac:dyDescent="0.25">
      <c r="A909" t="s">
        <v>112</v>
      </c>
      <c r="B909" t="s">
        <v>1329</v>
      </c>
      <c r="C909" t="s">
        <v>975</v>
      </c>
      <c r="D909" t="s">
        <v>983</v>
      </c>
      <c r="E909" t="s">
        <v>966</v>
      </c>
      <c r="F909" t="s">
        <v>967</v>
      </c>
      <c r="G909" t="s">
        <v>968</v>
      </c>
      <c r="H909" t="s">
        <v>969</v>
      </c>
      <c r="I909" t="s">
        <v>970</v>
      </c>
      <c r="J909" t="s">
        <v>971</v>
      </c>
      <c r="K909" t="s">
        <v>972</v>
      </c>
      <c r="L909">
        <v>40055.050000000003</v>
      </c>
      <c r="M909">
        <f t="shared" si="14"/>
        <v>706853.12999999977</v>
      </c>
    </row>
    <row r="910" spans="1:13" x14ac:dyDescent="0.25">
      <c r="A910" t="s">
        <v>112</v>
      </c>
      <c r="B910" t="s">
        <v>1330</v>
      </c>
      <c r="C910" t="s">
        <v>975</v>
      </c>
      <c r="D910" t="s">
        <v>983</v>
      </c>
      <c r="E910" t="s">
        <v>966</v>
      </c>
      <c r="F910" t="s">
        <v>967</v>
      </c>
      <c r="G910" t="s">
        <v>968</v>
      </c>
      <c r="H910" t="s">
        <v>969</v>
      </c>
      <c r="I910" t="s">
        <v>970</v>
      </c>
      <c r="J910" t="s">
        <v>971</v>
      </c>
      <c r="K910" t="s">
        <v>972</v>
      </c>
      <c r="L910">
        <v>40055.050000000003</v>
      </c>
      <c r="M910">
        <f t="shared" si="14"/>
        <v>706853.12999999977</v>
      </c>
    </row>
    <row r="911" spans="1:13" x14ac:dyDescent="0.25">
      <c r="A911" t="s">
        <v>112</v>
      </c>
      <c r="B911" t="s">
        <v>1331</v>
      </c>
      <c r="C911" t="s">
        <v>975</v>
      </c>
      <c r="D911" t="s">
        <v>983</v>
      </c>
      <c r="E911" t="s">
        <v>966</v>
      </c>
      <c r="F911" t="s">
        <v>967</v>
      </c>
      <c r="G911" t="s">
        <v>968</v>
      </c>
      <c r="H911" t="s">
        <v>969</v>
      </c>
      <c r="I911" t="s">
        <v>970</v>
      </c>
      <c r="J911" t="s">
        <v>971</v>
      </c>
      <c r="K911" t="s">
        <v>972</v>
      </c>
      <c r="L911">
        <v>40055.050000000003</v>
      </c>
      <c r="M911">
        <f t="shared" si="14"/>
        <v>706853.12999999977</v>
      </c>
    </row>
    <row r="912" spans="1:13" x14ac:dyDescent="0.25">
      <c r="A912" t="s">
        <v>112</v>
      </c>
      <c r="B912" t="s">
        <v>1332</v>
      </c>
      <c r="C912" t="s">
        <v>975</v>
      </c>
      <c r="D912" t="s">
        <v>983</v>
      </c>
      <c r="E912" t="s">
        <v>966</v>
      </c>
      <c r="F912" t="s">
        <v>967</v>
      </c>
      <c r="G912" t="s">
        <v>968</v>
      </c>
      <c r="H912" t="s">
        <v>969</v>
      </c>
      <c r="I912" t="s">
        <v>970</v>
      </c>
      <c r="J912" t="s">
        <v>971</v>
      </c>
      <c r="K912" t="s">
        <v>972</v>
      </c>
      <c r="L912">
        <v>40055.050000000003</v>
      </c>
      <c r="M912">
        <f t="shared" si="14"/>
        <v>706853.12999999977</v>
      </c>
    </row>
    <row r="913" spans="1:13" x14ac:dyDescent="0.25">
      <c r="A913" t="s">
        <v>112</v>
      </c>
      <c r="B913" t="s">
        <v>1333</v>
      </c>
      <c r="C913" t="s">
        <v>975</v>
      </c>
      <c r="D913" t="s">
        <v>983</v>
      </c>
      <c r="E913" t="s">
        <v>966</v>
      </c>
      <c r="F913" t="s">
        <v>967</v>
      </c>
      <c r="G913" t="s">
        <v>968</v>
      </c>
      <c r="H913" t="s">
        <v>969</v>
      </c>
      <c r="I913" t="s">
        <v>970</v>
      </c>
      <c r="J913" t="s">
        <v>971</v>
      </c>
      <c r="K913" t="s">
        <v>972</v>
      </c>
      <c r="L913">
        <v>40055.050000000003</v>
      </c>
      <c r="M913">
        <f t="shared" si="14"/>
        <v>706853.12999999977</v>
      </c>
    </row>
    <row r="914" spans="1:13" x14ac:dyDescent="0.25">
      <c r="A914" t="s">
        <v>112</v>
      </c>
      <c r="B914" t="s">
        <v>1334</v>
      </c>
      <c r="C914" t="s">
        <v>975</v>
      </c>
      <c r="D914" t="s">
        <v>983</v>
      </c>
      <c r="E914" t="s">
        <v>966</v>
      </c>
      <c r="F914" t="s">
        <v>967</v>
      </c>
      <c r="G914" t="s">
        <v>968</v>
      </c>
      <c r="H914" t="s">
        <v>969</v>
      </c>
      <c r="I914" t="s">
        <v>970</v>
      </c>
      <c r="J914" t="s">
        <v>971</v>
      </c>
      <c r="K914" t="s">
        <v>972</v>
      </c>
      <c r="L914">
        <v>40055.050000000003</v>
      </c>
      <c r="M914">
        <f t="shared" si="14"/>
        <v>706853.12999999977</v>
      </c>
    </row>
    <row r="915" spans="1:13" x14ac:dyDescent="0.25">
      <c r="A915" t="s">
        <v>112</v>
      </c>
      <c r="B915" t="s">
        <v>1335</v>
      </c>
      <c r="C915" t="s">
        <v>975</v>
      </c>
      <c r="D915" t="s">
        <v>983</v>
      </c>
      <c r="E915" t="s">
        <v>966</v>
      </c>
      <c r="F915" t="s">
        <v>967</v>
      </c>
      <c r="G915" t="s">
        <v>968</v>
      </c>
      <c r="H915" t="s">
        <v>969</v>
      </c>
      <c r="I915" t="s">
        <v>970</v>
      </c>
      <c r="J915" t="s">
        <v>971</v>
      </c>
      <c r="K915" t="s">
        <v>972</v>
      </c>
      <c r="L915">
        <v>40055.050000000003</v>
      </c>
      <c r="M915">
        <f t="shared" si="14"/>
        <v>706853.12999999977</v>
      </c>
    </row>
    <row r="916" spans="1:13" x14ac:dyDescent="0.25">
      <c r="A916" t="s">
        <v>112</v>
      </c>
      <c r="B916" t="s">
        <v>1336</v>
      </c>
      <c r="C916" t="s">
        <v>975</v>
      </c>
      <c r="D916" t="s">
        <v>983</v>
      </c>
      <c r="E916" t="s">
        <v>966</v>
      </c>
      <c r="F916" t="s">
        <v>967</v>
      </c>
      <c r="G916" t="s">
        <v>968</v>
      </c>
      <c r="H916" t="s">
        <v>969</v>
      </c>
      <c r="I916" t="s">
        <v>970</v>
      </c>
      <c r="J916" t="s">
        <v>971</v>
      </c>
      <c r="K916" t="s">
        <v>972</v>
      </c>
      <c r="L916">
        <v>40055.050000000003</v>
      </c>
      <c r="M916">
        <f t="shared" si="14"/>
        <v>706853.12999999977</v>
      </c>
    </row>
    <row r="917" spans="1:13" x14ac:dyDescent="0.25">
      <c r="A917" t="s">
        <v>112</v>
      </c>
      <c r="B917" t="s">
        <v>1337</v>
      </c>
      <c r="C917" t="s">
        <v>975</v>
      </c>
      <c r="D917" t="s">
        <v>983</v>
      </c>
      <c r="E917" t="s">
        <v>966</v>
      </c>
      <c r="F917" t="s">
        <v>967</v>
      </c>
      <c r="G917" t="s">
        <v>968</v>
      </c>
      <c r="H917" t="s">
        <v>969</v>
      </c>
      <c r="I917" t="s">
        <v>970</v>
      </c>
      <c r="J917" t="s">
        <v>971</v>
      </c>
      <c r="K917" t="s">
        <v>972</v>
      </c>
      <c r="L917">
        <v>40055.050000000003</v>
      </c>
      <c r="M917">
        <f t="shared" si="14"/>
        <v>706853.12999999977</v>
      </c>
    </row>
    <row r="918" spans="1:13" x14ac:dyDescent="0.25">
      <c r="A918" t="s">
        <v>112</v>
      </c>
      <c r="B918" t="s">
        <v>1338</v>
      </c>
      <c r="C918" t="s">
        <v>975</v>
      </c>
      <c r="D918" t="s">
        <v>983</v>
      </c>
      <c r="E918" t="s">
        <v>966</v>
      </c>
      <c r="F918" t="s">
        <v>967</v>
      </c>
      <c r="G918" t="s">
        <v>968</v>
      </c>
      <c r="H918" t="s">
        <v>969</v>
      </c>
      <c r="I918" t="s">
        <v>970</v>
      </c>
      <c r="J918" t="s">
        <v>971</v>
      </c>
      <c r="K918" t="s">
        <v>972</v>
      </c>
      <c r="L918">
        <v>40055.050000000003</v>
      </c>
      <c r="M918">
        <f t="shared" si="14"/>
        <v>706853.12999999977</v>
      </c>
    </row>
    <row r="919" spans="1:13" x14ac:dyDescent="0.25">
      <c r="A919" t="s">
        <v>370</v>
      </c>
      <c r="B919" t="s">
        <v>1662</v>
      </c>
      <c r="C919" t="s">
        <v>964</v>
      </c>
      <c r="D919" t="s">
        <v>1356</v>
      </c>
      <c r="E919" t="s">
        <v>980</v>
      </c>
      <c r="F919" t="s">
        <v>967</v>
      </c>
      <c r="G919" t="s">
        <v>968</v>
      </c>
      <c r="H919" t="s">
        <v>969</v>
      </c>
      <c r="I919" t="s">
        <v>970</v>
      </c>
      <c r="J919" t="s">
        <v>971</v>
      </c>
      <c r="K919" t="s">
        <v>972</v>
      </c>
      <c r="L919">
        <v>23432.87</v>
      </c>
      <c r="M919">
        <f t="shared" si="14"/>
        <v>706853.12999999977</v>
      </c>
    </row>
    <row r="920" spans="1:13" x14ac:dyDescent="0.25">
      <c r="A920" t="s">
        <v>370</v>
      </c>
      <c r="B920" t="s">
        <v>1663</v>
      </c>
      <c r="C920" t="s">
        <v>964</v>
      </c>
      <c r="D920" t="s">
        <v>1356</v>
      </c>
      <c r="E920" t="s">
        <v>980</v>
      </c>
      <c r="F920" t="s">
        <v>967</v>
      </c>
      <c r="G920" t="s">
        <v>968</v>
      </c>
      <c r="H920" t="s">
        <v>969</v>
      </c>
      <c r="I920" t="s">
        <v>970</v>
      </c>
      <c r="J920" t="s">
        <v>971</v>
      </c>
      <c r="K920" t="s">
        <v>972</v>
      </c>
      <c r="L920">
        <v>23432.87</v>
      </c>
      <c r="M920">
        <f t="shared" si="14"/>
        <v>706853.12999999977</v>
      </c>
    </row>
    <row r="921" spans="1:13" x14ac:dyDescent="0.25">
      <c r="A921" t="s">
        <v>370</v>
      </c>
      <c r="B921" t="s">
        <v>1664</v>
      </c>
      <c r="C921" t="s">
        <v>964</v>
      </c>
      <c r="D921" t="s">
        <v>1356</v>
      </c>
      <c r="E921" t="s">
        <v>980</v>
      </c>
      <c r="F921" t="s">
        <v>967</v>
      </c>
      <c r="G921" t="s">
        <v>968</v>
      </c>
      <c r="H921" t="s">
        <v>969</v>
      </c>
      <c r="I921" t="s">
        <v>970</v>
      </c>
      <c r="J921" t="s">
        <v>971</v>
      </c>
      <c r="K921" t="s">
        <v>972</v>
      </c>
      <c r="L921">
        <v>23432.87</v>
      </c>
      <c r="M921">
        <f t="shared" si="14"/>
        <v>706853.12999999977</v>
      </c>
    </row>
    <row r="922" spans="1:13" x14ac:dyDescent="0.25">
      <c r="A922" t="s">
        <v>370</v>
      </c>
      <c r="B922" t="s">
        <v>1665</v>
      </c>
      <c r="C922" t="s">
        <v>964</v>
      </c>
      <c r="D922" t="s">
        <v>1356</v>
      </c>
      <c r="E922" t="s">
        <v>980</v>
      </c>
      <c r="F922" t="s">
        <v>967</v>
      </c>
      <c r="G922" t="s">
        <v>968</v>
      </c>
      <c r="H922" t="s">
        <v>969</v>
      </c>
      <c r="I922" t="s">
        <v>970</v>
      </c>
      <c r="J922" t="s">
        <v>971</v>
      </c>
      <c r="K922" t="s">
        <v>972</v>
      </c>
      <c r="L922">
        <v>23432.87</v>
      </c>
      <c r="M922">
        <f t="shared" si="14"/>
        <v>706853.12999999977</v>
      </c>
    </row>
    <row r="923" spans="1:13" x14ac:dyDescent="0.25">
      <c r="A923" t="s">
        <v>767</v>
      </c>
      <c r="B923" t="s">
        <v>1645</v>
      </c>
      <c r="C923" t="s">
        <v>975</v>
      </c>
      <c r="D923" t="s">
        <v>1522</v>
      </c>
      <c r="E923" t="s">
        <v>980</v>
      </c>
      <c r="F923" t="s">
        <v>967</v>
      </c>
      <c r="G923" t="s">
        <v>968</v>
      </c>
      <c r="H923" t="s">
        <v>969</v>
      </c>
      <c r="I923" t="s">
        <v>970</v>
      </c>
      <c r="J923" t="s">
        <v>971</v>
      </c>
      <c r="K923" t="s">
        <v>972</v>
      </c>
      <c r="L923">
        <v>23928.7</v>
      </c>
      <c r="M923">
        <f t="shared" si="14"/>
        <v>706853.12999999977</v>
      </c>
    </row>
    <row r="924" spans="1:13" x14ac:dyDescent="0.25">
      <c r="A924" t="s">
        <v>767</v>
      </c>
      <c r="B924" t="s">
        <v>1646</v>
      </c>
      <c r="C924" t="s">
        <v>975</v>
      </c>
      <c r="D924" t="s">
        <v>1522</v>
      </c>
      <c r="E924" t="s">
        <v>980</v>
      </c>
      <c r="F924" t="s">
        <v>967</v>
      </c>
      <c r="G924" t="s">
        <v>968</v>
      </c>
      <c r="H924" t="s">
        <v>969</v>
      </c>
      <c r="I924" t="s">
        <v>970</v>
      </c>
      <c r="J924" t="s">
        <v>971</v>
      </c>
      <c r="K924" t="s">
        <v>972</v>
      </c>
      <c r="L924">
        <v>23928.7</v>
      </c>
      <c r="M924">
        <f t="shared" si="14"/>
        <v>706853.12999999977</v>
      </c>
    </row>
    <row r="925" spans="1:13" x14ac:dyDescent="0.25">
      <c r="A925" t="s">
        <v>767</v>
      </c>
      <c r="B925" t="s">
        <v>1647</v>
      </c>
      <c r="C925" t="s">
        <v>975</v>
      </c>
      <c r="D925" t="s">
        <v>1522</v>
      </c>
      <c r="E925" t="s">
        <v>980</v>
      </c>
      <c r="F925" t="s">
        <v>967</v>
      </c>
      <c r="G925" t="s">
        <v>968</v>
      </c>
      <c r="H925" t="s">
        <v>969</v>
      </c>
      <c r="I925" t="s">
        <v>970</v>
      </c>
      <c r="J925" t="s">
        <v>971</v>
      </c>
      <c r="K925" t="s">
        <v>972</v>
      </c>
      <c r="L925">
        <v>23928.7</v>
      </c>
      <c r="M925">
        <f t="shared" si="14"/>
        <v>706853.12999999977</v>
      </c>
    </row>
    <row r="926" spans="1:13" x14ac:dyDescent="0.25">
      <c r="A926" t="s">
        <v>767</v>
      </c>
      <c r="B926" t="s">
        <v>1648</v>
      </c>
      <c r="C926" t="s">
        <v>975</v>
      </c>
      <c r="D926" t="s">
        <v>1522</v>
      </c>
      <c r="E926" t="s">
        <v>980</v>
      </c>
      <c r="F926" t="s">
        <v>967</v>
      </c>
      <c r="G926" t="s">
        <v>968</v>
      </c>
      <c r="H926" t="s">
        <v>969</v>
      </c>
      <c r="I926" t="s">
        <v>970</v>
      </c>
      <c r="J926" t="s">
        <v>971</v>
      </c>
      <c r="K926" t="s">
        <v>972</v>
      </c>
      <c r="L926">
        <v>23928.7</v>
      </c>
      <c r="M926">
        <f t="shared" si="14"/>
        <v>706853.12999999977</v>
      </c>
    </row>
    <row r="927" spans="1:13" x14ac:dyDescent="0.25">
      <c r="A927" t="s">
        <v>720</v>
      </c>
      <c r="B927" t="s">
        <v>1406</v>
      </c>
      <c r="C927" t="s">
        <v>975</v>
      </c>
      <c r="D927" t="s">
        <v>1356</v>
      </c>
      <c r="E927" t="s">
        <v>977</v>
      </c>
      <c r="F927" t="s">
        <v>967</v>
      </c>
      <c r="G927" t="s">
        <v>968</v>
      </c>
      <c r="H927" t="s">
        <v>969</v>
      </c>
      <c r="I927" t="s">
        <v>970</v>
      </c>
      <c r="J927" t="s">
        <v>971</v>
      </c>
      <c r="K927" t="s">
        <v>972</v>
      </c>
      <c r="L927">
        <v>36628.49</v>
      </c>
      <c r="M927">
        <f t="shared" si="14"/>
        <v>706853.12999999977</v>
      </c>
    </row>
    <row r="928" spans="1:13" x14ac:dyDescent="0.25">
      <c r="A928" t="s">
        <v>913</v>
      </c>
      <c r="B928" t="s">
        <v>2312</v>
      </c>
      <c r="C928" t="s">
        <v>988</v>
      </c>
      <c r="D928" t="s">
        <v>983</v>
      </c>
      <c r="E928" t="s">
        <v>977</v>
      </c>
      <c r="F928" t="s">
        <v>967</v>
      </c>
      <c r="G928" t="s">
        <v>968</v>
      </c>
      <c r="H928" t="s">
        <v>969</v>
      </c>
      <c r="I928" t="s">
        <v>970</v>
      </c>
      <c r="J928" t="s">
        <v>971</v>
      </c>
      <c r="K928" t="s">
        <v>972</v>
      </c>
      <c r="L928">
        <v>1461.35</v>
      </c>
      <c r="M928">
        <f t="shared" si="14"/>
        <v>119463.91</v>
      </c>
    </row>
    <row r="929" spans="1:13" x14ac:dyDescent="0.25">
      <c r="A929" t="s">
        <v>616</v>
      </c>
      <c r="B929" t="s">
        <v>1367</v>
      </c>
      <c r="C929" t="s">
        <v>975</v>
      </c>
      <c r="D929" t="s">
        <v>1230</v>
      </c>
      <c r="E929" t="s">
        <v>977</v>
      </c>
      <c r="F929" t="s">
        <v>967</v>
      </c>
      <c r="G929" t="s">
        <v>968</v>
      </c>
      <c r="H929" t="s">
        <v>969</v>
      </c>
      <c r="I929" t="s">
        <v>970</v>
      </c>
      <c r="J929" t="s">
        <v>971</v>
      </c>
      <c r="K929" t="s">
        <v>972</v>
      </c>
      <c r="L929">
        <v>38293.5</v>
      </c>
      <c r="M929">
        <f t="shared" si="14"/>
        <v>119463.91</v>
      </c>
    </row>
    <row r="930" spans="1:13" x14ac:dyDescent="0.25">
      <c r="A930" t="s">
        <v>758</v>
      </c>
      <c r="B930" t="s">
        <v>2475</v>
      </c>
      <c r="C930" t="s">
        <v>988</v>
      </c>
      <c r="D930" t="s">
        <v>979</v>
      </c>
      <c r="E930" t="s">
        <v>977</v>
      </c>
      <c r="F930" t="s">
        <v>967</v>
      </c>
      <c r="G930" t="s">
        <v>968</v>
      </c>
      <c r="H930" t="s">
        <v>2390</v>
      </c>
      <c r="I930" t="s">
        <v>970</v>
      </c>
      <c r="J930" t="s">
        <v>971</v>
      </c>
      <c r="K930" t="s">
        <v>972</v>
      </c>
      <c r="L930">
        <v>353.73</v>
      </c>
      <c r="M930">
        <f t="shared" si="14"/>
        <v>119463.91</v>
      </c>
    </row>
    <row r="931" spans="1:13" x14ac:dyDescent="0.25">
      <c r="A931" t="s">
        <v>758</v>
      </c>
      <c r="B931" t="s">
        <v>2476</v>
      </c>
      <c r="C931" t="s">
        <v>988</v>
      </c>
      <c r="D931" t="s">
        <v>979</v>
      </c>
      <c r="E931" t="s">
        <v>977</v>
      </c>
      <c r="F931" t="s">
        <v>967</v>
      </c>
      <c r="G931" t="s">
        <v>968</v>
      </c>
      <c r="H931" t="s">
        <v>2390</v>
      </c>
      <c r="I931" t="s">
        <v>970</v>
      </c>
      <c r="J931" t="s">
        <v>971</v>
      </c>
      <c r="K931" t="s">
        <v>972</v>
      </c>
      <c r="L931">
        <v>353.73</v>
      </c>
      <c r="M931">
        <f t="shared" si="14"/>
        <v>119463.91</v>
      </c>
    </row>
    <row r="932" spans="1:13" x14ac:dyDescent="0.25">
      <c r="A932" t="s">
        <v>758</v>
      </c>
      <c r="B932" t="s">
        <v>2477</v>
      </c>
      <c r="C932" t="s">
        <v>988</v>
      </c>
      <c r="D932" t="s">
        <v>979</v>
      </c>
      <c r="E932" t="s">
        <v>977</v>
      </c>
      <c r="F932" t="s">
        <v>967</v>
      </c>
      <c r="G932" t="s">
        <v>968</v>
      </c>
      <c r="H932" t="s">
        <v>2390</v>
      </c>
      <c r="I932" t="s">
        <v>970</v>
      </c>
      <c r="J932" t="s">
        <v>971</v>
      </c>
      <c r="K932" t="s">
        <v>972</v>
      </c>
      <c r="L932">
        <v>353.73</v>
      </c>
      <c r="M932">
        <f t="shared" si="14"/>
        <v>119463.91</v>
      </c>
    </row>
    <row r="933" spans="1:13" x14ac:dyDescent="0.25">
      <c r="A933" t="s">
        <v>342</v>
      </c>
      <c r="B933" t="s">
        <v>1390</v>
      </c>
      <c r="C933" t="s">
        <v>975</v>
      </c>
      <c r="D933" t="s">
        <v>1230</v>
      </c>
      <c r="E933" t="s">
        <v>977</v>
      </c>
      <c r="F933" t="s">
        <v>967</v>
      </c>
      <c r="G933" t="s">
        <v>968</v>
      </c>
      <c r="H933" t="s">
        <v>969</v>
      </c>
      <c r="I933" t="s">
        <v>970</v>
      </c>
      <c r="J933" t="s">
        <v>971</v>
      </c>
      <c r="K933" t="s">
        <v>972</v>
      </c>
      <c r="L933">
        <v>37568.15</v>
      </c>
      <c r="M933">
        <f t="shared" si="14"/>
        <v>119463.91</v>
      </c>
    </row>
    <row r="934" spans="1:13" x14ac:dyDescent="0.25">
      <c r="A934" t="s">
        <v>927</v>
      </c>
      <c r="B934" t="s">
        <v>1292</v>
      </c>
      <c r="C934" t="s">
        <v>964</v>
      </c>
      <c r="D934" t="s">
        <v>1293</v>
      </c>
      <c r="E934" t="s">
        <v>977</v>
      </c>
      <c r="F934" t="s">
        <v>967</v>
      </c>
      <c r="G934" t="s">
        <v>968</v>
      </c>
      <c r="H934" t="s">
        <v>969</v>
      </c>
      <c r="I934" t="s">
        <v>970</v>
      </c>
      <c r="J934" t="s">
        <v>971</v>
      </c>
      <c r="K934" t="s">
        <v>972</v>
      </c>
      <c r="L934">
        <v>41079.72</v>
      </c>
      <c r="M934">
        <f t="shared" si="14"/>
        <v>119463.91</v>
      </c>
    </row>
    <row r="935" spans="1:13" x14ac:dyDescent="0.25">
      <c r="A935" t="s">
        <v>554</v>
      </c>
      <c r="B935" t="s">
        <v>1275</v>
      </c>
      <c r="C935" t="s">
        <v>975</v>
      </c>
      <c r="D935" t="s">
        <v>1125</v>
      </c>
      <c r="E935" t="s">
        <v>977</v>
      </c>
      <c r="F935" t="s">
        <v>967</v>
      </c>
      <c r="G935" t="s">
        <v>968</v>
      </c>
      <c r="H935" t="s">
        <v>969</v>
      </c>
      <c r="I935" t="s">
        <v>970</v>
      </c>
      <c r="J935" t="s">
        <v>971</v>
      </c>
      <c r="K935" t="s">
        <v>972</v>
      </c>
      <c r="L935">
        <v>41698.339999999997</v>
      </c>
      <c r="M935">
        <f t="shared" si="14"/>
        <v>882447.30999999947</v>
      </c>
    </row>
    <row r="936" spans="1:13" x14ac:dyDescent="0.25">
      <c r="A936" t="s">
        <v>789</v>
      </c>
      <c r="B936" t="s">
        <v>1493</v>
      </c>
      <c r="C936" t="s">
        <v>964</v>
      </c>
      <c r="D936" t="s">
        <v>983</v>
      </c>
      <c r="E936" t="s">
        <v>977</v>
      </c>
      <c r="F936" t="s">
        <v>967</v>
      </c>
      <c r="G936" t="s">
        <v>968</v>
      </c>
      <c r="H936" t="s">
        <v>969</v>
      </c>
      <c r="I936" t="s">
        <v>970</v>
      </c>
      <c r="J936" t="s">
        <v>971</v>
      </c>
      <c r="K936" t="s">
        <v>972</v>
      </c>
      <c r="L936">
        <v>31532.639999999999</v>
      </c>
      <c r="M936">
        <f t="shared" si="14"/>
        <v>882447.30999999947</v>
      </c>
    </row>
    <row r="937" spans="1:13" x14ac:dyDescent="0.25">
      <c r="A937" t="s">
        <v>264</v>
      </c>
      <c r="B937" t="s">
        <v>1269</v>
      </c>
      <c r="C937" t="s">
        <v>964</v>
      </c>
      <c r="D937" t="s">
        <v>1125</v>
      </c>
      <c r="E937" t="s">
        <v>980</v>
      </c>
      <c r="F937" t="s">
        <v>967</v>
      </c>
      <c r="G937" t="s">
        <v>968</v>
      </c>
      <c r="H937" t="s">
        <v>969</v>
      </c>
      <c r="I937" t="s">
        <v>970</v>
      </c>
      <c r="J937" t="s">
        <v>971</v>
      </c>
      <c r="K937" t="s">
        <v>972</v>
      </c>
      <c r="L937">
        <v>42109.34</v>
      </c>
      <c r="M937">
        <f t="shared" si="14"/>
        <v>882447.30999999947</v>
      </c>
    </row>
    <row r="938" spans="1:13" x14ac:dyDescent="0.25">
      <c r="A938" t="s">
        <v>549</v>
      </c>
      <c r="B938" t="s">
        <v>1373</v>
      </c>
      <c r="C938" t="s">
        <v>975</v>
      </c>
      <c r="D938" t="s">
        <v>1230</v>
      </c>
      <c r="E938" t="s">
        <v>1223</v>
      </c>
      <c r="F938" t="s">
        <v>967</v>
      </c>
      <c r="G938" t="s">
        <v>968</v>
      </c>
      <c r="H938" t="s">
        <v>969</v>
      </c>
      <c r="I938" t="s">
        <v>970</v>
      </c>
      <c r="J938" t="s">
        <v>971</v>
      </c>
      <c r="K938" t="s">
        <v>972</v>
      </c>
      <c r="L938">
        <v>38151.21</v>
      </c>
      <c r="M938">
        <f t="shared" si="14"/>
        <v>882447.30999999947</v>
      </c>
    </row>
    <row r="939" spans="1:13" x14ac:dyDescent="0.25">
      <c r="A939" t="s">
        <v>549</v>
      </c>
      <c r="B939" t="s">
        <v>1374</v>
      </c>
      <c r="C939" t="s">
        <v>975</v>
      </c>
      <c r="D939" t="s">
        <v>1230</v>
      </c>
      <c r="E939" t="s">
        <v>1223</v>
      </c>
      <c r="F939" t="s">
        <v>967</v>
      </c>
      <c r="G939" t="s">
        <v>968</v>
      </c>
      <c r="H939" t="s">
        <v>969</v>
      </c>
      <c r="I939" t="s">
        <v>970</v>
      </c>
      <c r="J939" t="s">
        <v>971</v>
      </c>
      <c r="K939" t="s">
        <v>972</v>
      </c>
      <c r="L939">
        <v>38151.21</v>
      </c>
      <c r="M939">
        <f t="shared" si="14"/>
        <v>882447.30999999947</v>
      </c>
    </row>
    <row r="940" spans="1:13" x14ac:dyDescent="0.25">
      <c r="A940" t="s">
        <v>549</v>
      </c>
      <c r="B940" t="s">
        <v>1375</v>
      </c>
      <c r="C940" t="s">
        <v>975</v>
      </c>
      <c r="D940" t="s">
        <v>1230</v>
      </c>
      <c r="E940" t="s">
        <v>1223</v>
      </c>
      <c r="F940" t="s">
        <v>967</v>
      </c>
      <c r="G940" t="s">
        <v>968</v>
      </c>
      <c r="H940" t="s">
        <v>969</v>
      </c>
      <c r="I940" t="s">
        <v>970</v>
      </c>
      <c r="J940" t="s">
        <v>971</v>
      </c>
      <c r="K940" t="s">
        <v>972</v>
      </c>
      <c r="L940">
        <v>38151.21</v>
      </c>
      <c r="M940">
        <f t="shared" si="14"/>
        <v>882447.30999999947</v>
      </c>
    </row>
    <row r="941" spans="1:13" x14ac:dyDescent="0.25">
      <c r="A941" t="s">
        <v>496</v>
      </c>
      <c r="B941" t="s">
        <v>1294</v>
      </c>
      <c r="C941" t="s">
        <v>964</v>
      </c>
      <c r="D941" t="s">
        <v>1185</v>
      </c>
      <c r="E941" t="s">
        <v>977</v>
      </c>
      <c r="F941" t="s">
        <v>967</v>
      </c>
      <c r="G941" t="s">
        <v>968</v>
      </c>
      <c r="H941" t="s">
        <v>969</v>
      </c>
      <c r="I941" t="s">
        <v>970</v>
      </c>
      <c r="J941" t="s">
        <v>971</v>
      </c>
      <c r="K941" t="s">
        <v>972</v>
      </c>
      <c r="L941">
        <v>40790.839999999997</v>
      </c>
      <c r="M941">
        <f t="shared" si="14"/>
        <v>882447.30999999947</v>
      </c>
    </row>
    <row r="942" spans="1:13" x14ac:dyDescent="0.25">
      <c r="A942" t="s">
        <v>496</v>
      </c>
      <c r="B942" t="s">
        <v>1295</v>
      </c>
      <c r="C942" t="s">
        <v>964</v>
      </c>
      <c r="D942" t="s">
        <v>1185</v>
      </c>
      <c r="E942" t="s">
        <v>977</v>
      </c>
      <c r="F942" t="s">
        <v>967</v>
      </c>
      <c r="G942" t="s">
        <v>968</v>
      </c>
      <c r="H942" t="s">
        <v>969</v>
      </c>
      <c r="I942" t="s">
        <v>970</v>
      </c>
      <c r="J942" t="s">
        <v>971</v>
      </c>
      <c r="K942" t="s">
        <v>972</v>
      </c>
      <c r="L942">
        <v>40790.839999999997</v>
      </c>
      <c r="M942">
        <f t="shared" si="14"/>
        <v>882447.30999999947</v>
      </c>
    </row>
    <row r="943" spans="1:13" x14ac:dyDescent="0.25">
      <c r="A943" t="s">
        <v>496</v>
      </c>
      <c r="B943" t="s">
        <v>1296</v>
      </c>
      <c r="C943" t="s">
        <v>964</v>
      </c>
      <c r="D943" t="s">
        <v>1185</v>
      </c>
      <c r="E943" t="s">
        <v>977</v>
      </c>
      <c r="F943" t="s">
        <v>967</v>
      </c>
      <c r="G943" t="s">
        <v>968</v>
      </c>
      <c r="H943" t="s">
        <v>969</v>
      </c>
      <c r="I943" t="s">
        <v>970</v>
      </c>
      <c r="J943" t="s">
        <v>971</v>
      </c>
      <c r="K943" t="s">
        <v>972</v>
      </c>
      <c r="L943">
        <v>40790.839999999997</v>
      </c>
      <c r="M943">
        <f t="shared" si="14"/>
        <v>882447.30999999947</v>
      </c>
    </row>
    <row r="944" spans="1:13" x14ac:dyDescent="0.25">
      <c r="A944" t="s">
        <v>496</v>
      </c>
      <c r="B944" t="s">
        <v>1297</v>
      </c>
      <c r="C944" t="s">
        <v>964</v>
      </c>
      <c r="D944" t="s">
        <v>1185</v>
      </c>
      <c r="E944" t="s">
        <v>977</v>
      </c>
      <c r="F944" t="s">
        <v>967</v>
      </c>
      <c r="G944" t="s">
        <v>968</v>
      </c>
      <c r="H944" t="s">
        <v>969</v>
      </c>
      <c r="I944" t="s">
        <v>970</v>
      </c>
      <c r="J944" t="s">
        <v>971</v>
      </c>
      <c r="K944" t="s">
        <v>972</v>
      </c>
      <c r="L944">
        <v>40790.839999999997</v>
      </c>
      <c r="M944">
        <f t="shared" si="14"/>
        <v>882447.30999999947</v>
      </c>
    </row>
    <row r="945" spans="1:13" x14ac:dyDescent="0.25">
      <c r="A945" t="s">
        <v>496</v>
      </c>
      <c r="B945" t="s">
        <v>1298</v>
      </c>
      <c r="C945" t="s">
        <v>964</v>
      </c>
      <c r="D945" t="s">
        <v>1185</v>
      </c>
      <c r="E945" t="s">
        <v>977</v>
      </c>
      <c r="F945" t="s">
        <v>967</v>
      </c>
      <c r="G945" t="s">
        <v>968</v>
      </c>
      <c r="H945" t="s">
        <v>969</v>
      </c>
      <c r="I945" t="s">
        <v>970</v>
      </c>
      <c r="J945" t="s">
        <v>971</v>
      </c>
      <c r="K945" t="s">
        <v>972</v>
      </c>
      <c r="L945">
        <v>40790.839999999997</v>
      </c>
      <c r="M945">
        <f t="shared" si="14"/>
        <v>882447.30999999947</v>
      </c>
    </row>
    <row r="946" spans="1:13" x14ac:dyDescent="0.25">
      <c r="A946" t="s">
        <v>496</v>
      </c>
      <c r="B946" t="s">
        <v>1299</v>
      </c>
      <c r="C946" t="s">
        <v>964</v>
      </c>
      <c r="D946" t="s">
        <v>1185</v>
      </c>
      <c r="E946" t="s">
        <v>977</v>
      </c>
      <c r="F946" t="s">
        <v>967</v>
      </c>
      <c r="G946" t="s">
        <v>968</v>
      </c>
      <c r="H946" t="s">
        <v>969</v>
      </c>
      <c r="I946" t="s">
        <v>970</v>
      </c>
      <c r="J946" t="s">
        <v>971</v>
      </c>
      <c r="K946" t="s">
        <v>972</v>
      </c>
      <c r="L946">
        <v>40790.839999999997</v>
      </c>
      <c r="M946">
        <f t="shared" si="14"/>
        <v>882447.30999999947</v>
      </c>
    </row>
    <row r="947" spans="1:13" x14ac:dyDescent="0.25">
      <c r="A947" t="s">
        <v>496</v>
      </c>
      <c r="B947" t="s">
        <v>1300</v>
      </c>
      <c r="C947" t="s">
        <v>964</v>
      </c>
      <c r="D947" t="s">
        <v>1185</v>
      </c>
      <c r="E947" t="s">
        <v>977</v>
      </c>
      <c r="F947" t="s">
        <v>967</v>
      </c>
      <c r="G947" t="s">
        <v>968</v>
      </c>
      <c r="H947" t="s">
        <v>969</v>
      </c>
      <c r="I947" t="s">
        <v>970</v>
      </c>
      <c r="J947" t="s">
        <v>971</v>
      </c>
      <c r="K947" t="s">
        <v>972</v>
      </c>
      <c r="L947">
        <v>40790.839999999997</v>
      </c>
      <c r="M947">
        <f t="shared" si="14"/>
        <v>882447.30999999947</v>
      </c>
    </row>
    <row r="948" spans="1:13" x14ac:dyDescent="0.25">
      <c r="A948" t="s">
        <v>496</v>
      </c>
      <c r="B948" t="s">
        <v>1301</v>
      </c>
      <c r="C948" t="s">
        <v>964</v>
      </c>
      <c r="D948" t="s">
        <v>1185</v>
      </c>
      <c r="E948" t="s">
        <v>977</v>
      </c>
      <c r="F948" t="s">
        <v>967</v>
      </c>
      <c r="G948" t="s">
        <v>968</v>
      </c>
      <c r="H948" t="s">
        <v>969</v>
      </c>
      <c r="I948" t="s">
        <v>970</v>
      </c>
      <c r="J948" t="s">
        <v>971</v>
      </c>
      <c r="K948" t="s">
        <v>972</v>
      </c>
      <c r="L948">
        <v>40790.839999999997</v>
      </c>
      <c r="M948">
        <f t="shared" si="14"/>
        <v>882447.30999999947</v>
      </c>
    </row>
    <row r="949" spans="1:13" x14ac:dyDescent="0.25">
      <c r="A949" t="s">
        <v>496</v>
      </c>
      <c r="B949" t="s">
        <v>1299</v>
      </c>
      <c r="C949" t="s">
        <v>964</v>
      </c>
      <c r="D949" t="s">
        <v>1185</v>
      </c>
      <c r="E949" t="s">
        <v>977</v>
      </c>
      <c r="F949" t="s">
        <v>967</v>
      </c>
      <c r="G949" t="s">
        <v>968</v>
      </c>
      <c r="H949" t="s">
        <v>969</v>
      </c>
      <c r="I949" t="s">
        <v>970</v>
      </c>
      <c r="J949" t="s">
        <v>971</v>
      </c>
      <c r="K949" t="s">
        <v>972</v>
      </c>
      <c r="L949">
        <v>40790.83</v>
      </c>
      <c r="M949">
        <f t="shared" si="14"/>
        <v>882447.30999999947</v>
      </c>
    </row>
    <row r="950" spans="1:13" x14ac:dyDescent="0.25">
      <c r="A950" t="s">
        <v>496</v>
      </c>
      <c r="B950" t="s">
        <v>1296</v>
      </c>
      <c r="C950" t="s">
        <v>964</v>
      </c>
      <c r="D950" t="s">
        <v>1185</v>
      </c>
      <c r="E950" t="s">
        <v>977</v>
      </c>
      <c r="F950" t="s">
        <v>967</v>
      </c>
      <c r="G950" t="s">
        <v>968</v>
      </c>
      <c r="H950" t="s">
        <v>969</v>
      </c>
      <c r="I950" t="s">
        <v>970</v>
      </c>
      <c r="J950" t="s">
        <v>971</v>
      </c>
      <c r="K950" t="s">
        <v>972</v>
      </c>
      <c r="L950">
        <v>40790.83</v>
      </c>
      <c r="M950">
        <f t="shared" si="14"/>
        <v>882447.30999999947</v>
      </c>
    </row>
    <row r="951" spans="1:13" x14ac:dyDescent="0.25">
      <c r="A951" t="s">
        <v>496</v>
      </c>
      <c r="B951" t="s">
        <v>1300</v>
      </c>
      <c r="C951" t="s">
        <v>964</v>
      </c>
      <c r="D951" t="s">
        <v>1185</v>
      </c>
      <c r="E951" t="s">
        <v>977</v>
      </c>
      <c r="F951" t="s">
        <v>967</v>
      </c>
      <c r="G951" t="s">
        <v>968</v>
      </c>
      <c r="H951" t="s">
        <v>969</v>
      </c>
      <c r="I951" t="s">
        <v>970</v>
      </c>
      <c r="J951" t="s">
        <v>971</v>
      </c>
      <c r="K951" t="s">
        <v>972</v>
      </c>
      <c r="L951">
        <v>40790.83</v>
      </c>
      <c r="M951">
        <f t="shared" si="14"/>
        <v>882447.30999999947</v>
      </c>
    </row>
    <row r="952" spans="1:13" x14ac:dyDescent="0.25">
      <c r="A952" t="s">
        <v>496</v>
      </c>
      <c r="B952" t="s">
        <v>1301</v>
      </c>
      <c r="C952" t="s">
        <v>964</v>
      </c>
      <c r="D952" t="s">
        <v>1185</v>
      </c>
      <c r="E952" t="s">
        <v>977</v>
      </c>
      <c r="F952" t="s">
        <v>967</v>
      </c>
      <c r="G952" t="s">
        <v>968</v>
      </c>
      <c r="H952" t="s">
        <v>969</v>
      </c>
      <c r="I952" t="s">
        <v>970</v>
      </c>
      <c r="J952" t="s">
        <v>971</v>
      </c>
      <c r="K952" t="s">
        <v>972</v>
      </c>
      <c r="L952">
        <v>40790.83</v>
      </c>
      <c r="M952">
        <f t="shared" si="14"/>
        <v>882447.30999999947</v>
      </c>
    </row>
    <row r="953" spans="1:13" x14ac:dyDescent="0.25">
      <c r="A953" t="s">
        <v>496</v>
      </c>
      <c r="B953" t="s">
        <v>1294</v>
      </c>
      <c r="C953" t="s">
        <v>964</v>
      </c>
      <c r="D953" t="s">
        <v>1185</v>
      </c>
      <c r="E953" t="s">
        <v>977</v>
      </c>
      <c r="F953" t="s">
        <v>967</v>
      </c>
      <c r="G953" t="s">
        <v>968</v>
      </c>
      <c r="H953" t="s">
        <v>969</v>
      </c>
      <c r="I953" t="s">
        <v>970</v>
      </c>
      <c r="J953" t="s">
        <v>971</v>
      </c>
      <c r="K953" t="s">
        <v>972</v>
      </c>
      <c r="L953">
        <v>40790.83</v>
      </c>
      <c r="M953">
        <f t="shared" si="14"/>
        <v>882447.30999999947</v>
      </c>
    </row>
    <row r="954" spans="1:13" x14ac:dyDescent="0.25">
      <c r="A954" t="s">
        <v>496</v>
      </c>
      <c r="B954" t="s">
        <v>1297</v>
      </c>
      <c r="C954" t="s">
        <v>964</v>
      </c>
      <c r="D954" t="s">
        <v>1185</v>
      </c>
      <c r="E954" t="s">
        <v>977</v>
      </c>
      <c r="F954" t="s">
        <v>967</v>
      </c>
      <c r="G954" t="s">
        <v>968</v>
      </c>
      <c r="H954" t="s">
        <v>969</v>
      </c>
      <c r="I954" t="s">
        <v>970</v>
      </c>
      <c r="J954" t="s">
        <v>971</v>
      </c>
      <c r="K954" t="s">
        <v>972</v>
      </c>
      <c r="L954">
        <v>40790.83</v>
      </c>
      <c r="M954">
        <f t="shared" si="14"/>
        <v>882447.30999999947</v>
      </c>
    </row>
    <row r="955" spans="1:13" x14ac:dyDescent="0.25">
      <c r="A955" t="s">
        <v>496</v>
      </c>
      <c r="B955" t="s">
        <v>1295</v>
      </c>
      <c r="C955" t="s">
        <v>964</v>
      </c>
      <c r="D955" t="s">
        <v>1185</v>
      </c>
      <c r="E955" t="s">
        <v>977</v>
      </c>
      <c r="F955" t="s">
        <v>967</v>
      </c>
      <c r="G955" t="s">
        <v>968</v>
      </c>
      <c r="H955" t="s">
        <v>969</v>
      </c>
      <c r="I955" t="s">
        <v>970</v>
      </c>
      <c r="J955" t="s">
        <v>971</v>
      </c>
      <c r="K955" t="s">
        <v>972</v>
      </c>
      <c r="L955">
        <v>40790.83</v>
      </c>
      <c r="M955">
        <f t="shared" si="14"/>
        <v>882447.30999999947</v>
      </c>
    </row>
    <row r="956" spans="1:13" x14ac:dyDescent="0.25">
      <c r="A956" t="s">
        <v>496</v>
      </c>
      <c r="B956" t="s">
        <v>1298</v>
      </c>
      <c r="C956" t="s">
        <v>964</v>
      </c>
      <c r="D956" t="s">
        <v>1185</v>
      </c>
      <c r="E956" t="s">
        <v>977</v>
      </c>
      <c r="F956" t="s">
        <v>967</v>
      </c>
      <c r="G956" t="s">
        <v>968</v>
      </c>
      <c r="H956" t="s">
        <v>969</v>
      </c>
      <c r="I956" t="s">
        <v>970</v>
      </c>
      <c r="J956" t="s">
        <v>971</v>
      </c>
      <c r="K956" t="s">
        <v>972</v>
      </c>
      <c r="L956">
        <v>40790.83</v>
      </c>
      <c r="M956">
        <f t="shared" si="14"/>
        <v>882447.30999999947</v>
      </c>
    </row>
    <row r="957" spans="1:13" x14ac:dyDescent="0.25">
      <c r="A957" t="s">
        <v>626</v>
      </c>
      <c r="B957" t="s">
        <v>1419</v>
      </c>
      <c r="C957" t="s">
        <v>975</v>
      </c>
      <c r="D957" t="s">
        <v>983</v>
      </c>
      <c r="E957" t="s">
        <v>966</v>
      </c>
      <c r="F957" t="s">
        <v>967</v>
      </c>
      <c r="G957" t="s">
        <v>968</v>
      </c>
      <c r="H957" t="s">
        <v>969</v>
      </c>
      <c r="I957" t="s">
        <v>970</v>
      </c>
      <c r="J957" t="s">
        <v>971</v>
      </c>
      <c r="K957" t="s">
        <v>972</v>
      </c>
      <c r="L957">
        <v>35882.199999999997</v>
      </c>
      <c r="M957">
        <f t="shared" si="14"/>
        <v>929884.85999999964</v>
      </c>
    </row>
    <row r="958" spans="1:13" x14ac:dyDescent="0.25">
      <c r="A958" t="s">
        <v>626</v>
      </c>
      <c r="B958" t="s">
        <v>1420</v>
      </c>
      <c r="C958" t="s">
        <v>975</v>
      </c>
      <c r="D958" t="s">
        <v>983</v>
      </c>
      <c r="E958" t="s">
        <v>966</v>
      </c>
      <c r="F958" t="s">
        <v>967</v>
      </c>
      <c r="G958" t="s">
        <v>968</v>
      </c>
      <c r="H958" t="s">
        <v>969</v>
      </c>
      <c r="I958" t="s">
        <v>970</v>
      </c>
      <c r="J958" t="s">
        <v>971</v>
      </c>
      <c r="K958" t="s">
        <v>972</v>
      </c>
      <c r="L958">
        <v>35882.199999999997</v>
      </c>
      <c r="M958">
        <f t="shared" si="14"/>
        <v>929884.85999999964</v>
      </c>
    </row>
    <row r="959" spans="1:13" x14ac:dyDescent="0.25">
      <c r="A959" t="s">
        <v>626</v>
      </c>
      <c r="B959" t="s">
        <v>1421</v>
      </c>
      <c r="C959" t="s">
        <v>975</v>
      </c>
      <c r="D959" t="s">
        <v>983</v>
      </c>
      <c r="E959" t="s">
        <v>966</v>
      </c>
      <c r="F959" t="s">
        <v>967</v>
      </c>
      <c r="G959" t="s">
        <v>968</v>
      </c>
      <c r="H959" t="s">
        <v>969</v>
      </c>
      <c r="I959" t="s">
        <v>970</v>
      </c>
      <c r="J959" t="s">
        <v>971</v>
      </c>
      <c r="K959" t="s">
        <v>972</v>
      </c>
      <c r="L959">
        <v>35882.199999999997</v>
      </c>
      <c r="M959">
        <f t="shared" si="14"/>
        <v>929884.85999999964</v>
      </c>
    </row>
    <row r="960" spans="1:13" x14ac:dyDescent="0.25">
      <c r="A960" t="s">
        <v>626</v>
      </c>
      <c r="B960" t="s">
        <v>1422</v>
      </c>
      <c r="C960" t="s">
        <v>975</v>
      </c>
      <c r="D960" t="s">
        <v>983</v>
      </c>
      <c r="E960" t="s">
        <v>966</v>
      </c>
      <c r="F960" t="s">
        <v>967</v>
      </c>
      <c r="G960" t="s">
        <v>968</v>
      </c>
      <c r="H960" t="s">
        <v>969</v>
      </c>
      <c r="I960" t="s">
        <v>970</v>
      </c>
      <c r="J960" t="s">
        <v>971</v>
      </c>
      <c r="K960" t="s">
        <v>972</v>
      </c>
      <c r="L960">
        <v>35882.199999999997</v>
      </c>
      <c r="M960">
        <f t="shared" si="14"/>
        <v>929884.85999999964</v>
      </c>
    </row>
    <row r="961" spans="1:13" x14ac:dyDescent="0.25">
      <c r="A961" t="s">
        <v>626</v>
      </c>
      <c r="B961" t="s">
        <v>1426</v>
      </c>
      <c r="C961" t="s">
        <v>975</v>
      </c>
      <c r="D961" t="s">
        <v>983</v>
      </c>
      <c r="E961" t="s">
        <v>966</v>
      </c>
      <c r="F961" t="s">
        <v>967</v>
      </c>
      <c r="G961" t="s">
        <v>968</v>
      </c>
      <c r="H961" t="s">
        <v>969</v>
      </c>
      <c r="I961" t="s">
        <v>970</v>
      </c>
      <c r="J961" t="s">
        <v>971</v>
      </c>
      <c r="K961" t="s">
        <v>972</v>
      </c>
      <c r="L961">
        <v>35882.199999999997</v>
      </c>
      <c r="M961">
        <f t="shared" si="14"/>
        <v>929884.85999999964</v>
      </c>
    </row>
    <row r="962" spans="1:13" x14ac:dyDescent="0.25">
      <c r="A962" t="s">
        <v>626</v>
      </c>
      <c r="B962" t="s">
        <v>1429</v>
      </c>
      <c r="C962" t="s">
        <v>975</v>
      </c>
      <c r="D962" t="s">
        <v>983</v>
      </c>
      <c r="E962" t="s">
        <v>966</v>
      </c>
      <c r="F962" t="s">
        <v>967</v>
      </c>
      <c r="G962" t="s">
        <v>968</v>
      </c>
      <c r="H962" t="s">
        <v>969</v>
      </c>
      <c r="I962" t="s">
        <v>970</v>
      </c>
      <c r="J962" t="s">
        <v>971</v>
      </c>
      <c r="K962" t="s">
        <v>972</v>
      </c>
      <c r="L962">
        <v>35882.199999999997</v>
      </c>
      <c r="M962">
        <f t="shared" si="14"/>
        <v>929884.85999999964</v>
      </c>
    </row>
    <row r="963" spans="1:13" x14ac:dyDescent="0.25">
      <c r="A963" t="s">
        <v>626</v>
      </c>
      <c r="B963" t="s">
        <v>1430</v>
      </c>
      <c r="C963" t="s">
        <v>975</v>
      </c>
      <c r="D963" t="s">
        <v>983</v>
      </c>
      <c r="E963" t="s">
        <v>966</v>
      </c>
      <c r="F963" t="s">
        <v>967</v>
      </c>
      <c r="G963" t="s">
        <v>968</v>
      </c>
      <c r="H963" t="s">
        <v>969</v>
      </c>
      <c r="I963" t="s">
        <v>970</v>
      </c>
      <c r="J963" t="s">
        <v>971</v>
      </c>
      <c r="K963" t="s">
        <v>972</v>
      </c>
      <c r="L963">
        <v>35882.199999999997</v>
      </c>
      <c r="M963">
        <f t="shared" ref="M963:M1026" si="15">+SUMIF(A:A,A963,L:L)</f>
        <v>929884.85999999964</v>
      </c>
    </row>
    <row r="964" spans="1:13" x14ac:dyDescent="0.25">
      <c r="A964" t="s">
        <v>626</v>
      </c>
      <c r="B964" t="s">
        <v>1431</v>
      </c>
      <c r="C964" t="s">
        <v>975</v>
      </c>
      <c r="D964" t="s">
        <v>983</v>
      </c>
      <c r="E964" t="s">
        <v>966</v>
      </c>
      <c r="F964" t="s">
        <v>967</v>
      </c>
      <c r="G964" t="s">
        <v>968</v>
      </c>
      <c r="H964" t="s">
        <v>969</v>
      </c>
      <c r="I964" t="s">
        <v>970</v>
      </c>
      <c r="J964" t="s">
        <v>971</v>
      </c>
      <c r="K964" t="s">
        <v>972</v>
      </c>
      <c r="L964">
        <v>35882.199999999997</v>
      </c>
      <c r="M964">
        <f t="shared" si="15"/>
        <v>929884.85999999964</v>
      </c>
    </row>
    <row r="965" spans="1:13" x14ac:dyDescent="0.25">
      <c r="A965" t="s">
        <v>86</v>
      </c>
      <c r="B965" t="s">
        <v>981</v>
      </c>
      <c r="C965" t="s">
        <v>982</v>
      </c>
      <c r="D965" t="s">
        <v>983</v>
      </c>
      <c r="E965" t="s">
        <v>977</v>
      </c>
      <c r="F965" t="s">
        <v>967</v>
      </c>
      <c r="G965" t="s">
        <v>968</v>
      </c>
      <c r="H965" t="s">
        <v>969</v>
      </c>
      <c r="I965" t="s">
        <v>970</v>
      </c>
      <c r="J965" t="s">
        <v>971</v>
      </c>
      <c r="K965" t="s">
        <v>972</v>
      </c>
      <c r="L965">
        <v>250</v>
      </c>
      <c r="M965">
        <f t="shared" si="15"/>
        <v>929884.85999999964</v>
      </c>
    </row>
    <row r="966" spans="1:13" x14ac:dyDescent="0.25">
      <c r="A966" t="s">
        <v>86</v>
      </c>
      <c r="B966" t="s">
        <v>981</v>
      </c>
      <c r="C966" t="s">
        <v>982</v>
      </c>
      <c r="D966" t="s">
        <v>983</v>
      </c>
      <c r="E966" t="s">
        <v>977</v>
      </c>
      <c r="F966" t="s">
        <v>967</v>
      </c>
      <c r="G966" t="s">
        <v>968</v>
      </c>
      <c r="H966" t="s">
        <v>2390</v>
      </c>
      <c r="I966" t="s">
        <v>970</v>
      </c>
      <c r="J966" t="s">
        <v>971</v>
      </c>
      <c r="K966" t="s">
        <v>972</v>
      </c>
      <c r="L966">
        <v>212.36</v>
      </c>
      <c r="M966">
        <f t="shared" si="15"/>
        <v>929884.85999999964</v>
      </c>
    </row>
    <row r="967" spans="1:13" x14ac:dyDescent="0.25">
      <c r="A967" t="s">
        <v>132</v>
      </c>
      <c r="B967" t="s">
        <v>2309</v>
      </c>
      <c r="C967" t="s">
        <v>988</v>
      </c>
      <c r="D967" t="s">
        <v>1230</v>
      </c>
      <c r="E967" t="s">
        <v>977</v>
      </c>
      <c r="F967" t="s">
        <v>967</v>
      </c>
      <c r="G967" t="s">
        <v>968</v>
      </c>
      <c r="H967" t="s">
        <v>969</v>
      </c>
      <c r="I967" t="s">
        <v>970</v>
      </c>
      <c r="J967" t="s">
        <v>971</v>
      </c>
      <c r="K967" t="s">
        <v>972</v>
      </c>
      <c r="L967">
        <v>1488.42</v>
      </c>
      <c r="M967">
        <f t="shared" si="15"/>
        <v>929884.85999999964</v>
      </c>
    </row>
    <row r="968" spans="1:13" x14ac:dyDescent="0.25">
      <c r="A968" t="s">
        <v>76</v>
      </c>
      <c r="B968" t="s">
        <v>1415</v>
      </c>
      <c r="C968" t="s">
        <v>975</v>
      </c>
      <c r="D968" t="s">
        <v>983</v>
      </c>
      <c r="E968" t="s">
        <v>966</v>
      </c>
      <c r="F968" t="s">
        <v>967</v>
      </c>
      <c r="G968" t="s">
        <v>968</v>
      </c>
      <c r="H968" t="s">
        <v>969</v>
      </c>
      <c r="I968" t="s">
        <v>970</v>
      </c>
      <c r="J968" t="s">
        <v>971</v>
      </c>
      <c r="K968" t="s">
        <v>972</v>
      </c>
      <c r="L968">
        <v>35882.199999999997</v>
      </c>
      <c r="M968">
        <f t="shared" si="15"/>
        <v>929884.85999999964</v>
      </c>
    </row>
    <row r="969" spans="1:13" x14ac:dyDescent="0.25">
      <c r="A969" t="s">
        <v>76</v>
      </c>
      <c r="B969" t="s">
        <v>1416</v>
      </c>
      <c r="C969" t="s">
        <v>975</v>
      </c>
      <c r="D969" t="s">
        <v>983</v>
      </c>
      <c r="E969" t="s">
        <v>966</v>
      </c>
      <c r="F969" t="s">
        <v>967</v>
      </c>
      <c r="G969" t="s">
        <v>968</v>
      </c>
      <c r="H969" t="s">
        <v>969</v>
      </c>
      <c r="I969" t="s">
        <v>970</v>
      </c>
      <c r="J969" t="s">
        <v>971</v>
      </c>
      <c r="K969" t="s">
        <v>972</v>
      </c>
      <c r="L969">
        <v>35882.199999999997</v>
      </c>
      <c r="M969">
        <f t="shared" si="15"/>
        <v>929884.85999999964</v>
      </c>
    </row>
    <row r="970" spans="1:13" x14ac:dyDescent="0.25">
      <c r="A970" t="s">
        <v>76</v>
      </c>
      <c r="B970" t="s">
        <v>1417</v>
      </c>
      <c r="C970" t="s">
        <v>975</v>
      </c>
      <c r="D970" t="s">
        <v>983</v>
      </c>
      <c r="E970" t="s">
        <v>966</v>
      </c>
      <c r="F970" t="s">
        <v>967</v>
      </c>
      <c r="G970" t="s">
        <v>968</v>
      </c>
      <c r="H970" t="s">
        <v>969</v>
      </c>
      <c r="I970" t="s">
        <v>970</v>
      </c>
      <c r="J970" t="s">
        <v>971</v>
      </c>
      <c r="K970" t="s">
        <v>972</v>
      </c>
      <c r="L970">
        <v>35882.199999999997</v>
      </c>
      <c r="M970">
        <f t="shared" si="15"/>
        <v>929884.85999999964</v>
      </c>
    </row>
    <row r="971" spans="1:13" x14ac:dyDescent="0.25">
      <c r="A971" t="s">
        <v>76</v>
      </c>
      <c r="B971" t="s">
        <v>1418</v>
      </c>
      <c r="C971" t="s">
        <v>975</v>
      </c>
      <c r="D971" t="s">
        <v>983</v>
      </c>
      <c r="E971" t="s">
        <v>966</v>
      </c>
      <c r="F971" t="s">
        <v>967</v>
      </c>
      <c r="G971" t="s">
        <v>968</v>
      </c>
      <c r="H971" t="s">
        <v>969</v>
      </c>
      <c r="I971" t="s">
        <v>970</v>
      </c>
      <c r="J971" t="s">
        <v>971</v>
      </c>
      <c r="K971" t="s">
        <v>972</v>
      </c>
      <c r="L971">
        <v>35882.199999999997</v>
      </c>
      <c r="M971">
        <f t="shared" si="15"/>
        <v>929884.85999999964</v>
      </c>
    </row>
    <row r="972" spans="1:13" x14ac:dyDescent="0.25">
      <c r="A972" t="s">
        <v>76</v>
      </c>
      <c r="B972" t="s">
        <v>1423</v>
      </c>
      <c r="C972" t="s">
        <v>975</v>
      </c>
      <c r="D972" t="s">
        <v>983</v>
      </c>
      <c r="E972" t="s">
        <v>966</v>
      </c>
      <c r="F972" t="s">
        <v>967</v>
      </c>
      <c r="G972" t="s">
        <v>968</v>
      </c>
      <c r="H972" t="s">
        <v>969</v>
      </c>
      <c r="I972" t="s">
        <v>970</v>
      </c>
      <c r="J972" t="s">
        <v>971</v>
      </c>
      <c r="K972" t="s">
        <v>972</v>
      </c>
      <c r="L972">
        <v>35882.199999999997</v>
      </c>
      <c r="M972">
        <f t="shared" si="15"/>
        <v>929884.85999999964</v>
      </c>
    </row>
    <row r="973" spans="1:13" x14ac:dyDescent="0.25">
      <c r="A973" t="s">
        <v>76</v>
      </c>
      <c r="B973" t="s">
        <v>1424</v>
      </c>
      <c r="C973" t="s">
        <v>975</v>
      </c>
      <c r="D973" t="s">
        <v>983</v>
      </c>
      <c r="E973" t="s">
        <v>966</v>
      </c>
      <c r="F973" t="s">
        <v>967</v>
      </c>
      <c r="G973" t="s">
        <v>968</v>
      </c>
      <c r="H973" t="s">
        <v>969</v>
      </c>
      <c r="I973" t="s">
        <v>970</v>
      </c>
      <c r="J973" t="s">
        <v>971</v>
      </c>
      <c r="K973" t="s">
        <v>972</v>
      </c>
      <c r="L973">
        <v>35882.199999999997</v>
      </c>
      <c r="M973">
        <f t="shared" si="15"/>
        <v>929884.85999999964</v>
      </c>
    </row>
    <row r="974" spans="1:13" x14ac:dyDescent="0.25">
      <c r="A974" t="s">
        <v>76</v>
      </c>
      <c r="B974" t="s">
        <v>1425</v>
      </c>
      <c r="C974" t="s">
        <v>975</v>
      </c>
      <c r="D974" t="s">
        <v>983</v>
      </c>
      <c r="E974" t="s">
        <v>966</v>
      </c>
      <c r="F974" t="s">
        <v>967</v>
      </c>
      <c r="G974" t="s">
        <v>968</v>
      </c>
      <c r="H974" t="s">
        <v>969</v>
      </c>
      <c r="I974" t="s">
        <v>970</v>
      </c>
      <c r="J974" t="s">
        <v>971</v>
      </c>
      <c r="K974" t="s">
        <v>972</v>
      </c>
      <c r="L974">
        <v>35882.199999999997</v>
      </c>
      <c r="M974">
        <f t="shared" si="15"/>
        <v>929884.85999999964</v>
      </c>
    </row>
    <row r="975" spans="1:13" x14ac:dyDescent="0.25">
      <c r="A975" t="s">
        <v>76</v>
      </c>
      <c r="B975" t="s">
        <v>1427</v>
      </c>
      <c r="C975" t="s">
        <v>975</v>
      </c>
      <c r="D975" t="s">
        <v>983</v>
      </c>
      <c r="E975" t="s">
        <v>966</v>
      </c>
      <c r="F975" t="s">
        <v>967</v>
      </c>
      <c r="G975" t="s">
        <v>968</v>
      </c>
      <c r="H975" t="s">
        <v>969</v>
      </c>
      <c r="I975" t="s">
        <v>970</v>
      </c>
      <c r="J975" t="s">
        <v>971</v>
      </c>
      <c r="K975" t="s">
        <v>972</v>
      </c>
      <c r="L975">
        <v>35882.199999999997</v>
      </c>
      <c r="M975">
        <f t="shared" si="15"/>
        <v>929884.85999999964</v>
      </c>
    </row>
    <row r="976" spans="1:13" x14ac:dyDescent="0.25">
      <c r="A976" t="s">
        <v>76</v>
      </c>
      <c r="B976" t="s">
        <v>1428</v>
      </c>
      <c r="C976" t="s">
        <v>975</v>
      </c>
      <c r="D976" t="s">
        <v>983</v>
      </c>
      <c r="E976" t="s">
        <v>966</v>
      </c>
      <c r="F976" t="s">
        <v>967</v>
      </c>
      <c r="G976" t="s">
        <v>968</v>
      </c>
      <c r="H976" t="s">
        <v>969</v>
      </c>
      <c r="I976" t="s">
        <v>970</v>
      </c>
      <c r="J976" t="s">
        <v>971</v>
      </c>
      <c r="K976" t="s">
        <v>972</v>
      </c>
      <c r="L976">
        <v>35882.199999999997</v>
      </c>
      <c r="M976">
        <f t="shared" si="15"/>
        <v>929884.85999999964</v>
      </c>
    </row>
    <row r="977" spans="1:13" x14ac:dyDescent="0.25">
      <c r="A977" t="s">
        <v>76</v>
      </c>
      <c r="B977" t="s">
        <v>1432</v>
      </c>
      <c r="C977" t="s">
        <v>975</v>
      </c>
      <c r="D977" t="s">
        <v>983</v>
      </c>
      <c r="E977" t="s">
        <v>966</v>
      </c>
      <c r="F977" t="s">
        <v>967</v>
      </c>
      <c r="G977" t="s">
        <v>968</v>
      </c>
      <c r="H977" t="s">
        <v>969</v>
      </c>
      <c r="I977" t="s">
        <v>970</v>
      </c>
      <c r="J977" t="s">
        <v>971</v>
      </c>
      <c r="K977" t="s">
        <v>972</v>
      </c>
      <c r="L977">
        <v>35882.199999999997</v>
      </c>
      <c r="M977">
        <f t="shared" si="15"/>
        <v>929884.85999999964</v>
      </c>
    </row>
    <row r="978" spans="1:13" x14ac:dyDescent="0.25">
      <c r="A978" t="s">
        <v>76</v>
      </c>
      <c r="B978" t="s">
        <v>1433</v>
      </c>
      <c r="C978" t="s">
        <v>975</v>
      </c>
      <c r="D978" t="s">
        <v>983</v>
      </c>
      <c r="E978" t="s">
        <v>966</v>
      </c>
      <c r="F978" t="s">
        <v>967</v>
      </c>
      <c r="G978" t="s">
        <v>968</v>
      </c>
      <c r="H978" t="s">
        <v>969</v>
      </c>
      <c r="I978" t="s">
        <v>970</v>
      </c>
      <c r="J978" t="s">
        <v>971</v>
      </c>
      <c r="K978" t="s">
        <v>972</v>
      </c>
      <c r="L978">
        <v>35882.199999999997</v>
      </c>
      <c r="M978">
        <f t="shared" si="15"/>
        <v>929884.85999999964</v>
      </c>
    </row>
    <row r="979" spans="1:13" x14ac:dyDescent="0.25">
      <c r="A979" t="s">
        <v>76</v>
      </c>
      <c r="B979" t="s">
        <v>1434</v>
      </c>
      <c r="C979" t="s">
        <v>975</v>
      </c>
      <c r="D979" t="s">
        <v>983</v>
      </c>
      <c r="E979" t="s">
        <v>966</v>
      </c>
      <c r="F979" t="s">
        <v>967</v>
      </c>
      <c r="G979" t="s">
        <v>968</v>
      </c>
      <c r="H979" t="s">
        <v>969</v>
      </c>
      <c r="I979" t="s">
        <v>970</v>
      </c>
      <c r="J979" t="s">
        <v>971</v>
      </c>
      <c r="K979" t="s">
        <v>972</v>
      </c>
      <c r="L979">
        <v>35882.199999999997</v>
      </c>
      <c r="M979">
        <f t="shared" si="15"/>
        <v>929884.85999999964</v>
      </c>
    </row>
    <row r="980" spans="1:13" x14ac:dyDescent="0.25">
      <c r="A980" t="s">
        <v>184</v>
      </c>
      <c r="B980" t="s">
        <v>1310</v>
      </c>
      <c r="C980" t="s">
        <v>975</v>
      </c>
      <c r="D980" t="s">
        <v>1293</v>
      </c>
      <c r="E980" t="s">
        <v>977</v>
      </c>
      <c r="F980" t="s">
        <v>967</v>
      </c>
      <c r="G980" t="s">
        <v>968</v>
      </c>
      <c r="H980" t="s">
        <v>969</v>
      </c>
      <c r="I980" t="s">
        <v>970</v>
      </c>
      <c r="J980" t="s">
        <v>971</v>
      </c>
      <c r="K980" t="s">
        <v>972</v>
      </c>
      <c r="L980">
        <v>40450.11</v>
      </c>
      <c r="M980">
        <f t="shared" si="15"/>
        <v>929884.85999999964</v>
      </c>
    </row>
    <row r="981" spans="1:13" x14ac:dyDescent="0.25">
      <c r="A981" t="s">
        <v>184</v>
      </c>
      <c r="B981" t="s">
        <v>1311</v>
      </c>
      <c r="C981" t="s">
        <v>975</v>
      </c>
      <c r="D981" t="s">
        <v>1293</v>
      </c>
      <c r="E981" t="s">
        <v>977</v>
      </c>
      <c r="F981" t="s">
        <v>967</v>
      </c>
      <c r="G981" t="s">
        <v>968</v>
      </c>
      <c r="H981" t="s">
        <v>969</v>
      </c>
      <c r="I981" t="s">
        <v>970</v>
      </c>
      <c r="J981" t="s">
        <v>971</v>
      </c>
      <c r="K981" t="s">
        <v>972</v>
      </c>
      <c r="L981">
        <v>40450.11</v>
      </c>
      <c r="M981">
        <f t="shared" si="15"/>
        <v>929884.85999999964</v>
      </c>
    </row>
    <row r="982" spans="1:13" x14ac:dyDescent="0.25">
      <c r="A982" t="s">
        <v>109</v>
      </c>
      <c r="B982" t="s">
        <v>1229</v>
      </c>
      <c r="C982" t="s">
        <v>964</v>
      </c>
      <c r="D982" t="s">
        <v>1230</v>
      </c>
      <c r="E982" t="s">
        <v>966</v>
      </c>
      <c r="F982" t="s">
        <v>967</v>
      </c>
      <c r="G982" t="s">
        <v>968</v>
      </c>
      <c r="H982" t="s">
        <v>969</v>
      </c>
      <c r="I982" t="s">
        <v>970</v>
      </c>
      <c r="J982" t="s">
        <v>971</v>
      </c>
      <c r="K982" t="s">
        <v>972</v>
      </c>
      <c r="L982">
        <v>43550.19</v>
      </c>
      <c r="M982">
        <f t="shared" si="15"/>
        <v>929884.85999999964</v>
      </c>
    </row>
    <row r="983" spans="1:13" x14ac:dyDescent="0.25">
      <c r="A983" t="s">
        <v>109</v>
      </c>
      <c r="B983" t="s">
        <v>1231</v>
      </c>
      <c r="C983" t="s">
        <v>964</v>
      </c>
      <c r="D983" t="s">
        <v>1230</v>
      </c>
      <c r="E983" t="s">
        <v>966</v>
      </c>
      <c r="F983" t="s">
        <v>967</v>
      </c>
      <c r="G983" t="s">
        <v>968</v>
      </c>
      <c r="H983" t="s">
        <v>969</v>
      </c>
      <c r="I983" t="s">
        <v>970</v>
      </c>
      <c r="J983" t="s">
        <v>971</v>
      </c>
      <c r="K983" t="s">
        <v>972</v>
      </c>
      <c r="L983">
        <v>43550.19</v>
      </c>
      <c r="M983">
        <f t="shared" si="15"/>
        <v>929884.85999999964</v>
      </c>
    </row>
    <row r="984" spans="1:13" x14ac:dyDescent="0.25">
      <c r="A984" t="s">
        <v>416</v>
      </c>
      <c r="B984" t="s">
        <v>1266</v>
      </c>
      <c r="C984" t="s">
        <v>975</v>
      </c>
      <c r="D984" t="s">
        <v>1128</v>
      </c>
      <c r="E984" t="s">
        <v>980</v>
      </c>
      <c r="F984" t="s">
        <v>967</v>
      </c>
      <c r="G984" t="s">
        <v>968</v>
      </c>
      <c r="H984" t="s">
        <v>969</v>
      </c>
      <c r="I984" t="s">
        <v>970</v>
      </c>
      <c r="J984" t="s">
        <v>971</v>
      </c>
      <c r="K984" t="s">
        <v>972</v>
      </c>
      <c r="L984">
        <v>42289.48</v>
      </c>
      <c r="M984">
        <f t="shared" si="15"/>
        <v>929884.85999999964</v>
      </c>
    </row>
    <row r="985" spans="1:13" x14ac:dyDescent="0.25">
      <c r="A985" t="s">
        <v>702</v>
      </c>
      <c r="B985" t="s">
        <v>1349</v>
      </c>
      <c r="C985" t="s">
        <v>975</v>
      </c>
      <c r="D985" t="s">
        <v>979</v>
      </c>
      <c r="E985" t="s">
        <v>980</v>
      </c>
      <c r="F985" t="s">
        <v>967</v>
      </c>
      <c r="G985" t="s">
        <v>968</v>
      </c>
      <c r="H985" t="s">
        <v>969</v>
      </c>
      <c r="I985" t="s">
        <v>970</v>
      </c>
      <c r="J985" t="s">
        <v>971</v>
      </c>
      <c r="K985" t="s">
        <v>972</v>
      </c>
      <c r="L985">
        <v>38936.35</v>
      </c>
      <c r="M985">
        <f t="shared" si="15"/>
        <v>563494.16</v>
      </c>
    </row>
    <row r="986" spans="1:13" x14ac:dyDescent="0.25">
      <c r="A986" t="s">
        <v>26</v>
      </c>
      <c r="B986" t="s">
        <v>1363</v>
      </c>
      <c r="C986" t="s">
        <v>975</v>
      </c>
      <c r="D986" t="s">
        <v>979</v>
      </c>
      <c r="E986" t="s">
        <v>977</v>
      </c>
      <c r="F986" t="s">
        <v>967</v>
      </c>
      <c r="G986" t="s">
        <v>968</v>
      </c>
      <c r="H986" t="s">
        <v>969</v>
      </c>
      <c r="I986" t="s">
        <v>970</v>
      </c>
      <c r="J986" t="s">
        <v>971</v>
      </c>
      <c r="K986" t="s">
        <v>972</v>
      </c>
      <c r="L986">
        <v>38379.449999999997</v>
      </c>
      <c r="M986">
        <f t="shared" si="15"/>
        <v>563494.16</v>
      </c>
    </row>
    <row r="987" spans="1:13" x14ac:dyDescent="0.25">
      <c r="A987" t="s">
        <v>407</v>
      </c>
      <c r="B987" t="s">
        <v>1237</v>
      </c>
      <c r="C987" t="s">
        <v>975</v>
      </c>
      <c r="D987" t="s">
        <v>1185</v>
      </c>
      <c r="E987" t="s">
        <v>966</v>
      </c>
      <c r="F987" t="s">
        <v>967</v>
      </c>
      <c r="G987" t="s">
        <v>968</v>
      </c>
      <c r="H987" t="s">
        <v>969</v>
      </c>
      <c r="I987" t="s">
        <v>970</v>
      </c>
      <c r="J987" t="s">
        <v>971</v>
      </c>
      <c r="K987" t="s">
        <v>972</v>
      </c>
      <c r="L987">
        <v>43414.12</v>
      </c>
      <c r="M987">
        <f t="shared" si="15"/>
        <v>563494.16</v>
      </c>
    </row>
    <row r="988" spans="1:13" x14ac:dyDescent="0.25">
      <c r="A988" t="s">
        <v>407</v>
      </c>
      <c r="B988" t="s">
        <v>1238</v>
      </c>
      <c r="C988" t="s">
        <v>975</v>
      </c>
      <c r="D988" t="s">
        <v>1185</v>
      </c>
      <c r="E988" t="s">
        <v>966</v>
      </c>
      <c r="F988" t="s">
        <v>967</v>
      </c>
      <c r="G988" t="s">
        <v>968</v>
      </c>
      <c r="H988" t="s">
        <v>969</v>
      </c>
      <c r="I988" t="s">
        <v>970</v>
      </c>
      <c r="J988" t="s">
        <v>971</v>
      </c>
      <c r="K988" t="s">
        <v>972</v>
      </c>
      <c r="L988">
        <v>43414.12</v>
      </c>
      <c r="M988">
        <f t="shared" si="15"/>
        <v>563494.16</v>
      </c>
    </row>
    <row r="989" spans="1:13" x14ac:dyDescent="0.25">
      <c r="A989" t="s">
        <v>407</v>
      </c>
      <c r="B989" t="s">
        <v>1240</v>
      </c>
      <c r="C989" t="s">
        <v>975</v>
      </c>
      <c r="D989" t="s">
        <v>1185</v>
      </c>
      <c r="E989" t="s">
        <v>966</v>
      </c>
      <c r="F989" t="s">
        <v>967</v>
      </c>
      <c r="G989" t="s">
        <v>968</v>
      </c>
      <c r="H989" t="s">
        <v>969</v>
      </c>
      <c r="I989" t="s">
        <v>970</v>
      </c>
      <c r="J989" t="s">
        <v>971</v>
      </c>
      <c r="K989" t="s">
        <v>972</v>
      </c>
      <c r="L989">
        <v>43414.12</v>
      </c>
      <c r="M989">
        <f t="shared" si="15"/>
        <v>563494.16</v>
      </c>
    </row>
    <row r="990" spans="1:13" x14ac:dyDescent="0.25">
      <c r="A990" t="s">
        <v>407</v>
      </c>
      <c r="B990" t="s">
        <v>1242</v>
      </c>
      <c r="C990" t="s">
        <v>975</v>
      </c>
      <c r="D990" t="s">
        <v>1185</v>
      </c>
      <c r="E990" t="s">
        <v>966</v>
      </c>
      <c r="F990" t="s">
        <v>967</v>
      </c>
      <c r="G990" t="s">
        <v>968</v>
      </c>
      <c r="H990" t="s">
        <v>969</v>
      </c>
      <c r="I990" t="s">
        <v>970</v>
      </c>
      <c r="J990" t="s">
        <v>971</v>
      </c>
      <c r="K990" t="s">
        <v>972</v>
      </c>
      <c r="L990">
        <v>43414.12</v>
      </c>
      <c r="M990">
        <f t="shared" si="15"/>
        <v>563494.16</v>
      </c>
    </row>
    <row r="991" spans="1:13" x14ac:dyDescent="0.25">
      <c r="A991" t="s">
        <v>407</v>
      </c>
      <c r="B991" t="s">
        <v>1244</v>
      </c>
      <c r="C991" t="s">
        <v>975</v>
      </c>
      <c r="D991" t="s">
        <v>1185</v>
      </c>
      <c r="E991" t="s">
        <v>966</v>
      </c>
      <c r="F991" t="s">
        <v>967</v>
      </c>
      <c r="G991" t="s">
        <v>968</v>
      </c>
      <c r="H991" t="s">
        <v>969</v>
      </c>
      <c r="I991" t="s">
        <v>970</v>
      </c>
      <c r="J991" t="s">
        <v>971</v>
      </c>
      <c r="K991" t="s">
        <v>972</v>
      </c>
      <c r="L991">
        <v>43414.12</v>
      </c>
      <c r="M991">
        <f t="shared" si="15"/>
        <v>563494.16</v>
      </c>
    </row>
    <row r="992" spans="1:13" x14ac:dyDescent="0.25">
      <c r="A992" t="s">
        <v>270</v>
      </c>
      <c r="B992" t="s">
        <v>1232</v>
      </c>
      <c r="C992" t="s">
        <v>964</v>
      </c>
      <c r="D992" t="s">
        <v>1230</v>
      </c>
      <c r="E992" t="s">
        <v>966</v>
      </c>
      <c r="F992" t="s">
        <v>967</v>
      </c>
      <c r="G992" t="s">
        <v>968</v>
      </c>
      <c r="H992" t="s">
        <v>969</v>
      </c>
      <c r="I992" t="s">
        <v>970</v>
      </c>
      <c r="J992" t="s">
        <v>971</v>
      </c>
      <c r="K992" t="s">
        <v>972</v>
      </c>
      <c r="L992">
        <v>43544.43</v>
      </c>
      <c r="M992">
        <f t="shared" si="15"/>
        <v>563494.16</v>
      </c>
    </row>
    <row r="993" spans="1:13" x14ac:dyDescent="0.25">
      <c r="A993" t="s">
        <v>270</v>
      </c>
      <c r="B993" t="s">
        <v>1233</v>
      </c>
      <c r="C993" t="s">
        <v>964</v>
      </c>
      <c r="D993" t="s">
        <v>1230</v>
      </c>
      <c r="E993" t="s">
        <v>966</v>
      </c>
      <c r="F993" t="s">
        <v>967</v>
      </c>
      <c r="G993" t="s">
        <v>968</v>
      </c>
      <c r="H993" t="s">
        <v>969</v>
      </c>
      <c r="I993" t="s">
        <v>970</v>
      </c>
      <c r="J993" t="s">
        <v>971</v>
      </c>
      <c r="K993" t="s">
        <v>972</v>
      </c>
      <c r="L993">
        <v>43544.43</v>
      </c>
      <c r="M993">
        <f t="shared" si="15"/>
        <v>563494.16</v>
      </c>
    </row>
    <row r="994" spans="1:13" x14ac:dyDescent="0.25">
      <c r="A994" t="s">
        <v>270</v>
      </c>
      <c r="B994" t="s">
        <v>1234</v>
      </c>
      <c r="C994" t="s">
        <v>964</v>
      </c>
      <c r="D994" t="s">
        <v>1230</v>
      </c>
      <c r="E994" t="s">
        <v>966</v>
      </c>
      <c r="F994" t="s">
        <v>967</v>
      </c>
      <c r="G994" t="s">
        <v>968</v>
      </c>
      <c r="H994" t="s">
        <v>969</v>
      </c>
      <c r="I994" t="s">
        <v>970</v>
      </c>
      <c r="J994" t="s">
        <v>971</v>
      </c>
      <c r="K994" t="s">
        <v>972</v>
      </c>
      <c r="L994">
        <v>43544.43</v>
      </c>
      <c r="M994">
        <f t="shared" si="15"/>
        <v>563494.16</v>
      </c>
    </row>
    <row r="995" spans="1:13" x14ac:dyDescent="0.25">
      <c r="A995" t="s">
        <v>462</v>
      </c>
      <c r="B995" t="s">
        <v>1353</v>
      </c>
      <c r="C995" t="s">
        <v>975</v>
      </c>
      <c r="D995" t="s">
        <v>1185</v>
      </c>
      <c r="E995" t="s">
        <v>980</v>
      </c>
      <c r="F995" t="s">
        <v>967</v>
      </c>
      <c r="G995" t="s">
        <v>968</v>
      </c>
      <c r="H995" t="s">
        <v>969</v>
      </c>
      <c r="I995" t="s">
        <v>970</v>
      </c>
      <c r="J995" t="s">
        <v>971</v>
      </c>
      <c r="K995" t="s">
        <v>972</v>
      </c>
      <c r="L995">
        <v>38666.959999999999</v>
      </c>
      <c r="M995">
        <f t="shared" si="15"/>
        <v>563494.16</v>
      </c>
    </row>
    <row r="996" spans="1:13" x14ac:dyDescent="0.25">
      <c r="A996" t="s">
        <v>204</v>
      </c>
      <c r="B996" t="s">
        <v>1398</v>
      </c>
      <c r="C996" t="s">
        <v>975</v>
      </c>
      <c r="D996" t="s">
        <v>1185</v>
      </c>
      <c r="E996" t="s">
        <v>980</v>
      </c>
      <c r="F996" t="s">
        <v>967</v>
      </c>
      <c r="G996" t="s">
        <v>968</v>
      </c>
      <c r="H996" t="s">
        <v>969</v>
      </c>
      <c r="I996" t="s">
        <v>970</v>
      </c>
      <c r="J996" t="s">
        <v>971</v>
      </c>
      <c r="K996" t="s">
        <v>972</v>
      </c>
      <c r="L996">
        <v>37120.080000000002</v>
      </c>
      <c r="M996">
        <f t="shared" si="15"/>
        <v>563494.16</v>
      </c>
    </row>
    <row r="997" spans="1:13" x14ac:dyDescent="0.25">
      <c r="A997" t="s">
        <v>55</v>
      </c>
      <c r="B997" t="s">
        <v>1555</v>
      </c>
      <c r="C997" t="s">
        <v>975</v>
      </c>
      <c r="D997" t="s">
        <v>1230</v>
      </c>
      <c r="E997" t="s">
        <v>980</v>
      </c>
      <c r="F997" t="s">
        <v>967</v>
      </c>
      <c r="G997" t="s">
        <v>968</v>
      </c>
      <c r="H997" t="s">
        <v>969</v>
      </c>
      <c r="I997" t="s">
        <v>970</v>
      </c>
      <c r="J997" t="s">
        <v>971</v>
      </c>
      <c r="K997" t="s">
        <v>972</v>
      </c>
      <c r="L997">
        <v>28275.25</v>
      </c>
      <c r="M997">
        <f t="shared" si="15"/>
        <v>563494.16</v>
      </c>
    </row>
    <row r="998" spans="1:13" x14ac:dyDescent="0.25">
      <c r="A998" t="s">
        <v>107</v>
      </c>
      <c r="B998" t="s">
        <v>1449</v>
      </c>
      <c r="C998" t="s">
        <v>975</v>
      </c>
      <c r="D998" t="s">
        <v>1125</v>
      </c>
      <c r="E998" t="s">
        <v>977</v>
      </c>
      <c r="F998" t="s">
        <v>967</v>
      </c>
      <c r="G998" t="s">
        <v>968</v>
      </c>
      <c r="H998" t="s">
        <v>969</v>
      </c>
      <c r="I998" t="s">
        <v>970</v>
      </c>
      <c r="J998" t="s">
        <v>971</v>
      </c>
      <c r="K998" t="s">
        <v>972</v>
      </c>
      <c r="L998">
        <v>34412.18</v>
      </c>
      <c r="M998">
        <f t="shared" si="15"/>
        <v>563494.16</v>
      </c>
    </row>
    <row r="999" spans="1:13" x14ac:dyDescent="0.25">
      <c r="A999" t="s">
        <v>540</v>
      </c>
      <c r="B999" t="s">
        <v>1358</v>
      </c>
      <c r="C999" t="s">
        <v>975</v>
      </c>
      <c r="D999" t="s">
        <v>979</v>
      </c>
      <c r="E999" t="s">
        <v>977</v>
      </c>
      <c r="F999" t="s">
        <v>967</v>
      </c>
      <c r="G999" t="s">
        <v>968</v>
      </c>
      <c r="H999" t="s">
        <v>969</v>
      </c>
      <c r="I999" t="s">
        <v>970</v>
      </c>
      <c r="J999" t="s">
        <v>971</v>
      </c>
      <c r="K999" t="s">
        <v>972</v>
      </c>
      <c r="L999">
        <v>38416.85</v>
      </c>
      <c r="M999">
        <f t="shared" si="15"/>
        <v>461660.28</v>
      </c>
    </row>
    <row r="1000" spans="1:13" x14ac:dyDescent="0.25">
      <c r="A1000" t="s">
        <v>505</v>
      </c>
      <c r="B1000" t="s">
        <v>1326</v>
      </c>
      <c r="C1000" t="s">
        <v>964</v>
      </c>
      <c r="D1000" t="s">
        <v>1185</v>
      </c>
      <c r="E1000" t="s">
        <v>977</v>
      </c>
      <c r="F1000" t="s">
        <v>967</v>
      </c>
      <c r="G1000" t="s">
        <v>968</v>
      </c>
      <c r="H1000" t="s">
        <v>969</v>
      </c>
      <c r="I1000" t="s">
        <v>970</v>
      </c>
      <c r="J1000" t="s">
        <v>971</v>
      </c>
      <c r="K1000" t="s">
        <v>972</v>
      </c>
      <c r="L1000">
        <v>40296.199999999997</v>
      </c>
      <c r="M1000">
        <f t="shared" si="15"/>
        <v>461660.28</v>
      </c>
    </row>
    <row r="1001" spans="1:13" x14ac:dyDescent="0.25">
      <c r="A1001" t="s">
        <v>527</v>
      </c>
      <c r="B1001" t="s">
        <v>1324</v>
      </c>
      <c r="C1001" t="s">
        <v>964</v>
      </c>
      <c r="D1001" t="s">
        <v>1185</v>
      </c>
      <c r="E1001" t="s">
        <v>977</v>
      </c>
      <c r="F1001" t="s">
        <v>967</v>
      </c>
      <c r="G1001" t="s">
        <v>968</v>
      </c>
      <c r="H1001" t="s">
        <v>969</v>
      </c>
      <c r="I1001" t="s">
        <v>970</v>
      </c>
      <c r="J1001" t="s">
        <v>971</v>
      </c>
      <c r="K1001" t="s">
        <v>972</v>
      </c>
      <c r="L1001">
        <v>40296.199999999997</v>
      </c>
      <c r="M1001">
        <f t="shared" si="15"/>
        <v>461660.28</v>
      </c>
    </row>
    <row r="1002" spans="1:13" x14ac:dyDescent="0.25">
      <c r="A1002" t="s">
        <v>384</v>
      </c>
      <c r="B1002" t="s">
        <v>1325</v>
      </c>
      <c r="C1002" t="s">
        <v>964</v>
      </c>
      <c r="D1002" t="s">
        <v>1185</v>
      </c>
      <c r="E1002" t="s">
        <v>977</v>
      </c>
      <c r="F1002" t="s">
        <v>967</v>
      </c>
      <c r="G1002" t="s">
        <v>968</v>
      </c>
      <c r="H1002" t="s">
        <v>969</v>
      </c>
      <c r="I1002" t="s">
        <v>970</v>
      </c>
      <c r="J1002" t="s">
        <v>971</v>
      </c>
      <c r="K1002" t="s">
        <v>972</v>
      </c>
      <c r="L1002">
        <v>40296.199999999997</v>
      </c>
      <c r="M1002">
        <f t="shared" si="15"/>
        <v>461660.28</v>
      </c>
    </row>
    <row r="1003" spans="1:13" x14ac:dyDescent="0.25">
      <c r="A1003" t="s">
        <v>224</v>
      </c>
      <c r="B1003" t="s">
        <v>1323</v>
      </c>
      <c r="C1003" t="s">
        <v>964</v>
      </c>
      <c r="D1003" t="s">
        <v>1185</v>
      </c>
      <c r="E1003" t="s">
        <v>977</v>
      </c>
      <c r="F1003" t="s">
        <v>967</v>
      </c>
      <c r="G1003" t="s">
        <v>968</v>
      </c>
      <c r="H1003" t="s">
        <v>969</v>
      </c>
      <c r="I1003" t="s">
        <v>970</v>
      </c>
      <c r="J1003" t="s">
        <v>971</v>
      </c>
      <c r="K1003" t="s">
        <v>972</v>
      </c>
      <c r="L1003">
        <v>40296.199999999997</v>
      </c>
      <c r="M1003">
        <f t="shared" si="15"/>
        <v>461660.28</v>
      </c>
    </row>
    <row r="1004" spans="1:13" x14ac:dyDescent="0.25">
      <c r="A1004" t="s">
        <v>655</v>
      </c>
      <c r="B1004" t="s">
        <v>1322</v>
      </c>
      <c r="C1004" t="s">
        <v>964</v>
      </c>
      <c r="D1004" t="s">
        <v>1185</v>
      </c>
      <c r="E1004" t="s">
        <v>977</v>
      </c>
      <c r="F1004" t="s">
        <v>967</v>
      </c>
      <c r="G1004" t="s">
        <v>968</v>
      </c>
      <c r="H1004" t="s">
        <v>969</v>
      </c>
      <c r="I1004" t="s">
        <v>970</v>
      </c>
      <c r="J1004" t="s">
        <v>971</v>
      </c>
      <c r="K1004" t="s">
        <v>972</v>
      </c>
      <c r="L1004">
        <v>40296.199999999997</v>
      </c>
      <c r="M1004">
        <f t="shared" si="15"/>
        <v>461660.28</v>
      </c>
    </row>
    <row r="1005" spans="1:13" x14ac:dyDescent="0.25">
      <c r="A1005" t="s">
        <v>87</v>
      </c>
      <c r="B1005" t="s">
        <v>1372</v>
      </c>
      <c r="C1005" t="s">
        <v>975</v>
      </c>
      <c r="D1005" t="s">
        <v>1185</v>
      </c>
      <c r="E1005" t="s">
        <v>977</v>
      </c>
      <c r="F1005" t="s">
        <v>967</v>
      </c>
      <c r="G1005" t="s">
        <v>968</v>
      </c>
      <c r="H1005" t="s">
        <v>969</v>
      </c>
      <c r="I1005" t="s">
        <v>970</v>
      </c>
      <c r="J1005" t="s">
        <v>971</v>
      </c>
      <c r="K1005" t="s">
        <v>972</v>
      </c>
      <c r="L1005">
        <v>38176.44</v>
      </c>
      <c r="M1005">
        <f t="shared" si="15"/>
        <v>461660.28</v>
      </c>
    </row>
    <row r="1006" spans="1:13" x14ac:dyDescent="0.25">
      <c r="A1006" t="s">
        <v>770</v>
      </c>
      <c r="B1006" t="s">
        <v>1364</v>
      </c>
      <c r="C1006" t="s">
        <v>975</v>
      </c>
      <c r="D1006" t="s">
        <v>1185</v>
      </c>
      <c r="E1006" t="s">
        <v>977</v>
      </c>
      <c r="F1006" t="s">
        <v>967</v>
      </c>
      <c r="G1006" t="s">
        <v>968</v>
      </c>
      <c r="H1006" t="s">
        <v>969</v>
      </c>
      <c r="I1006" t="s">
        <v>970</v>
      </c>
      <c r="J1006" t="s">
        <v>971</v>
      </c>
      <c r="K1006" t="s">
        <v>972</v>
      </c>
      <c r="L1006">
        <v>38366.129999999997</v>
      </c>
      <c r="M1006">
        <f t="shared" si="15"/>
        <v>461660.28</v>
      </c>
    </row>
    <row r="1007" spans="1:13" x14ac:dyDescent="0.25">
      <c r="A1007" t="s">
        <v>904</v>
      </c>
      <c r="B1007" t="s">
        <v>1540</v>
      </c>
      <c r="C1007" t="s">
        <v>975</v>
      </c>
      <c r="D1007" t="s">
        <v>1185</v>
      </c>
      <c r="E1007" t="s">
        <v>977</v>
      </c>
      <c r="F1007" t="s">
        <v>967</v>
      </c>
      <c r="G1007" t="s">
        <v>968</v>
      </c>
      <c r="H1007" t="s">
        <v>969</v>
      </c>
      <c r="I1007" t="s">
        <v>970</v>
      </c>
      <c r="J1007" t="s">
        <v>971</v>
      </c>
      <c r="K1007" t="s">
        <v>972</v>
      </c>
      <c r="L1007">
        <v>29666.74</v>
      </c>
      <c r="M1007">
        <f t="shared" si="15"/>
        <v>461660.28</v>
      </c>
    </row>
    <row r="1008" spans="1:13" x14ac:dyDescent="0.25">
      <c r="A1008" t="s">
        <v>669</v>
      </c>
      <c r="B1008" t="s">
        <v>1517</v>
      </c>
      <c r="C1008" t="s">
        <v>975</v>
      </c>
      <c r="D1008" t="s">
        <v>1125</v>
      </c>
      <c r="E1008" t="s">
        <v>977</v>
      </c>
      <c r="F1008" t="s">
        <v>967</v>
      </c>
      <c r="G1008" t="s">
        <v>968</v>
      </c>
      <c r="H1008" t="s">
        <v>969</v>
      </c>
      <c r="I1008" t="s">
        <v>970</v>
      </c>
      <c r="J1008" t="s">
        <v>971</v>
      </c>
      <c r="K1008" t="s">
        <v>972</v>
      </c>
      <c r="L1008">
        <v>31100.15</v>
      </c>
      <c r="M1008">
        <f t="shared" si="15"/>
        <v>461660.28</v>
      </c>
    </row>
    <row r="1009" spans="1:13" x14ac:dyDescent="0.25">
      <c r="A1009" t="s">
        <v>203</v>
      </c>
      <c r="B1009" t="s">
        <v>1135</v>
      </c>
      <c r="C1009" t="s">
        <v>975</v>
      </c>
      <c r="D1009" t="s">
        <v>1128</v>
      </c>
      <c r="E1009" t="s">
        <v>966</v>
      </c>
      <c r="F1009" t="s">
        <v>967</v>
      </c>
      <c r="G1009" t="s">
        <v>968</v>
      </c>
      <c r="H1009" t="s">
        <v>969</v>
      </c>
      <c r="I1009" t="s">
        <v>970</v>
      </c>
      <c r="J1009" t="s">
        <v>971</v>
      </c>
      <c r="K1009" t="s">
        <v>972</v>
      </c>
      <c r="L1009">
        <v>46188.9</v>
      </c>
      <c r="M1009">
        <f t="shared" si="15"/>
        <v>461660.28</v>
      </c>
    </row>
    <row r="1010" spans="1:13" x14ac:dyDescent="0.25">
      <c r="A1010" t="s">
        <v>797</v>
      </c>
      <c r="B1010" t="s">
        <v>1368</v>
      </c>
      <c r="C1010" t="s">
        <v>975</v>
      </c>
      <c r="D1010" t="s">
        <v>1185</v>
      </c>
      <c r="E1010" t="s">
        <v>1369</v>
      </c>
      <c r="F1010" t="s">
        <v>967</v>
      </c>
      <c r="G1010" t="s">
        <v>968</v>
      </c>
      <c r="H1010" t="s">
        <v>969</v>
      </c>
      <c r="I1010" t="s">
        <v>970</v>
      </c>
      <c r="J1010" t="s">
        <v>971</v>
      </c>
      <c r="K1010" t="s">
        <v>972</v>
      </c>
      <c r="L1010">
        <v>38264.07</v>
      </c>
      <c r="M1010">
        <f t="shared" si="15"/>
        <v>461660.28</v>
      </c>
    </row>
    <row r="1011" spans="1:13" x14ac:dyDescent="0.25">
      <c r="A1011" t="s">
        <v>94</v>
      </c>
      <c r="B1011" t="s">
        <v>1127</v>
      </c>
      <c r="C1011" t="s">
        <v>975</v>
      </c>
      <c r="D1011" t="s">
        <v>1128</v>
      </c>
      <c r="E1011" t="s">
        <v>966</v>
      </c>
      <c r="F1011" t="s">
        <v>967</v>
      </c>
      <c r="G1011" t="s">
        <v>968</v>
      </c>
      <c r="H1011" t="s">
        <v>969</v>
      </c>
      <c r="I1011" t="s">
        <v>970</v>
      </c>
      <c r="J1011" t="s">
        <v>971</v>
      </c>
      <c r="K1011" t="s">
        <v>972</v>
      </c>
      <c r="L1011">
        <v>46188.9</v>
      </c>
      <c r="M1011">
        <f t="shared" si="15"/>
        <v>849807.64</v>
      </c>
    </row>
    <row r="1012" spans="1:13" x14ac:dyDescent="0.25">
      <c r="A1012" t="s">
        <v>94</v>
      </c>
      <c r="B1012" t="s">
        <v>1130</v>
      </c>
      <c r="C1012" t="s">
        <v>975</v>
      </c>
      <c r="D1012" t="s">
        <v>1128</v>
      </c>
      <c r="E1012" t="s">
        <v>966</v>
      </c>
      <c r="F1012" t="s">
        <v>967</v>
      </c>
      <c r="G1012" t="s">
        <v>968</v>
      </c>
      <c r="H1012" t="s">
        <v>969</v>
      </c>
      <c r="I1012" t="s">
        <v>970</v>
      </c>
      <c r="J1012" t="s">
        <v>971</v>
      </c>
      <c r="K1012" t="s">
        <v>972</v>
      </c>
      <c r="L1012">
        <v>46188.9</v>
      </c>
      <c r="M1012">
        <f t="shared" si="15"/>
        <v>849807.64</v>
      </c>
    </row>
    <row r="1013" spans="1:13" x14ac:dyDescent="0.25">
      <c r="A1013" t="s">
        <v>94</v>
      </c>
      <c r="B1013" t="s">
        <v>1131</v>
      </c>
      <c r="C1013" t="s">
        <v>975</v>
      </c>
      <c r="D1013" t="s">
        <v>1128</v>
      </c>
      <c r="E1013" t="s">
        <v>966</v>
      </c>
      <c r="F1013" t="s">
        <v>967</v>
      </c>
      <c r="G1013" t="s">
        <v>968</v>
      </c>
      <c r="H1013" t="s">
        <v>969</v>
      </c>
      <c r="I1013" t="s">
        <v>970</v>
      </c>
      <c r="J1013" t="s">
        <v>971</v>
      </c>
      <c r="K1013" t="s">
        <v>972</v>
      </c>
      <c r="L1013">
        <v>46188.9</v>
      </c>
      <c r="M1013">
        <f t="shared" si="15"/>
        <v>849807.64</v>
      </c>
    </row>
    <row r="1014" spans="1:13" x14ac:dyDescent="0.25">
      <c r="A1014" t="s">
        <v>94</v>
      </c>
      <c r="B1014" t="s">
        <v>1137</v>
      </c>
      <c r="C1014" t="s">
        <v>975</v>
      </c>
      <c r="D1014" t="s">
        <v>1128</v>
      </c>
      <c r="E1014" t="s">
        <v>966</v>
      </c>
      <c r="F1014" t="s">
        <v>967</v>
      </c>
      <c r="G1014" t="s">
        <v>968</v>
      </c>
      <c r="H1014" t="s">
        <v>969</v>
      </c>
      <c r="I1014" t="s">
        <v>970</v>
      </c>
      <c r="J1014" t="s">
        <v>971</v>
      </c>
      <c r="K1014" t="s">
        <v>972</v>
      </c>
      <c r="L1014">
        <v>46188.9</v>
      </c>
      <c r="M1014">
        <f t="shared" si="15"/>
        <v>849807.64</v>
      </c>
    </row>
    <row r="1015" spans="1:13" x14ac:dyDescent="0.25">
      <c r="A1015" t="s">
        <v>94</v>
      </c>
      <c r="B1015" t="s">
        <v>1138</v>
      </c>
      <c r="C1015" t="s">
        <v>975</v>
      </c>
      <c r="D1015" t="s">
        <v>1128</v>
      </c>
      <c r="E1015" t="s">
        <v>966</v>
      </c>
      <c r="F1015" t="s">
        <v>967</v>
      </c>
      <c r="G1015" t="s">
        <v>968</v>
      </c>
      <c r="H1015" t="s">
        <v>969</v>
      </c>
      <c r="I1015" t="s">
        <v>970</v>
      </c>
      <c r="J1015" t="s">
        <v>971</v>
      </c>
      <c r="K1015" t="s">
        <v>972</v>
      </c>
      <c r="L1015">
        <v>46188.9</v>
      </c>
      <c r="M1015">
        <f t="shared" si="15"/>
        <v>849807.64</v>
      </c>
    </row>
    <row r="1016" spans="1:13" x14ac:dyDescent="0.25">
      <c r="A1016" t="s">
        <v>67</v>
      </c>
      <c r="B1016" t="s">
        <v>1184</v>
      </c>
      <c r="C1016" t="s">
        <v>975</v>
      </c>
      <c r="D1016" t="s">
        <v>1185</v>
      </c>
      <c r="E1016" t="s">
        <v>977</v>
      </c>
      <c r="F1016" t="s">
        <v>967</v>
      </c>
      <c r="G1016" t="s">
        <v>968</v>
      </c>
      <c r="H1016" t="s">
        <v>969</v>
      </c>
      <c r="I1016" t="s">
        <v>970</v>
      </c>
      <c r="J1016" t="s">
        <v>971</v>
      </c>
      <c r="K1016" t="s">
        <v>972</v>
      </c>
      <c r="L1016">
        <v>44817.59</v>
      </c>
      <c r="M1016">
        <f t="shared" si="15"/>
        <v>849807.64</v>
      </c>
    </row>
    <row r="1017" spans="1:13" x14ac:dyDescent="0.25">
      <c r="A1017" t="s">
        <v>699</v>
      </c>
      <c r="B1017" t="s">
        <v>1124</v>
      </c>
      <c r="C1017" t="s">
        <v>964</v>
      </c>
      <c r="D1017" t="s">
        <v>1125</v>
      </c>
      <c r="E1017" t="s">
        <v>966</v>
      </c>
      <c r="F1017" t="s">
        <v>967</v>
      </c>
      <c r="G1017" t="s">
        <v>968</v>
      </c>
      <c r="H1017" t="s">
        <v>969</v>
      </c>
      <c r="I1017" t="s">
        <v>970</v>
      </c>
      <c r="J1017" t="s">
        <v>971</v>
      </c>
      <c r="K1017" t="s">
        <v>972</v>
      </c>
      <c r="L1017">
        <v>46254.09</v>
      </c>
      <c r="M1017">
        <f t="shared" si="15"/>
        <v>849807.64</v>
      </c>
    </row>
    <row r="1018" spans="1:13" x14ac:dyDescent="0.25">
      <c r="A1018" t="s">
        <v>932</v>
      </c>
      <c r="B1018" t="s">
        <v>1129</v>
      </c>
      <c r="C1018" t="s">
        <v>975</v>
      </c>
      <c r="D1018" t="s">
        <v>1128</v>
      </c>
      <c r="E1018" t="s">
        <v>966</v>
      </c>
      <c r="F1018" t="s">
        <v>967</v>
      </c>
      <c r="G1018" t="s">
        <v>968</v>
      </c>
      <c r="H1018" t="s">
        <v>969</v>
      </c>
      <c r="I1018" t="s">
        <v>970</v>
      </c>
      <c r="J1018" t="s">
        <v>971</v>
      </c>
      <c r="K1018" t="s">
        <v>972</v>
      </c>
      <c r="L1018">
        <v>46188.9</v>
      </c>
      <c r="M1018">
        <f t="shared" si="15"/>
        <v>849807.64</v>
      </c>
    </row>
    <row r="1019" spans="1:13" x14ac:dyDescent="0.25">
      <c r="A1019" t="s">
        <v>932</v>
      </c>
      <c r="B1019" t="s">
        <v>1132</v>
      </c>
      <c r="C1019" t="s">
        <v>975</v>
      </c>
      <c r="D1019" t="s">
        <v>1128</v>
      </c>
      <c r="E1019" t="s">
        <v>966</v>
      </c>
      <c r="F1019" t="s">
        <v>967</v>
      </c>
      <c r="G1019" t="s">
        <v>968</v>
      </c>
      <c r="H1019" t="s">
        <v>969</v>
      </c>
      <c r="I1019" t="s">
        <v>970</v>
      </c>
      <c r="J1019" t="s">
        <v>971</v>
      </c>
      <c r="K1019" t="s">
        <v>972</v>
      </c>
      <c r="L1019">
        <v>46188.9</v>
      </c>
      <c r="M1019">
        <f t="shared" si="15"/>
        <v>849807.64</v>
      </c>
    </row>
    <row r="1020" spans="1:13" x14ac:dyDescent="0.25">
      <c r="A1020" t="s">
        <v>932</v>
      </c>
      <c r="B1020" t="s">
        <v>1133</v>
      </c>
      <c r="C1020" t="s">
        <v>975</v>
      </c>
      <c r="D1020" t="s">
        <v>1128</v>
      </c>
      <c r="E1020" t="s">
        <v>966</v>
      </c>
      <c r="F1020" t="s">
        <v>967</v>
      </c>
      <c r="G1020" t="s">
        <v>968</v>
      </c>
      <c r="H1020" t="s">
        <v>969</v>
      </c>
      <c r="I1020" t="s">
        <v>970</v>
      </c>
      <c r="J1020" t="s">
        <v>971</v>
      </c>
      <c r="K1020" t="s">
        <v>972</v>
      </c>
      <c r="L1020">
        <v>46188.9</v>
      </c>
      <c r="M1020">
        <f t="shared" si="15"/>
        <v>849807.64</v>
      </c>
    </row>
    <row r="1021" spans="1:13" x14ac:dyDescent="0.25">
      <c r="A1021" t="s">
        <v>932</v>
      </c>
      <c r="B1021" t="s">
        <v>1134</v>
      </c>
      <c r="C1021" t="s">
        <v>975</v>
      </c>
      <c r="D1021" t="s">
        <v>1128</v>
      </c>
      <c r="E1021" t="s">
        <v>966</v>
      </c>
      <c r="F1021" t="s">
        <v>967</v>
      </c>
      <c r="G1021" t="s">
        <v>968</v>
      </c>
      <c r="H1021" t="s">
        <v>969</v>
      </c>
      <c r="I1021" t="s">
        <v>970</v>
      </c>
      <c r="J1021" t="s">
        <v>971</v>
      </c>
      <c r="K1021" t="s">
        <v>972</v>
      </c>
      <c r="L1021">
        <v>46188.9</v>
      </c>
      <c r="M1021">
        <f t="shared" si="15"/>
        <v>849807.64</v>
      </c>
    </row>
    <row r="1022" spans="1:13" x14ac:dyDescent="0.25">
      <c r="A1022" t="s">
        <v>932</v>
      </c>
      <c r="B1022" t="s">
        <v>1136</v>
      </c>
      <c r="C1022" t="s">
        <v>975</v>
      </c>
      <c r="D1022" t="s">
        <v>1128</v>
      </c>
      <c r="E1022" t="s">
        <v>966</v>
      </c>
      <c r="F1022" t="s">
        <v>967</v>
      </c>
      <c r="G1022" t="s">
        <v>968</v>
      </c>
      <c r="H1022" t="s">
        <v>969</v>
      </c>
      <c r="I1022" t="s">
        <v>970</v>
      </c>
      <c r="J1022" t="s">
        <v>971</v>
      </c>
      <c r="K1022" t="s">
        <v>972</v>
      </c>
      <c r="L1022">
        <v>46188.9</v>
      </c>
      <c r="M1022">
        <f t="shared" si="15"/>
        <v>849807.64</v>
      </c>
    </row>
    <row r="1023" spans="1:13" x14ac:dyDescent="0.25">
      <c r="A1023" t="s">
        <v>259</v>
      </c>
      <c r="B1023" t="s">
        <v>1239</v>
      </c>
      <c r="C1023" t="s">
        <v>975</v>
      </c>
      <c r="D1023" t="s">
        <v>1185</v>
      </c>
      <c r="E1023" t="s">
        <v>966</v>
      </c>
      <c r="F1023" t="s">
        <v>967</v>
      </c>
      <c r="G1023" t="s">
        <v>968</v>
      </c>
      <c r="H1023" t="s">
        <v>969</v>
      </c>
      <c r="I1023" t="s">
        <v>970</v>
      </c>
      <c r="J1023" t="s">
        <v>971</v>
      </c>
      <c r="K1023" t="s">
        <v>972</v>
      </c>
      <c r="L1023">
        <v>43414.12</v>
      </c>
      <c r="M1023">
        <f t="shared" si="15"/>
        <v>849807.64</v>
      </c>
    </row>
    <row r="1024" spans="1:13" x14ac:dyDescent="0.25">
      <c r="A1024" t="s">
        <v>259</v>
      </c>
      <c r="B1024" t="s">
        <v>1241</v>
      </c>
      <c r="C1024" t="s">
        <v>975</v>
      </c>
      <c r="D1024" t="s">
        <v>1185</v>
      </c>
      <c r="E1024" t="s">
        <v>966</v>
      </c>
      <c r="F1024" t="s">
        <v>967</v>
      </c>
      <c r="G1024" t="s">
        <v>968</v>
      </c>
      <c r="H1024" t="s">
        <v>969</v>
      </c>
      <c r="I1024" t="s">
        <v>970</v>
      </c>
      <c r="J1024" t="s">
        <v>971</v>
      </c>
      <c r="K1024" t="s">
        <v>972</v>
      </c>
      <c r="L1024">
        <v>43414.12</v>
      </c>
      <c r="M1024">
        <f t="shared" si="15"/>
        <v>849807.64</v>
      </c>
    </row>
    <row r="1025" spans="1:13" x14ac:dyDescent="0.25">
      <c r="A1025" t="s">
        <v>259</v>
      </c>
      <c r="B1025" t="s">
        <v>1243</v>
      </c>
      <c r="C1025" t="s">
        <v>975</v>
      </c>
      <c r="D1025" t="s">
        <v>1185</v>
      </c>
      <c r="E1025" t="s">
        <v>966</v>
      </c>
      <c r="F1025" t="s">
        <v>967</v>
      </c>
      <c r="G1025" t="s">
        <v>968</v>
      </c>
      <c r="H1025" t="s">
        <v>969</v>
      </c>
      <c r="I1025" t="s">
        <v>970</v>
      </c>
      <c r="J1025" t="s">
        <v>971</v>
      </c>
      <c r="K1025" t="s">
        <v>972</v>
      </c>
      <c r="L1025">
        <v>43414.12</v>
      </c>
      <c r="M1025">
        <f t="shared" si="15"/>
        <v>849807.64</v>
      </c>
    </row>
    <row r="1026" spans="1:13" x14ac:dyDescent="0.25">
      <c r="A1026" t="s">
        <v>259</v>
      </c>
      <c r="B1026" t="s">
        <v>1245</v>
      </c>
      <c r="C1026" t="s">
        <v>975</v>
      </c>
      <c r="D1026" t="s">
        <v>1185</v>
      </c>
      <c r="E1026" t="s">
        <v>966</v>
      </c>
      <c r="F1026" t="s">
        <v>967</v>
      </c>
      <c r="G1026" t="s">
        <v>968</v>
      </c>
      <c r="H1026" t="s">
        <v>969</v>
      </c>
      <c r="I1026" t="s">
        <v>970</v>
      </c>
      <c r="J1026" t="s">
        <v>971</v>
      </c>
      <c r="K1026" t="s">
        <v>972</v>
      </c>
      <c r="L1026">
        <v>43414.12</v>
      </c>
      <c r="M1026">
        <f t="shared" si="15"/>
        <v>849807.64</v>
      </c>
    </row>
    <row r="1027" spans="1:13" x14ac:dyDescent="0.25">
      <c r="A1027" t="s">
        <v>259</v>
      </c>
      <c r="B1027" t="s">
        <v>1246</v>
      </c>
      <c r="C1027" t="s">
        <v>975</v>
      </c>
      <c r="D1027" t="s">
        <v>1185</v>
      </c>
      <c r="E1027" t="s">
        <v>966</v>
      </c>
      <c r="F1027" t="s">
        <v>967</v>
      </c>
      <c r="G1027" t="s">
        <v>968</v>
      </c>
      <c r="H1027" t="s">
        <v>969</v>
      </c>
      <c r="I1027" t="s">
        <v>970</v>
      </c>
      <c r="J1027" t="s">
        <v>971</v>
      </c>
      <c r="K1027" t="s">
        <v>972</v>
      </c>
      <c r="L1027">
        <v>43414.12</v>
      </c>
      <c r="M1027">
        <f t="shared" ref="M1027:M1090" si="16">+SUMIF(A:A,A1027,L:L)</f>
        <v>849807.64</v>
      </c>
    </row>
    <row r="1028" spans="1:13" x14ac:dyDescent="0.25">
      <c r="A1028" t="s">
        <v>10</v>
      </c>
      <c r="B1028" t="s">
        <v>1341</v>
      </c>
      <c r="C1028" t="s">
        <v>1114</v>
      </c>
      <c r="D1028" t="s">
        <v>1185</v>
      </c>
      <c r="E1028" t="s">
        <v>977</v>
      </c>
      <c r="F1028" t="s">
        <v>967</v>
      </c>
      <c r="G1028" t="s">
        <v>968</v>
      </c>
      <c r="H1028" t="s">
        <v>969</v>
      </c>
      <c r="I1028" t="s">
        <v>970</v>
      </c>
      <c r="J1028" t="s">
        <v>971</v>
      </c>
      <c r="K1028" t="s">
        <v>972</v>
      </c>
      <c r="L1028">
        <v>39996.629999999997</v>
      </c>
      <c r="M1028">
        <f t="shared" si="16"/>
        <v>849807.64</v>
      </c>
    </row>
    <row r="1029" spans="1:13" x14ac:dyDescent="0.25">
      <c r="A1029" t="s">
        <v>733</v>
      </c>
      <c r="B1029" t="s">
        <v>2316</v>
      </c>
      <c r="C1029" t="s">
        <v>988</v>
      </c>
      <c r="D1029" t="s">
        <v>1185</v>
      </c>
      <c r="E1029" t="s">
        <v>977</v>
      </c>
      <c r="F1029" t="s">
        <v>967</v>
      </c>
      <c r="G1029" t="s">
        <v>968</v>
      </c>
      <c r="H1029" t="s">
        <v>969</v>
      </c>
      <c r="I1029" t="s">
        <v>970</v>
      </c>
      <c r="J1029" t="s">
        <v>971</v>
      </c>
      <c r="K1029" t="s">
        <v>972</v>
      </c>
      <c r="L1029">
        <v>1413.62</v>
      </c>
      <c r="M1029">
        <f t="shared" si="16"/>
        <v>849807.64</v>
      </c>
    </row>
    <row r="1030" spans="1:13" x14ac:dyDescent="0.25">
      <c r="A1030" t="s">
        <v>327</v>
      </c>
      <c r="B1030" t="s">
        <v>1365</v>
      </c>
      <c r="C1030" t="s">
        <v>964</v>
      </c>
      <c r="D1030" t="s">
        <v>1185</v>
      </c>
      <c r="E1030" t="s">
        <v>977</v>
      </c>
      <c r="F1030" t="s">
        <v>967</v>
      </c>
      <c r="G1030" t="s">
        <v>968</v>
      </c>
      <c r="H1030" t="s">
        <v>969</v>
      </c>
      <c r="I1030" t="s">
        <v>970</v>
      </c>
      <c r="J1030" t="s">
        <v>971</v>
      </c>
      <c r="K1030" t="s">
        <v>972</v>
      </c>
      <c r="L1030">
        <v>38366.11</v>
      </c>
      <c r="M1030">
        <f t="shared" si="16"/>
        <v>849807.64</v>
      </c>
    </row>
    <row r="1031" spans="1:13" x14ac:dyDescent="0.25">
      <c r="A1031" t="s">
        <v>906</v>
      </c>
      <c r="B1031" t="s">
        <v>1235</v>
      </c>
      <c r="C1031" t="s">
        <v>964</v>
      </c>
      <c r="D1031" t="s">
        <v>1185</v>
      </c>
      <c r="E1031" t="s">
        <v>966</v>
      </c>
      <c r="F1031" t="s">
        <v>967</v>
      </c>
      <c r="G1031" t="s">
        <v>968</v>
      </c>
      <c r="H1031" t="s">
        <v>969</v>
      </c>
      <c r="I1031" t="s">
        <v>970</v>
      </c>
      <c r="J1031" t="s">
        <v>971</v>
      </c>
      <c r="K1031" t="s">
        <v>972</v>
      </c>
      <c r="L1031">
        <v>43414.13</v>
      </c>
      <c r="M1031">
        <f t="shared" si="16"/>
        <v>468690.29000000004</v>
      </c>
    </row>
    <row r="1032" spans="1:13" x14ac:dyDescent="0.25">
      <c r="A1032" t="s">
        <v>906</v>
      </c>
      <c r="B1032" t="s">
        <v>1236</v>
      </c>
      <c r="C1032" t="s">
        <v>964</v>
      </c>
      <c r="D1032" t="s">
        <v>1185</v>
      </c>
      <c r="E1032" t="s">
        <v>966</v>
      </c>
      <c r="F1032" t="s">
        <v>967</v>
      </c>
      <c r="G1032" t="s">
        <v>968</v>
      </c>
      <c r="H1032" t="s">
        <v>969</v>
      </c>
      <c r="I1032" t="s">
        <v>970</v>
      </c>
      <c r="J1032" t="s">
        <v>971</v>
      </c>
      <c r="K1032" t="s">
        <v>972</v>
      </c>
      <c r="L1032">
        <v>43414.13</v>
      </c>
      <c r="M1032">
        <f t="shared" si="16"/>
        <v>468690.29000000004</v>
      </c>
    </row>
    <row r="1033" spans="1:13" x14ac:dyDescent="0.25">
      <c r="A1033" t="s">
        <v>57</v>
      </c>
      <c r="B1033" t="s">
        <v>2251</v>
      </c>
      <c r="C1033" t="s">
        <v>982</v>
      </c>
      <c r="D1033" t="s">
        <v>1125</v>
      </c>
      <c r="E1033" t="s">
        <v>977</v>
      </c>
      <c r="F1033" t="s">
        <v>967</v>
      </c>
      <c r="G1033" t="s">
        <v>968</v>
      </c>
      <c r="H1033" t="s">
        <v>969</v>
      </c>
      <c r="I1033" t="s">
        <v>970</v>
      </c>
      <c r="J1033" t="s">
        <v>971</v>
      </c>
      <c r="K1033" t="s">
        <v>972</v>
      </c>
      <c r="L1033">
        <v>1998.03</v>
      </c>
      <c r="M1033">
        <f t="shared" si="16"/>
        <v>468690.29000000004</v>
      </c>
    </row>
    <row r="1034" spans="1:13" x14ac:dyDescent="0.25">
      <c r="A1034" t="s">
        <v>684</v>
      </c>
      <c r="B1034" t="s">
        <v>1276</v>
      </c>
      <c r="C1034" t="s">
        <v>975</v>
      </c>
      <c r="D1034" t="s">
        <v>1125</v>
      </c>
      <c r="E1034" t="s">
        <v>1223</v>
      </c>
      <c r="F1034" t="s">
        <v>967</v>
      </c>
      <c r="G1034" t="s">
        <v>968</v>
      </c>
      <c r="H1034" t="s">
        <v>969</v>
      </c>
      <c r="I1034" t="s">
        <v>970</v>
      </c>
      <c r="J1034" t="s">
        <v>971</v>
      </c>
      <c r="K1034" t="s">
        <v>972</v>
      </c>
      <c r="L1034">
        <v>41497.47</v>
      </c>
      <c r="M1034">
        <f t="shared" si="16"/>
        <v>468690.29000000004</v>
      </c>
    </row>
    <row r="1035" spans="1:13" x14ac:dyDescent="0.25">
      <c r="A1035" t="s">
        <v>684</v>
      </c>
      <c r="B1035" t="s">
        <v>1277</v>
      </c>
      <c r="C1035" t="s">
        <v>975</v>
      </c>
      <c r="D1035" t="s">
        <v>1125</v>
      </c>
      <c r="E1035" t="s">
        <v>1223</v>
      </c>
      <c r="F1035" t="s">
        <v>967</v>
      </c>
      <c r="G1035" t="s">
        <v>968</v>
      </c>
      <c r="H1035" t="s">
        <v>969</v>
      </c>
      <c r="I1035" t="s">
        <v>970</v>
      </c>
      <c r="J1035" t="s">
        <v>971</v>
      </c>
      <c r="K1035" t="s">
        <v>972</v>
      </c>
      <c r="L1035">
        <v>41497.47</v>
      </c>
      <c r="M1035">
        <f t="shared" si="16"/>
        <v>468690.29000000004</v>
      </c>
    </row>
    <row r="1036" spans="1:13" x14ac:dyDescent="0.25">
      <c r="A1036" t="s">
        <v>684</v>
      </c>
      <c r="B1036" t="s">
        <v>1278</v>
      </c>
      <c r="C1036" t="s">
        <v>975</v>
      </c>
      <c r="D1036" t="s">
        <v>1125</v>
      </c>
      <c r="E1036" t="s">
        <v>1223</v>
      </c>
      <c r="F1036" t="s">
        <v>967</v>
      </c>
      <c r="G1036" t="s">
        <v>968</v>
      </c>
      <c r="H1036" t="s">
        <v>969</v>
      </c>
      <c r="I1036" t="s">
        <v>970</v>
      </c>
      <c r="J1036" t="s">
        <v>971</v>
      </c>
      <c r="K1036" t="s">
        <v>972</v>
      </c>
      <c r="L1036">
        <v>41497.47</v>
      </c>
      <c r="M1036">
        <f t="shared" si="16"/>
        <v>468690.29000000004</v>
      </c>
    </row>
    <row r="1037" spans="1:13" x14ac:dyDescent="0.25">
      <c r="A1037" t="s">
        <v>684</v>
      </c>
      <c r="B1037" t="s">
        <v>1279</v>
      </c>
      <c r="C1037" t="s">
        <v>975</v>
      </c>
      <c r="D1037" t="s">
        <v>1125</v>
      </c>
      <c r="E1037" t="s">
        <v>1223</v>
      </c>
      <c r="F1037" t="s">
        <v>967</v>
      </c>
      <c r="G1037" t="s">
        <v>968</v>
      </c>
      <c r="H1037" t="s">
        <v>969</v>
      </c>
      <c r="I1037" t="s">
        <v>970</v>
      </c>
      <c r="J1037" t="s">
        <v>971</v>
      </c>
      <c r="K1037" t="s">
        <v>972</v>
      </c>
      <c r="L1037">
        <v>41497.47</v>
      </c>
      <c r="M1037">
        <f t="shared" si="16"/>
        <v>468690.29000000004</v>
      </c>
    </row>
    <row r="1038" spans="1:13" x14ac:dyDescent="0.25">
      <c r="A1038" t="s">
        <v>684</v>
      </c>
      <c r="B1038" t="s">
        <v>1280</v>
      </c>
      <c r="C1038" t="s">
        <v>975</v>
      </c>
      <c r="D1038" t="s">
        <v>1125</v>
      </c>
      <c r="E1038" t="s">
        <v>1223</v>
      </c>
      <c r="F1038" t="s">
        <v>967</v>
      </c>
      <c r="G1038" t="s">
        <v>968</v>
      </c>
      <c r="H1038" t="s">
        <v>969</v>
      </c>
      <c r="I1038" t="s">
        <v>970</v>
      </c>
      <c r="J1038" t="s">
        <v>971</v>
      </c>
      <c r="K1038" t="s">
        <v>972</v>
      </c>
      <c r="L1038">
        <v>41497.47</v>
      </c>
      <c r="M1038">
        <f t="shared" si="16"/>
        <v>468690.29000000004</v>
      </c>
    </row>
    <row r="1039" spans="1:13" x14ac:dyDescent="0.25">
      <c r="A1039" t="s">
        <v>315</v>
      </c>
      <c r="B1039" t="s">
        <v>1262</v>
      </c>
      <c r="C1039" t="s">
        <v>964</v>
      </c>
      <c r="D1039" t="s">
        <v>1125</v>
      </c>
      <c r="E1039" t="s">
        <v>980</v>
      </c>
      <c r="F1039" t="s">
        <v>967</v>
      </c>
      <c r="G1039" t="s">
        <v>968</v>
      </c>
      <c r="H1039" t="s">
        <v>969</v>
      </c>
      <c r="I1039" t="s">
        <v>970</v>
      </c>
      <c r="J1039" t="s">
        <v>971</v>
      </c>
      <c r="K1039" t="s">
        <v>972</v>
      </c>
      <c r="L1039">
        <v>42755.98</v>
      </c>
      <c r="M1039">
        <f t="shared" si="16"/>
        <v>468690.29000000004</v>
      </c>
    </row>
    <row r="1040" spans="1:13" x14ac:dyDescent="0.25">
      <c r="A1040" t="s">
        <v>487</v>
      </c>
      <c r="B1040" t="s">
        <v>1397</v>
      </c>
      <c r="C1040" t="s">
        <v>975</v>
      </c>
      <c r="D1040" t="s">
        <v>965</v>
      </c>
      <c r="E1040" t="s">
        <v>977</v>
      </c>
      <c r="F1040" t="s">
        <v>967</v>
      </c>
      <c r="G1040" t="s">
        <v>968</v>
      </c>
      <c r="H1040" t="s">
        <v>969</v>
      </c>
      <c r="I1040" t="s">
        <v>970</v>
      </c>
      <c r="J1040" t="s">
        <v>971</v>
      </c>
      <c r="K1040" t="s">
        <v>972</v>
      </c>
      <c r="L1040">
        <v>37122.660000000003</v>
      </c>
      <c r="M1040">
        <f t="shared" si="16"/>
        <v>468690.29000000004</v>
      </c>
    </row>
    <row r="1041" spans="1:13" x14ac:dyDescent="0.25">
      <c r="A1041" t="s">
        <v>333</v>
      </c>
      <c r="B1041" t="s">
        <v>1217</v>
      </c>
      <c r="C1041" t="s">
        <v>975</v>
      </c>
      <c r="D1041" t="s">
        <v>965</v>
      </c>
      <c r="E1041" t="s">
        <v>977</v>
      </c>
      <c r="F1041" t="s">
        <v>967</v>
      </c>
      <c r="G1041" t="s">
        <v>968</v>
      </c>
      <c r="H1041" t="s">
        <v>969</v>
      </c>
      <c r="I1041" t="s">
        <v>970</v>
      </c>
      <c r="J1041" t="s">
        <v>971</v>
      </c>
      <c r="K1041" t="s">
        <v>972</v>
      </c>
      <c r="L1041">
        <v>43953.57</v>
      </c>
      <c r="M1041">
        <f t="shared" si="16"/>
        <v>468690.29000000004</v>
      </c>
    </row>
    <row r="1042" spans="1:13" x14ac:dyDescent="0.25">
      <c r="A1042" t="s">
        <v>598</v>
      </c>
      <c r="B1042" t="s">
        <v>1637</v>
      </c>
      <c r="C1042" t="s">
        <v>975</v>
      </c>
      <c r="D1042" t="s">
        <v>1128</v>
      </c>
      <c r="E1042" t="s">
        <v>977</v>
      </c>
      <c r="F1042" t="s">
        <v>967</v>
      </c>
      <c r="G1042" t="s">
        <v>968</v>
      </c>
      <c r="H1042" t="s">
        <v>969</v>
      </c>
      <c r="I1042" t="s">
        <v>970</v>
      </c>
      <c r="J1042" t="s">
        <v>971</v>
      </c>
      <c r="K1042" t="s">
        <v>972</v>
      </c>
      <c r="L1042">
        <v>24272.22</v>
      </c>
      <c r="M1042">
        <f t="shared" si="16"/>
        <v>468690.29000000004</v>
      </c>
    </row>
    <row r="1043" spans="1:13" x14ac:dyDescent="0.25">
      <c r="A1043" t="s">
        <v>598</v>
      </c>
      <c r="B1043" t="s">
        <v>1638</v>
      </c>
      <c r="C1043" t="s">
        <v>975</v>
      </c>
      <c r="D1043" t="s">
        <v>1128</v>
      </c>
      <c r="E1043" t="s">
        <v>977</v>
      </c>
      <c r="F1043" t="s">
        <v>967</v>
      </c>
      <c r="G1043" t="s">
        <v>968</v>
      </c>
      <c r="H1043" t="s">
        <v>969</v>
      </c>
      <c r="I1043" t="s">
        <v>970</v>
      </c>
      <c r="J1043" t="s">
        <v>971</v>
      </c>
      <c r="K1043" t="s">
        <v>972</v>
      </c>
      <c r="L1043">
        <v>24272.22</v>
      </c>
      <c r="M1043">
        <f t="shared" si="16"/>
        <v>468690.29000000004</v>
      </c>
    </row>
    <row r="1044" spans="1:13" x14ac:dyDescent="0.25">
      <c r="A1044" t="s">
        <v>99</v>
      </c>
      <c r="B1044" t="s">
        <v>1339</v>
      </c>
      <c r="C1044" t="s">
        <v>1114</v>
      </c>
      <c r="D1044" t="s">
        <v>1185</v>
      </c>
      <c r="E1044" t="s">
        <v>977</v>
      </c>
      <c r="F1044" t="s">
        <v>967</v>
      </c>
      <c r="G1044" t="s">
        <v>968</v>
      </c>
      <c r="H1044" t="s">
        <v>969</v>
      </c>
      <c r="I1044" t="s">
        <v>970</v>
      </c>
      <c r="J1044" t="s">
        <v>971</v>
      </c>
      <c r="K1044" t="s">
        <v>972</v>
      </c>
      <c r="L1044">
        <v>39996.65</v>
      </c>
      <c r="M1044">
        <f t="shared" si="16"/>
        <v>1278010.7899999996</v>
      </c>
    </row>
    <row r="1045" spans="1:13" x14ac:dyDescent="0.25">
      <c r="A1045" t="s">
        <v>531</v>
      </c>
      <c r="B1045" t="s">
        <v>1340</v>
      </c>
      <c r="C1045" t="s">
        <v>1114</v>
      </c>
      <c r="D1045" t="s">
        <v>1185</v>
      </c>
      <c r="E1045" t="s">
        <v>977</v>
      </c>
      <c r="F1045" t="s">
        <v>967</v>
      </c>
      <c r="G1045" t="s">
        <v>968</v>
      </c>
      <c r="H1045" t="s">
        <v>969</v>
      </c>
      <c r="I1045" t="s">
        <v>970</v>
      </c>
      <c r="J1045" t="s">
        <v>971</v>
      </c>
      <c r="K1045" t="s">
        <v>972</v>
      </c>
      <c r="L1045">
        <v>39996.629999999997</v>
      </c>
      <c r="M1045">
        <f t="shared" si="16"/>
        <v>1278010.7899999996</v>
      </c>
    </row>
    <row r="1046" spans="1:13" x14ac:dyDescent="0.25">
      <c r="A1046" t="s">
        <v>855</v>
      </c>
      <c r="B1046" t="s">
        <v>1249</v>
      </c>
      <c r="C1046" t="s">
        <v>975</v>
      </c>
      <c r="D1046" t="s">
        <v>1125</v>
      </c>
      <c r="E1046" t="s">
        <v>980</v>
      </c>
      <c r="F1046" t="s">
        <v>967</v>
      </c>
      <c r="G1046" t="s">
        <v>968</v>
      </c>
      <c r="H1046" t="s">
        <v>969</v>
      </c>
      <c r="I1046" t="s">
        <v>970</v>
      </c>
      <c r="J1046" t="s">
        <v>971</v>
      </c>
      <c r="K1046" t="s">
        <v>972</v>
      </c>
      <c r="L1046">
        <v>43221.62</v>
      </c>
      <c r="M1046">
        <f t="shared" si="16"/>
        <v>1278010.7899999996</v>
      </c>
    </row>
    <row r="1047" spans="1:13" x14ac:dyDescent="0.25">
      <c r="A1047" t="s">
        <v>855</v>
      </c>
      <c r="B1047" t="s">
        <v>1250</v>
      </c>
      <c r="C1047" t="s">
        <v>975</v>
      </c>
      <c r="D1047" t="s">
        <v>1125</v>
      </c>
      <c r="E1047" t="s">
        <v>980</v>
      </c>
      <c r="F1047" t="s">
        <v>967</v>
      </c>
      <c r="G1047" t="s">
        <v>968</v>
      </c>
      <c r="H1047" t="s">
        <v>969</v>
      </c>
      <c r="I1047" t="s">
        <v>970</v>
      </c>
      <c r="J1047" t="s">
        <v>971</v>
      </c>
      <c r="K1047" t="s">
        <v>972</v>
      </c>
      <c r="L1047">
        <v>43221.62</v>
      </c>
      <c r="M1047">
        <f t="shared" si="16"/>
        <v>1278010.7899999996</v>
      </c>
    </row>
    <row r="1048" spans="1:13" x14ac:dyDescent="0.25">
      <c r="A1048" t="s">
        <v>855</v>
      </c>
      <c r="B1048" t="s">
        <v>1251</v>
      </c>
      <c r="C1048" t="s">
        <v>975</v>
      </c>
      <c r="D1048" t="s">
        <v>1125</v>
      </c>
      <c r="E1048" t="s">
        <v>980</v>
      </c>
      <c r="F1048" t="s">
        <v>967</v>
      </c>
      <c r="G1048" t="s">
        <v>968</v>
      </c>
      <c r="H1048" t="s">
        <v>969</v>
      </c>
      <c r="I1048" t="s">
        <v>970</v>
      </c>
      <c r="J1048" t="s">
        <v>971</v>
      </c>
      <c r="K1048" t="s">
        <v>972</v>
      </c>
      <c r="L1048">
        <v>43221.62</v>
      </c>
      <c r="M1048">
        <f t="shared" si="16"/>
        <v>1278010.7899999996</v>
      </c>
    </row>
    <row r="1049" spans="1:13" x14ac:dyDescent="0.25">
      <c r="A1049" t="s">
        <v>855</v>
      </c>
      <c r="B1049" t="s">
        <v>1252</v>
      </c>
      <c r="C1049" t="s">
        <v>975</v>
      </c>
      <c r="D1049" t="s">
        <v>1125</v>
      </c>
      <c r="E1049" t="s">
        <v>980</v>
      </c>
      <c r="F1049" t="s">
        <v>967</v>
      </c>
      <c r="G1049" t="s">
        <v>968</v>
      </c>
      <c r="H1049" t="s">
        <v>969</v>
      </c>
      <c r="I1049" t="s">
        <v>970</v>
      </c>
      <c r="J1049" t="s">
        <v>971</v>
      </c>
      <c r="K1049" t="s">
        <v>972</v>
      </c>
      <c r="L1049">
        <v>43221.62</v>
      </c>
      <c r="M1049">
        <f t="shared" si="16"/>
        <v>1278010.7899999996</v>
      </c>
    </row>
    <row r="1050" spans="1:13" x14ac:dyDescent="0.25">
      <c r="A1050" t="s">
        <v>855</v>
      </c>
      <c r="B1050" t="s">
        <v>1253</v>
      </c>
      <c r="C1050" t="s">
        <v>975</v>
      </c>
      <c r="D1050" t="s">
        <v>1125</v>
      </c>
      <c r="E1050" t="s">
        <v>980</v>
      </c>
      <c r="F1050" t="s">
        <v>967</v>
      </c>
      <c r="G1050" t="s">
        <v>968</v>
      </c>
      <c r="H1050" t="s">
        <v>969</v>
      </c>
      <c r="I1050" t="s">
        <v>970</v>
      </c>
      <c r="J1050" t="s">
        <v>971</v>
      </c>
      <c r="K1050" t="s">
        <v>972</v>
      </c>
      <c r="L1050">
        <v>43221.62</v>
      </c>
      <c r="M1050">
        <f t="shared" si="16"/>
        <v>1278010.7899999996</v>
      </c>
    </row>
    <row r="1051" spans="1:13" x14ac:dyDescent="0.25">
      <c r="A1051" t="s">
        <v>855</v>
      </c>
      <c r="B1051" t="s">
        <v>1254</v>
      </c>
      <c r="C1051" t="s">
        <v>975</v>
      </c>
      <c r="D1051" t="s">
        <v>1125</v>
      </c>
      <c r="E1051" t="s">
        <v>980</v>
      </c>
      <c r="F1051" t="s">
        <v>967</v>
      </c>
      <c r="G1051" t="s">
        <v>968</v>
      </c>
      <c r="H1051" t="s">
        <v>969</v>
      </c>
      <c r="I1051" t="s">
        <v>970</v>
      </c>
      <c r="J1051" t="s">
        <v>971</v>
      </c>
      <c r="K1051" t="s">
        <v>972</v>
      </c>
      <c r="L1051">
        <v>43221.62</v>
      </c>
      <c r="M1051">
        <f t="shared" si="16"/>
        <v>1278010.7899999996</v>
      </c>
    </row>
    <row r="1052" spans="1:13" x14ac:dyDescent="0.25">
      <c r="A1052" t="s">
        <v>855</v>
      </c>
      <c r="B1052" t="s">
        <v>1255</v>
      </c>
      <c r="C1052" t="s">
        <v>975</v>
      </c>
      <c r="D1052" t="s">
        <v>1125</v>
      </c>
      <c r="E1052" t="s">
        <v>980</v>
      </c>
      <c r="F1052" t="s">
        <v>967</v>
      </c>
      <c r="G1052" t="s">
        <v>968</v>
      </c>
      <c r="H1052" t="s">
        <v>969</v>
      </c>
      <c r="I1052" t="s">
        <v>970</v>
      </c>
      <c r="J1052" t="s">
        <v>971</v>
      </c>
      <c r="K1052" t="s">
        <v>972</v>
      </c>
      <c r="L1052">
        <v>43221.62</v>
      </c>
      <c r="M1052">
        <f t="shared" si="16"/>
        <v>1278010.7899999996</v>
      </c>
    </row>
    <row r="1053" spans="1:13" x14ac:dyDescent="0.25">
      <c r="A1053" t="s">
        <v>855</v>
      </c>
      <c r="B1053" t="s">
        <v>1256</v>
      </c>
      <c r="C1053" t="s">
        <v>975</v>
      </c>
      <c r="D1053" t="s">
        <v>1125</v>
      </c>
      <c r="E1053" t="s">
        <v>980</v>
      </c>
      <c r="F1053" t="s">
        <v>967</v>
      </c>
      <c r="G1053" t="s">
        <v>968</v>
      </c>
      <c r="H1053" t="s">
        <v>969</v>
      </c>
      <c r="I1053" t="s">
        <v>970</v>
      </c>
      <c r="J1053" t="s">
        <v>971</v>
      </c>
      <c r="K1053" t="s">
        <v>972</v>
      </c>
      <c r="L1053">
        <v>43221.62</v>
      </c>
      <c r="M1053">
        <f t="shared" si="16"/>
        <v>1278010.7899999996</v>
      </c>
    </row>
    <row r="1054" spans="1:13" x14ac:dyDescent="0.25">
      <c r="A1054" t="s">
        <v>158</v>
      </c>
      <c r="B1054" t="s">
        <v>1153</v>
      </c>
      <c r="C1054" t="s">
        <v>975</v>
      </c>
      <c r="D1054" t="s">
        <v>965</v>
      </c>
      <c r="E1054" t="s">
        <v>966</v>
      </c>
      <c r="F1054" t="s">
        <v>967</v>
      </c>
      <c r="G1054" t="s">
        <v>968</v>
      </c>
      <c r="H1054" t="s">
        <v>969</v>
      </c>
      <c r="I1054" t="s">
        <v>970</v>
      </c>
      <c r="J1054" t="s">
        <v>971</v>
      </c>
      <c r="K1054" t="s">
        <v>972</v>
      </c>
      <c r="L1054">
        <v>46028.99</v>
      </c>
      <c r="M1054">
        <f t="shared" si="16"/>
        <v>1278010.7899999996</v>
      </c>
    </row>
    <row r="1055" spans="1:13" x14ac:dyDescent="0.25">
      <c r="A1055" t="s">
        <v>158</v>
      </c>
      <c r="B1055" t="s">
        <v>1154</v>
      </c>
      <c r="C1055" t="s">
        <v>975</v>
      </c>
      <c r="D1055" t="s">
        <v>965</v>
      </c>
      <c r="E1055" t="s">
        <v>966</v>
      </c>
      <c r="F1055" t="s">
        <v>967</v>
      </c>
      <c r="G1055" t="s">
        <v>968</v>
      </c>
      <c r="H1055" t="s">
        <v>969</v>
      </c>
      <c r="I1055" t="s">
        <v>970</v>
      </c>
      <c r="J1055" t="s">
        <v>971</v>
      </c>
      <c r="K1055" t="s">
        <v>972</v>
      </c>
      <c r="L1055">
        <v>46028.99</v>
      </c>
      <c r="M1055">
        <f t="shared" si="16"/>
        <v>1278010.7899999996</v>
      </c>
    </row>
    <row r="1056" spans="1:13" x14ac:dyDescent="0.25">
      <c r="A1056" t="s">
        <v>158</v>
      </c>
      <c r="B1056" t="s">
        <v>1155</v>
      </c>
      <c r="C1056" t="s">
        <v>975</v>
      </c>
      <c r="D1056" t="s">
        <v>965</v>
      </c>
      <c r="E1056" t="s">
        <v>966</v>
      </c>
      <c r="F1056" t="s">
        <v>967</v>
      </c>
      <c r="G1056" t="s">
        <v>968</v>
      </c>
      <c r="H1056" t="s">
        <v>969</v>
      </c>
      <c r="I1056" t="s">
        <v>970</v>
      </c>
      <c r="J1056" t="s">
        <v>971</v>
      </c>
      <c r="K1056" t="s">
        <v>972</v>
      </c>
      <c r="L1056">
        <v>46028.99</v>
      </c>
      <c r="M1056">
        <f t="shared" si="16"/>
        <v>1278010.7899999996</v>
      </c>
    </row>
    <row r="1057" spans="1:13" x14ac:dyDescent="0.25">
      <c r="A1057" t="s">
        <v>158</v>
      </c>
      <c r="B1057" t="s">
        <v>1157</v>
      </c>
      <c r="C1057" t="s">
        <v>975</v>
      </c>
      <c r="D1057" t="s">
        <v>965</v>
      </c>
      <c r="E1057" t="s">
        <v>966</v>
      </c>
      <c r="F1057" t="s">
        <v>967</v>
      </c>
      <c r="G1057" t="s">
        <v>968</v>
      </c>
      <c r="H1057" t="s">
        <v>969</v>
      </c>
      <c r="I1057" t="s">
        <v>970</v>
      </c>
      <c r="J1057" t="s">
        <v>971</v>
      </c>
      <c r="K1057" t="s">
        <v>972</v>
      </c>
      <c r="L1057">
        <v>46028.99</v>
      </c>
      <c r="M1057">
        <f t="shared" si="16"/>
        <v>1278010.7899999996</v>
      </c>
    </row>
    <row r="1058" spans="1:13" x14ac:dyDescent="0.25">
      <c r="A1058" t="s">
        <v>158</v>
      </c>
      <c r="B1058" t="s">
        <v>1159</v>
      </c>
      <c r="C1058" t="s">
        <v>975</v>
      </c>
      <c r="D1058" t="s">
        <v>965</v>
      </c>
      <c r="E1058" t="s">
        <v>966</v>
      </c>
      <c r="F1058" t="s">
        <v>967</v>
      </c>
      <c r="G1058" t="s">
        <v>968</v>
      </c>
      <c r="H1058" t="s">
        <v>969</v>
      </c>
      <c r="I1058" t="s">
        <v>970</v>
      </c>
      <c r="J1058" t="s">
        <v>971</v>
      </c>
      <c r="K1058" t="s">
        <v>972</v>
      </c>
      <c r="L1058">
        <v>46028.99</v>
      </c>
      <c r="M1058">
        <f t="shared" si="16"/>
        <v>1278010.7899999996</v>
      </c>
    </row>
    <row r="1059" spans="1:13" x14ac:dyDescent="0.25">
      <c r="A1059" t="s">
        <v>158</v>
      </c>
      <c r="B1059" t="s">
        <v>1161</v>
      </c>
      <c r="C1059" t="s">
        <v>975</v>
      </c>
      <c r="D1059" t="s">
        <v>965</v>
      </c>
      <c r="E1059" t="s">
        <v>966</v>
      </c>
      <c r="F1059" t="s">
        <v>967</v>
      </c>
      <c r="G1059" t="s">
        <v>968</v>
      </c>
      <c r="H1059" t="s">
        <v>969</v>
      </c>
      <c r="I1059" t="s">
        <v>970</v>
      </c>
      <c r="J1059" t="s">
        <v>971</v>
      </c>
      <c r="K1059" t="s">
        <v>972</v>
      </c>
      <c r="L1059">
        <v>46028.99</v>
      </c>
      <c r="M1059">
        <f t="shared" si="16"/>
        <v>1278010.7899999996</v>
      </c>
    </row>
    <row r="1060" spans="1:13" x14ac:dyDescent="0.25">
      <c r="A1060" t="s">
        <v>79</v>
      </c>
      <c r="B1060" t="s">
        <v>1147</v>
      </c>
      <c r="C1060" t="s">
        <v>975</v>
      </c>
      <c r="D1060" t="s">
        <v>965</v>
      </c>
      <c r="E1060" t="s">
        <v>966</v>
      </c>
      <c r="F1060" t="s">
        <v>967</v>
      </c>
      <c r="G1060" t="s">
        <v>968</v>
      </c>
      <c r="H1060" t="s">
        <v>969</v>
      </c>
      <c r="I1060" t="s">
        <v>970</v>
      </c>
      <c r="J1060" t="s">
        <v>971</v>
      </c>
      <c r="K1060" t="s">
        <v>972</v>
      </c>
      <c r="L1060">
        <v>46028.99</v>
      </c>
      <c r="M1060">
        <f t="shared" si="16"/>
        <v>1278010.7899999996</v>
      </c>
    </row>
    <row r="1061" spans="1:13" x14ac:dyDescent="0.25">
      <c r="A1061" t="s">
        <v>79</v>
      </c>
      <c r="B1061" t="s">
        <v>1148</v>
      </c>
      <c r="C1061" t="s">
        <v>975</v>
      </c>
      <c r="D1061" t="s">
        <v>965</v>
      </c>
      <c r="E1061" t="s">
        <v>966</v>
      </c>
      <c r="F1061" t="s">
        <v>967</v>
      </c>
      <c r="G1061" t="s">
        <v>968</v>
      </c>
      <c r="H1061" t="s">
        <v>969</v>
      </c>
      <c r="I1061" t="s">
        <v>970</v>
      </c>
      <c r="J1061" t="s">
        <v>971</v>
      </c>
      <c r="K1061" t="s">
        <v>972</v>
      </c>
      <c r="L1061">
        <v>46028.99</v>
      </c>
      <c r="M1061">
        <f t="shared" si="16"/>
        <v>1278010.7899999996</v>
      </c>
    </row>
    <row r="1062" spans="1:13" x14ac:dyDescent="0.25">
      <c r="A1062" t="s">
        <v>79</v>
      </c>
      <c r="B1062" t="s">
        <v>1149</v>
      </c>
      <c r="C1062" t="s">
        <v>975</v>
      </c>
      <c r="D1062" t="s">
        <v>965</v>
      </c>
      <c r="E1062" t="s">
        <v>966</v>
      </c>
      <c r="F1062" t="s">
        <v>967</v>
      </c>
      <c r="G1062" t="s">
        <v>968</v>
      </c>
      <c r="H1062" t="s">
        <v>969</v>
      </c>
      <c r="I1062" t="s">
        <v>970</v>
      </c>
      <c r="J1062" t="s">
        <v>971</v>
      </c>
      <c r="K1062" t="s">
        <v>972</v>
      </c>
      <c r="L1062">
        <v>46028.99</v>
      </c>
      <c r="M1062">
        <f t="shared" si="16"/>
        <v>1278010.7899999996</v>
      </c>
    </row>
    <row r="1063" spans="1:13" x14ac:dyDescent="0.25">
      <c r="A1063" t="s">
        <v>79</v>
      </c>
      <c r="B1063" t="s">
        <v>1150</v>
      </c>
      <c r="C1063" t="s">
        <v>975</v>
      </c>
      <c r="D1063" t="s">
        <v>965</v>
      </c>
      <c r="E1063" t="s">
        <v>966</v>
      </c>
      <c r="F1063" t="s">
        <v>967</v>
      </c>
      <c r="G1063" t="s">
        <v>968</v>
      </c>
      <c r="H1063" t="s">
        <v>969</v>
      </c>
      <c r="I1063" t="s">
        <v>970</v>
      </c>
      <c r="J1063" t="s">
        <v>971</v>
      </c>
      <c r="K1063" t="s">
        <v>972</v>
      </c>
      <c r="L1063">
        <v>46028.99</v>
      </c>
      <c r="M1063">
        <f t="shared" si="16"/>
        <v>1278010.7899999996</v>
      </c>
    </row>
    <row r="1064" spans="1:13" x14ac:dyDescent="0.25">
      <c r="A1064" t="s">
        <v>79</v>
      </c>
      <c r="B1064" t="s">
        <v>1151</v>
      </c>
      <c r="C1064" t="s">
        <v>975</v>
      </c>
      <c r="D1064" t="s">
        <v>965</v>
      </c>
      <c r="E1064" t="s">
        <v>966</v>
      </c>
      <c r="F1064" t="s">
        <v>967</v>
      </c>
      <c r="G1064" t="s">
        <v>968</v>
      </c>
      <c r="H1064" t="s">
        <v>969</v>
      </c>
      <c r="I1064" t="s">
        <v>970</v>
      </c>
      <c r="J1064" t="s">
        <v>971</v>
      </c>
      <c r="K1064" t="s">
        <v>972</v>
      </c>
      <c r="L1064">
        <v>46028.99</v>
      </c>
      <c r="M1064">
        <f t="shared" si="16"/>
        <v>1278010.7899999996</v>
      </c>
    </row>
    <row r="1065" spans="1:13" x14ac:dyDescent="0.25">
      <c r="A1065" t="s">
        <v>79</v>
      </c>
      <c r="B1065" t="s">
        <v>1152</v>
      </c>
      <c r="C1065" t="s">
        <v>975</v>
      </c>
      <c r="D1065" t="s">
        <v>965</v>
      </c>
      <c r="E1065" t="s">
        <v>966</v>
      </c>
      <c r="F1065" t="s">
        <v>967</v>
      </c>
      <c r="G1065" t="s">
        <v>968</v>
      </c>
      <c r="H1065" t="s">
        <v>969</v>
      </c>
      <c r="I1065" t="s">
        <v>970</v>
      </c>
      <c r="J1065" t="s">
        <v>971</v>
      </c>
      <c r="K1065" t="s">
        <v>972</v>
      </c>
      <c r="L1065">
        <v>46028.99</v>
      </c>
      <c r="M1065">
        <f t="shared" si="16"/>
        <v>1278010.7899999996</v>
      </c>
    </row>
    <row r="1066" spans="1:13" x14ac:dyDescent="0.25">
      <c r="A1066" t="s">
        <v>79</v>
      </c>
      <c r="B1066" t="s">
        <v>1156</v>
      </c>
      <c r="C1066" t="s">
        <v>975</v>
      </c>
      <c r="D1066" t="s">
        <v>965</v>
      </c>
      <c r="E1066" t="s">
        <v>966</v>
      </c>
      <c r="F1066" t="s">
        <v>967</v>
      </c>
      <c r="G1066" t="s">
        <v>968</v>
      </c>
      <c r="H1066" t="s">
        <v>969</v>
      </c>
      <c r="I1066" t="s">
        <v>970</v>
      </c>
      <c r="J1066" t="s">
        <v>971</v>
      </c>
      <c r="K1066" t="s">
        <v>972</v>
      </c>
      <c r="L1066">
        <v>46028.99</v>
      </c>
      <c r="M1066">
        <f t="shared" si="16"/>
        <v>1278010.7899999996</v>
      </c>
    </row>
    <row r="1067" spans="1:13" x14ac:dyDescent="0.25">
      <c r="A1067" t="s">
        <v>79</v>
      </c>
      <c r="B1067" t="s">
        <v>1158</v>
      </c>
      <c r="C1067" t="s">
        <v>975</v>
      </c>
      <c r="D1067" t="s">
        <v>965</v>
      </c>
      <c r="E1067" t="s">
        <v>966</v>
      </c>
      <c r="F1067" t="s">
        <v>967</v>
      </c>
      <c r="G1067" t="s">
        <v>968</v>
      </c>
      <c r="H1067" t="s">
        <v>969</v>
      </c>
      <c r="I1067" t="s">
        <v>970</v>
      </c>
      <c r="J1067" t="s">
        <v>971</v>
      </c>
      <c r="K1067" t="s">
        <v>972</v>
      </c>
      <c r="L1067">
        <v>46028.99</v>
      </c>
      <c r="M1067">
        <f t="shared" si="16"/>
        <v>1278010.7899999996</v>
      </c>
    </row>
    <row r="1068" spans="1:13" x14ac:dyDescent="0.25">
      <c r="A1068" t="s">
        <v>79</v>
      </c>
      <c r="B1068" t="s">
        <v>1160</v>
      </c>
      <c r="C1068" t="s">
        <v>975</v>
      </c>
      <c r="D1068" t="s">
        <v>965</v>
      </c>
      <c r="E1068" t="s">
        <v>966</v>
      </c>
      <c r="F1068" t="s">
        <v>967</v>
      </c>
      <c r="G1068" t="s">
        <v>968</v>
      </c>
      <c r="H1068" t="s">
        <v>969</v>
      </c>
      <c r="I1068" t="s">
        <v>970</v>
      </c>
      <c r="J1068" t="s">
        <v>971</v>
      </c>
      <c r="K1068" t="s">
        <v>972</v>
      </c>
      <c r="L1068">
        <v>46028.99</v>
      </c>
      <c r="M1068">
        <f t="shared" si="16"/>
        <v>1278010.7899999996</v>
      </c>
    </row>
    <row r="1069" spans="1:13" x14ac:dyDescent="0.25">
      <c r="A1069" t="s">
        <v>79</v>
      </c>
      <c r="B1069" t="s">
        <v>1162</v>
      </c>
      <c r="C1069" t="s">
        <v>975</v>
      </c>
      <c r="D1069" t="s">
        <v>965</v>
      </c>
      <c r="E1069" t="s">
        <v>966</v>
      </c>
      <c r="F1069" t="s">
        <v>967</v>
      </c>
      <c r="G1069" t="s">
        <v>968</v>
      </c>
      <c r="H1069" t="s">
        <v>969</v>
      </c>
      <c r="I1069" t="s">
        <v>970</v>
      </c>
      <c r="J1069" t="s">
        <v>971</v>
      </c>
      <c r="K1069" t="s">
        <v>972</v>
      </c>
      <c r="L1069">
        <v>46028.99</v>
      </c>
      <c r="M1069">
        <f t="shared" si="16"/>
        <v>1278010.7899999996</v>
      </c>
    </row>
    <row r="1070" spans="1:13" x14ac:dyDescent="0.25">
      <c r="A1070" t="s">
        <v>735</v>
      </c>
      <c r="B1070" t="s">
        <v>1359</v>
      </c>
      <c r="C1070" t="s">
        <v>975</v>
      </c>
      <c r="D1070" t="s">
        <v>1144</v>
      </c>
      <c r="E1070" t="s">
        <v>977</v>
      </c>
      <c r="F1070" t="s">
        <v>967</v>
      </c>
      <c r="G1070" t="s">
        <v>968</v>
      </c>
      <c r="H1070" t="s">
        <v>969</v>
      </c>
      <c r="I1070" t="s">
        <v>970</v>
      </c>
      <c r="J1070" t="s">
        <v>971</v>
      </c>
      <c r="K1070" t="s">
        <v>972</v>
      </c>
      <c r="L1070">
        <v>38416.720000000001</v>
      </c>
      <c r="M1070">
        <f t="shared" si="16"/>
        <v>1278010.7899999996</v>
      </c>
    </row>
    <row r="1071" spans="1:13" x14ac:dyDescent="0.25">
      <c r="A1071" t="s">
        <v>75</v>
      </c>
      <c r="B1071" t="s">
        <v>2313</v>
      </c>
      <c r="C1071" t="s">
        <v>988</v>
      </c>
      <c r="D1071" t="s">
        <v>1144</v>
      </c>
      <c r="E1071" t="s">
        <v>980</v>
      </c>
      <c r="F1071" t="s">
        <v>967</v>
      </c>
      <c r="G1071" t="s">
        <v>968</v>
      </c>
      <c r="H1071" t="s">
        <v>969</v>
      </c>
      <c r="I1071" t="s">
        <v>970</v>
      </c>
      <c r="J1071" t="s">
        <v>971</v>
      </c>
      <c r="K1071" t="s">
        <v>972</v>
      </c>
      <c r="L1071">
        <v>1461.18</v>
      </c>
      <c r="M1071">
        <f t="shared" si="16"/>
        <v>1278010.7899999996</v>
      </c>
    </row>
    <row r="1072" spans="1:13" x14ac:dyDescent="0.25">
      <c r="A1072" t="s">
        <v>136</v>
      </c>
      <c r="B1072" t="s">
        <v>2314</v>
      </c>
      <c r="C1072" t="s">
        <v>988</v>
      </c>
      <c r="D1072" t="s">
        <v>1144</v>
      </c>
      <c r="E1072" t="s">
        <v>980</v>
      </c>
      <c r="F1072" t="s">
        <v>967</v>
      </c>
      <c r="G1072" t="s">
        <v>968</v>
      </c>
      <c r="H1072" t="s">
        <v>969</v>
      </c>
      <c r="I1072" t="s">
        <v>970</v>
      </c>
      <c r="J1072" t="s">
        <v>971</v>
      </c>
      <c r="K1072" t="s">
        <v>972</v>
      </c>
      <c r="L1072">
        <v>1461.18</v>
      </c>
      <c r="M1072">
        <f t="shared" si="16"/>
        <v>1278010.7899999996</v>
      </c>
    </row>
    <row r="1073" spans="1:13" x14ac:dyDescent="0.25">
      <c r="A1073" t="s">
        <v>706</v>
      </c>
      <c r="B1073" t="s">
        <v>1393</v>
      </c>
      <c r="C1073" t="s">
        <v>975</v>
      </c>
      <c r="D1073" t="s">
        <v>1144</v>
      </c>
      <c r="E1073" t="s">
        <v>977</v>
      </c>
      <c r="F1073" t="s">
        <v>967</v>
      </c>
      <c r="G1073" t="s">
        <v>968</v>
      </c>
      <c r="H1073" t="s">
        <v>969</v>
      </c>
      <c r="I1073" t="s">
        <v>970</v>
      </c>
      <c r="J1073" t="s">
        <v>971</v>
      </c>
      <c r="K1073" t="s">
        <v>972</v>
      </c>
      <c r="L1073">
        <v>37412.89</v>
      </c>
      <c r="M1073">
        <f t="shared" si="16"/>
        <v>1278010.7899999996</v>
      </c>
    </row>
    <row r="1074" spans="1:13" x14ac:dyDescent="0.25">
      <c r="A1074" t="s">
        <v>581</v>
      </c>
      <c r="B1074" t="s">
        <v>1401</v>
      </c>
      <c r="C1074" t="s">
        <v>975</v>
      </c>
      <c r="D1074" t="s">
        <v>976</v>
      </c>
      <c r="E1074" t="s">
        <v>980</v>
      </c>
      <c r="F1074" t="s">
        <v>967</v>
      </c>
      <c r="G1074" t="s">
        <v>968</v>
      </c>
      <c r="H1074" t="s">
        <v>969</v>
      </c>
      <c r="I1074" t="s">
        <v>970</v>
      </c>
      <c r="J1074" t="s">
        <v>971</v>
      </c>
      <c r="K1074" t="s">
        <v>972</v>
      </c>
      <c r="L1074">
        <v>37028.74</v>
      </c>
      <c r="M1074">
        <f t="shared" si="16"/>
        <v>1278010.7899999996</v>
      </c>
    </row>
    <row r="1075" spans="1:13" x14ac:dyDescent="0.25">
      <c r="A1075" t="s">
        <v>515</v>
      </c>
      <c r="B1075" t="s">
        <v>1342</v>
      </c>
      <c r="C1075" t="s">
        <v>975</v>
      </c>
      <c r="D1075" t="s">
        <v>1128</v>
      </c>
      <c r="E1075" t="s">
        <v>980</v>
      </c>
      <c r="F1075" t="s">
        <v>967</v>
      </c>
      <c r="G1075" t="s">
        <v>968</v>
      </c>
      <c r="H1075" t="s">
        <v>969</v>
      </c>
      <c r="I1075" t="s">
        <v>970</v>
      </c>
      <c r="J1075" t="s">
        <v>971</v>
      </c>
      <c r="K1075" t="s">
        <v>972</v>
      </c>
      <c r="L1075">
        <v>39390.93</v>
      </c>
      <c r="M1075">
        <f t="shared" si="16"/>
        <v>162640.47</v>
      </c>
    </row>
    <row r="1076" spans="1:13" x14ac:dyDescent="0.25">
      <c r="A1076" t="s">
        <v>258</v>
      </c>
      <c r="B1076" t="s">
        <v>1126</v>
      </c>
      <c r="C1076" t="s">
        <v>964</v>
      </c>
      <c r="D1076" t="s">
        <v>1125</v>
      </c>
      <c r="E1076" t="s">
        <v>966</v>
      </c>
      <c r="F1076" t="s">
        <v>967</v>
      </c>
      <c r="G1076" t="s">
        <v>968</v>
      </c>
      <c r="H1076" t="s">
        <v>969</v>
      </c>
      <c r="I1076" t="s">
        <v>970</v>
      </c>
      <c r="J1076" t="s">
        <v>971</v>
      </c>
      <c r="K1076" t="s">
        <v>972</v>
      </c>
      <c r="L1076">
        <v>46254.09</v>
      </c>
      <c r="M1076">
        <f t="shared" si="16"/>
        <v>162640.47</v>
      </c>
    </row>
    <row r="1077" spans="1:13" x14ac:dyDescent="0.25">
      <c r="A1077" t="s">
        <v>381</v>
      </c>
      <c r="B1077" t="s">
        <v>1273</v>
      </c>
      <c r="C1077" t="s">
        <v>975</v>
      </c>
      <c r="D1077" t="s">
        <v>965</v>
      </c>
      <c r="E1077" t="s">
        <v>977</v>
      </c>
      <c r="F1077" t="s">
        <v>967</v>
      </c>
      <c r="G1077" t="s">
        <v>968</v>
      </c>
      <c r="H1077" t="s">
        <v>969</v>
      </c>
      <c r="I1077" t="s">
        <v>970</v>
      </c>
      <c r="J1077" t="s">
        <v>971</v>
      </c>
      <c r="K1077" t="s">
        <v>972</v>
      </c>
      <c r="L1077">
        <v>41822.33</v>
      </c>
      <c r="M1077">
        <f t="shared" si="16"/>
        <v>162640.47</v>
      </c>
    </row>
    <row r="1078" spans="1:13" x14ac:dyDescent="0.25">
      <c r="A1078" t="s">
        <v>421</v>
      </c>
      <c r="B1078" t="s">
        <v>1444</v>
      </c>
      <c r="C1078" t="s">
        <v>975</v>
      </c>
      <c r="D1078" t="s">
        <v>1382</v>
      </c>
      <c r="E1078" t="s">
        <v>977</v>
      </c>
      <c r="F1078" t="s">
        <v>967</v>
      </c>
      <c r="G1078" t="s">
        <v>968</v>
      </c>
      <c r="H1078" t="s">
        <v>969</v>
      </c>
      <c r="I1078" t="s">
        <v>970</v>
      </c>
      <c r="J1078" t="s">
        <v>971</v>
      </c>
      <c r="K1078" t="s">
        <v>972</v>
      </c>
      <c r="L1078">
        <v>35173.120000000003</v>
      </c>
      <c r="M1078">
        <f t="shared" si="16"/>
        <v>162640.47</v>
      </c>
    </row>
    <row r="1079" spans="1:13" x14ac:dyDescent="0.25">
      <c r="A1079" t="s">
        <v>145</v>
      </c>
      <c r="B1079" t="s">
        <v>1344</v>
      </c>
      <c r="C1079" t="s">
        <v>975</v>
      </c>
      <c r="D1079" t="s">
        <v>1144</v>
      </c>
      <c r="E1079" t="s">
        <v>977</v>
      </c>
      <c r="F1079" t="s">
        <v>967</v>
      </c>
      <c r="G1079" t="s">
        <v>968</v>
      </c>
      <c r="H1079" t="s">
        <v>969</v>
      </c>
      <c r="I1079" t="s">
        <v>970</v>
      </c>
      <c r="J1079" t="s">
        <v>971</v>
      </c>
      <c r="K1079" t="s">
        <v>972</v>
      </c>
      <c r="L1079">
        <v>39291.99</v>
      </c>
      <c r="M1079">
        <f t="shared" si="16"/>
        <v>39291.99</v>
      </c>
    </row>
    <row r="1080" spans="1:13" x14ac:dyDescent="0.25">
      <c r="A1080" t="s">
        <v>380</v>
      </c>
      <c r="B1080" t="s">
        <v>1143</v>
      </c>
      <c r="C1080" t="s">
        <v>964</v>
      </c>
      <c r="D1080" t="s">
        <v>1144</v>
      </c>
      <c r="E1080" t="s">
        <v>966</v>
      </c>
      <c r="F1080" t="s">
        <v>967</v>
      </c>
      <c r="G1080" t="s">
        <v>968</v>
      </c>
      <c r="H1080" t="s">
        <v>969</v>
      </c>
      <c r="I1080" t="s">
        <v>970</v>
      </c>
      <c r="J1080" t="s">
        <v>971</v>
      </c>
      <c r="K1080" t="s">
        <v>972</v>
      </c>
      <c r="L1080">
        <v>46089.02</v>
      </c>
      <c r="M1080">
        <f t="shared" si="16"/>
        <v>294833.69999999995</v>
      </c>
    </row>
    <row r="1081" spans="1:13" x14ac:dyDescent="0.25">
      <c r="A1081" t="s">
        <v>380</v>
      </c>
      <c r="B1081" t="s">
        <v>1145</v>
      </c>
      <c r="C1081" t="s">
        <v>964</v>
      </c>
      <c r="D1081" t="s">
        <v>1144</v>
      </c>
      <c r="E1081" t="s">
        <v>966</v>
      </c>
      <c r="F1081" t="s">
        <v>967</v>
      </c>
      <c r="G1081" t="s">
        <v>968</v>
      </c>
      <c r="H1081" t="s">
        <v>969</v>
      </c>
      <c r="I1081" t="s">
        <v>970</v>
      </c>
      <c r="J1081" t="s">
        <v>971</v>
      </c>
      <c r="K1081" t="s">
        <v>972</v>
      </c>
      <c r="L1081">
        <v>46089.02</v>
      </c>
      <c r="M1081">
        <f t="shared" si="16"/>
        <v>294833.69999999995</v>
      </c>
    </row>
    <row r="1082" spans="1:13" x14ac:dyDescent="0.25">
      <c r="A1082" t="s">
        <v>380</v>
      </c>
      <c r="B1082" t="s">
        <v>1146</v>
      </c>
      <c r="C1082" t="s">
        <v>964</v>
      </c>
      <c r="D1082" t="s">
        <v>1144</v>
      </c>
      <c r="E1082" t="s">
        <v>966</v>
      </c>
      <c r="F1082" t="s">
        <v>967</v>
      </c>
      <c r="G1082" t="s">
        <v>968</v>
      </c>
      <c r="H1082" t="s">
        <v>969</v>
      </c>
      <c r="I1082" t="s">
        <v>970</v>
      </c>
      <c r="J1082" t="s">
        <v>971</v>
      </c>
      <c r="K1082" t="s">
        <v>972</v>
      </c>
      <c r="L1082">
        <v>46089.02</v>
      </c>
      <c r="M1082">
        <f t="shared" si="16"/>
        <v>294833.69999999995</v>
      </c>
    </row>
    <row r="1083" spans="1:13" x14ac:dyDescent="0.25">
      <c r="A1083" t="s">
        <v>915</v>
      </c>
      <c r="B1083" t="s">
        <v>1312</v>
      </c>
      <c r="C1083" t="s">
        <v>975</v>
      </c>
      <c r="D1083" t="s">
        <v>965</v>
      </c>
      <c r="E1083" t="s">
        <v>977</v>
      </c>
      <c r="F1083" t="s">
        <v>967</v>
      </c>
      <c r="G1083" t="s">
        <v>968</v>
      </c>
      <c r="H1083" t="s">
        <v>969</v>
      </c>
      <c r="I1083" t="s">
        <v>970</v>
      </c>
      <c r="J1083" t="s">
        <v>971</v>
      </c>
      <c r="K1083" t="s">
        <v>972</v>
      </c>
      <c r="L1083">
        <v>40436.03</v>
      </c>
      <c r="M1083">
        <f t="shared" si="16"/>
        <v>294833.69999999995</v>
      </c>
    </row>
    <row r="1084" spans="1:13" x14ac:dyDescent="0.25">
      <c r="A1084" t="s">
        <v>310</v>
      </c>
      <c r="B1084" t="s">
        <v>1313</v>
      </c>
      <c r="C1084" t="s">
        <v>975</v>
      </c>
      <c r="D1084" t="s">
        <v>965</v>
      </c>
      <c r="E1084" t="s">
        <v>977</v>
      </c>
      <c r="F1084" t="s">
        <v>967</v>
      </c>
      <c r="G1084" t="s">
        <v>968</v>
      </c>
      <c r="H1084" t="s">
        <v>969</v>
      </c>
      <c r="I1084" t="s">
        <v>970</v>
      </c>
      <c r="J1084" t="s">
        <v>971</v>
      </c>
      <c r="K1084" t="s">
        <v>972</v>
      </c>
      <c r="L1084">
        <v>40436.03</v>
      </c>
      <c r="M1084">
        <f t="shared" si="16"/>
        <v>294833.69999999995</v>
      </c>
    </row>
    <row r="1085" spans="1:13" x14ac:dyDescent="0.25">
      <c r="A1085" t="s">
        <v>618</v>
      </c>
      <c r="B1085" t="s">
        <v>1327</v>
      </c>
      <c r="C1085" t="s">
        <v>975</v>
      </c>
      <c r="D1085" t="s">
        <v>965</v>
      </c>
      <c r="E1085" t="s">
        <v>977</v>
      </c>
      <c r="F1085" t="s">
        <v>967</v>
      </c>
      <c r="G1085" t="s">
        <v>968</v>
      </c>
      <c r="H1085" t="s">
        <v>969</v>
      </c>
      <c r="I1085" t="s">
        <v>970</v>
      </c>
      <c r="J1085" t="s">
        <v>971</v>
      </c>
      <c r="K1085" t="s">
        <v>972</v>
      </c>
      <c r="L1085">
        <v>40250.79</v>
      </c>
      <c r="M1085">
        <f t="shared" si="16"/>
        <v>294833.69999999995</v>
      </c>
    </row>
    <row r="1086" spans="1:13" x14ac:dyDescent="0.25">
      <c r="A1086" t="s">
        <v>861</v>
      </c>
      <c r="B1086" t="s">
        <v>1454</v>
      </c>
      <c r="C1086" t="s">
        <v>975</v>
      </c>
      <c r="D1086" t="s">
        <v>1177</v>
      </c>
      <c r="E1086" t="s">
        <v>980</v>
      </c>
      <c r="F1086" t="s">
        <v>967</v>
      </c>
      <c r="G1086" t="s">
        <v>968</v>
      </c>
      <c r="H1086" t="s">
        <v>969</v>
      </c>
      <c r="I1086" t="s">
        <v>970</v>
      </c>
      <c r="J1086" t="s">
        <v>971</v>
      </c>
      <c r="K1086" t="s">
        <v>972</v>
      </c>
      <c r="L1086">
        <v>33835.629999999997</v>
      </c>
      <c r="M1086">
        <f t="shared" si="16"/>
        <v>294833.69999999995</v>
      </c>
    </row>
    <row r="1087" spans="1:13" x14ac:dyDescent="0.25">
      <c r="A1087" t="s">
        <v>678</v>
      </c>
      <c r="B1087" t="s">
        <v>2297</v>
      </c>
      <c r="C1087" t="s">
        <v>988</v>
      </c>
      <c r="D1087" t="s">
        <v>1144</v>
      </c>
      <c r="E1087" t="s">
        <v>977</v>
      </c>
      <c r="F1087" t="s">
        <v>967</v>
      </c>
      <c r="G1087" t="s">
        <v>968</v>
      </c>
      <c r="H1087" t="s">
        <v>969</v>
      </c>
      <c r="I1087" t="s">
        <v>970</v>
      </c>
      <c r="J1087" t="s">
        <v>971</v>
      </c>
      <c r="K1087" t="s">
        <v>972</v>
      </c>
      <c r="L1087">
        <v>1608.16</v>
      </c>
      <c r="M1087">
        <f t="shared" si="16"/>
        <v>294833.69999999995</v>
      </c>
    </row>
    <row r="1088" spans="1:13" x14ac:dyDescent="0.25">
      <c r="A1088" t="s">
        <v>785</v>
      </c>
      <c r="B1088" t="s">
        <v>1247</v>
      </c>
      <c r="C1088" t="s">
        <v>975</v>
      </c>
      <c r="D1088" t="s">
        <v>965</v>
      </c>
      <c r="E1088" t="s">
        <v>980</v>
      </c>
      <c r="F1088" t="s">
        <v>967</v>
      </c>
      <c r="G1088" t="s">
        <v>968</v>
      </c>
      <c r="H1088" t="s">
        <v>969</v>
      </c>
      <c r="I1088" t="s">
        <v>970</v>
      </c>
      <c r="J1088" t="s">
        <v>971</v>
      </c>
      <c r="K1088" t="s">
        <v>972</v>
      </c>
      <c r="L1088">
        <v>43384.21</v>
      </c>
      <c r="M1088">
        <f t="shared" si="16"/>
        <v>202475.41</v>
      </c>
    </row>
    <row r="1089" spans="1:13" x14ac:dyDescent="0.25">
      <c r="A1089" t="s">
        <v>721</v>
      </c>
      <c r="B1089" t="s">
        <v>2294</v>
      </c>
      <c r="C1089" t="s">
        <v>988</v>
      </c>
      <c r="D1089" t="s">
        <v>1177</v>
      </c>
      <c r="E1089" t="s">
        <v>977</v>
      </c>
      <c r="F1089" t="s">
        <v>967</v>
      </c>
      <c r="G1089" t="s">
        <v>968</v>
      </c>
      <c r="H1089" t="s">
        <v>969</v>
      </c>
      <c r="I1089" t="s">
        <v>970</v>
      </c>
      <c r="J1089" t="s">
        <v>971</v>
      </c>
      <c r="K1089" t="s">
        <v>972</v>
      </c>
      <c r="L1089">
        <v>1642.52</v>
      </c>
      <c r="M1089">
        <f t="shared" si="16"/>
        <v>202475.41</v>
      </c>
    </row>
    <row r="1090" spans="1:13" x14ac:dyDescent="0.25">
      <c r="A1090" t="s">
        <v>614</v>
      </c>
      <c r="B1090" t="s">
        <v>1380</v>
      </c>
      <c r="C1090" t="s">
        <v>975</v>
      </c>
      <c r="D1090" t="s">
        <v>1177</v>
      </c>
      <c r="E1090" t="s">
        <v>977</v>
      </c>
      <c r="F1090" t="s">
        <v>967</v>
      </c>
      <c r="G1090" t="s">
        <v>968</v>
      </c>
      <c r="H1090" t="s">
        <v>969</v>
      </c>
      <c r="I1090" t="s">
        <v>970</v>
      </c>
      <c r="J1090" t="s">
        <v>971</v>
      </c>
      <c r="K1090" t="s">
        <v>972</v>
      </c>
      <c r="L1090">
        <v>37980.660000000003</v>
      </c>
      <c r="M1090">
        <f t="shared" si="16"/>
        <v>202475.41</v>
      </c>
    </row>
    <row r="1091" spans="1:13" x14ac:dyDescent="0.25">
      <c r="A1091" t="s">
        <v>182</v>
      </c>
      <c r="B1091" t="s">
        <v>1212</v>
      </c>
      <c r="C1091" t="s">
        <v>975</v>
      </c>
      <c r="D1091" t="s">
        <v>965</v>
      </c>
      <c r="E1091" t="s">
        <v>977</v>
      </c>
      <c r="F1091" t="s">
        <v>967</v>
      </c>
      <c r="G1091" t="s">
        <v>968</v>
      </c>
      <c r="H1091" t="s">
        <v>969</v>
      </c>
      <c r="I1091" t="s">
        <v>970</v>
      </c>
      <c r="J1091" t="s">
        <v>971</v>
      </c>
      <c r="K1091" t="s">
        <v>972</v>
      </c>
      <c r="L1091">
        <v>44201.39</v>
      </c>
      <c r="M1091">
        <f t="shared" ref="M1091:M1154" si="17">+SUMIF(A:A,A1091,L:L)</f>
        <v>202475.41</v>
      </c>
    </row>
    <row r="1092" spans="1:13" x14ac:dyDescent="0.25">
      <c r="A1092" t="s">
        <v>559</v>
      </c>
      <c r="B1092" t="s">
        <v>1494</v>
      </c>
      <c r="C1092" t="s">
        <v>975</v>
      </c>
      <c r="D1092" t="s">
        <v>1222</v>
      </c>
      <c r="E1092" t="s">
        <v>977</v>
      </c>
      <c r="F1092" t="s">
        <v>967</v>
      </c>
      <c r="G1092" t="s">
        <v>968</v>
      </c>
      <c r="H1092" t="s">
        <v>969</v>
      </c>
      <c r="I1092" t="s">
        <v>970</v>
      </c>
      <c r="J1092" t="s">
        <v>971</v>
      </c>
      <c r="K1092" t="s">
        <v>972</v>
      </c>
      <c r="L1092">
        <v>31484.59</v>
      </c>
      <c r="M1092">
        <f t="shared" si="17"/>
        <v>202475.41</v>
      </c>
    </row>
    <row r="1093" spans="1:13" x14ac:dyDescent="0.25">
      <c r="A1093" t="s">
        <v>437</v>
      </c>
      <c r="B1093" t="s">
        <v>1274</v>
      </c>
      <c r="C1093" t="s">
        <v>975</v>
      </c>
      <c r="D1093" t="s">
        <v>1222</v>
      </c>
      <c r="E1093" t="s">
        <v>977</v>
      </c>
      <c r="F1093" t="s">
        <v>967</v>
      </c>
      <c r="G1093" t="s">
        <v>968</v>
      </c>
      <c r="H1093" t="s">
        <v>969</v>
      </c>
      <c r="I1093" t="s">
        <v>970</v>
      </c>
      <c r="J1093" t="s">
        <v>971</v>
      </c>
      <c r="K1093" t="s">
        <v>972</v>
      </c>
      <c r="L1093">
        <v>41718.01</v>
      </c>
      <c r="M1093">
        <f t="shared" si="17"/>
        <v>202475.41</v>
      </c>
    </row>
    <row r="1094" spans="1:13" x14ac:dyDescent="0.25">
      <c r="A1094" t="s">
        <v>175</v>
      </c>
      <c r="B1094" t="s">
        <v>2247</v>
      </c>
      <c r="C1094" t="s">
        <v>982</v>
      </c>
      <c r="D1094" t="s">
        <v>1177</v>
      </c>
      <c r="E1094" t="s">
        <v>977</v>
      </c>
      <c r="F1094" t="s">
        <v>967</v>
      </c>
      <c r="G1094" t="s">
        <v>968</v>
      </c>
      <c r="H1094" t="s">
        <v>969</v>
      </c>
      <c r="I1094" t="s">
        <v>970</v>
      </c>
      <c r="J1094" t="s">
        <v>971</v>
      </c>
      <c r="K1094" t="s">
        <v>972</v>
      </c>
      <c r="L1094">
        <v>2064.0300000000002</v>
      </c>
      <c r="M1094">
        <f t="shared" si="17"/>
        <v>202475.41</v>
      </c>
    </row>
    <row r="1095" spans="1:13" x14ac:dyDescent="0.25">
      <c r="A1095" t="s">
        <v>163</v>
      </c>
      <c r="B1095" t="s">
        <v>1183</v>
      </c>
      <c r="C1095" t="s">
        <v>975</v>
      </c>
      <c r="D1095" t="s">
        <v>1117</v>
      </c>
      <c r="E1095" t="s">
        <v>977</v>
      </c>
      <c r="F1095" t="s">
        <v>967</v>
      </c>
      <c r="G1095" t="s">
        <v>968</v>
      </c>
      <c r="H1095" t="s">
        <v>969</v>
      </c>
      <c r="I1095" t="s">
        <v>970</v>
      </c>
      <c r="J1095" t="s">
        <v>971</v>
      </c>
      <c r="K1095" t="s">
        <v>972</v>
      </c>
      <c r="L1095">
        <v>44903.3</v>
      </c>
      <c r="M1095">
        <f t="shared" si="17"/>
        <v>1029083.7699999999</v>
      </c>
    </row>
    <row r="1096" spans="1:13" x14ac:dyDescent="0.25">
      <c r="A1096" t="s">
        <v>916</v>
      </c>
      <c r="B1096" t="s">
        <v>1315</v>
      </c>
      <c r="C1096" t="s">
        <v>975</v>
      </c>
      <c r="D1096" t="s">
        <v>1222</v>
      </c>
      <c r="E1096" t="s">
        <v>977</v>
      </c>
      <c r="F1096" t="s">
        <v>967</v>
      </c>
      <c r="G1096" t="s">
        <v>968</v>
      </c>
      <c r="H1096" t="s">
        <v>969</v>
      </c>
      <c r="I1096" t="s">
        <v>970</v>
      </c>
      <c r="J1096" t="s">
        <v>971</v>
      </c>
      <c r="K1096" t="s">
        <v>972</v>
      </c>
      <c r="L1096">
        <v>40369.65</v>
      </c>
      <c r="M1096">
        <f t="shared" si="17"/>
        <v>1029083.7699999999</v>
      </c>
    </row>
    <row r="1097" spans="1:13" x14ac:dyDescent="0.25">
      <c r="A1097" t="s">
        <v>719</v>
      </c>
      <c r="B1097" t="s">
        <v>1285</v>
      </c>
      <c r="C1097" t="s">
        <v>964</v>
      </c>
      <c r="D1097" t="s">
        <v>1177</v>
      </c>
      <c r="E1097" t="s">
        <v>980</v>
      </c>
      <c r="F1097" t="s">
        <v>967</v>
      </c>
      <c r="G1097" t="s">
        <v>968</v>
      </c>
      <c r="H1097" t="s">
        <v>969</v>
      </c>
      <c r="I1097" t="s">
        <v>970</v>
      </c>
      <c r="J1097" t="s">
        <v>971</v>
      </c>
      <c r="K1097" t="s">
        <v>972</v>
      </c>
      <c r="L1097">
        <v>41156.49</v>
      </c>
      <c r="M1097">
        <f t="shared" si="17"/>
        <v>1029083.7699999999</v>
      </c>
    </row>
    <row r="1098" spans="1:13" x14ac:dyDescent="0.25">
      <c r="A1098" t="s">
        <v>719</v>
      </c>
      <c r="B1098" t="s">
        <v>1286</v>
      </c>
      <c r="C1098" t="s">
        <v>964</v>
      </c>
      <c r="D1098" t="s">
        <v>1177</v>
      </c>
      <c r="E1098" t="s">
        <v>980</v>
      </c>
      <c r="F1098" t="s">
        <v>967</v>
      </c>
      <c r="G1098" t="s">
        <v>968</v>
      </c>
      <c r="H1098" t="s">
        <v>969</v>
      </c>
      <c r="I1098" t="s">
        <v>970</v>
      </c>
      <c r="J1098" t="s">
        <v>971</v>
      </c>
      <c r="K1098" t="s">
        <v>972</v>
      </c>
      <c r="L1098">
        <v>41156.49</v>
      </c>
      <c r="M1098">
        <f t="shared" si="17"/>
        <v>1029083.7699999999</v>
      </c>
    </row>
    <row r="1099" spans="1:13" x14ac:dyDescent="0.25">
      <c r="A1099" t="s">
        <v>460</v>
      </c>
      <c r="B1099" t="s">
        <v>2302</v>
      </c>
      <c r="C1099" t="s">
        <v>988</v>
      </c>
      <c r="D1099" t="s">
        <v>965</v>
      </c>
      <c r="E1099" t="s">
        <v>977</v>
      </c>
      <c r="F1099" t="s">
        <v>967</v>
      </c>
      <c r="G1099" t="s">
        <v>968</v>
      </c>
      <c r="H1099" t="s">
        <v>969</v>
      </c>
      <c r="I1099" t="s">
        <v>970</v>
      </c>
      <c r="J1099" t="s">
        <v>971</v>
      </c>
      <c r="K1099" t="s">
        <v>972</v>
      </c>
      <c r="L1099">
        <v>1562.05</v>
      </c>
      <c r="M1099">
        <f t="shared" si="17"/>
        <v>1029083.7699999999</v>
      </c>
    </row>
    <row r="1100" spans="1:13" x14ac:dyDescent="0.25">
      <c r="A1100" t="s">
        <v>233</v>
      </c>
      <c r="B1100" t="s">
        <v>2303</v>
      </c>
      <c r="C1100" t="s">
        <v>988</v>
      </c>
      <c r="D1100" t="s">
        <v>965</v>
      </c>
      <c r="E1100" t="s">
        <v>977</v>
      </c>
      <c r="F1100" t="s">
        <v>967</v>
      </c>
      <c r="G1100" t="s">
        <v>968</v>
      </c>
      <c r="H1100" t="s">
        <v>969</v>
      </c>
      <c r="I1100" t="s">
        <v>970</v>
      </c>
      <c r="J1100" t="s">
        <v>971</v>
      </c>
      <c r="K1100" t="s">
        <v>972</v>
      </c>
      <c r="L1100">
        <v>1562.05</v>
      </c>
      <c r="M1100">
        <f t="shared" si="17"/>
        <v>1029083.7699999999</v>
      </c>
    </row>
    <row r="1101" spans="1:13" x14ac:dyDescent="0.25">
      <c r="A1101" t="s">
        <v>824</v>
      </c>
      <c r="B1101" t="s">
        <v>1267</v>
      </c>
      <c r="C1101" t="s">
        <v>975</v>
      </c>
      <c r="D1101" t="s">
        <v>1208</v>
      </c>
      <c r="E1101" t="s">
        <v>977</v>
      </c>
      <c r="F1101" t="s">
        <v>967</v>
      </c>
      <c r="G1101" t="s">
        <v>968</v>
      </c>
      <c r="H1101" t="s">
        <v>969</v>
      </c>
      <c r="I1101" t="s">
        <v>970</v>
      </c>
      <c r="J1101" t="s">
        <v>971</v>
      </c>
      <c r="K1101" t="s">
        <v>972</v>
      </c>
      <c r="L1101">
        <v>42285.61</v>
      </c>
      <c r="M1101">
        <f t="shared" si="17"/>
        <v>1029083.7699999999</v>
      </c>
    </row>
    <row r="1102" spans="1:13" x14ac:dyDescent="0.25">
      <c r="A1102" t="s">
        <v>124</v>
      </c>
      <c r="B1102" t="s">
        <v>1305</v>
      </c>
      <c r="C1102" t="s">
        <v>964</v>
      </c>
      <c r="D1102" t="s">
        <v>1177</v>
      </c>
      <c r="E1102" t="s">
        <v>977</v>
      </c>
      <c r="F1102" t="s">
        <v>967</v>
      </c>
      <c r="G1102" t="s">
        <v>968</v>
      </c>
      <c r="H1102" t="s">
        <v>969</v>
      </c>
      <c r="I1102" t="s">
        <v>970</v>
      </c>
      <c r="J1102" t="s">
        <v>971</v>
      </c>
      <c r="K1102" t="s">
        <v>972</v>
      </c>
      <c r="L1102">
        <v>40696.92</v>
      </c>
      <c r="M1102">
        <f t="shared" si="17"/>
        <v>1029083.7699999999</v>
      </c>
    </row>
    <row r="1103" spans="1:13" x14ac:dyDescent="0.25">
      <c r="A1103" t="s">
        <v>162</v>
      </c>
      <c r="B1103" t="s">
        <v>1257</v>
      </c>
      <c r="C1103" t="s">
        <v>964</v>
      </c>
      <c r="D1103" t="s">
        <v>1177</v>
      </c>
      <c r="E1103" t="s">
        <v>980</v>
      </c>
      <c r="F1103" t="s">
        <v>967</v>
      </c>
      <c r="G1103" t="s">
        <v>968</v>
      </c>
      <c r="H1103" t="s">
        <v>969</v>
      </c>
      <c r="I1103" t="s">
        <v>970</v>
      </c>
      <c r="J1103" t="s">
        <v>971</v>
      </c>
      <c r="K1103" t="s">
        <v>972</v>
      </c>
      <c r="L1103">
        <v>43196.52</v>
      </c>
      <c r="M1103">
        <f t="shared" si="17"/>
        <v>1029083.7699999999</v>
      </c>
    </row>
    <row r="1104" spans="1:13" x14ac:dyDescent="0.25">
      <c r="A1104" t="s">
        <v>792</v>
      </c>
      <c r="B1104" t="s">
        <v>1215</v>
      </c>
      <c r="C1104" t="s">
        <v>964</v>
      </c>
      <c r="D1104" t="s">
        <v>965</v>
      </c>
      <c r="E1104" t="s">
        <v>980</v>
      </c>
      <c r="F1104" t="s">
        <v>967</v>
      </c>
      <c r="G1104" t="s">
        <v>968</v>
      </c>
      <c r="H1104" t="s">
        <v>969</v>
      </c>
      <c r="I1104" t="s">
        <v>970</v>
      </c>
      <c r="J1104" t="s">
        <v>971</v>
      </c>
      <c r="K1104" t="s">
        <v>972</v>
      </c>
      <c r="L1104">
        <v>44073.919999999998</v>
      </c>
      <c r="M1104">
        <f t="shared" si="17"/>
        <v>1029083.7699999999</v>
      </c>
    </row>
    <row r="1105" spans="1:13" x14ac:dyDescent="0.25">
      <c r="A1105" t="s">
        <v>792</v>
      </c>
      <c r="B1105" t="s">
        <v>1216</v>
      </c>
      <c r="C1105" t="s">
        <v>964</v>
      </c>
      <c r="D1105" t="s">
        <v>965</v>
      </c>
      <c r="E1105" t="s">
        <v>980</v>
      </c>
      <c r="F1105" t="s">
        <v>967</v>
      </c>
      <c r="G1105" t="s">
        <v>968</v>
      </c>
      <c r="H1105" t="s">
        <v>969</v>
      </c>
      <c r="I1105" t="s">
        <v>970</v>
      </c>
      <c r="J1105" t="s">
        <v>971</v>
      </c>
      <c r="K1105" t="s">
        <v>972</v>
      </c>
      <c r="L1105">
        <v>44073.919999999998</v>
      </c>
      <c r="M1105">
        <f t="shared" si="17"/>
        <v>1029083.7699999999</v>
      </c>
    </row>
    <row r="1106" spans="1:13" x14ac:dyDescent="0.25">
      <c r="A1106" t="s">
        <v>276</v>
      </c>
      <c r="B1106" t="s">
        <v>1207</v>
      </c>
      <c r="C1106" t="s">
        <v>964</v>
      </c>
      <c r="D1106" t="s">
        <v>1208</v>
      </c>
      <c r="E1106" t="s">
        <v>980</v>
      </c>
      <c r="F1106" t="s">
        <v>967</v>
      </c>
      <c r="G1106" t="s">
        <v>968</v>
      </c>
      <c r="H1106" t="s">
        <v>969</v>
      </c>
      <c r="I1106" t="s">
        <v>970</v>
      </c>
      <c r="J1106" t="s">
        <v>971</v>
      </c>
      <c r="K1106" t="s">
        <v>972</v>
      </c>
      <c r="L1106">
        <v>44406.31</v>
      </c>
      <c r="M1106">
        <f t="shared" si="17"/>
        <v>1029083.7699999999</v>
      </c>
    </row>
    <row r="1107" spans="1:13" x14ac:dyDescent="0.25">
      <c r="A1107" t="s">
        <v>150</v>
      </c>
      <c r="B1107" t="s">
        <v>1270</v>
      </c>
      <c r="C1107" t="s">
        <v>975</v>
      </c>
      <c r="D1107" t="s">
        <v>965</v>
      </c>
      <c r="E1107" t="s">
        <v>977</v>
      </c>
      <c r="F1107" t="s">
        <v>967</v>
      </c>
      <c r="G1107" t="s">
        <v>968</v>
      </c>
      <c r="H1107" t="s">
        <v>969</v>
      </c>
      <c r="I1107" t="s">
        <v>970</v>
      </c>
      <c r="J1107" t="s">
        <v>971</v>
      </c>
      <c r="K1107" t="s">
        <v>972</v>
      </c>
      <c r="L1107">
        <v>42099.65</v>
      </c>
      <c r="M1107">
        <f t="shared" si="17"/>
        <v>1029083.7699999999</v>
      </c>
    </row>
    <row r="1108" spans="1:13" x14ac:dyDescent="0.25">
      <c r="A1108" t="s">
        <v>222</v>
      </c>
      <c r="B1108" t="s">
        <v>1188</v>
      </c>
      <c r="C1108" t="s">
        <v>1189</v>
      </c>
      <c r="D1108" t="s">
        <v>1177</v>
      </c>
      <c r="E1108" t="s">
        <v>980</v>
      </c>
      <c r="F1108" t="s">
        <v>967</v>
      </c>
      <c r="G1108" t="s">
        <v>968</v>
      </c>
      <c r="H1108" t="s">
        <v>969</v>
      </c>
      <c r="I1108" t="s">
        <v>970</v>
      </c>
      <c r="J1108" t="s">
        <v>971</v>
      </c>
      <c r="K1108" t="s">
        <v>972</v>
      </c>
      <c r="L1108">
        <v>44560.95</v>
      </c>
      <c r="M1108">
        <f t="shared" si="17"/>
        <v>1029083.7699999999</v>
      </c>
    </row>
    <row r="1109" spans="1:13" x14ac:dyDescent="0.25">
      <c r="A1109" t="s">
        <v>121</v>
      </c>
      <c r="B1109" t="s">
        <v>1366</v>
      </c>
      <c r="C1109" t="s">
        <v>975</v>
      </c>
      <c r="D1109" t="s">
        <v>1032</v>
      </c>
      <c r="E1109" t="s">
        <v>966</v>
      </c>
      <c r="F1109" t="s">
        <v>967</v>
      </c>
      <c r="G1109" t="s">
        <v>968</v>
      </c>
      <c r="H1109" t="s">
        <v>969</v>
      </c>
      <c r="I1109" t="s">
        <v>970</v>
      </c>
      <c r="J1109" t="s">
        <v>971</v>
      </c>
      <c r="K1109" t="s">
        <v>972</v>
      </c>
      <c r="L1109">
        <v>38306.910000000003</v>
      </c>
      <c r="M1109">
        <f t="shared" si="17"/>
        <v>1029083.7699999999</v>
      </c>
    </row>
    <row r="1110" spans="1:13" x14ac:dyDescent="0.25">
      <c r="A1110" t="s">
        <v>322</v>
      </c>
      <c r="B1110" t="s">
        <v>1452</v>
      </c>
      <c r="C1110" t="s">
        <v>975</v>
      </c>
      <c r="D1110" t="s">
        <v>1177</v>
      </c>
      <c r="E1110" t="s">
        <v>980</v>
      </c>
      <c r="F1110" t="s">
        <v>967</v>
      </c>
      <c r="G1110" t="s">
        <v>968</v>
      </c>
      <c r="H1110" t="s">
        <v>969</v>
      </c>
      <c r="I1110" t="s">
        <v>970</v>
      </c>
      <c r="J1110" t="s">
        <v>971</v>
      </c>
      <c r="K1110" t="s">
        <v>972</v>
      </c>
      <c r="L1110">
        <v>34297.300000000003</v>
      </c>
      <c r="M1110">
        <f t="shared" si="17"/>
        <v>1029083.7699999999</v>
      </c>
    </row>
    <row r="1111" spans="1:13" x14ac:dyDescent="0.25">
      <c r="A1111" t="s">
        <v>281</v>
      </c>
      <c r="B1111" t="s">
        <v>963</v>
      </c>
      <c r="C1111" t="s">
        <v>964</v>
      </c>
      <c r="D1111" t="s">
        <v>965</v>
      </c>
      <c r="E1111" t="s">
        <v>966</v>
      </c>
      <c r="F1111" t="s">
        <v>967</v>
      </c>
      <c r="G1111" t="s">
        <v>968</v>
      </c>
      <c r="H1111" t="s">
        <v>969</v>
      </c>
      <c r="I1111" t="s">
        <v>970</v>
      </c>
      <c r="J1111" t="s">
        <v>971</v>
      </c>
      <c r="K1111" t="s">
        <v>972</v>
      </c>
      <c r="L1111">
        <v>46029</v>
      </c>
      <c r="M1111">
        <f t="shared" si="17"/>
        <v>1029083.7699999999</v>
      </c>
    </row>
    <row r="1112" spans="1:13" x14ac:dyDescent="0.25">
      <c r="A1112" t="s">
        <v>281</v>
      </c>
      <c r="B1112" t="s">
        <v>973</v>
      </c>
      <c r="C1112" t="s">
        <v>964</v>
      </c>
      <c r="D1112" t="s">
        <v>965</v>
      </c>
      <c r="E1112" t="s">
        <v>966</v>
      </c>
      <c r="F1112" t="s">
        <v>967</v>
      </c>
      <c r="G1112" t="s">
        <v>968</v>
      </c>
      <c r="H1112" t="s">
        <v>969</v>
      </c>
      <c r="I1112" t="s">
        <v>970</v>
      </c>
      <c r="J1112" t="s">
        <v>971</v>
      </c>
      <c r="K1112" t="s">
        <v>972</v>
      </c>
      <c r="L1112">
        <v>46029</v>
      </c>
      <c r="M1112">
        <f t="shared" si="17"/>
        <v>1029083.7699999999</v>
      </c>
    </row>
    <row r="1113" spans="1:13" x14ac:dyDescent="0.25">
      <c r="A1113" t="s">
        <v>141</v>
      </c>
      <c r="B1113" t="s">
        <v>1176</v>
      </c>
      <c r="C1113" t="s">
        <v>975</v>
      </c>
      <c r="D1113" t="s">
        <v>1177</v>
      </c>
      <c r="E1113" t="s">
        <v>977</v>
      </c>
      <c r="F1113" t="s">
        <v>967</v>
      </c>
      <c r="G1113" t="s">
        <v>968</v>
      </c>
      <c r="H1113" t="s">
        <v>969</v>
      </c>
      <c r="I1113" t="s">
        <v>970</v>
      </c>
      <c r="J1113" t="s">
        <v>971</v>
      </c>
      <c r="K1113" t="s">
        <v>972</v>
      </c>
      <c r="L1113">
        <v>45295.19</v>
      </c>
      <c r="M1113">
        <f t="shared" si="17"/>
        <v>1029083.7699999999</v>
      </c>
    </row>
    <row r="1114" spans="1:13" x14ac:dyDescent="0.25">
      <c r="A1114" t="s">
        <v>6</v>
      </c>
      <c r="B1114" t="s">
        <v>1221</v>
      </c>
      <c r="C1114" t="s">
        <v>975</v>
      </c>
      <c r="D1114" t="s">
        <v>1222</v>
      </c>
      <c r="E1114" t="s">
        <v>1223</v>
      </c>
      <c r="F1114" t="s">
        <v>967</v>
      </c>
      <c r="G1114" t="s">
        <v>968</v>
      </c>
      <c r="H1114" t="s">
        <v>969</v>
      </c>
      <c r="I1114" t="s">
        <v>970</v>
      </c>
      <c r="J1114" t="s">
        <v>971</v>
      </c>
      <c r="K1114" t="s">
        <v>972</v>
      </c>
      <c r="L1114">
        <v>43638.87</v>
      </c>
      <c r="M1114">
        <f t="shared" si="17"/>
        <v>1029083.7699999999</v>
      </c>
    </row>
    <row r="1115" spans="1:13" x14ac:dyDescent="0.25">
      <c r="A1115" t="s">
        <v>6</v>
      </c>
      <c r="B1115" t="s">
        <v>1224</v>
      </c>
      <c r="C1115" t="s">
        <v>975</v>
      </c>
      <c r="D1115" t="s">
        <v>1222</v>
      </c>
      <c r="E1115" t="s">
        <v>1223</v>
      </c>
      <c r="F1115" t="s">
        <v>967</v>
      </c>
      <c r="G1115" t="s">
        <v>968</v>
      </c>
      <c r="H1115" t="s">
        <v>969</v>
      </c>
      <c r="I1115" t="s">
        <v>970</v>
      </c>
      <c r="J1115" t="s">
        <v>971</v>
      </c>
      <c r="K1115" t="s">
        <v>972</v>
      </c>
      <c r="L1115">
        <v>43638.87</v>
      </c>
      <c r="M1115">
        <f t="shared" si="17"/>
        <v>1029083.7699999999</v>
      </c>
    </row>
    <row r="1116" spans="1:13" x14ac:dyDescent="0.25">
      <c r="A1116" t="s">
        <v>6</v>
      </c>
      <c r="B1116" t="s">
        <v>1225</v>
      </c>
      <c r="C1116" t="s">
        <v>975</v>
      </c>
      <c r="D1116" t="s">
        <v>1222</v>
      </c>
      <c r="E1116" t="s">
        <v>1223</v>
      </c>
      <c r="F1116" t="s">
        <v>967</v>
      </c>
      <c r="G1116" t="s">
        <v>968</v>
      </c>
      <c r="H1116" t="s">
        <v>969</v>
      </c>
      <c r="I1116" t="s">
        <v>970</v>
      </c>
      <c r="J1116" t="s">
        <v>971</v>
      </c>
      <c r="K1116" t="s">
        <v>972</v>
      </c>
      <c r="L1116">
        <v>43638.87</v>
      </c>
      <c r="M1116">
        <f t="shared" si="17"/>
        <v>1029083.7699999999</v>
      </c>
    </row>
    <row r="1117" spans="1:13" x14ac:dyDescent="0.25">
      <c r="A1117" t="s">
        <v>6</v>
      </c>
      <c r="B1117" t="s">
        <v>1226</v>
      </c>
      <c r="C1117" t="s">
        <v>975</v>
      </c>
      <c r="D1117" t="s">
        <v>1222</v>
      </c>
      <c r="E1117" t="s">
        <v>1223</v>
      </c>
      <c r="F1117" t="s">
        <v>967</v>
      </c>
      <c r="G1117" t="s">
        <v>968</v>
      </c>
      <c r="H1117" t="s">
        <v>969</v>
      </c>
      <c r="I1117" t="s">
        <v>970</v>
      </c>
      <c r="J1117" t="s">
        <v>971</v>
      </c>
      <c r="K1117" t="s">
        <v>972</v>
      </c>
      <c r="L1117">
        <v>43638.87</v>
      </c>
      <c r="M1117">
        <f t="shared" si="17"/>
        <v>1029083.7699999999</v>
      </c>
    </row>
    <row r="1118" spans="1:13" x14ac:dyDescent="0.25">
      <c r="A1118" t="s">
        <v>6</v>
      </c>
      <c r="B1118" t="s">
        <v>1227</v>
      </c>
      <c r="C1118" t="s">
        <v>975</v>
      </c>
      <c r="D1118" t="s">
        <v>1222</v>
      </c>
      <c r="E1118" t="s">
        <v>1223</v>
      </c>
      <c r="F1118" t="s">
        <v>967</v>
      </c>
      <c r="G1118" t="s">
        <v>968</v>
      </c>
      <c r="H1118" t="s">
        <v>969</v>
      </c>
      <c r="I1118" t="s">
        <v>970</v>
      </c>
      <c r="J1118" t="s">
        <v>971</v>
      </c>
      <c r="K1118" t="s">
        <v>972</v>
      </c>
      <c r="L1118">
        <v>43638.87</v>
      </c>
      <c r="M1118">
        <f t="shared" si="17"/>
        <v>1029083.7699999999</v>
      </c>
    </row>
    <row r="1119" spans="1:13" x14ac:dyDescent="0.25">
      <c r="A1119" t="s">
        <v>6</v>
      </c>
      <c r="B1119" t="s">
        <v>1228</v>
      </c>
      <c r="C1119" t="s">
        <v>975</v>
      </c>
      <c r="D1119" t="s">
        <v>1222</v>
      </c>
      <c r="E1119" t="s">
        <v>1223</v>
      </c>
      <c r="F1119" t="s">
        <v>967</v>
      </c>
      <c r="G1119" t="s">
        <v>968</v>
      </c>
      <c r="H1119" t="s">
        <v>969</v>
      </c>
      <c r="I1119" t="s">
        <v>970</v>
      </c>
      <c r="J1119" t="s">
        <v>971</v>
      </c>
      <c r="K1119" t="s">
        <v>972</v>
      </c>
      <c r="L1119">
        <v>43638.87</v>
      </c>
      <c r="M1119">
        <f t="shared" si="17"/>
        <v>1029083.7699999999</v>
      </c>
    </row>
    <row r="1120" spans="1:13" x14ac:dyDescent="0.25">
      <c r="A1120" t="s">
        <v>802</v>
      </c>
      <c r="B1120" t="s">
        <v>1284</v>
      </c>
      <c r="C1120" t="s">
        <v>975</v>
      </c>
      <c r="D1120" t="s">
        <v>1222</v>
      </c>
      <c r="E1120" t="s">
        <v>977</v>
      </c>
      <c r="F1120" t="s">
        <v>967</v>
      </c>
      <c r="G1120" t="s">
        <v>968</v>
      </c>
      <c r="H1120" t="s">
        <v>969</v>
      </c>
      <c r="I1120" t="s">
        <v>970</v>
      </c>
      <c r="J1120" t="s">
        <v>971</v>
      </c>
      <c r="K1120" t="s">
        <v>972</v>
      </c>
      <c r="L1120">
        <v>41189.32</v>
      </c>
      <c r="M1120">
        <f t="shared" si="17"/>
        <v>1029083.7699999999</v>
      </c>
    </row>
    <row r="1121" spans="1:13" x14ac:dyDescent="0.25">
      <c r="A1121" t="s">
        <v>232</v>
      </c>
      <c r="B1121" t="s">
        <v>1248</v>
      </c>
      <c r="C1121" t="s">
        <v>975</v>
      </c>
      <c r="D1121" t="s">
        <v>1177</v>
      </c>
      <c r="E1121" t="s">
        <v>977</v>
      </c>
      <c r="F1121" t="s">
        <v>967</v>
      </c>
      <c r="G1121" t="s">
        <v>968</v>
      </c>
      <c r="H1121" t="s">
        <v>969</v>
      </c>
      <c r="I1121" t="s">
        <v>970</v>
      </c>
      <c r="J1121" t="s">
        <v>971</v>
      </c>
      <c r="K1121" t="s">
        <v>972</v>
      </c>
      <c r="L1121">
        <v>43243.29</v>
      </c>
      <c r="M1121">
        <f t="shared" si="17"/>
        <v>406533.4</v>
      </c>
    </row>
    <row r="1122" spans="1:13" x14ac:dyDescent="0.25">
      <c r="A1122" t="s">
        <v>272</v>
      </c>
      <c r="B1122" t="s">
        <v>1303</v>
      </c>
      <c r="C1122" t="s">
        <v>964</v>
      </c>
      <c r="D1122" t="s">
        <v>1222</v>
      </c>
      <c r="E1122" t="s">
        <v>977</v>
      </c>
      <c r="F1122" t="s">
        <v>967</v>
      </c>
      <c r="G1122" t="s">
        <v>968</v>
      </c>
      <c r="H1122" t="s">
        <v>969</v>
      </c>
      <c r="I1122" t="s">
        <v>970</v>
      </c>
      <c r="J1122" t="s">
        <v>971</v>
      </c>
      <c r="K1122" t="s">
        <v>972</v>
      </c>
      <c r="L1122">
        <v>40786.019999999997</v>
      </c>
      <c r="M1122">
        <f t="shared" si="17"/>
        <v>406533.4</v>
      </c>
    </row>
    <row r="1123" spans="1:13" x14ac:dyDescent="0.25">
      <c r="A1123" t="s">
        <v>425</v>
      </c>
      <c r="B1123" t="s">
        <v>1304</v>
      </c>
      <c r="C1123" t="s">
        <v>964</v>
      </c>
      <c r="D1123" t="s">
        <v>1177</v>
      </c>
      <c r="E1123" t="s">
        <v>977</v>
      </c>
      <c r="F1123" t="s">
        <v>967</v>
      </c>
      <c r="G1123" t="s">
        <v>968</v>
      </c>
      <c r="H1123" t="s">
        <v>969</v>
      </c>
      <c r="I1123" t="s">
        <v>970</v>
      </c>
      <c r="J1123" t="s">
        <v>971</v>
      </c>
      <c r="K1123" t="s">
        <v>972</v>
      </c>
      <c r="L1123">
        <v>40737.24</v>
      </c>
      <c r="M1123">
        <f t="shared" si="17"/>
        <v>406533.4</v>
      </c>
    </row>
    <row r="1124" spans="1:13" x14ac:dyDescent="0.25">
      <c r="A1124" t="s">
        <v>866</v>
      </c>
      <c r="B1124" t="s">
        <v>2310</v>
      </c>
      <c r="C1124" t="s">
        <v>988</v>
      </c>
      <c r="D1124" t="s">
        <v>1177</v>
      </c>
      <c r="E1124" t="s">
        <v>977</v>
      </c>
      <c r="F1124" t="s">
        <v>967</v>
      </c>
      <c r="G1124" t="s">
        <v>968</v>
      </c>
      <c r="H1124" t="s">
        <v>969</v>
      </c>
      <c r="I1124" t="s">
        <v>970</v>
      </c>
      <c r="J1124" t="s">
        <v>971</v>
      </c>
      <c r="K1124" t="s">
        <v>972</v>
      </c>
      <c r="L1124">
        <v>1471.83</v>
      </c>
      <c r="M1124">
        <f t="shared" si="17"/>
        <v>406533.4</v>
      </c>
    </row>
    <row r="1125" spans="1:13" x14ac:dyDescent="0.25">
      <c r="A1125" t="s">
        <v>34</v>
      </c>
      <c r="B1125" t="s">
        <v>2239</v>
      </c>
      <c r="C1125" t="s">
        <v>2240</v>
      </c>
      <c r="D1125" t="s">
        <v>1382</v>
      </c>
      <c r="E1125" t="s">
        <v>977</v>
      </c>
      <c r="F1125" t="s">
        <v>967</v>
      </c>
      <c r="G1125" t="s">
        <v>968</v>
      </c>
      <c r="H1125" t="s">
        <v>969</v>
      </c>
      <c r="I1125" t="s">
        <v>970</v>
      </c>
      <c r="J1125" t="s">
        <v>971</v>
      </c>
      <c r="K1125" t="s">
        <v>972</v>
      </c>
      <c r="L1125">
        <v>2162.91</v>
      </c>
      <c r="M1125">
        <f t="shared" si="17"/>
        <v>406533.4</v>
      </c>
    </row>
    <row r="1126" spans="1:13" x14ac:dyDescent="0.25">
      <c r="A1126" t="s">
        <v>422</v>
      </c>
      <c r="B1126" t="s">
        <v>1087</v>
      </c>
      <c r="C1126" t="s">
        <v>975</v>
      </c>
      <c r="D1126" t="s">
        <v>1054</v>
      </c>
      <c r="E1126" t="s">
        <v>966</v>
      </c>
      <c r="F1126" t="s">
        <v>967</v>
      </c>
      <c r="G1126" t="s">
        <v>968</v>
      </c>
      <c r="H1126" t="s">
        <v>969</v>
      </c>
      <c r="I1126" t="s">
        <v>970</v>
      </c>
      <c r="J1126" t="s">
        <v>971</v>
      </c>
      <c r="K1126" t="s">
        <v>972</v>
      </c>
      <c r="L1126">
        <v>48224.99</v>
      </c>
      <c r="M1126">
        <f t="shared" si="17"/>
        <v>406533.4</v>
      </c>
    </row>
    <row r="1127" spans="1:13" x14ac:dyDescent="0.25">
      <c r="A1127" t="s">
        <v>422</v>
      </c>
      <c r="B1127" t="s">
        <v>1088</v>
      </c>
      <c r="C1127" t="s">
        <v>975</v>
      </c>
      <c r="D1127" t="s">
        <v>1054</v>
      </c>
      <c r="E1127" t="s">
        <v>966</v>
      </c>
      <c r="F1127" t="s">
        <v>967</v>
      </c>
      <c r="G1127" t="s">
        <v>968</v>
      </c>
      <c r="H1127" t="s">
        <v>969</v>
      </c>
      <c r="I1127" t="s">
        <v>970</v>
      </c>
      <c r="J1127" t="s">
        <v>971</v>
      </c>
      <c r="K1127" t="s">
        <v>972</v>
      </c>
      <c r="L1127">
        <v>48224.99</v>
      </c>
      <c r="M1127">
        <f t="shared" si="17"/>
        <v>406533.4</v>
      </c>
    </row>
    <row r="1128" spans="1:13" x14ac:dyDescent="0.25">
      <c r="A1128" t="s">
        <v>422</v>
      </c>
      <c r="B1128" t="s">
        <v>1089</v>
      </c>
      <c r="C1128" t="s">
        <v>975</v>
      </c>
      <c r="D1128" t="s">
        <v>1054</v>
      </c>
      <c r="E1128" t="s">
        <v>966</v>
      </c>
      <c r="F1128" t="s">
        <v>967</v>
      </c>
      <c r="G1128" t="s">
        <v>968</v>
      </c>
      <c r="H1128" t="s">
        <v>969</v>
      </c>
      <c r="I1128" t="s">
        <v>970</v>
      </c>
      <c r="J1128" t="s">
        <v>971</v>
      </c>
      <c r="K1128" t="s">
        <v>972</v>
      </c>
      <c r="L1128">
        <v>48224.99</v>
      </c>
      <c r="M1128">
        <f t="shared" si="17"/>
        <v>406533.4</v>
      </c>
    </row>
    <row r="1129" spans="1:13" x14ac:dyDescent="0.25">
      <c r="A1129" t="s">
        <v>422</v>
      </c>
      <c r="B1129" t="s">
        <v>1091</v>
      </c>
      <c r="C1129" t="s">
        <v>975</v>
      </c>
      <c r="D1129" t="s">
        <v>1054</v>
      </c>
      <c r="E1129" t="s">
        <v>966</v>
      </c>
      <c r="F1129" t="s">
        <v>967</v>
      </c>
      <c r="G1129" t="s">
        <v>968</v>
      </c>
      <c r="H1129" t="s">
        <v>969</v>
      </c>
      <c r="I1129" t="s">
        <v>970</v>
      </c>
      <c r="J1129" t="s">
        <v>971</v>
      </c>
      <c r="K1129" t="s">
        <v>972</v>
      </c>
      <c r="L1129">
        <v>48224.99</v>
      </c>
      <c r="M1129">
        <f t="shared" si="17"/>
        <v>406533.4</v>
      </c>
    </row>
    <row r="1130" spans="1:13" x14ac:dyDescent="0.25">
      <c r="A1130" t="s">
        <v>422</v>
      </c>
      <c r="B1130" t="s">
        <v>1092</v>
      </c>
      <c r="C1130" t="s">
        <v>975</v>
      </c>
      <c r="D1130" t="s">
        <v>1054</v>
      </c>
      <c r="E1130" t="s">
        <v>966</v>
      </c>
      <c r="F1130" t="s">
        <v>967</v>
      </c>
      <c r="G1130" t="s">
        <v>968</v>
      </c>
      <c r="H1130" t="s">
        <v>969</v>
      </c>
      <c r="I1130" t="s">
        <v>970</v>
      </c>
      <c r="J1130" t="s">
        <v>971</v>
      </c>
      <c r="K1130" t="s">
        <v>972</v>
      </c>
      <c r="L1130">
        <v>48224.99</v>
      </c>
      <c r="M1130">
        <f t="shared" si="17"/>
        <v>406533.4</v>
      </c>
    </row>
    <row r="1131" spans="1:13" x14ac:dyDescent="0.25">
      <c r="A1131" t="s">
        <v>238</v>
      </c>
      <c r="B1131" t="s">
        <v>1402</v>
      </c>
      <c r="C1131" t="s">
        <v>975</v>
      </c>
      <c r="D1131" t="s">
        <v>1177</v>
      </c>
      <c r="E1131" t="s">
        <v>980</v>
      </c>
      <c r="F1131" t="s">
        <v>967</v>
      </c>
      <c r="G1131" t="s">
        <v>968</v>
      </c>
      <c r="H1131" t="s">
        <v>969</v>
      </c>
      <c r="I1131" t="s">
        <v>970</v>
      </c>
      <c r="J1131" t="s">
        <v>971</v>
      </c>
      <c r="K1131" t="s">
        <v>972</v>
      </c>
      <c r="L1131">
        <v>37007.160000000003</v>
      </c>
      <c r="M1131">
        <f t="shared" si="17"/>
        <v>406533.4</v>
      </c>
    </row>
    <row r="1132" spans="1:13" x14ac:dyDescent="0.25">
      <c r="A1132" t="s">
        <v>297</v>
      </c>
      <c r="B1132" t="s">
        <v>2288</v>
      </c>
      <c r="C1132" t="s">
        <v>988</v>
      </c>
      <c r="D1132" t="s">
        <v>976</v>
      </c>
      <c r="E1132" t="s">
        <v>977</v>
      </c>
      <c r="F1132" t="s">
        <v>967</v>
      </c>
      <c r="G1132" t="s">
        <v>968</v>
      </c>
      <c r="H1132" t="s">
        <v>969</v>
      </c>
      <c r="I1132" t="s">
        <v>970</v>
      </c>
      <c r="J1132" t="s">
        <v>971</v>
      </c>
      <c r="K1132" t="s">
        <v>972</v>
      </c>
      <c r="L1132">
        <v>1739.69</v>
      </c>
      <c r="M1132">
        <f t="shared" si="17"/>
        <v>92898.07</v>
      </c>
    </row>
    <row r="1133" spans="1:13" x14ac:dyDescent="0.25">
      <c r="A1133" t="s">
        <v>88</v>
      </c>
      <c r="B1133" t="s">
        <v>1082</v>
      </c>
      <c r="C1133" t="s">
        <v>975</v>
      </c>
      <c r="D1133" t="s">
        <v>1070</v>
      </c>
      <c r="E1133" t="s">
        <v>977</v>
      </c>
      <c r="F1133" t="s">
        <v>967</v>
      </c>
      <c r="G1133" t="s">
        <v>968</v>
      </c>
      <c r="H1133" t="s">
        <v>969</v>
      </c>
      <c r="I1133" t="s">
        <v>970</v>
      </c>
      <c r="J1133" t="s">
        <v>971</v>
      </c>
      <c r="K1133" t="s">
        <v>972</v>
      </c>
      <c r="L1133">
        <v>48568.03</v>
      </c>
      <c r="M1133">
        <f t="shared" si="17"/>
        <v>92898.07</v>
      </c>
    </row>
    <row r="1134" spans="1:13" x14ac:dyDescent="0.25">
      <c r="A1134" t="s">
        <v>571</v>
      </c>
      <c r="B1134" t="s">
        <v>2433</v>
      </c>
      <c r="C1134" t="s">
        <v>982</v>
      </c>
      <c r="D1134" t="s">
        <v>1028</v>
      </c>
      <c r="E1134" t="s">
        <v>977</v>
      </c>
      <c r="F1134" t="s">
        <v>967</v>
      </c>
      <c r="G1134" t="s">
        <v>968</v>
      </c>
      <c r="H1134" t="s">
        <v>2390</v>
      </c>
      <c r="I1134" t="s">
        <v>970</v>
      </c>
      <c r="J1134" t="s">
        <v>971</v>
      </c>
      <c r="K1134" t="s">
        <v>972</v>
      </c>
      <c r="L1134">
        <v>636.35</v>
      </c>
      <c r="M1134">
        <f t="shared" si="17"/>
        <v>92898.07</v>
      </c>
    </row>
    <row r="1135" spans="1:13" x14ac:dyDescent="0.25">
      <c r="A1135" t="s">
        <v>933</v>
      </c>
      <c r="B1135" t="s">
        <v>974</v>
      </c>
      <c r="C1135" t="s">
        <v>975</v>
      </c>
      <c r="D1135" t="s">
        <v>976</v>
      </c>
      <c r="E1135" t="s">
        <v>977</v>
      </c>
      <c r="F1135" t="s">
        <v>967</v>
      </c>
      <c r="G1135" t="s">
        <v>968</v>
      </c>
      <c r="H1135" t="s">
        <v>969</v>
      </c>
      <c r="I1135" t="s">
        <v>970</v>
      </c>
      <c r="J1135" t="s">
        <v>971</v>
      </c>
      <c r="K1135" t="s">
        <v>972</v>
      </c>
      <c r="L1135">
        <v>41954</v>
      </c>
      <c r="M1135">
        <f t="shared" si="17"/>
        <v>92898.07</v>
      </c>
    </row>
    <row r="1136" spans="1:13" x14ac:dyDescent="0.25">
      <c r="A1136" t="s">
        <v>135</v>
      </c>
      <c r="B1136" t="s">
        <v>1264</v>
      </c>
      <c r="C1136" t="s">
        <v>964</v>
      </c>
      <c r="D1136" t="s">
        <v>1085</v>
      </c>
      <c r="E1136" t="s">
        <v>977</v>
      </c>
      <c r="F1136" t="s">
        <v>967</v>
      </c>
      <c r="G1136" t="s">
        <v>968</v>
      </c>
      <c r="H1136" t="s">
        <v>969</v>
      </c>
      <c r="I1136" t="s">
        <v>970</v>
      </c>
      <c r="J1136" t="s">
        <v>971</v>
      </c>
      <c r="K1136" t="s">
        <v>972</v>
      </c>
      <c r="L1136">
        <v>42326.3</v>
      </c>
      <c r="M1136">
        <f t="shared" si="17"/>
        <v>245344.24</v>
      </c>
    </row>
    <row r="1137" spans="1:13" x14ac:dyDescent="0.25">
      <c r="A1137" t="s">
        <v>376</v>
      </c>
      <c r="B1137" t="s">
        <v>1308</v>
      </c>
      <c r="C1137" t="s">
        <v>975</v>
      </c>
      <c r="D1137" t="s">
        <v>1177</v>
      </c>
      <c r="E1137" t="s">
        <v>977</v>
      </c>
      <c r="F1137" t="s">
        <v>967</v>
      </c>
      <c r="G1137" t="s">
        <v>968</v>
      </c>
      <c r="H1137" t="s">
        <v>969</v>
      </c>
      <c r="I1137" t="s">
        <v>970</v>
      </c>
      <c r="J1137" t="s">
        <v>971</v>
      </c>
      <c r="K1137" t="s">
        <v>972</v>
      </c>
      <c r="L1137">
        <v>40509.72</v>
      </c>
      <c r="M1137">
        <f t="shared" si="17"/>
        <v>245344.24</v>
      </c>
    </row>
    <row r="1138" spans="1:13" x14ac:dyDescent="0.25">
      <c r="A1138" t="s">
        <v>553</v>
      </c>
      <c r="B1138" t="s">
        <v>1309</v>
      </c>
      <c r="C1138" t="s">
        <v>975</v>
      </c>
      <c r="D1138" t="s">
        <v>1177</v>
      </c>
      <c r="E1138" t="s">
        <v>977</v>
      </c>
      <c r="F1138" t="s">
        <v>967</v>
      </c>
      <c r="G1138" t="s">
        <v>968</v>
      </c>
      <c r="H1138" t="s">
        <v>969</v>
      </c>
      <c r="I1138" t="s">
        <v>970</v>
      </c>
      <c r="J1138" t="s">
        <v>971</v>
      </c>
      <c r="K1138" t="s">
        <v>972</v>
      </c>
      <c r="L1138">
        <v>40509.72</v>
      </c>
      <c r="M1138">
        <f t="shared" si="17"/>
        <v>245344.24</v>
      </c>
    </row>
    <row r="1139" spans="1:13" x14ac:dyDescent="0.25">
      <c r="A1139" t="s">
        <v>471</v>
      </c>
      <c r="B1139" t="s">
        <v>1307</v>
      </c>
      <c r="C1139" t="s">
        <v>975</v>
      </c>
      <c r="D1139" t="s">
        <v>1177</v>
      </c>
      <c r="E1139" t="s">
        <v>977</v>
      </c>
      <c r="F1139" t="s">
        <v>967</v>
      </c>
      <c r="G1139" t="s">
        <v>968</v>
      </c>
      <c r="H1139" t="s">
        <v>969</v>
      </c>
      <c r="I1139" t="s">
        <v>970</v>
      </c>
      <c r="J1139" t="s">
        <v>971</v>
      </c>
      <c r="K1139" t="s">
        <v>972</v>
      </c>
      <c r="L1139">
        <v>40525.440000000002</v>
      </c>
      <c r="M1139">
        <f t="shared" si="17"/>
        <v>245344.24</v>
      </c>
    </row>
    <row r="1140" spans="1:13" x14ac:dyDescent="0.25">
      <c r="A1140" t="s">
        <v>279</v>
      </c>
      <c r="B1140" t="s">
        <v>1213</v>
      </c>
      <c r="C1140" t="s">
        <v>975</v>
      </c>
      <c r="D1140" t="s">
        <v>1085</v>
      </c>
      <c r="E1140" t="s">
        <v>977</v>
      </c>
      <c r="F1140" t="s">
        <v>967</v>
      </c>
      <c r="G1140" t="s">
        <v>968</v>
      </c>
      <c r="H1140" t="s">
        <v>969</v>
      </c>
      <c r="I1140" t="s">
        <v>970</v>
      </c>
      <c r="J1140" t="s">
        <v>971</v>
      </c>
      <c r="K1140" t="s">
        <v>972</v>
      </c>
      <c r="L1140">
        <v>44126.41</v>
      </c>
      <c r="M1140">
        <f t="shared" si="17"/>
        <v>245344.24</v>
      </c>
    </row>
    <row r="1141" spans="1:13" x14ac:dyDescent="0.25">
      <c r="A1141" t="s">
        <v>104</v>
      </c>
      <c r="B1141" t="s">
        <v>1394</v>
      </c>
      <c r="C1141" t="s">
        <v>975</v>
      </c>
      <c r="D1141" t="s">
        <v>1382</v>
      </c>
      <c r="E1141" t="s">
        <v>980</v>
      </c>
      <c r="F1141" t="s">
        <v>967</v>
      </c>
      <c r="G1141" t="s">
        <v>968</v>
      </c>
      <c r="H1141" t="s">
        <v>969</v>
      </c>
      <c r="I1141" t="s">
        <v>970</v>
      </c>
      <c r="J1141" t="s">
        <v>971</v>
      </c>
      <c r="K1141" t="s">
        <v>972</v>
      </c>
      <c r="L1141">
        <v>37346.65</v>
      </c>
      <c r="M1141">
        <f t="shared" si="17"/>
        <v>245344.24</v>
      </c>
    </row>
    <row r="1142" spans="1:13" x14ac:dyDescent="0.25">
      <c r="A1142" t="s">
        <v>464</v>
      </c>
      <c r="B1142" t="s">
        <v>1055</v>
      </c>
      <c r="C1142" t="s">
        <v>975</v>
      </c>
      <c r="D1142" t="s">
        <v>1054</v>
      </c>
      <c r="E1142" t="s">
        <v>977</v>
      </c>
      <c r="F1142" t="s">
        <v>967</v>
      </c>
      <c r="G1142" t="s">
        <v>968</v>
      </c>
      <c r="H1142" t="s">
        <v>969</v>
      </c>
      <c r="I1142" t="s">
        <v>970</v>
      </c>
      <c r="J1142" t="s">
        <v>971</v>
      </c>
      <c r="K1142" t="s">
        <v>972</v>
      </c>
      <c r="L1142">
        <v>49280.12</v>
      </c>
      <c r="M1142">
        <f t="shared" si="17"/>
        <v>771939.44</v>
      </c>
    </row>
    <row r="1143" spans="1:13" x14ac:dyDescent="0.25">
      <c r="A1143" t="s">
        <v>464</v>
      </c>
      <c r="B1143" t="s">
        <v>1057</v>
      </c>
      <c r="C1143" t="s">
        <v>975</v>
      </c>
      <c r="D1143" t="s">
        <v>1054</v>
      </c>
      <c r="E1143" t="s">
        <v>977</v>
      </c>
      <c r="F1143" t="s">
        <v>967</v>
      </c>
      <c r="G1143" t="s">
        <v>968</v>
      </c>
      <c r="H1143" t="s">
        <v>969</v>
      </c>
      <c r="I1143" t="s">
        <v>970</v>
      </c>
      <c r="J1143" t="s">
        <v>971</v>
      </c>
      <c r="K1143" t="s">
        <v>972</v>
      </c>
      <c r="L1143">
        <v>49280.12</v>
      </c>
      <c r="M1143">
        <f t="shared" si="17"/>
        <v>771939.44</v>
      </c>
    </row>
    <row r="1144" spans="1:13" x14ac:dyDescent="0.25">
      <c r="A1144" t="s">
        <v>464</v>
      </c>
      <c r="B1144" t="s">
        <v>1059</v>
      </c>
      <c r="C1144" t="s">
        <v>975</v>
      </c>
      <c r="D1144" t="s">
        <v>1054</v>
      </c>
      <c r="E1144" t="s">
        <v>977</v>
      </c>
      <c r="F1144" t="s">
        <v>967</v>
      </c>
      <c r="G1144" t="s">
        <v>968</v>
      </c>
      <c r="H1144" t="s">
        <v>969</v>
      </c>
      <c r="I1144" t="s">
        <v>970</v>
      </c>
      <c r="J1144" t="s">
        <v>971</v>
      </c>
      <c r="K1144" t="s">
        <v>972</v>
      </c>
      <c r="L1144">
        <v>49280.12</v>
      </c>
      <c r="M1144">
        <f t="shared" si="17"/>
        <v>771939.44</v>
      </c>
    </row>
    <row r="1145" spans="1:13" x14ac:dyDescent="0.25">
      <c r="A1145" t="s">
        <v>464</v>
      </c>
      <c r="B1145" t="s">
        <v>1060</v>
      </c>
      <c r="C1145" t="s">
        <v>975</v>
      </c>
      <c r="D1145" t="s">
        <v>1054</v>
      </c>
      <c r="E1145" t="s">
        <v>977</v>
      </c>
      <c r="F1145" t="s">
        <v>967</v>
      </c>
      <c r="G1145" t="s">
        <v>968</v>
      </c>
      <c r="H1145" t="s">
        <v>969</v>
      </c>
      <c r="I1145" t="s">
        <v>970</v>
      </c>
      <c r="J1145" t="s">
        <v>971</v>
      </c>
      <c r="K1145" t="s">
        <v>972</v>
      </c>
      <c r="L1145">
        <v>49280.12</v>
      </c>
      <c r="M1145">
        <f t="shared" si="17"/>
        <v>771939.44</v>
      </c>
    </row>
    <row r="1146" spans="1:13" x14ac:dyDescent="0.25">
      <c r="A1146" t="s">
        <v>464</v>
      </c>
      <c r="B1146" t="s">
        <v>1061</v>
      </c>
      <c r="C1146" t="s">
        <v>975</v>
      </c>
      <c r="D1146" t="s">
        <v>1054</v>
      </c>
      <c r="E1146" t="s">
        <v>977</v>
      </c>
      <c r="F1146" t="s">
        <v>967</v>
      </c>
      <c r="G1146" t="s">
        <v>968</v>
      </c>
      <c r="H1146" t="s">
        <v>969</v>
      </c>
      <c r="I1146" t="s">
        <v>970</v>
      </c>
      <c r="J1146" t="s">
        <v>971</v>
      </c>
      <c r="K1146" t="s">
        <v>972</v>
      </c>
      <c r="L1146">
        <v>49280.12</v>
      </c>
      <c r="M1146">
        <f t="shared" si="17"/>
        <v>771939.44</v>
      </c>
    </row>
    <row r="1147" spans="1:13" x14ac:dyDescent="0.25">
      <c r="A1147" t="s">
        <v>464</v>
      </c>
      <c r="B1147" t="s">
        <v>1063</v>
      </c>
      <c r="C1147" t="s">
        <v>975</v>
      </c>
      <c r="D1147" t="s">
        <v>1054</v>
      </c>
      <c r="E1147" t="s">
        <v>977</v>
      </c>
      <c r="F1147" t="s">
        <v>967</v>
      </c>
      <c r="G1147" t="s">
        <v>968</v>
      </c>
      <c r="H1147" t="s">
        <v>969</v>
      </c>
      <c r="I1147" t="s">
        <v>970</v>
      </c>
      <c r="J1147" t="s">
        <v>971</v>
      </c>
      <c r="K1147" t="s">
        <v>972</v>
      </c>
      <c r="L1147">
        <v>49280.12</v>
      </c>
      <c r="M1147">
        <f t="shared" si="17"/>
        <v>771939.44</v>
      </c>
    </row>
    <row r="1148" spans="1:13" x14ac:dyDescent="0.25">
      <c r="A1148" t="s">
        <v>464</v>
      </c>
      <c r="B1148" t="s">
        <v>1064</v>
      </c>
      <c r="C1148" t="s">
        <v>975</v>
      </c>
      <c r="D1148" t="s">
        <v>1054</v>
      </c>
      <c r="E1148" t="s">
        <v>977</v>
      </c>
      <c r="F1148" t="s">
        <v>967</v>
      </c>
      <c r="G1148" t="s">
        <v>968</v>
      </c>
      <c r="H1148" t="s">
        <v>969</v>
      </c>
      <c r="I1148" t="s">
        <v>970</v>
      </c>
      <c r="J1148" t="s">
        <v>971</v>
      </c>
      <c r="K1148" t="s">
        <v>972</v>
      </c>
      <c r="L1148">
        <v>49280.12</v>
      </c>
      <c r="M1148">
        <f t="shared" si="17"/>
        <v>771939.44</v>
      </c>
    </row>
    <row r="1149" spans="1:13" x14ac:dyDescent="0.25">
      <c r="A1149" t="s">
        <v>464</v>
      </c>
      <c r="B1149" t="s">
        <v>1068</v>
      </c>
      <c r="C1149" t="s">
        <v>975</v>
      </c>
      <c r="D1149" t="s">
        <v>1054</v>
      </c>
      <c r="E1149" t="s">
        <v>977</v>
      </c>
      <c r="F1149" t="s">
        <v>967</v>
      </c>
      <c r="G1149" t="s">
        <v>968</v>
      </c>
      <c r="H1149" t="s">
        <v>969</v>
      </c>
      <c r="I1149" t="s">
        <v>970</v>
      </c>
      <c r="J1149" t="s">
        <v>971</v>
      </c>
      <c r="K1149" t="s">
        <v>972</v>
      </c>
      <c r="L1149">
        <v>49280.12</v>
      </c>
      <c r="M1149">
        <f t="shared" si="17"/>
        <v>771939.44</v>
      </c>
    </row>
    <row r="1150" spans="1:13" x14ac:dyDescent="0.25">
      <c r="A1150" t="s">
        <v>230</v>
      </c>
      <c r="B1150" t="s">
        <v>1053</v>
      </c>
      <c r="C1150" t="s">
        <v>975</v>
      </c>
      <c r="D1150" t="s">
        <v>1054</v>
      </c>
      <c r="E1150" t="s">
        <v>977</v>
      </c>
      <c r="F1150" t="s">
        <v>967</v>
      </c>
      <c r="G1150" t="s">
        <v>968</v>
      </c>
      <c r="H1150" t="s">
        <v>969</v>
      </c>
      <c r="I1150" t="s">
        <v>970</v>
      </c>
      <c r="J1150" t="s">
        <v>971</v>
      </c>
      <c r="K1150" t="s">
        <v>972</v>
      </c>
      <c r="L1150">
        <v>49280.12</v>
      </c>
      <c r="M1150">
        <f t="shared" si="17"/>
        <v>771939.44</v>
      </c>
    </row>
    <row r="1151" spans="1:13" x14ac:dyDescent="0.25">
      <c r="A1151" t="s">
        <v>230</v>
      </c>
      <c r="B1151" t="s">
        <v>1056</v>
      </c>
      <c r="C1151" t="s">
        <v>975</v>
      </c>
      <c r="D1151" t="s">
        <v>1054</v>
      </c>
      <c r="E1151" t="s">
        <v>977</v>
      </c>
      <c r="F1151" t="s">
        <v>967</v>
      </c>
      <c r="G1151" t="s">
        <v>968</v>
      </c>
      <c r="H1151" t="s">
        <v>969</v>
      </c>
      <c r="I1151" t="s">
        <v>970</v>
      </c>
      <c r="J1151" t="s">
        <v>971</v>
      </c>
      <c r="K1151" t="s">
        <v>972</v>
      </c>
      <c r="L1151">
        <v>49280.12</v>
      </c>
      <c r="M1151">
        <f t="shared" si="17"/>
        <v>771939.44</v>
      </c>
    </row>
    <row r="1152" spans="1:13" x14ac:dyDescent="0.25">
      <c r="A1152" t="s">
        <v>230</v>
      </c>
      <c r="B1152" t="s">
        <v>1058</v>
      </c>
      <c r="C1152" t="s">
        <v>975</v>
      </c>
      <c r="D1152" t="s">
        <v>1054</v>
      </c>
      <c r="E1152" t="s">
        <v>977</v>
      </c>
      <c r="F1152" t="s">
        <v>967</v>
      </c>
      <c r="G1152" t="s">
        <v>968</v>
      </c>
      <c r="H1152" t="s">
        <v>969</v>
      </c>
      <c r="I1152" t="s">
        <v>970</v>
      </c>
      <c r="J1152" t="s">
        <v>971</v>
      </c>
      <c r="K1152" t="s">
        <v>972</v>
      </c>
      <c r="L1152">
        <v>49280.12</v>
      </c>
      <c r="M1152">
        <f t="shared" si="17"/>
        <v>771939.44</v>
      </c>
    </row>
    <row r="1153" spans="1:13" x14ac:dyDescent="0.25">
      <c r="A1153" t="s">
        <v>230</v>
      </c>
      <c r="B1153" t="s">
        <v>1062</v>
      </c>
      <c r="C1153" t="s">
        <v>975</v>
      </c>
      <c r="D1153" t="s">
        <v>1054</v>
      </c>
      <c r="E1153" t="s">
        <v>977</v>
      </c>
      <c r="F1153" t="s">
        <v>967</v>
      </c>
      <c r="G1153" t="s">
        <v>968</v>
      </c>
      <c r="H1153" t="s">
        <v>969</v>
      </c>
      <c r="I1153" t="s">
        <v>970</v>
      </c>
      <c r="J1153" t="s">
        <v>971</v>
      </c>
      <c r="K1153" t="s">
        <v>972</v>
      </c>
      <c r="L1153">
        <v>49280.12</v>
      </c>
      <c r="M1153">
        <f t="shared" si="17"/>
        <v>771939.44</v>
      </c>
    </row>
    <row r="1154" spans="1:13" x14ac:dyDescent="0.25">
      <c r="A1154" t="s">
        <v>230</v>
      </c>
      <c r="B1154" t="s">
        <v>1065</v>
      </c>
      <c r="C1154" t="s">
        <v>975</v>
      </c>
      <c r="D1154" t="s">
        <v>1054</v>
      </c>
      <c r="E1154" t="s">
        <v>977</v>
      </c>
      <c r="F1154" t="s">
        <v>967</v>
      </c>
      <c r="G1154" t="s">
        <v>968</v>
      </c>
      <c r="H1154" t="s">
        <v>969</v>
      </c>
      <c r="I1154" t="s">
        <v>970</v>
      </c>
      <c r="J1154" t="s">
        <v>971</v>
      </c>
      <c r="K1154" t="s">
        <v>972</v>
      </c>
      <c r="L1154">
        <v>49280.12</v>
      </c>
      <c r="M1154">
        <f t="shared" si="17"/>
        <v>771939.44</v>
      </c>
    </row>
    <row r="1155" spans="1:13" x14ac:dyDescent="0.25">
      <c r="A1155" t="s">
        <v>230</v>
      </c>
      <c r="B1155" t="s">
        <v>1066</v>
      </c>
      <c r="C1155" t="s">
        <v>975</v>
      </c>
      <c r="D1155" t="s">
        <v>1054</v>
      </c>
      <c r="E1155" t="s">
        <v>977</v>
      </c>
      <c r="F1155" t="s">
        <v>967</v>
      </c>
      <c r="G1155" t="s">
        <v>968</v>
      </c>
      <c r="H1155" t="s">
        <v>969</v>
      </c>
      <c r="I1155" t="s">
        <v>970</v>
      </c>
      <c r="J1155" t="s">
        <v>971</v>
      </c>
      <c r="K1155" t="s">
        <v>972</v>
      </c>
      <c r="L1155">
        <v>49280.12</v>
      </c>
      <c r="M1155">
        <f t="shared" ref="M1155:M1218" si="18">+SUMIF(A:A,A1155,L:L)</f>
        <v>771939.44</v>
      </c>
    </row>
    <row r="1156" spans="1:13" x14ac:dyDescent="0.25">
      <c r="A1156" t="s">
        <v>230</v>
      </c>
      <c r="B1156" t="s">
        <v>1067</v>
      </c>
      <c r="C1156" t="s">
        <v>975</v>
      </c>
      <c r="D1156" t="s">
        <v>1054</v>
      </c>
      <c r="E1156" t="s">
        <v>977</v>
      </c>
      <c r="F1156" t="s">
        <v>967</v>
      </c>
      <c r="G1156" t="s">
        <v>968</v>
      </c>
      <c r="H1156" t="s">
        <v>969</v>
      </c>
      <c r="I1156" t="s">
        <v>970</v>
      </c>
      <c r="J1156" t="s">
        <v>971</v>
      </c>
      <c r="K1156" t="s">
        <v>972</v>
      </c>
      <c r="L1156">
        <v>49280.12</v>
      </c>
      <c r="M1156">
        <f t="shared" si="18"/>
        <v>771939.44</v>
      </c>
    </row>
    <row r="1157" spans="1:13" x14ac:dyDescent="0.25">
      <c r="A1157" t="s">
        <v>897</v>
      </c>
      <c r="B1157" t="s">
        <v>1518</v>
      </c>
      <c r="C1157" t="s">
        <v>975</v>
      </c>
      <c r="D1157" t="s">
        <v>1382</v>
      </c>
      <c r="E1157" t="s">
        <v>980</v>
      </c>
      <c r="F1157" t="s">
        <v>967</v>
      </c>
      <c r="G1157" t="s">
        <v>968</v>
      </c>
      <c r="H1157" t="s">
        <v>969</v>
      </c>
      <c r="I1157" t="s">
        <v>970</v>
      </c>
      <c r="J1157" t="s">
        <v>971</v>
      </c>
      <c r="K1157" t="s">
        <v>972</v>
      </c>
      <c r="L1157">
        <v>30949.07</v>
      </c>
      <c r="M1157">
        <f t="shared" si="18"/>
        <v>771939.44</v>
      </c>
    </row>
    <row r="1158" spans="1:13" x14ac:dyDescent="0.25">
      <c r="A1158" t="s">
        <v>450</v>
      </c>
      <c r="B1158" t="s">
        <v>2273</v>
      </c>
      <c r="C1158" t="s">
        <v>988</v>
      </c>
      <c r="D1158" t="s">
        <v>1085</v>
      </c>
      <c r="E1158" t="s">
        <v>977</v>
      </c>
      <c r="F1158" t="s">
        <v>967</v>
      </c>
      <c r="G1158" t="s">
        <v>968</v>
      </c>
      <c r="H1158" t="s">
        <v>969</v>
      </c>
      <c r="I1158" t="s">
        <v>970</v>
      </c>
      <c r="J1158" t="s">
        <v>971</v>
      </c>
      <c r="K1158" t="s">
        <v>972</v>
      </c>
      <c r="L1158">
        <v>1788.57</v>
      </c>
      <c r="M1158">
        <f t="shared" si="18"/>
        <v>771939.44</v>
      </c>
    </row>
    <row r="1159" spans="1:13" x14ac:dyDescent="0.25">
      <c r="A1159" t="s">
        <v>790</v>
      </c>
      <c r="B1159" t="s">
        <v>1381</v>
      </c>
      <c r="C1159" t="s">
        <v>975</v>
      </c>
      <c r="D1159" t="s">
        <v>1382</v>
      </c>
      <c r="E1159" t="s">
        <v>980</v>
      </c>
      <c r="F1159" t="s">
        <v>967</v>
      </c>
      <c r="G1159" t="s">
        <v>968</v>
      </c>
      <c r="H1159" t="s">
        <v>969</v>
      </c>
      <c r="I1159" t="s">
        <v>970</v>
      </c>
      <c r="J1159" t="s">
        <v>971</v>
      </c>
      <c r="K1159" t="s">
        <v>972</v>
      </c>
      <c r="L1159">
        <v>37922.44</v>
      </c>
      <c r="M1159">
        <f t="shared" si="18"/>
        <v>175022.36000000002</v>
      </c>
    </row>
    <row r="1160" spans="1:13" x14ac:dyDescent="0.25">
      <c r="A1160" t="s">
        <v>838</v>
      </c>
      <c r="B1160" t="s">
        <v>1411</v>
      </c>
      <c r="C1160" t="s">
        <v>975</v>
      </c>
      <c r="D1160" t="s">
        <v>1085</v>
      </c>
      <c r="E1160" t="s">
        <v>980</v>
      </c>
      <c r="F1160" t="s">
        <v>967</v>
      </c>
      <c r="G1160" t="s">
        <v>968</v>
      </c>
      <c r="H1160" t="s">
        <v>969</v>
      </c>
      <c r="I1160" t="s">
        <v>970</v>
      </c>
      <c r="J1160" t="s">
        <v>971</v>
      </c>
      <c r="K1160" t="s">
        <v>972</v>
      </c>
      <c r="L1160">
        <v>36336.69</v>
      </c>
      <c r="M1160">
        <f t="shared" si="18"/>
        <v>175022.36000000002</v>
      </c>
    </row>
    <row r="1161" spans="1:13" x14ac:dyDescent="0.25">
      <c r="A1161" t="s">
        <v>146</v>
      </c>
      <c r="B1161" t="s">
        <v>1455</v>
      </c>
      <c r="C1161" t="s">
        <v>975</v>
      </c>
      <c r="D1161" t="s">
        <v>1085</v>
      </c>
      <c r="E1161" t="s">
        <v>980</v>
      </c>
      <c r="F1161" t="s">
        <v>967</v>
      </c>
      <c r="G1161" t="s">
        <v>968</v>
      </c>
      <c r="H1161" t="s">
        <v>969</v>
      </c>
      <c r="I1161" t="s">
        <v>970</v>
      </c>
      <c r="J1161" t="s">
        <v>971</v>
      </c>
      <c r="K1161" t="s">
        <v>972</v>
      </c>
      <c r="L1161">
        <v>33759.25</v>
      </c>
      <c r="M1161">
        <f t="shared" si="18"/>
        <v>175022.36000000002</v>
      </c>
    </row>
    <row r="1162" spans="1:13" x14ac:dyDescent="0.25">
      <c r="A1162" t="s">
        <v>714</v>
      </c>
      <c r="B1162" t="s">
        <v>1683</v>
      </c>
      <c r="C1162" t="s">
        <v>975</v>
      </c>
      <c r="D1162" t="s">
        <v>1054</v>
      </c>
      <c r="E1162" t="s">
        <v>977</v>
      </c>
      <c r="F1162" t="s">
        <v>967</v>
      </c>
      <c r="G1162" t="s">
        <v>968</v>
      </c>
      <c r="H1162" t="s">
        <v>969</v>
      </c>
      <c r="I1162" t="s">
        <v>970</v>
      </c>
      <c r="J1162" t="s">
        <v>971</v>
      </c>
      <c r="K1162" t="s">
        <v>972</v>
      </c>
      <c r="L1162">
        <v>22023.09</v>
      </c>
      <c r="M1162">
        <f t="shared" si="18"/>
        <v>175022.36000000002</v>
      </c>
    </row>
    <row r="1163" spans="1:13" x14ac:dyDescent="0.25">
      <c r="A1163" t="s">
        <v>436</v>
      </c>
      <c r="B1163" t="s">
        <v>2225</v>
      </c>
      <c r="C1163" t="s">
        <v>2171</v>
      </c>
      <c r="D1163" t="s">
        <v>1382</v>
      </c>
      <c r="E1163" t="s">
        <v>977</v>
      </c>
      <c r="F1163" t="s">
        <v>967</v>
      </c>
      <c r="G1163" t="s">
        <v>968</v>
      </c>
      <c r="H1163" t="s">
        <v>969</v>
      </c>
      <c r="I1163" t="s">
        <v>970</v>
      </c>
      <c r="J1163" t="s">
        <v>971</v>
      </c>
      <c r="K1163" t="s">
        <v>972</v>
      </c>
      <c r="L1163">
        <v>2242.39</v>
      </c>
      <c r="M1163">
        <f t="shared" si="18"/>
        <v>175022.36000000002</v>
      </c>
    </row>
    <row r="1164" spans="1:13" x14ac:dyDescent="0.25">
      <c r="A1164" t="s">
        <v>852</v>
      </c>
      <c r="B1164" t="s">
        <v>1263</v>
      </c>
      <c r="C1164" t="s">
        <v>975</v>
      </c>
      <c r="D1164" t="s">
        <v>1085</v>
      </c>
      <c r="E1164" t="s">
        <v>977</v>
      </c>
      <c r="F1164" t="s">
        <v>967</v>
      </c>
      <c r="G1164" t="s">
        <v>968</v>
      </c>
      <c r="H1164" t="s">
        <v>969</v>
      </c>
      <c r="I1164" t="s">
        <v>970</v>
      </c>
      <c r="J1164" t="s">
        <v>971</v>
      </c>
      <c r="K1164" t="s">
        <v>972</v>
      </c>
      <c r="L1164">
        <v>42738.5</v>
      </c>
      <c r="M1164">
        <f t="shared" si="18"/>
        <v>175022.36000000002</v>
      </c>
    </row>
    <row r="1165" spans="1:13" x14ac:dyDescent="0.25">
      <c r="A1165" t="s">
        <v>621</v>
      </c>
      <c r="B1165" t="s">
        <v>2295</v>
      </c>
      <c r="C1165" t="s">
        <v>988</v>
      </c>
      <c r="D1165" t="s">
        <v>1208</v>
      </c>
      <c r="E1165" t="s">
        <v>977</v>
      </c>
      <c r="F1165" t="s">
        <v>967</v>
      </c>
      <c r="G1165" t="s">
        <v>968</v>
      </c>
      <c r="H1165" t="s">
        <v>969</v>
      </c>
      <c r="I1165" t="s">
        <v>970</v>
      </c>
      <c r="J1165" t="s">
        <v>971</v>
      </c>
      <c r="K1165" t="s">
        <v>972</v>
      </c>
      <c r="L1165">
        <v>1642.02</v>
      </c>
      <c r="M1165">
        <f t="shared" si="18"/>
        <v>98610.299999999988</v>
      </c>
    </row>
    <row r="1166" spans="1:13" x14ac:dyDescent="0.25">
      <c r="A1166" t="s">
        <v>889</v>
      </c>
      <c r="B1166" t="s">
        <v>1084</v>
      </c>
      <c r="C1166" t="s">
        <v>964</v>
      </c>
      <c r="D1166" t="s">
        <v>1085</v>
      </c>
      <c r="E1166" t="s">
        <v>966</v>
      </c>
      <c r="F1166" t="s">
        <v>967</v>
      </c>
      <c r="G1166" t="s">
        <v>968</v>
      </c>
      <c r="H1166" t="s">
        <v>969</v>
      </c>
      <c r="I1166" t="s">
        <v>970</v>
      </c>
      <c r="J1166" t="s">
        <v>971</v>
      </c>
      <c r="K1166" t="s">
        <v>972</v>
      </c>
      <c r="L1166">
        <v>48484.14</v>
      </c>
      <c r="M1166">
        <f t="shared" si="18"/>
        <v>98610.299999999988</v>
      </c>
    </row>
    <row r="1167" spans="1:13" x14ac:dyDescent="0.25">
      <c r="A1167" t="s">
        <v>889</v>
      </c>
      <c r="B1167" t="s">
        <v>1086</v>
      </c>
      <c r="C1167" t="s">
        <v>964</v>
      </c>
      <c r="D1167" t="s">
        <v>1085</v>
      </c>
      <c r="E1167" t="s">
        <v>966</v>
      </c>
      <c r="F1167" t="s">
        <v>967</v>
      </c>
      <c r="G1167" t="s">
        <v>968</v>
      </c>
      <c r="H1167" t="s">
        <v>969</v>
      </c>
      <c r="I1167" t="s">
        <v>970</v>
      </c>
      <c r="J1167" t="s">
        <v>971</v>
      </c>
      <c r="K1167" t="s">
        <v>972</v>
      </c>
      <c r="L1167">
        <v>48484.14</v>
      </c>
      <c r="M1167">
        <f t="shared" si="18"/>
        <v>98610.299999999988</v>
      </c>
    </row>
    <row r="1168" spans="1:13" x14ac:dyDescent="0.25">
      <c r="A1168" t="s">
        <v>841</v>
      </c>
      <c r="B1168" t="s">
        <v>1139</v>
      </c>
      <c r="C1168" t="s">
        <v>964</v>
      </c>
      <c r="D1168" t="s">
        <v>1085</v>
      </c>
      <c r="E1168" t="s">
        <v>977</v>
      </c>
      <c r="F1168" t="s">
        <v>967</v>
      </c>
      <c r="G1168" t="s">
        <v>968</v>
      </c>
      <c r="H1168" t="s">
        <v>969</v>
      </c>
      <c r="I1168" t="s">
        <v>970</v>
      </c>
      <c r="J1168" t="s">
        <v>971</v>
      </c>
      <c r="K1168" t="s">
        <v>972</v>
      </c>
      <c r="L1168">
        <v>46104.27</v>
      </c>
      <c r="M1168">
        <f t="shared" si="18"/>
        <v>388737.54</v>
      </c>
    </row>
    <row r="1169" spans="1:13" x14ac:dyDescent="0.25">
      <c r="A1169" t="s">
        <v>841</v>
      </c>
      <c r="B1169" t="s">
        <v>1140</v>
      </c>
      <c r="C1169" t="s">
        <v>964</v>
      </c>
      <c r="D1169" t="s">
        <v>1085</v>
      </c>
      <c r="E1169" t="s">
        <v>977</v>
      </c>
      <c r="F1169" t="s">
        <v>967</v>
      </c>
      <c r="G1169" t="s">
        <v>968</v>
      </c>
      <c r="H1169" t="s">
        <v>969</v>
      </c>
      <c r="I1169" t="s">
        <v>970</v>
      </c>
      <c r="J1169" t="s">
        <v>971</v>
      </c>
      <c r="K1169" t="s">
        <v>972</v>
      </c>
      <c r="L1169">
        <v>46104.27</v>
      </c>
      <c r="M1169">
        <f t="shared" si="18"/>
        <v>388737.54</v>
      </c>
    </row>
    <row r="1170" spans="1:13" x14ac:dyDescent="0.25">
      <c r="A1170" t="s">
        <v>841</v>
      </c>
      <c r="B1170" t="s">
        <v>1141</v>
      </c>
      <c r="C1170" t="s">
        <v>964</v>
      </c>
      <c r="D1170" t="s">
        <v>1085</v>
      </c>
      <c r="E1170" t="s">
        <v>977</v>
      </c>
      <c r="F1170" t="s">
        <v>967</v>
      </c>
      <c r="G1170" t="s">
        <v>968</v>
      </c>
      <c r="H1170" t="s">
        <v>969</v>
      </c>
      <c r="I1170" t="s">
        <v>970</v>
      </c>
      <c r="J1170" t="s">
        <v>971</v>
      </c>
      <c r="K1170" t="s">
        <v>972</v>
      </c>
      <c r="L1170">
        <v>46104.27</v>
      </c>
      <c r="M1170">
        <f t="shared" si="18"/>
        <v>388737.54</v>
      </c>
    </row>
    <row r="1171" spans="1:13" x14ac:dyDescent="0.25">
      <c r="A1171" t="s">
        <v>841</v>
      </c>
      <c r="B1171" t="s">
        <v>1142</v>
      </c>
      <c r="C1171" t="s">
        <v>964</v>
      </c>
      <c r="D1171" t="s">
        <v>1085</v>
      </c>
      <c r="E1171" t="s">
        <v>977</v>
      </c>
      <c r="F1171" t="s">
        <v>967</v>
      </c>
      <c r="G1171" t="s">
        <v>968</v>
      </c>
      <c r="H1171" t="s">
        <v>969</v>
      </c>
      <c r="I1171" t="s">
        <v>970</v>
      </c>
      <c r="J1171" t="s">
        <v>971</v>
      </c>
      <c r="K1171" t="s">
        <v>972</v>
      </c>
      <c r="L1171">
        <v>46104.27</v>
      </c>
      <c r="M1171">
        <f t="shared" si="18"/>
        <v>388737.54</v>
      </c>
    </row>
    <row r="1172" spans="1:13" x14ac:dyDescent="0.25">
      <c r="A1172" t="s">
        <v>502</v>
      </c>
      <c r="B1172" t="s">
        <v>1328</v>
      </c>
      <c r="C1172" t="s">
        <v>975</v>
      </c>
      <c r="D1172" t="s">
        <v>1085</v>
      </c>
      <c r="E1172" t="s">
        <v>977</v>
      </c>
      <c r="F1172" t="s">
        <v>967</v>
      </c>
      <c r="G1172" t="s">
        <v>968</v>
      </c>
      <c r="H1172" t="s">
        <v>969</v>
      </c>
      <c r="I1172" t="s">
        <v>970</v>
      </c>
      <c r="J1172" t="s">
        <v>971</v>
      </c>
      <c r="K1172" t="s">
        <v>972</v>
      </c>
      <c r="L1172">
        <v>40114.230000000003</v>
      </c>
      <c r="M1172">
        <f t="shared" si="18"/>
        <v>388737.54</v>
      </c>
    </row>
    <row r="1173" spans="1:13" x14ac:dyDescent="0.25">
      <c r="A1173" t="s">
        <v>780</v>
      </c>
      <c r="B1173" t="s">
        <v>2308</v>
      </c>
      <c r="C1173" t="s">
        <v>982</v>
      </c>
      <c r="D1173" t="s">
        <v>1117</v>
      </c>
      <c r="E1173" t="s">
        <v>977</v>
      </c>
      <c r="F1173" t="s">
        <v>967</v>
      </c>
      <c r="G1173" t="s">
        <v>968</v>
      </c>
      <c r="H1173" t="s">
        <v>969</v>
      </c>
      <c r="I1173" t="s">
        <v>970</v>
      </c>
      <c r="J1173" t="s">
        <v>971</v>
      </c>
      <c r="K1173" t="s">
        <v>972</v>
      </c>
      <c r="L1173">
        <v>1506.98</v>
      </c>
      <c r="M1173">
        <f t="shared" si="18"/>
        <v>388737.54</v>
      </c>
    </row>
    <row r="1174" spans="1:13" x14ac:dyDescent="0.25">
      <c r="A1174" t="s">
        <v>399</v>
      </c>
      <c r="B1174" t="s">
        <v>1265</v>
      </c>
      <c r="C1174" t="s">
        <v>964</v>
      </c>
      <c r="D1174" t="s">
        <v>1085</v>
      </c>
      <c r="E1174" t="s">
        <v>977</v>
      </c>
      <c r="F1174" t="s">
        <v>967</v>
      </c>
      <c r="G1174" t="s">
        <v>968</v>
      </c>
      <c r="H1174" t="s">
        <v>969</v>
      </c>
      <c r="I1174" t="s">
        <v>970</v>
      </c>
      <c r="J1174" t="s">
        <v>971</v>
      </c>
      <c r="K1174" t="s">
        <v>972</v>
      </c>
      <c r="L1174">
        <v>42297.64</v>
      </c>
      <c r="M1174">
        <f t="shared" si="18"/>
        <v>388737.54</v>
      </c>
    </row>
    <row r="1175" spans="1:13" x14ac:dyDescent="0.25">
      <c r="A1175" t="s">
        <v>588</v>
      </c>
      <c r="B1175" t="s">
        <v>1282</v>
      </c>
      <c r="C1175" t="s">
        <v>975</v>
      </c>
      <c r="D1175" t="s">
        <v>1085</v>
      </c>
      <c r="E1175" t="s">
        <v>977</v>
      </c>
      <c r="F1175" t="s">
        <v>967</v>
      </c>
      <c r="G1175" t="s">
        <v>968</v>
      </c>
      <c r="H1175" t="s">
        <v>969</v>
      </c>
      <c r="I1175" t="s">
        <v>970</v>
      </c>
      <c r="J1175" t="s">
        <v>971</v>
      </c>
      <c r="K1175" t="s">
        <v>972</v>
      </c>
      <c r="L1175">
        <v>41315.01</v>
      </c>
      <c r="M1175">
        <f t="shared" si="18"/>
        <v>388737.54</v>
      </c>
    </row>
    <row r="1176" spans="1:13" x14ac:dyDescent="0.25">
      <c r="A1176" t="s">
        <v>353</v>
      </c>
      <c r="B1176" t="s">
        <v>1306</v>
      </c>
      <c r="C1176" t="s">
        <v>964</v>
      </c>
      <c r="D1176" t="s">
        <v>1054</v>
      </c>
      <c r="E1176" t="s">
        <v>977</v>
      </c>
      <c r="F1176" t="s">
        <v>967</v>
      </c>
      <c r="G1176" t="s">
        <v>968</v>
      </c>
      <c r="H1176" t="s">
        <v>969</v>
      </c>
      <c r="I1176" t="s">
        <v>970</v>
      </c>
      <c r="J1176" t="s">
        <v>971</v>
      </c>
      <c r="K1176" t="s">
        <v>972</v>
      </c>
      <c r="L1176">
        <v>40619.57</v>
      </c>
      <c r="M1176">
        <f t="shared" si="18"/>
        <v>388737.54</v>
      </c>
    </row>
    <row r="1177" spans="1:13" x14ac:dyDescent="0.25">
      <c r="A1177" t="s">
        <v>467</v>
      </c>
      <c r="B1177" t="s">
        <v>1435</v>
      </c>
      <c r="C1177" t="s">
        <v>964</v>
      </c>
      <c r="D1177" t="s">
        <v>1054</v>
      </c>
      <c r="E1177" t="s">
        <v>977</v>
      </c>
      <c r="F1177" t="s">
        <v>967</v>
      </c>
      <c r="G1177" t="s">
        <v>968</v>
      </c>
      <c r="H1177" t="s">
        <v>969</v>
      </c>
      <c r="I1177" t="s">
        <v>970</v>
      </c>
      <c r="J1177" t="s">
        <v>971</v>
      </c>
      <c r="K1177" t="s">
        <v>972</v>
      </c>
      <c r="L1177">
        <v>35858.92</v>
      </c>
      <c r="M1177">
        <f t="shared" si="18"/>
        <v>388737.54</v>
      </c>
    </row>
    <row r="1178" spans="1:13" x14ac:dyDescent="0.25">
      <c r="A1178" t="s">
        <v>657</v>
      </c>
      <c r="B1178" t="s">
        <v>2296</v>
      </c>
      <c r="C1178" t="s">
        <v>988</v>
      </c>
      <c r="D1178" t="s">
        <v>1085</v>
      </c>
      <c r="E1178" t="s">
        <v>977</v>
      </c>
      <c r="F1178" t="s">
        <v>967</v>
      </c>
      <c r="G1178" t="s">
        <v>968</v>
      </c>
      <c r="H1178" t="s">
        <v>969</v>
      </c>
      <c r="I1178" t="s">
        <v>970</v>
      </c>
      <c r="J1178" t="s">
        <v>971</v>
      </c>
      <c r="K1178" t="s">
        <v>972</v>
      </c>
      <c r="L1178">
        <v>1612.4</v>
      </c>
      <c r="M1178">
        <f t="shared" si="18"/>
        <v>388737.54</v>
      </c>
    </row>
    <row r="1179" spans="1:13" x14ac:dyDescent="0.25">
      <c r="A1179" t="s">
        <v>671</v>
      </c>
      <c r="B1179" t="s">
        <v>2437</v>
      </c>
      <c r="C1179" t="s">
        <v>982</v>
      </c>
      <c r="D1179" t="s">
        <v>1117</v>
      </c>
      <c r="E1179" t="s">
        <v>977</v>
      </c>
      <c r="F1179" t="s">
        <v>967</v>
      </c>
      <c r="G1179" t="s">
        <v>968</v>
      </c>
      <c r="H1179" t="s">
        <v>2390</v>
      </c>
      <c r="I1179" t="s">
        <v>970</v>
      </c>
      <c r="J1179" t="s">
        <v>971</v>
      </c>
      <c r="K1179" t="s">
        <v>972</v>
      </c>
      <c r="L1179">
        <v>558.41999999999996</v>
      </c>
      <c r="M1179">
        <f t="shared" si="18"/>
        <v>388737.54</v>
      </c>
    </row>
    <row r="1180" spans="1:13" x14ac:dyDescent="0.25">
      <c r="A1180" t="s">
        <v>671</v>
      </c>
      <c r="B1180" t="s">
        <v>2437</v>
      </c>
      <c r="C1180" t="s">
        <v>982</v>
      </c>
      <c r="D1180" t="s">
        <v>1117</v>
      </c>
      <c r="E1180" t="s">
        <v>977</v>
      </c>
      <c r="F1180" t="s">
        <v>967</v>
      </c>
      <c r="G1180" t="s">
        <v>968</v>
      </c>
      <c r="H1180" t="s">
        <v>969</v>
      </c>
      <c r="I1180" t="s">
        <v>970</v>
      </c>
      <c r="J1180" t="s">
        <v>971</v>
      </c>
      <c r="K1180" t="s">
        <v>972</v>
      </c>
      <c r="L1180">
        <v>437.29</v>
      </c>
      <c r="M1180">
        <f t="shared" si="18"/>
        <v>388737.54</v>
      </c>
    </row>
    <row r="1181" spans="1:13" x14ac:dyDescent="0.25">
      <c r="A1181" t="s">
        <v>261</v>
      </c>
      <c r="B1181" t="s">
        <v>1120</v>
      </c>
      <c r="C1181" t="s">
        <v>975</v>
      </c>
      <c r="D1181" t="s">
        <v>1070</v>
      </c>
      <c r="E1181" t="s">
        <v>980</v>
      </c>
      <c r="F1181" t="s">
        <v>967</v>
      </c>
      <c r="G1181" t="s">
        <v>968</v>
      </c>
      <c r="H1181" t="s">
        <v>969</v>
      </c>
      <c r="I1181" t="s">
        <v>970</v>
      </c>
      <c r="J1181" t="s">
        <v>971</v>
      </c>
      <c r="K1181" t="s">
        <v>972</v>
      </c>
      <c r="L1181">
        <v>46444.61</v>
      </c>
      <c r="M1181">
        <f t="shared" si="18"/>
        <v>516912.48</v>
      </c>
    </row>
    <row r="1182" spans="1:13" x14ac:dyDescent="0.25">
      <c r="A1182" t="s">
        <v>801</v>
      </c>
      <c r="B1182" t="s">
        <v>1404</v>
      </c>
      <c r="C1182" t="s">
        <v>975</v>
      </c>
      <c r="D1182" t="s">
        <v>1117</v>
      </c>
      <c r="E1182" t="s">
        <v>977</v>
      </c>
      <c r="F1182" t="s">
        <v>967</v>
      </c>
      <c r="G1182" t="s">
        <v>968</v>
      </c>
      <c r="H1182" t="s">
        <v>969</v>
      </c>
      <c r="I1182" t="s">
        <v>970</v>
      </c>
      <c r="J1182" t="s">
        <v>971</v>
      </c>
      <c r="K1182" t="s">
        <v>972</v>
      </c>
      <c r="L1182">
        <v>36652.39</v>
      </c>
      <c r="M1182">
        <f t="shared" si="18"/>
        <v>516912.48</v>
      </c>
    </row>
    <row r="1183" spans="1:13" x14ac:dyDescent="0.25">
      <c r="A1183" t="s">
        <v>801</v>
      </c>
      <c r="B1183" t="s">
        <v>1405</v>
      </c>
      <c r="C1183" t="s">
        <v>975</v>
      </c>
      <c r="D1183" t="s">
        <v>1117</v>
      </c>
      <c r="E1183" t="s">
        <v>977</v>
      </c>
      <c r="F1183" t="s">
        <v>967</v>
      </c>
      <c r="G1183" t="s">
        <v>968</v>
      </c>
      <c r="H1183" t="s">
        <v>969</v>
      </c>
      <c r="I1183" t="s">
        <v>970</v>
      </c>
      <c r="J1183" t="s">
        <v>971</v>
      </c>
      <c r="K1183" t="s">
        <v>972</v>
      </c>
      <c r="L1183">
        <v>36652.39</v>
      </c>
      <c r="M1183">
        <f t="shared" si="18"/>
        <v>516912.48</v>
      </c>
    </row>
    <row r="1184" spans="1:13" x14ac:dyDescent="0.25">
      <c r="A1184" t="s">
        <v>801</v>
      </c>
      <c r="B1184" t="s">
        <v>1404</v>
      </c>
      <c r="C1184" t="s">
        <v>975</v>
      </c>
      <c r="D1184" t="s">
        <v>1117</v>
      </c>
      <c r="E1184" t="s">
        <v>977</v>
      </c>
      <c r="F1184" t="s">
        <v>967</v>
      </c>
      <c r="G1184" t="s">
        <v>968</v>
      </c>
      <c r="H1184" t="s">
        <v>969</v>
      </c>
      <c r="I1184" t="s">
        <v>970</v>
      </c>
      <c r="J1184" t="s">
        <v>971</v>
      </c>
      <c r="K1184" t="s">
        <v>972</v>
      </c>
      <c r="L1184">
        <v>36652.379999999997</v>
      </c>
      <c r="M1184">
        <f t="shared" si="18"/>
        <v>516912.48</v>
      </c>
    </row>
    <row r="1185" spans="1:13" x14ac:dyDescent="0.25">
      <c r="A1185" t="s">
        <v>801</v>
      </c>
      <c r="B1185" t="s">
        <v>1405</v>
      </c>
      <c r="C1185" t="s">
        <v>975</v>
      </c>
      <c r="D1185" t="s">
        <v>1117</v>
      </c>
      <c r="E1185" t="s">
        <v>977</v>
      </c>
      <c r="F1185" t="s">
        <v>967</v>
      </c>
      <c r="G1185" t="s">
        <v>968</v>
      </c>
      <c r="H1185" t="s">
        <v>969</v>
      </c>
      <c r="I1185" t="s">
        <v>970</v>
      </c>
      <c r="J1185" t="s">
        <v>971</v>
      </c>
      <c r="K1185" t="s">
        <v>972</v>
      </c>
      <c r="L1185">
        <v>36652.379999999997</v>
      </c>
      <c r="M1185">
        <f t="shared" si="18"/>
        <v>516912.48</v>
      </c>
    </row>
    <row r="1186" spans="1:13" x14ac:dyDescent="0.25">
      <c r="A1186" t="s">
        <v>19</v>
      </c>
      <c r="B1186" t="s">
        <v>1090</v>
      </c>
      <c r="C1186" t="s">
        <v>964</v>
      </c>
      <c r="D1186" t="s">
        <v>1054</v>
      </c>
      <c r="E1186" t="s">
        <v>966</v>
      </c>
      <c r="F1186" t="s">
        <v>967</v>
      </c>
      <c r="G1186" t="s">
        <v>968</v>
      </c>
      <c r="H1186" t="s">
        <v>969</v>
      </c>
      <c r="I1186" t="s">
        <v>970</v>
      </c>
      <c r="J1186" t="s">
        <v>971</v>
      </c>
      <c r="K1186" t="s">
        <v>972</v>
      </c>
      <c r="L1186">
        <v>48224.99</v>
      </c>
      <c r="M1186">
        <f t="shared" si="18"/>
        <v>516912.48</v>
      </c>
    </row>
    <row r="1187" spans="1:13" x14ac:dyDescent="0.25">
      <c r="A1187" t="s">
        <v>19</v>
      </c>
      <c r="B1187" t="s">
        <v>1093</v>
      </c>
      <c r="C1187" t="s">
        <v>964</v>
      </c>
      <c r="D1187" t="s">
        <v>1054</v>
      </c>
      <c r="E1187" t="s">
        <v>966</v>
      </c>
      <c r="F1187" t="s">
        <v>967</v>
      </c>
      <c r="G1187" t="s">
        <v>968</v>
      </c>
      <c r="H1187" t="s">
        <v>969</v>
      </c>
      <c r="I1187" t="s">
        <v>970</v>
      </c>
      <c r="J1187" t="s">
        <v>971</v>
      </c>
      <c r="K1187" t="s">
        <v>972</v>
      </c>
      <c r="L1187">
        <v>48224.99</v>
      </c>
      <c r="M1187">
        <f t="shared" si="18"/>
        <v>516912.48</v>
      </c>
    </row>
    <row r="1188" spans="1:13" x14ac:dyDescent="0.25">
      <c r="A1188" t="s">
        <v>19</v>
      </c>
      <c r="B1188" t="s">
        <v>1094</v>
      </c>
      <c r="C1188" t="s">
        <v>964</v>
      </c>
      <c r="D1188" t="s">
        <v>1054</v>
      </c>
      <c r="E1188" t="s">
        <v>966</v>
      </c>
      <c r="F1188" t="s">
        <v>967</v>
      </c>
      <c r="G1188" t="s">
        <v>968</v>
      </c>
      <c r="H1188" t="s">
        <v>969</v>
      </c>
      <c r="I1188" t="s">
        <v>970</v>
      </c>
      <c r="J1188" t="s">
        <v>971</v>
      </c>
      <c r="K1188" t="s">
        <v>972</v>
      </c>
      <c r="L1188">
        <v>48224.99</v>
      </c>
      <c r="M1188">
        <f t="shared" si="18"/>
        <v>516912.48</v>
      </c>
    </row>
    <row r="1189" spans="1:13" x14ac:dyDescent="0.25">
      <c r="A1189" t="s">
        <v>371</v>
      </c>
      <c r="B1189" t="s">
        <v>1258</v>
      </c>
      <c r="C1189" t="s">
        <v>975</v>
      </c>
      <c r="D1189" t="s">
        <v>1054</v>
      </c>
      <c r="E1189" t="s">
        <v>977</v>
      </c>
      <c r="F1189" t="s">
        <v>967</v>
      </c>
      <c r="G1189" t="s">
        <v>968</v>
      </c>
      <c r="H1189" t="s">
        <v>969</v>
      </c>
      <c r="I1189" t="s">
        <v>970</v>
      </c>
      <c r="J1189" t="s">
        <v>971</v>
      </c>
      <c r="K1189" t="s">
        <v>972</v>
      </c>
      <c r="L1189">
        <v>43057.7</v>
      </c>
      <c r="M1189">
        <f t="shared" si="18"/>
        <v>516912.48</v>
      </c>
    </row>
    <row r="1190" spans="1:13" x14ac:dyDescent="0.25">
      <c r="A1190" t="s">
        <v>371</v>
      </c>
      <c r="B1190" t="s">
        <v>1259</v>
      </c>
      <c r="C1190" t="s">
        <v>975</v>
      </c>
      <c r="D1190" t="s">
        <v>1054</v>
      </c>
      <c r="E1190" t="s">
        <v>977</v>
      </c>
      <c r="F1190" t="s">
        <v>967</v>
      </c>
      <c r="G1190" t="s">
        <v>968</v>
      </c>
      <c r="H1190" t="s">
        <v>969</v>
      </c>
      <c r="I1190" t="s">
        <v>970</v>
      </c>
      <c r="J1190" t="s">
        <v>971</v>
      </c>
      <c r="K1190" t="s">
        <v>972</v>
      </c>
      <c r="L1190">
        <v>43057.7</v>
      </c>
      <c r="M1190">
        <f t="shared" si="18"/>
        <v>516912.48</v>
      </c>
    </row>
    <row r="1191" spans="1:13" x14ac:dyDescent="0.25">
      <c r="A1191" t="s">
        <v>446</v>
      </c>
      <c r="B1191" t="s">
        <v>1116</v>
      </c>
      <c r="C1191" t="s">
        <v>975</v>
      </c>
      <c r="D1191" t="s">
        <v>1117</v>
      </c>
      <c r="E1191" t="s">
        <v>977</v>
      </c>
      <c r="F1191" t="s">
        <v>967</v>
      </c>
      <c r="G1191" t="s">
        <v>968</v>
      </c>
      <c r="H1191" t="s">
        <v>969</v>
      </c>
      <c r="I1191" t="s">
        <v>970</v>
      </c>
      <c r="J1191" t="s">
        <v>971</v>
      </c>
      <c r="K1191" t="s">
        <v>972</v>
      </c>
      <c r="L1191">
        <v>46868.81</v>
      </c>
      <c r="M1191">
        <f t="shared" si="18"/>
        <v>516912.48</v>
      </c>
    </row>
    <row r="1192" spans="1:13" x14ac:dyDescent="0.25">
      <c r="A1192" t="s">
        <v>641</v>
      </c>
      <c r="B1192" t="s">
        <v>1186</v>
      </c>
      <c r="C1192" t="s">
        <v>964</v>
      </c>
      <c r="D1192" t="s">
        <v>1042</v>
      </c>
      <c r="E1192" t="s">
        <v>977</v>
      </c>
      <c r="F1192" t="s">
        <v>967</v>
      </c>
      <c r="G1192" t="s">
        <v>968</v>
      </c>
      <c r="H1192" t="s">
        <v>969</v>
      </c>
      <c r="I1192" t="s">
        <v>970</v>
      </c>
      <c r="J1192" t="s">
        <v>971</v>
      </c>
      <c r="K1192" t="s">
        <v>972</v>
      </c>
      <c r="L1192">
        <v>44657.04</v>
      </c>
      <c r="M1192">
        <f t="shared" si="18"/>
        <v>516912.48</v>
      </c>
    </row>
    <row r="1193" spans="1:13" x14ac:dyDescent="0.25">
      <c r="A1193" t="s">
        <v>325</v>
      </c>
      <c r="B1193" t="s">
        <v>2306</v>
      </c>
      <c r="C1193" t="s">
        <v>988</v>
      </c>
      <c r="D1193" t="s">
        <v>1039</v>
      </c>
      <c r="E1193" t="s">
        <v>977</v>
      </c>
      <c r="F1193" t="s">
        <v>967</v>
      </c>
      <c r="G1193" t="s">
        <v>968</v>
      </c>
      <c r="H1193" t="s">
        <v>969</v>
      </c>
      <c r="I1193" t="s">
        <v>970</v>
      </c>
      <c r="J1193" t="s">
        <v>971</v>
      </c>
      <c r="K1193" t="s">
        <v>972</v>
      </c>
      <c r="L1193">
        <v>1542.11</v>
      </c>
      <c r="M1193">
        <f t="shared" si="18"/>
        <v>516912.48</v>
      </c>
    </row>
    <row r="1194" spans="1:13" x14ac:dyDescent="0.25">
      <c r="A1194" t="s">
        <v>365</v>
      </c>
      <c r="B1194" t="s">
        <v>1180</v>
      </c>
      <c r="C1194" t="s">
        <v>975</v>
      </c>
      <c r="D1194" t="s">
        <v>1032</v>
      </c>
      <c r="E1194" t="s">
        <v>977</v>
      </c>
      <c r="F1194" t="s">
        <v>967</v>
      </c>
      <c r="G1194" t="s">
        <v>968</v>
      </c>
      <c r="H1194" t="s">
        <v>969</v>
      </c>
      <c r="I1194" t="s">
        <v>970</v>
      </c>
      <c r="J1194" t="s">
        <v>971</v>
      </c>
      <c r="K1194" t="s">
        <v>972</v>
      </c>
      <c r="L1194">
        <v>45018.34</v>
      </c>
      <c r="M1194">
        <f t="shared" si="18"/>
        <v>731024.42</v>
      </c>
    </row>
    <row r="1195" spans="1:13" x14ac:dyDescent="0.25">
      <c r="A1195" t="s">
        <v>729</v>
      </c>
      <c r="B1195" t="s">
        <v>1181</v>
      </c>
      <c r="C1195" t="s">
        <v>975</v>
      </c>
      <c r="D1195" t="s">
        <v>1032</v>
      </c>
      <c r="E1195" t="s">
        <v>977</v>
      </c>
      <c r="F1195" t="s">
        <v>967</v>
      </c>
      <c r="G1195" t="s">
        <v>968</v>
      </c>
      <c r="H1195" t="s">
        <v>969</v>
      </c>
      <c r="I1195" t="s">
        <v>970</v>
      </c>
      <c r="J1195" t="s">
        <v>971</v>
      </c>
      <c r="K1195" t="s">
        <v>972</v>
      </c>
      <c r="L1195">
        <v>45018.34</v>
      </c>
      <c r="M1195">
        <f t="shared" si="18"/>
        <v>731024.42</v>
      </c>
    </row>
    <row r="1196" spans="1:13" x14ac:dyDescent="0.25">
      <c r="A1196" t="s">
        <v>764</v>
      </c>
      <c r="B1196" t="s">
        <v>1038</v>
      </c>
      <c r="C1196" t="s">
        <v>964</v>
      </c>
      <c r="D1196" t="s">
        <v>1039</v>
      </c>
      <c r="E1196" t="s">
        <v>966</v>
      </c>
      <c r="F1196" t="s">
        <v>967</v>
      </c>
      <c r="G1196" t="s">
        <v>968</v>
      </c>
      <c r="H1196" t="s">
        <v>969</v>
      </c>
      <c r="I1196" t="s">
        <v>970</v>
      </c>
      <c r="J1196" t="s">
        <v>971</v>
      </c>
      <c r="K1196" t="s">
        <v>972</v>
      </c>
      <c r="L1196">
        <v>50823.4</v>
      </c>
      <c r="M1196">
        <f t="shared" si="18"/>
        <v>731024.42</v>
      </c>
    </row>
    <row r="1197" spans="1:13" x14ac:dyDescent="0.25">
      <c r="A1197" t="s">
        <v>764</v>
      </c>
      <c r="B1197" t="s">
        <v>1040</v>
      </c>
      <c r="C1197" t="s">
        <v>964</v>
      </c>
      <c r="D1197" t="s">
        <v>1039</v>
      </c>
      <c r="E1197" t="s">
        <v>966</v>
      </c>
      <c r="F1197" t="s">
        <v>967</v>
      </c>
      <c r="G1197" t="s">
        <v>968</v>
      </c>
      <c r="H1197" t="s">
        <v>969</v>
      </c>
      <c r="I1197" t="s">
        <v>970</v>
      </c>
      <c r="J1197" t="s">
        <v>971</v>
      </c>
      <c r="K1197" t="s">
        <v>972</v>
      </c>
      <c r="L1197">
        <v>50823.4</v>
      </c>
      <c r="M1197">
        <f t="shared" si="18"/>
        <v>731024.42</v>
      </c>
    </row>
    <row r="1198" spans="1:13" x14ac:dyDescent="0.25">
      <c r="A1198" t="s">
        <v>402</v>
      </c>
      <c r="B1198" t="s">
        <v>2290</v>
      </c>
      <c r="C1198" t="s">
        <v>988</v>
      </c>
      <c r="D1198" t="s">
        <v>1032</v>
      </c>
      <c r="E1198" t="s">
        <v>977</v>
      </c>
      <c r="F1198" t="s">
        <v>967</v>
      </c>
      <c r="G1198" t="s">
        <v>968</v>
      </c>
      <c r="H1198" t="s">
        <v>969</v>
      </c>
      <c r="I1198" t="s">
        <v>970</v>
      </c>
      <c r="J1198" t="s">
        <v>971</v>
      </c>
      <c r="K1198" t="s">
        <v>972</v>
      </c>
      <c r="L1198">
        <v>1692.27</v>
      </c>
      <c r="M1198">
        <f t="shared" si="18"/>
        <v>731024.42</v>
      </c>
    </row>
    <row r="1199" spans="1:13" x14ac:dyDescent="0.25">
      <c r="A1199" t="s">
        <v>268</v>
      </c>
      <c r="B1199" t="s">
        <v>2293</v>
      </c>
      <c r="C1199" t="s">
        <v>988</v>
      </c>
      <c r="D1199" t="s">
        <v>1054</v>
      </c>
      <c r="E1199" t="s">
        <v>977</v>
      </c>
      <c r="F1199" t="s">
        <v>967</v>
      </c>
      <c r="G1199" t="s">
        <v>968</v>
      </c>
      <c r="H1199" t="s">
        <v>969</v>
      </c>
      <c r="I1199" t="s">
        <v>970</v>
      </c>
      <c r="J1199" t="s">
        <v>971</v>
      </c>
      <c r="K1199" t="s">
        <v>972</v>
      </c>
      <c r="L1199">
        <v>1664.31</v>
      </c>
      <c r="M1199">
        <f t="shared" si="18"/>
        <v>731024.42</v>
      </c>
    </row>
    <row r="1200" spans="1:13" x14ac:dyDescent="0.25">
      <c r="A1200" t="s">
        <v>539</v>
      </c>
      <c r="B1200" t="s">
        <v>1260</v>
      </c>
      <c r="C1200" t="s">
        <v>975</v>
      </c>
      <c r="D1200" t="s">
        <v>1054</v>
      </c>
      <c r="E1200" t="s">
        <v>980</v>
      </c>
      <c r="F1200" t="s">
        <v>967</v>
      </c>
      <c r="G1200" t="s">
        <v>968</v>
      </c>
      <c r="H1200" t="s">
        <v>969</v>
      </c>
      <c r="I1200" t="s">
        <v>970</v>
      </c>
      <c r="J1200" t="s">
        <v>971</v>
      </c>
      <c r="K1200" t="s">
        <v>972</v>
      </c>
      <c r="L1200">
        <v>43008.22</v>
      </c>
      <c r="M1200">
        <f t="shared" si="18"/>
        <v>731024.42</v>
      </c>
    </row>
    <row r="1201" spans="1:13" x14ac:dyDescent="0.25">
      <c r="A1201" t="s">
        <v>579</v>
      </c>
      <c r="B1201" t="s">
        <v>1179</v>
      </c>
      <c r="C1201" t="s">
        <v>975</v>
      </c>
      <c r="D1201" t="s">
        <v>1028</v>
      </c>
      <c r="E1201" t="s">
        <v>977</v>
      </c>
      <c r="F1201" t="s">
        <v>967</v>
      </c>
      <c r="G1201" t="s">
        <v>968</v>
      </c>
      <c r="H1201" t="s">
        <v>969</v>
      </c>
      <c r="I1201" t="s">
        <v>970</v>
      </c>
      <c r="J1201" t="s">
        <v>971</v>
      </c>
      <c r="K1201" t="s">
        <v>972</v>
      </c>
      <c r="L1201">
        <v>45157.97</v>
      </c>
      <c r="M1201">
        <f t="shared" si="18"/>
        <v>731024.42</v>
      </c>
    </row>
    <row r="1202" spans="1:13" x14ac:dyDescent="0.25">
      <c r="A1202" t="s">
        <v>783</v>
      </c>
      <c r="B1202" t="s">
        <v>2223</v>
      </c>
      <c r="C1202" t="s">
        <v>982</v>
      </c>
      <c r="D1202" t="s">
        <v>1032</v>
      </c>
      <c r="E1202" t="s">
        <v>977</v>
      </c>
      <c r="F1202" t="s">
        <v>967</v>
      </c>
      <c r="G1202" t="s">
        <v>968</v>
      </c>
      <c r="H1202" t="s">
        <v>969</v>
      </c>
      <c r="I1202" t="s">
        <v>970</v>
      </c>
      <c r="J1202" t="s">
        <v>971</v>
      </c>
      <c r="K1202" t="s">
        <v>972</v>
      </c>
      <c r="L1202">
        <v>2253.9699999999998</v>
      </c>
      <c r="M1202">
        <f t="shared" si="18"/>
        <v>731024.42</v>
      </c>
    </row>
    <row r="1203" spans="1:13" x14ac:dyDescent="0.25">
      <c r="A1203" t="s">
        <v>668</v>
      </c>
      <c r="B1203" t="s">
        <v>1190</v>
      </c>
      <c r="C1203" t="s">
        <v>975</v>
      </c>
      <c r="D1203" t="s">
        <v>1054</v>
      </c>
      <c r="E1203" t="s">
        <v>966</v>
      </c>
      <c r="F1203" t="s">
        <v>967</v>
      </c>
      <c r="G1203" t="s">
        <v>968</v>
      </c>
      <c r="H1203" t="s">
        <v>969</v>
      </c>
      <c r="I1203" t="s">
        <v>970</v>
      </c>
      <c r="J1203" t="s">
        <v>971</v>
      </c>
      <c r="K1203" t="s">
        <v>972</v>
      </c>
      <c r="L1203">
        <v>44556.42</v>
      </c>
      <c r="M1203">
        <f t="shared" si="18"/>
        <v>731024.42</v>
      </c>
    </row>
    <row r="1204" spans="1:13" x14ac:dyDescent="0.25">
      <c r="A1204" t="s">
        <v>668</v>
      </c>
      <c r="B1204" t="s">
        <v>1191</v>
      </c>
      <c r="C1204" t="s">
        <v>975</v>
      </c>
      <c r="D1204" t="s">
        <v>1054</v>
      </c>
      <c r="E1204" t="s">
        <v>966</v>
      </c>
      <c r="F1204" t="s">
        <v>967</v>
      </c>
      <c r="G1204" t="s">
        <v>968</v>
      </c>
      <c r="H1204" t="s">
        <v>969</v>
      </c>
      <c r="I1204" t="s">
        <v>970</v>
      </c>
      <c r="J1204" t="s">
        <v>971</v>
      </c>
      <c r="K1204" t="s">
        <v>972</v>
      </c>
      <c r="L1204">
        <v>44556.42</v>
      </c>
      <c r="M1204">
        <f t="shared" si="18"/>
        <v>731024.42</v>
      </c>
    </row>
    <row r="1205" spans="1:13" x14ac:dyDescent="0.25">
      <c r="A1205" t="s">
        <v>668</v>
      </c>
      <c r="B1205" t="s">
        <v>1192</v>
      </c>
      <c r="C1205" t="s">
        <v>975</v>
      </c>
      <c r="D1205" t="s">
        <v>1054</v>
      </c>
      <c r="E1205" t="s">
        <v>966</v>
      </c>
      <c r="F1205" t="s">
        <v>967</v>
      </c>
      <c r="G1205" t="s">
        <v>968</v>
      </c>
      <c r="H1205" t="s">
        <v>969</v>
      </c>
      <c r="I1205" t="s">
        <v>970</v>
      </c>
      <c r="J1205" t="s">
        <v>971</v>
      </c>
      <c r="K1205" t="s">
        <v>972</v>
      </c>
      <c r="L1205">
        <v>44556.42</v>
      </c>
      <c r="M1205">
        <f t="shared" si="18"/>
        <v>731024.42</v>
      </c>
    </row>
    <row r="1206" spans="1:13" x14ac:dyDescent="0.25">
      <c r="A1206" t="s">
        <v>668</v>
      </c>
      <c r="B1206" t="s">
        <v>1193</v>
      </c>
      <c r="C1206" t="s">
        <v>975</v>
      </c>
      <c r="D1206" t="s">
        <v>1054</v>
      </c>
      <c r="E1206" t="s">
        <v>966</v>
      </c>
      <c r="F1206" t="s">
        <v>967</v>
      </c>
      <c r="G1206" t="s">
        <v>968</v>
      </c>
      <c r="H1206" t="s">
        <v>969</v>
      </c>
      <c r="I1206" t="s">
        <v>970</v>
      </c>
      <c r="J1206" t="s">
        <v>971</v>
      </c>
      <c r="K1206" t="s">
        <v>972</v>
      </c>
      <c r="L1206">
        <v>44556.42</v>
      </c>
      <c r="M1206">
        <f t="shared" si="18"/>
        <v>731024.42</v>
      </c>
    </row>
    <row r="1207" spans="1:13" x14ac:dyDescent="0.25">
      <c r="A1207" t="s">
        <v>668</v>
      </c>
      <c r="B1207" t="s">
        <v>1194</v>
      </c>
      <c r="C1207" t="s">
        <v>975</v>
      </c>
      <c r="D1207" t="s">
        <v>1054</v>
      </c>
      <c r="E1207" t="s">
        <v>966</v>
      </c>
      <c r="F1207" t="s">
        <v>967</v>
      </c>
      <c r="G1207" t="s">
        <v>968</v>
      </c>
      <c r="H1207" t="s">
        <v>969</v>
      </c>
      <c r="I1207" t="s">
        <v>970</v>
      </c>
      <c r="J1207" t="s">
        <v>971</v>
      </c>
      <c r="K1207" t="s">
        <v>972</v>
      </c>
      <c r="L1207">
        <v>44556.42</v>
      </c>
      <c r="M1207">
        <f t="shared" si="18"/>
        <v>731024.42</v>
      </c>
    </row>
    <row r="1208" spans="1:13" x14ac:dyDescent="0.25">
      <c r="A1208" t="s">
        <v>668</v>
      </c>
      <c r="B1208" t="s">
        <v>1195</v>
      </c>
      <c r="C1208" t="s">
        <v>975</v>
      </c>
      <c r="D1208" t="s">
        <v>1054</v>
      </c>
      <c r="E1208" t="s">
        <v>966</v>
      </c>
      <c r="F1208" t="s">
        <v>967</v>
      </c>
      <c r="G1208" t="s">
        <v>968</v>
      </c>
      <c r="H1208" t="s">
        <v>969</v>
      </c>
      <c r="I1208" t="s">
        <v>970</v>
      </c>
      <c r="J1208" t="s">
        <v>971</v>
      </c>
      <c r="K1208" t="s">
        <v>972</v>
      </c>
      <c r="L1208">
        <v>44556.42</v>
      </c>
      <c r="M1208">
        <f t="shared" si="18"/>
        <v>731024.42</v>
      </c>
    </row>
    <row r="1209" spans="1:13" x14ac:dyDescent="0.25">
      <c r="A1209" t="s">
        <v>668</v>
      </c>
      <c r="B1209" t="s">
        <v>1196</v>
      </c>
      <c r="C1209" t="s">
        <v>975</v>
      </c>
      <c r="D1209" t="s">
        <v>1054</v>
      </c>
      <c r="E1209" t="s">
        <v>966</v>
      </c>
      <c r="F1209" t="s">
        <v>967</v>
      </c>
      <c r="G1209" t="s">
        <v>968</v>
      </c>
      <c r="H1209" t="s">
        <v>969</v>
      </c>
      <c r="I1209" t="s">
        <v>970</v>
      </c>
      <c r="J1209" t="s">
        <v>971</v>
      </c>
      <c r="K1209" t="s">
        <v>972</v>
      </c>
      <c r="L1209">
        <v>44556.42</v>
      </c>
      <c r="M1209">
        <f t="shared" si="18"/>
        <v>731024.42</v>
      </c>
    </row>
    <row r="1210" spans="1:13" x14ac:dyDescent="0.25">
      <c r="A1210" t="s">
        <v>668</v>
      </c>
      <c r="B1210" t="s">
        <v>1197</v>
      </c>
      <c r="C1210" t="s">
        <v>975</v>
      </c>
      <c r="D1210" t="s">
        <v>1054</v>
      </c>
      <c r="E1210" t="s">
        <v>966</v>
      </c>
      <c r="F1210" t="s">
        <v>967</v>
      </c>
      <c r="G1210" t="s">
        <v>968</v>
      </c>
      <c r="H1210" t="s">
        <v>969</v>
      </c>
      <c r="I1210" t="s">
        <v>970</v>
      </c>
      <c r="J1210" t="s">
        <v>971</v>
      </c>
      <c r="K1210" t="s">
        <v>972</v>
      </c>
      <c r="L1210">
        <v>44556.42</v>
      </c>
      <c r="M1210">
        <f t="shared" si="18"/>
        <v>731024.42</v>
      </c>
    </row>
    <row r="1211" spans="1:13" x14ac:dyDescent="0.25">
      <c r="A1211" t="s">
        <v>668</v>
      </c>
      <c r="B1211" t="s">
        <v>1198</v>
      </c>
      <c r="C1211" t="s">
        <v>975</v>
      </c>
      <c r="D1211" t="s">
        <v>1054</v>
      </c>
      <c r="E1211" t="s">
        <v>966</v>
      </c>
      <c r="F1211" t="s">
        <v>967</v>
      </c>
      <c r="G1211" t="s">
        <v>968</v>
      </c>
      <c r="H1211" t="s">
        <v>969</v>
      </c>
      <c r="I1211" t="s">
        <v>970</v>
      </c>
      <c r="J1211" t="s">
        <v>971</v>
      </c>
      <c r="K1211" t="s">
        <v>972</v>
      </c>
      <c r="L1211">
        <v>44556.42</v>
      </c>
      <c r="M1211">
        <f t="shared" si="18"/>
        <v>731024.42</v>
      </c>
    </row>
    <row r="1212" spans="1:13" x14ac:dyDescent="0.25">
      <c r="A1212" t="s">
        <v>668</v>
      </c>
      <c r="B1212" t="s">
        <v>1199</v>
      </c>
      <c r="C1212" t="s">
        <v>975</v>
      </c>
      <c r="D1212" t="s">
        <v>1054</v>
      </c>
      <c r="E1212" t="s">
        <v>966</v>
      </c>
      <c r="F1212" t="s">
        <v>967</v>
      </c>
      <c r="G1212" t="s">
        <v>968</v>
      </c>
      <c r="H1212" t="s">
        <v>969</v>
      </c>
      <c r="I1212" t="s">
        <v>970</v>
      </c>
      <c r="J1212" t="s">
        <v>971</v>
      </c>
      <c r="K1212" t="s">
        <v>972</v>
      </c>
      <c r="L1212">
        <v>44556.42</v>
      </c>
      <c r="M1212">
        <f t="shared" si="18"/>
        <v>731024.42</v>
      </c>
    </row>
    <row r="1213" spans="1:13" x14ac:dyDescent="0.25">
      <c r="A1213" t="s">
        <v>896</v>
      </c>
      <c r="B1213" t="s">
        <v>1171</v>
      </c>
      <c r="C1213" t="s">
        <v>975</v>
      </c>
      <c r="D1213" t="s">
        <v>1032</v>
      </c>
      <c r="E1213" t="s">
        <v>980</v>
      </c>
      <c r="F1213" t="s">
        <v>967</v>
      </c>
      <c r="G1213" t="s">
        <v>968</v>
      </c>
      <c r="H1213" t="s">
        <v>969</v>
      </c>
      <c r="I1213" t="s">
        <v>970</v>
      </c>
      <c r="J1213" t="s">
        <v>971</v>
      </c>
      <c r="K1213" t="s">
        <v>972</v>
      </c>
      <c r="L1213">
        <v>45566.73</v>
      </c>
      <c r="M1213">
        <f t="shared" si="18"/>
        <v>418319.17000000004</v>
      </c>
    </row>
    <row r="1214" spans="1:13" x14ac:dyDescent="0.25">
      <c r="A1214" t="s">
        <v>878</v>
      </c>
      <c r="B1214" t="s">
        <v>1219</v>
      </c>
      <c r="C1214" t="s">
        <v>975</v>
      </c>
      <c r="D1214" t="s">
        <v>1070</v>
      </c>
      <c r="E1214" t="s">
        <v>977</v>
      </c>
      <c r="F1214" t="s">
        <v>967</v>
      </c>
      <c r="G1214" t="s">
        <v>968</v>
      </c>
      <c r="H1214" t="s">
        <v>969</v>
      </c>
      <c r="I1214" t="s">
        <v>970</v>
      </c>
      <c r="J1214" t="s">
        <v>971</v>
      </c>
      <c r="K1214" t="s">
        <v>972</v>
      </c>
      <c r="L1214">
        <v>43682.93</v>
      </c>
      <c r="M1214">
        <f t="shared" si="18"/>
        <v>418319.17000000004</v>
      </c>
    </row>
    <row r="1215" spans="1:13" x14ac:dyDescent="0.25">
      <c r="A1215" t="s">
        <v>739</v>
      </c>
      <c r="B1215" t="s">
        <v>1173</v>
      </c>
      <c r="C1215" t="s">
        <v>964</v>
      </c>
      <c r="D1215" t="s">
        <v>1032</v>
      </c>
      <c r="E1215" t="s">
        <v>980</v>
      </c>
      <c r="F1215" t="s">
        <v>967</v>
      </c>
      <c r="G1215" t="s">
        <v>968</v>
      </c>
      <c r="H1215" t="s">
        <v>969</v>
      </c>
      <c r="I1215" t="s">
        <v>970</v>
      </c>
      <c r="J1215" t="s">
        <v>971</v>
      </c>
      <c r="K1215" t="s">
        <v>972</v>
      </c>
      <c r="L1215">
        <v>45427.6</v>
      </c>
      <c r="M1215">
        <f t="shared" si="18"/>
        <v>418319.17000000004</v>
      </c>
    </row>
    <row r="1216" spans="1:13" x14ac:dyDescent="0.25">
      <c r="A1216" t="s">
        <v>406</v>
      </c>
      <c r="B1216" t="s">
        <v>1271</v>
      </c>
      <c r="C1216" t="s">
        <v>975</v>
      </c>
      <c r="D1216" t="s">
        <v>1070</v>
      </c>
      <c r="E1216" t="s">
        <v>977</v>
      </c>
      <c r="F1216" t="s">
        <v>967</v>
      </c>
      <c r="G1216" t="s">
        <v>968</v>
      </c>
      <c r="H1216" t="s">
        <v>969</v>
      </c>
      <c r="I1216" t="s">
        <v>970</v>
      </c>
      <c r="J1216" t="s">
        <v>971</v>
      </c>
      <c r="K1216" t="s">
        <v>972</v>
      </c>
      <c r="L1216">
        <v>41951.16</v>
      </c>
      <c r="M1216">
        <f t="shared" si="18"/>
        <v>418319.17000000004</v>
      </c>
    </row>
    <row r="1217" spans="1:13" x14ac:dyDescent="0.25">
      <c r="A1217" t="s">
        <v>642</v>
      </c>
      <c r="B1217" t="s">
        <v>1069</v>
      </c>
      <c r="C1217" t="s">
        <v>964</v>
      </c>
      <c r="D1217" t="s">
        <v>1070</v>
      </c>
      <c r="E1217" t="s">
        <v>977</v>
      </c>
      <c r="F1217" t="s">
        <v>967</v>
      </c>
      <c r="G1217" t="s">
        <v>968</v>
      </c>
      <c r="H1217" t="s">
        <v>969</v>
      </c>
      <c r="I1217" t="s">
        <v>970</v>
      </c>
      <c r="J1217" t="s">
        <v>971</v>
      </c>
      <c r="K1217" t="s">
        <v>972</v>
      </c>
      <c r="L1217">
        <v>49143.47</v>
      </c>
      <c r="M1217">
        <f t="shared" si="18"/>
        <v>418319.17000000004</v>
      </c>
    </row>
    <row r="1218" spans="1:13" x14ac:dyDescent="0.25">
      <c r="A1218" t="s">
        <v>642</v>
      </c>
      <c r="B1218" t="s">
        <v>1071</v>
      </c>
      <c r="C1218" t="s">
        <v>964</v>
      </c>
      <c r="D1218" t="s">
        <v>1070</v>
      </c>
      <c r="E1218" t="s">
        <v>977</v>
      </c>
      <c r="F1218" t="s">
        <v>967</v>
      </c>
      <c r="G1218" t="s">
        <v>968</v>
      </c>
      <c r="H1218" t="s">
        <v>969</v>
      </c>
      <c r="I1218" t="s">
        <v>970</v>
      </c>
      <c r="J1218" t="s">
        <v>971</v>
      </c>
      <c r="K1218" t="s">
        <v>972</v>
      </c>
      <c r="L1218">
        <v>49143.47</v>
      </c>
      <c r="M1218">
        <f t="shared" si="18"/>
        <v>418319.17000000004</v>
      </c>
    </row>
    <row r="1219" spans="1:13" x14ac:dyDescent="0.25">
      <c r="A1219" t="s">
        <v>832</v>
      </c>
      <c r="B1219" t="s">
        <v>1281</v>
      </c>
      <c r="C1219" t="s">
        <v>975</v>
      </c>
      <c r="D1219" t="s">
        <v>1070</v>
      </c>
      <c r="E1219" t="s">
        <v>977</v>
      </c>
      <c r="F1219" t="s">
        <v>967</v>
      </c>
      <c r="G1219" t="s">
        <v>968</v>
      </c>
      <c r="H1219" t="s">
        <v>969</v>
      </c>
      <c r="I1219" t="s">
        <v>970</v>
      </c>
      <c r="J1219" t="s">
        <v>971</v>
      </c>
      <c r="K1219" t="s">
        <v>972</v>
      </c>
      <c r="L1219">
        <v>41357.01</v>
      </c>
      <c r="M1219">
        <f t="shared" ref="M1219:M1282" si="19">+SUMIF(A:A,A1219,L:L)</f>
        <v>418319.17000000004</v>
      </c>
    </row>
    <row r="1220" spans="1:13" x14ac:dyDescent="0.25">
      <c r="A1220" t="s">
        <v>306</v>
      </c>
      <c r="B1220" t="s">
        <v>1031</v>
      </c>
      <c r="C1220" t="s">
        <v>964</v>
      </c>
      <c r="D1220" t="s">
        <v>1032</v>
      </c>
      <c r="E1220" t="s">
        <v>966</v>
      </c>
      <c r="F1220" t="s">
        <v>967</v>
      </c>
      <c r="G1220" t="s">
        <v>968</v>
      </c>
      <c r="H1220" t="s">
        <v>969</v>
      </c>
      <c r="I1220" t="s">
        <v>970</v>
      </c>
      <c r="J1220" t="s">
        <v>971</v>
      </c>
      <c r="K1220" t="s">
        <v>972</v>
      </c>
      <c r="L1220">
        <v>51023.4</v>
      </c>
      <c r="M1220">
        <f t="shared" si="19"/>
        <v>418319.17000000004</v>
      </c>
    </row>
    <row r="1221" spans="1:13" x14ac:dyDescent="0.25">
      <c r="A1221" t="s">
        <v>306</v>
      </c>
      <c r="B1221" t="s">
        <v>1033</v>
      </c>
      <c r="C1221" t="s">
        <v>964</v>
      </c>
      <c r="D1221" t="s">
        <v>1032</v>
      </c>
      <c r="E1221" t="s">
        <v>966</v>
      </c>
      <c r="F1221" t="s">
        <v>967</v>
      </c>
      <c r="G1221" t="s">
        <v>968</v>
      </c>
      <c r="H1221" t="s">
        <v>969</v>
      </c>
      <c r="I1221" t="s">
        <v>970</v>
      </c>
      <c r="J1221" t="s">
        <v>971</v>
      </c>
      <c r="K1221" t="s">
        <v>972</v>
      </c>
      <c r="L1221">
        <v>51023.4</v>
      </c>
      <c r="M1221">
        <f t="shared" si="19"/>
        <v>418319.17000000004</v>
      </c>
    </row>
    <row r="1222" spans="1:13" x14ac:dyDescent="0.25">
      <c r="A1222" t="s">
        <v>825</v>
      </c>
      <c r="B1222" t="s">
        <v>1095</v>
      </c>
      <c r="C1222" t="s">
        <v>975</v>
      </c>
      <c r="D1222" t="s">
        <v>1070</v>
      </c>
      <c r="E1222" t="s">
        <v>977</v>
      </c>
      <c r="F1222" t="s">
        <v>967</v>
      </c>
      <c r="G1222" t="s">
        <v>968</v>
      </c>
      <c r="H1222" t="s">
        <v>969</v>
      </c>
      <c r="I1222" t="s">
        <v>970</v>
      </c>
      <c r="J1222" t="s">
        <v>971</v>
      </c>
      <c r="K1222" t="s">
        <v>972</v>
      </c>
      <c r="L1222">
        <v>48065.46</v>
      </c>
      <c r="M1222">
        <f t="shared" si="19"/>
        <v>572299.93000000017</v>
      </c>
    </row>
    <row r="1223" spans="1:13" x14ac:dyDescent="0.25">
      <c r="A1223" t="s">
        <v>523</v>
      </c>
      <c r="B1223" t="s">
        <v>1097</v>
      </c>
      <c r="C1223" t="s">
        <v>964</v>
      </c>
      <c r="D1223" t="s">
        <v>1028</v>
      </c>
      <c r="E1223" t="s">
        <v>977</v>
      </c>
      <c r="F1223" t="s">
        <v>967</v>
      </c>
      <c r="G1223" t="s">
        <v>968</v>
      </c>
      <c r="H1223" t="s">
        <v>969</v>
      </c>
      <c r="I1223" t="s">
        <v>970</v>
      </c>
      <c r="J1223" t="s">
        <v>971</v>
      </c>
      <c r="K1223" t="s">
        <v>972</v>
      </c>
      <c r="L1223">
        <v>47874.41</v>
      </c>
      <c r="M1223">
        <f t="shared" si="19"/>
        <v>572299.93000000017</v>
      </c>
    </row>
    <row r="1224" spans="1:13" x14ac:dyDescent="0.25">
      <c r="A1224" t="s">
        <v>523</v>
      </c>
      <c r="B1224" t="s">
        <v>1098</v>
      </c>
      <c r="C1224" t="s">
        <v>964</v>
      </c>
      <c r="D1224" t="s">
        <v>1028</v>
      </c>
      <c r="E1224" t="s">
        <v>977</v>
      </c>
      <c r="F1224" t="s">
        <v>967</v>
      </c>
      <c r="G1224" t="s">
        <v>968</v>
      </c>
      <c r="H1224" t="s">
        <v>969</v>
      </c>
      <c r="I1224" t="s">
        <v>970</v>
      </c>
      <c r="J1224" t="s">
        <v>971</v>
      </c>
      <c r="K1224" t="s">
        <v>972</v>
      </c>
      <c r="L1224">
        <v>47874.41</v>
      </c>
      <c r="M1224">
        <f t="shared" si="19"/>
        <v>572299.93000000017</v>
      </c>
    </row>
    <row r="1225" spans="1:13" x14ac:dyDescent="0.25">
      <c r="A1225" t="s">
        <v>523</v>
      </c>
      <c r="B1225" t="s">
        <v>1099</v>
      </c>
      <c r="C1225" t="s">
        <v>964</v>
      </c>
      <c r="D1225" t="s">
        <v>1028</v>
      </c>
      <c r="E1225" t="s">
        <v>977</v>
      </c>
      <c r="F1225" t="s">
        <v>967</v>
      </c>
      <c r="G1225" t="s">
        <v>968</v>
      </c>
      <c r="H1225" t="s">
        <v>969</v>
      </c>
      <c r="I1225" t="s">
        <v>970</v>
      </c>
      <c r="J1225" t="s">
        <v>971</v>
      </c>
      <c r="K1225" t="s">
        <v>972</v>
      </c>
      <c r="L1225">
        <v>47874.41</v>
      </c>
      <c r="M1225">
        <f t="shared" si="19"/>
        <v>572299.93000000017</v>
      </c>
    </row>
    <row r="1226" spans="1:13" x14ac:dyDescent="0.25">
      <c r="A1226" t="s">
        <v>523</v>
      </c>
      <c r="B1226" t="s">
        <v>1100</v>
      </c>
      <c r="C1226" t="s">
        <v>964</v>
      </c>
      <c r="D1226" t="s">
        <v>1028</v>
      </c>
      <c r="E1226" t="s">
        <v>977</v>
      </c>
      <c r="F1226" t="s">
        <v>967</v>
      </c>
      <c r="G1226" t="s">
        <v>968</v>
      </c>
      <c r="H1226" t="s">
        <v>969</v>
      </c>
      <c r="I1226" t="s">
        <v>970</v>
      </c>
      <c r="J1226" t="s">
        <v>971</v>
      </c>
      <c r="K1226" t="s">
        <v>972</v>
      </c>
      <c r="L1226">
        <v>47874.41</v>
      </c>
      <c r="M1226">
        <f t="shared" si="19"/>
        <v>572299.93000000017</v>
      </c>
    </row>
    <row r="1227" spans="1:13" x14ac:dyDescent="0.25">
      <c r="A1227" t="s">
        <v>523</v>
      </c>
      <c r="B1227" t="s">
        <v>1101</v>
      </c>
      <c r="C1227" t="s">
        <v>964</v>
      </c>
      <c r="D1227" t="s">
        <v>1028</v>
      </c>
      <c r="E1227" t="s">
        <v>977</v>
      </c>
      <c r="F1227" t="s">
        <v>967</v>
      </c>
      <c r="G1227" t="s">
        <v>968</v>
      </c>
      <c r="H1227" t="s">
        <v>969</v>
      </c>
      <c r="I1227" t="s">
        <v>970</v>
      </c>
      <c r="J1227" t="s">
        <v>971</v>
      </c>
      <c r="K1227" t="s">
        <v>972</v>
      </c>
      <c r="L1227">
        <v>47874.41</v>
      </c>
      <c r="M1227">
        <f t="shared" si="19"/>
        <v>572299.93000000017</v>
      </c>
    </row>
    <row r="1228" spans="1:13" x14ac:dyDescent="0.25">
      <c r="A1228" t="s">
        <v>523</v>
      </c>
      <c r="B1228" t="s">
        <v>1102</v>
      </c>
      <c r="C1228" t="s">
        <v>964</v>
      </c>
      <c r="D1228" t="s">
        <v>1028</v>
      </c>
      <c r="E1228" t="s">
        <v>977</v>
      </c>
      <c r="F1228" t="s">
        <v>967</v>
      </c>
      <c r="G1228" t="s">
        <v>968</v>
      </c>
      <c r="H1228" t="s">
        <v>969</v>
      </c>
      <c r="I1228" t="s">
        <v>970</v>
      </c>
      <c r="J1228" t="s">
        <v>971</v>
      </c>
      <c r="K1228" t="s">
        <v>972</v>
      </c>
      <c r="L1228">
        <v>47874.41</v>
      </c>
      <c r="M1228">
        <f t="shared" si="19"/>
        <v>572299.93000000017</v>
      </c>
    </row>
    <row r="1229" spans="1:13" x14ac:dyDescent="0.25">
      <c r="A1229" t="s">
        <v>523</v>
      </c>
      <c r="B1229" t="s">
        <v>1103</v>
      </c>
      <c r="C1229" t="s">
        <v>964</v>
      </c>
      <c r="D1229" t="s">
        <v>1028</v>
      </c>
      <c r="E1229" t="s">
        <v>977</v>
      </c>
      <c r="F1229" t="s">
        <v>967</v>
      </c>
      <c r="G1229" t="s">
        <v>968</v>
      </c>
      <c r="H1229" t="s">
        <v>969</v>
      </c>
      <c r="I1229" t="s">
        <v>970</v>
      </c>
      <c r="J1229" t="s">
        <v>971</v>
      </c>
      <c r="K1229" t="s">
        <v>972</v>
      </c>
      <c r="L1229">
        <v>47874.41</v>
      </c>
      <c r="M1229">
        <f t="shared" si="19"/>
        <v>572299.93000000017</v>
      </c>
    </row>
    <row r="1230" spans="1:13" x14ac:dyDescent="0.25">
      <c r="A1230" t="s">
        <v>523</v>
      </c>
      <c r="B1230" t="s">
        <v>1104</v>
      </c>
      <c r="C1230" t="s">
        <v>964</v>
      </c>
      <c r="D1230" t="s">
        <v>1028</v>
      </c>
      <c r="E1230" t="s">
        <v>977</v>
      </c>
      <c r="F1230" t="s">
        <v>967</v>
      </c>
      <c r="G1230" t="s">
        <v>968</v>
      </c>
      <c r="H1230" t="s">
        <v>969</v>
      </c>
      <c r="I1230" t="s">
        <v>970</v>
      </c>
      <c r="J1230" t="s">
        <v>971</v>
      </c>
      <c r="K1230" t="s">
        <v>972</v>
      </c>
      <c r="L1230">
        <v>47874.41</v>
      </c>
      <c r="M1230">
        <f t="shared" si="19"/>
        <v>572299.93000000017</v>
      </c>
    </row>
    <row r="1231" spans="1:13" x14ac:dyDescent="0.25">
      <c r="A1231" t="s">
        <v>523</v>
      </c>
      <c r="B1231" t="s">
        <v>1105</v>
      </c>
      <c r="C1231" t="s">
        <v>964</v>
      </c>
      <c r="D1231" t="s">
        <v>1028</v>
      </c>
      <c r="E1231" t="s">
        <v>977</v>
      </c>
      <c r="F1231" t="s">
        <v>967</v>
      </c>
      <c r="G1231" t="s">
        <v>968</v>
      </c>
      <c r="H1231" t="s">
        <v>969</v>
      </c>
      <c r="I1231" t="s">
        <v>970</v>
      </c>
      <c r="J1231" t="s">
        <v>971</v>
      </c>
      <c r="K1231" t="s">
        <v>972</v>
      </c>
      <c r="L1231">
        <v>47874.41</v>
      </c>
      <c r="M1231">
        <f t="shared" si="19"/>
        <v>572299.93000000017</v>
      </c>
    </row>
    <row r="1232" spans="1:13" x14ac:dyDescent="0.25">
      <c r="A1232" t="s">
        <v>523</v>
      </c>
      <c r="B1232" t="s">
        <v>1106</v>
      </c>
      <c r="C1232" t="s">
        <v>964</v>
      </c>
      <c r="D1232" t="s">
        <v>1028</v>
      </c>
      <c r="E1232" t="s">
        <v>977</v>
      </c>
      <c r="F1232" t="s">
        <v>967</v>
      </c>
      <c r="G1232" t="s">
        <v>968</v>
      </c>
      <c r="H1232" t="s">
        <v>969</v>
      </c>
      <c r="I1232" t="s">
        <v>970</v>
      </c>
      <c r="J1232" t="s">
        <v>971</v>
      </c>
      <c r="K1232" t="s">
        <v>972</v>
      </c>
      <c r="L1232">
        <v>47874.41</v>
      </c>
      <c r="M1232">
        <f t="shared" si="19"/>
        <v>572299.93000000017</v>
      </c>
    </row>
    <row r="1233" spans="1:13" x14ac:dyDescent="0.25">
      <c r="A1233" t="s">
        <v>694</v>
      </c>
      <c r="B1233" t="s">
        <v>2265</v>
      </c>
      <c r="C1233" t="s">
        <v>988</v>
      </c>
      <c r="D1233" t="s">
        <v>1070</v>
      </c>
      <c r="E1233" t="s">
        <v>977</v>
      </c>
      <c r="F1233" t="s">
        <v>967</v>
      </c>
      <c r="G1233" t="s">
        <v>968</v>
      </c>
      <c r="H1233" t="s">
        <v>969</v>
      </c>
      <c r="I1233" t="s">
        <v>970</v>
      </c>
      <c r="J1233" t="s">
        <v>971</v>
      </c>
      <c r="K1233" t="s">
        <v>972</v>
      </c>
      <c r="L1233">
        <v>1849.88</v>
      </c>
      <c r="M1233">
        <f t="shared" si="19"/>
        <v>572299.93000000017</v>
      </c>
    </row>
    <row r="1234" spans="1:13" x14ac:dyDescent="0.25">
      <c r="A1234" t="s">
        <v>846</v>
      </c>
      <c r="B1234" t="s">
        <v>1220</v>
      </c>
      <c r="C1234" t="s">
        <v>964</v>
      </c>
      <c r="D1234" t="s">
        <v>1039</v>
      </c>
      <c r="E1234" t="s">
        <v>977</v>
      </c>
      <c r="F1234" t="s">
        <v>967</v>
      </c>
      <c r="G1234" t="s">
        <v>968</v>
      </c>
      <c r="H1234" t="s">
        <v>969</v>
      </c>
      <c r="I1234" t="s">
        <v>970</v>
      </c>
      <c r="J1234" t="s">
        <v>971</v>
      </c>
      <c r="K1234" t="s">
        <v>972</v>
      </c>
      <c r="L1234">
        <v>43640.49</v>
      </c>
      <c r="M1234">
        <f t="shared" si="19"/>
        <v>572299.93000000017</v>
      </c>
    </row>
    <row r="1235" spans="1:13" x14ac:dyDescent="0.25">
      <c r="A1235" t="s">
        <v>839</v>
      </c>
      <c r="B1235" t="s">
        <v>1172</v>
      </c>
      <c r="C1235" t="s">
        <v>964</v>
      </c>
      <c r="D1235" t="s">
        <v>1075</v>
      </c>
      <c r="E1235" t="s">
        <v>980</v>
      </c>
      <c r="F1235" t="s">
        <v>967</v>
      </c>
      <c r="G1235" t="s">
        <v>968</v>
      </c>
      <c r="H1235" t="s">
        <v>969</v>
      </c>
      <c r="I1235" t="s">
        <v>970</v>
      </c>
      <c r="J1235" t="s">
        <v>971</v>
      </c>
      <c r="K1235" t="s">
        <v>972</v>
      </c>
      <c r="L1235">
        <v>45434.400000000001</v>
      </c>
      <c r="M1235">
        <f t="shared" si="19"/>
        <v>283823.88999999996</v>
      </c>
    </row>
    <row r="1236" spans="1:13" x14ac:dyDescent="0.25">
      <c r="A1236" t="s">
        <v>628</v>
      </c>
      <c r="B1236" t="s">
        <v>1074</v>
      </c>
      <c r="C1236" t="s">
        <v>975</v>
      </c>
      <c r="D1236" t="s">
        <v>1075</v>
      </c>
      <c r="E1236" t="s">
        <v>977</v>
      </c>
      <c r="F1236" t="s">
        <v>967</v>
      </c>
      <c r="G1236" t="s">
        <v>968</v>
      </c>
      <c r="H1236" t="s">
        <v>969</v>
      </c>
      <c r="I1236" t="s">
        <v>970</v>
      </c>
      <c r="J1236" t="s">
        <v>971</v>
      </c>
      <c r="K1236" t="s">
        <v>972</v>
      </c>
      <c r="L1236">
        <v>49048.43</v>
      </c>
      <c r="M1236">
        <f t="shared" si="19"/>
        <v>283823.88999999996</v>
      </c>
    </row>
    <row r="1237" spans="1:13" x14ac:dyDescent="0.25">
      <c r="A1237" t="s">
        <v>388</v>
      </c>
      <c r="B1237" t="s">
        <v>2274</v>
      </c>
      <c r="C1237" t="s">
        <v>988</v>
      </c>
      <c r="D1237" t="s">
        <v>1075</v>
      </c>
      <c r="E1237" t="s">
        <v>977</v>
      </c>
      <c r="F1237" t="s">
        <v>967</v>
      </c>
      <c r="G1237" t="s">
        <v>968</v>
      </c>
      <c r="H1237" t="s">
        <v>969</v>
      </c>
      <c r="I1237" t="s">
        <v>970</v>
      </c>
      <c r="J1237" t="s">
        <v>971</v>
      </c>
      <c r="K1237" t="s">
        <v>972</v>
      </c>
      <c r="L1237">
        <v>1784.34</v>
      </c>
      <c r="M1237">
        <f t="shared" si="19"/>
        <v>283823.88999999996</v>
      </c>
    </row>
    <row r="1238" spans="1:13" x14ac:dyDescent="0.25">
      <c r="A1238" t="s">
        <v>679</v>
      </c>
      <c r="B1238" t="s">
        <v>1314</v>
      </c>
      <c r="C1238" t="s">
        <v>964</v>
      </c>
      <c r="D1238" t="s">
        <v>1075</v>
      </c>
      <c r="E1238" t="s">
        <v>980</v>
      </c>
      <c r="F1238" t="s">
        <v>967</v>
      </c>
      <c r="G1238" t="s">
        <v>968</v>
      </c>
      <c r="H1238" t="s">
        <v>969</v>
      </c>
      <c r="I1238" t="s">
        <v>970</v>
      </c>
      <c r="J1238" t="s">
        <v>971</v>
      </c>
      <c r="K1238" t="s">
        <v>972</v>
      </c>
      <c r="L1238">
        <v>40414.85</v>
      </c>
      <c r="M1238">
        <f t="shared" si="19"/>
        <v>283823.88999999996</v>
      </c>
    </row>
    <row r="1239" spans="1:13" x14ac:dyDescent="0.25">
      <c r="A1239" t="s">
        <v>716</v>
      </c>
      <c r="B1239" t="s">
        <v>1214</v>
      </c>
      <c r="C1239" t="s">
        <v>975</v>
      </c>
      <c r="D1239" t="s">
        <v>1039</v>
      </c>
      <c r="E1239" t="s">
        <v>977</v>
      </c>
      <c r="F1239" t="s">
        <v>967</v>
      </c>
      <c r="G1239" t="s">
        <v>968</v>
      </c>
      <c r="H1239" t="s">
        <v>969</v>
      </c>
      <c r="I1239" t="s">
        <v>970</v>
      </c>
      <c r="J1239" t="s">
        <v>971</v>
      </c>
      <c r="K1239" t="s">
        <v>972</v>
      </c>
      <c r="L1239">
        <v>44087.63</v>
      </c>
      <c r="M1239">
        <f t="shared" si="19"/>
        <v>283823.88999999996</v>
      </c>
    </row>
    <row r="1240" spans="1:13" x14ac:dyDescent="0.25">
      <c r="A1240" t="s">
        <v>374</v>
      </c>
      <c r="B1240" t="s">
        <v>1041</v>
      </c>
      <c r="C1240" t="s">
        <v>964</v>
      </c>
      <c r="D1240" t="s">
        <v>1042</v>
      </c>
      <c r="E1240" t="s">
        <v>966</v>
      </c>
      <c r="F1240" t="s">
        <v>967</v>
      </c>
      <c r="G1240" t="s">
        <v>968</v>
      </c>
      <c r="H1240" t="s">
        <v>969</v>
      </c>
      <c r="I1240" t="s">
        <v>970</v>
      </c>
      <c r="J1240" t="s">
        <v>971</v>
      </c>
      <c r="K1240" t="s">
        <v>972</v>
      </c>
      <c r="L1240">
        <v>50795.82</v>
      </c>
      <c r="M1240">
        <f t="shared" si="19"/>
        <v>283823.88999999996</v>
      </c>
    </row>
    <row r="1241" spans="1:13" x14ac:dyDescent="0.25">
      <c r="A1241" t="s">
        <v>374</v>
      </c>
      <c r="B1241" t="s">
        <v>1043</v>
      </c>
      <c r="C1241" t="s">
        <v>964</v>
      </c>
      <c r="D1241" t="s">
        <v>1042</v>
      </c>
      <c r="E1241" t="s">
        <v>966</v>
      </c>
      <c r="F1241" t="s">
        <v>967</v>
      </c>
      <c r="G1241" t="s">
        <v>968</v>
      </c>
      <c r="H1241" t="s">
        <v>969</v>
      </c>
      <c r="I1241" t="s">
        <v>970</v>
      </c>
      <c r="J1241" t="s">
        <v>971</v>
      </c>
      <c r="K1241" t="s">
        <v>972</v>
      </c>
      <c r="L1241">
        <v>50795.82</v>
      </c>
      <c r="M1241">
        <f t="shared" si="19"/>
        <v>283823.88999999996</v>
      </c>
    </row>
    <row r="1242" spans="1:13" x14ac:dyDescent="0.25">
      <c r="A1242" t="s">
        <v>509</v>
      </c>
      <c r="B1242" t="s">
        <v>2311</v>
      </c>
      <c r="C1242" t="s">
        <v>988</v>
      </c>
      <c r="D1242" t="s">
        <v>1039</v>
      </c>
      <c r="E1242" t="s">
        <v>980</v>
      </c>
      <c r="F1242" t="s">
        <v>967</v>
      </c>
      <c r="G1242" t="s">
        <v>968</v>
      </c>
      <c r="H1242" t="s">
        <v>969</v>
      </c>
      <c r="I1242" t="s">
        <v>970</v>
      </c>
      <c r="J1242" t="s">
        <v>971</v>
      </c>
      <c r="K1242" t="s">
        <v>972</v>
      </c>
      <c r="L1242">
        <v>1462.6</v>
      </c>
      <c r="M1242">
        <f t="shared" si="19"/>
        <v>283823.88999999996</v>
      </c>
    </row>
    <row r="1243" spans="1:13" x14ac:dyDescent="0.25">
      <c r="A1243" t="s">
        <v>480</v>
      </c>
      <c r="B1243" t="s">
        <v>1261</v>
      </c>
      <c r="C1243" t="s">
        <v>975</v>
      </c>
      <c r="D1243" t="s">
        <v>1039</v>
      </c>
      <c r="E1243" t="s">
        <v>977</v>
      </c>
      <c r="F1243" t="s">
        <v>967</v>
      </c>
      <c r="G1243" t="s">
        <v>968</v>
      </c>
      <c r="H1243" t="s">
        <v>969</v>
      </c>
      <c r="I1243" t="s">
        <v>970</v>
      </c>
      <c r="J1243" t="s">
        <v>971</v>
      </c>
      <c r="K1243" t="s">
        <v>972</v>
      </c>
      <c r="L1243">
        <v>42938.04</v>
      </c>
      <c r="M1243">
        <f t="shared" si="19"/>
        <v>177611.07</v>
      </c>
    </row>
    <row r="1244" spans="1:13" x14ac:dyDescent="0.25">
      <c r="A1244" t="s">
        <v>826</v>
      </c>
      <c r="B1244" t="s">
        <v>1076</v>
      </c>
      <c r="C1244" t="s">
        <v>975</v>
      </c>
      <c r="D1244" t="s">
        <v>1039</v>
      </c>
      <c r="E1244" t="s">
        <v>966</v>
      </c>
      <c r="F1244" t="s">
        <v>967</v>
      </c>
      <c r="G1244" t="s">
        <v>968</v>
      </c>
      <c r="H1244" t="s">
        <v>969</v>
      </c>
      <c r="I1244" t="s">
        <v>970</v>
      </c>
      <c r="J1244" t="s">
        <v>971</v>
      </c>
      <c r="K1244" t="s">
        <v>972</v>
      </c>
      <c r="L1244">
        <v>48810.54</v>
      </c>
      <c r="M1244">
        <f t="shared" si="19"/>
        <v>177611.07</v>
      </c>
    </row>
    <row r="1245" spans="1:13" x14ac:dyDescent="0.25">
      <c r="A1245" t="s">
        <v>826</v>
      </c>
      <c r="B1245" t="s">
        <v>1077</v>
      </c>
      <c r="C1245" t="s">
        <v>975</v>
      </c>
      <c r="D1245" t="s">
        <v>1039</v>
      </c>
      <c r="E1245" t="s">
        <v>966</v>
      </c>
      <c r="F1245" t="s">
        <v>967</v>
      </c>
      <c r="G1245" t="s">
        <v>968</v>
      </c>
      <c r="H1245" t="s">
        <v>969</v>
      </c>
      <c r="I1245" t="s">
        <v>970</v>
      </c>
      <c r="J1245" t="s">
        <v>971</v>
      </c>
      <c r="K1245" t="s">
        <v>972</v>
      </c>
      <c r="L1245">
        <v>48810.54</v>
      </c>
      <c r="M1245">
        <f t="shared" si="19"/>
        <v>177611.07</v>
      </c>
    </row>
    <row r="1246" spans="1:13" x14ac:dyDescent="0.25">
      <c r="A1246" t="s">
        <v>349</v>
      </c>
      <c r="B1246" t="s">
        <v>1399</v>
      </c>
      <c r="C1246" t="s">
        <v>1400</v>
      </c>
      <c r="D1246" t="s">
        <v>1039</v>
      </c>
      <c r="E1246" t="s">
        <v>977</v>
      </c>
      <c r="F1246" t="s">
        <v>967</v>
      </c>
      <c r="G1246" t="s">
        <v>968</v>
      </c>
      <c r="H1246" t="s">
        <v>969</v>
      </c>
      <c r="I1246" t="s">
        <v>970</v>
      </c>
      <c r="J1246" t="s">
        <v>971</v>
      </c>
      <c r="K1246" t="s">
        <v>972</v>
      </c>
      <c r="L1246">
        <v>37051.949999999997</v>
      </c>
      <c r="M1246">
        <f t="shared" si="19"/>
        <v>177611.07</v>
      </c>
    </row>
    <row r="1247" spans="1:13" x14ac:dyDescent="0.25">
      <c r="A1247" t="s">
        <v>686</v>
      </c>
      <c r="B1247" t="s">
        <v>1109</v>
      </c>
      <c r="C1247" t="s">
        <v>975</v>
      </c>
      <c r="D1247" t="s">
        <v>1012</v>
      </c>
      <c r="E1247" t="s">
        <v>977</v>
      </c>
      <c r="F1247" t="s">
        <v>967</v>
      </c>
      <c r="G1247" t="s">
        <v>968</v>
      </c>
      <c r="H1247" t="s">
        <v>969</v>
      </c>
      <c r="I1247" t="s">
        <v>970</v>
      </c>
      <c r="J1247" t="s">
        <v>971</v>
      </c>
      <c r="K1247" t="s">
        <v>972</v>
      </c>
      <c r="L1247">
        <v>47587.96</v>
      </c>
      <c r="M1247">
        <f t="shared" si="19"/>
        <v>230673.44</v>
      </c>
    </row>
    <row r="1248" spans="1:13" x14ac:dyDescent="0.25">
      <c r="A1248" t="s">
        <v>652</v>
      </c>
      <c r="B1248" t="s">
        <v>1078</v>
      </c>
      <c r="C1248" t="s">
        <v>975</v>
      </c>
      <c r="D1248" t="s">
        <v>1079</v>
      </c>
      <c r="E1248" t="s">
        <v>980</v>
      </c>
      <c r="F1248" t="s">
        <v>967</v>
      </c>
      <c r="G1248" t="s">
        <v>968</v>
      </c>
      <c r="H1248" t="s">
        <v>969</v>
      </c>
      <c r="I1248" t="s">
        <v>970</v>
      </c>
      <c r="J1248" t="s">
        <v>971</v>
      </c>
      <c r="K1248" t="s">
        <v>972</v>
      </c>
      <c r="L1248">
        <v>48772.6</v>
      </c>
      <c r="M1248">
        <f t="shared" si="19"/>
        <v>230673.44</v>
      </c>
    </row>
    <row r="1249" spans="1:13" x14ac:dyDescent="0.25">
      <c r="A1249" t="s">
        <v>943</v>
      </c>
      <c r="B1249" t="s">
        <v>1187</v>
      </c>
      <c r="C1249" t="s">
        <v>975</v>
      </c>
      <c r="D1249" t="s">
        <v>1075</v>
      </c>
      <c r="E1249" t="s">
        <v>977</v>
      </c>
      <c r="F1249" t="s">
        <v>967</v>
      </c>
      <c r="G1249" t="s">
        <v>968</v>
      </c>
      <c r="H1249" t="s">
        <v>969</v>
      </c>
      <c r="I1249" t="s">
        <v>970</v>
      </c>
      <c r="J1249" t="s">
        <v>971</v>
      </c>
      <c r="K1249" t="s">
        <v>972</v>
      </c>
      <c r="L1249">
        <v>44617.36</v>
      </c>
      <c r="M1249">
        <f t="shared" si="19"/>
        <v>230673.44</v>
      </c>
    </row>
    <row r="1250" spans="1:13" x14ac:dyDescent="0.25">
      <c r="A1250" t="s">
        <v>243</v>
      </c>
      <c r="B1250" t="s">
        <v>1209</v>
      </c>
      <c r="C1250" t="s">
        <v>975</v>
      </c>
      <c r="D1250" t="s">
        <v>1039</v>
      </c>
      <c r="E1250" t="s">
        <v>977</v>
      </c>
      <c r="F1250" t="s">
        <v>967</v>
      </c>
      <c r="G1250" t="s">
        <v>968</v>
      </c>
      <c r="H1250" t="s">
        <v>969</v>
      </c>
      <c r="I1250" t="s">
        <v>970</v>
      </c>
      <c r="J1250" t="s">
        <v>971</v>
      </c>
      <c r="K1250" t="s">
        <v>972</v>
      </c>
      <c r="L1250">
        <v>44389.66</v>
      </c>
      <c r="M1250">
        <f t="shared" si="19"/>
        <v>230673.44</v>
      </c>
    </row>
    <row r="1251" spans="1:13" x14ac:dyDescent="0.25">
      <c r="A1251" t="s">
        <v>800</v>
      </c>
      <c r="B1251" t="s">
        <v>1175</v>
      </c>
      <c r="C1251" t="s">
        <v>975</v>
      </c>
      <c r="D1251" t="s">
        <v>1028</v>
      </c>
      <c r="E1251" t="s">
        <v>980</v>
      </c>
      <c r="F1251" t="s">
        <v>967</v>
      </c>
      <c r="G1251" t="s">
        <v>968</v>
      </c>
      <c r="H1251" t="s">
        <v>969</v>
      </c>
      <c r="I1251" t="s">
        <v>970</v>
      </c>
      <c r="J1251" t="s">
        <v>971</v>
      </c>
      <c r="K1251" t="s">
        <v>972</v>
      </c>
      <c r="L1251">
        <v>45305.86</v>
      </c>
      <c r="M1251">
        <f t="shared" si="19"/>
        <v>230673.44</v>
      </c>
    </row>
    <row r="1252" spans="1:13" x14ac:dyDescent="0.25">
      <c r="A1252" t="s">
        <v>574</v>
      </c>
      <c r="B1252" t="s">
        <v>1392</v>
      </c>
      <c r="C1252" t="s">
        <v>975</v>
      </c>
      <c r="D1252" t="s">
        <v>1164</v>
      </c>
      <c r="E1252" t="s">
        <v>980</v>
      </c>
      <c r="F1252" t="s">
        <v>967</v>
      </c>
      <c r="G1252" t="s">
        <v>968</v>
      </c>
      <c r="H1252" t="s">
        <v>969</v>
      </c>
      <c r="I1252" t="s">
        <v>970</v>
      </c>
      <c r="J1252" t="s">
        <v>971</v>
      </c>
      <c r="K1252" t="s">
        <v>972</v>
      </c>
      <c r="L1252">
        <v>37467.199999999997</v>
      </c>
      <c r="M1252">
        <f t="shared" si="19"/>
        <v>415408.29</v>
      </c>
    </row>
    <row r="1253" spans="1:13" x14ac:dyDescent="0.25">
      <c r="A1253" t="s">
        <v>215</v>
      </c>
      <c r="B1253" t="s">
        <v>1170</v>
      </c>
      <c r="C1253" t="s">
        <v>975</v>
      </c>
      <c r="D1253" t="s">
        <v>1079</v>
      </c>
      <c r="E1253" t="s">
        <v>977</v>
      </c>
      <c r="F1253" t="s">
        <v>967</v>
      </c>
      <c r="G1253" t="s">
        <v>968</v>
      </c>
      <c r="H1253" t="s">
        <v>969</v>
      </c>
      <c r="I1253" t="s">
        <v>970</v>
      </c>
      <c r="J1253" t="s">
        <v>971</v>
      </c>
      <c r="K1253" t="s">
        <v>972</v>
      </c>
      <c r="L1253">
        <v>45884.33</v>
      </c>
      <c r="M1253">
        <f t="shared" si="19"/>
        <v>415408.29</v>
      </c>
    </row>
    <row r="1254" spans="1:13" x14ac:dyDescent="0.25">
      <c r="A1254" t="s">
        <v>207</v>
      </c>
      <c r="B1254" t="s">
        <v>1108</v>
      </c>
      <c r="C1254" t="s">
        <v>975</v>
      </c>
      <c r="D1254" t="s">
        <v>1028</v>
      </c>
      <c r="E1254" t="s">
        <v>980</v>
      </c>
      <c r="F1254" t="s">
        <v>967</v>
      </c>
      <c r="G1254" t="s">
        <v>968</v>
      </c>
      <c r="H1254" t="s">
        <v>969</v>
      </c>
      <c r="I1254" t="s">
        <v>970</v>
      </c>
      <c r="J1254" t="s">
        <v>971</v>
      </c>
      <c r="K1254" t="s">
        <v>972</v>
      </c>
      <c r="L1254">
        <v>47752.39</v>
      </c>
      <c r="M1254">
        <f t="shared" si="19"/>
        <v>415408.29</v>
      </c>
    </row>
    <row r="1255" spans="1:13" x14ac:dyDescent="0.25">
      <c r="A1255" t="s">
        <v>294</v>
      </c>
      <c r="B1255" t="s">
        <v>1083</v>
      </c>
      <c r="C1255" t="s">
        <v>975</v>
      </c>
      <c r="D1255" t="s">
        <v>1079</v>
      </c>
      <c r="E1255" t="s">
        <v>977</v>
      </c>
      <c r="F1255" t="s">
        <v>967</v>
      </c>
      <c r="G1255" t="s">
        <v>968</v>
      </c>
      <c r="H1255" t="s">
        <v>969</v>
      </c>
      <c r="I1255" t="s">
        <v>970</v>
      </c>
      <c r="J1255" t="s">
        <v>971</v>
      </c>
      <c r="K1255" t="s">
        <v>972</v>
      </c>
      <c r="L1255">
        <v>48519.32</v>
      </c>
      <c r="M1255">
        <f t="shared" si="19"/>
        <v>415408.29</v>
      </c>
    </row>
    <row r="1256" spans="1:13" x14ac:dyDescent="0.25">
      <c r="A1256" t="s">
        <v>573</v>
      </c>
      <c r="B1256" t="s">
        <v>1163</v>
      </c>
      <c r="C1256" t="s">
        <v>975</v>
      </c>
      <c r="D1256" t="s">
        <v>1164</v>
      </c>
      <c r="E1256" t="s">
        <v>977</v>
      </c>
      <c r="F1256" t="s">
        <v>967</v>
      </c>
      <c r="G1256" t="s">
        <v>968</v>
      </c>
      <c r="H1256" t="s">
        <v>969</v>
      </c>
      <c r="I1256" t="s">
        <v>970</v>
      </c>
      <c r="J1256" t="s">
        <v>971</v>
      </c>
      <c r="K1256" t="s">
        <v>972</v>
      </c>
      <c r="L1256">
        <v>45972.77</v>
      </c>
      <c r="M1256">
        <f t="shared" si="19"/>
        <v>415408.29</v>
      </c>
    </row>
    <row r="1257" spans="1:13" x14ac:dyDescent="0.25">
      <c r="A1257" t="s">
        <v>875</v>
      </c>
      <c r="B1257" t="s">
        <v>1166</v>
      </c>
      <c r="C1257" t="s">
        <v>975</v>
      </c>
      <c r="D1257" t="s">
        <v>1079</v>
      </c>
      <c r="E1257" t="s">
        <v>977</v>
      </c>
      <c r="F1257" t="s">
        <v>967</v>
      </c>
      <c r="G1257" t="s">
        <v>968</v>
      </c>
      <c r="H1257" t="s">
        <v>969</v>
      </c>
      <c r="I1257" t="s">
        <v>970</v>
      </c>
      <c r="J1257" t="s">
        <v>971</v>
      </c>
      <c r="K1257" t="s">
        <v>972</v>
      </c>
      <c r="L1257">
        <v>45959.38</v>
      </c>
      <c r="M1257">
        <f t="shared" si="19"/>
        <v>415408.29</v>
      </c>
    </row>
    <row r="1258" spans="1:13" x14ac:dyDescent="0.25">
      <c r="A1258" t="s">
        <v>875</v>
      </c>
      <c r="B1258" t="s">
        <v>1167</v>
      </c>
      <c r="C1258" t="s">
        <v>975</v>
      </c>
      <c r="D1258" t="s">
        <v>1079</v>
      </c>
      <c r="E1258" t="s">
        <v>977</v>
      </c>
      <c r="F1258" t="s">
        <v>967</v>
      </c>
      <c r="G1258" t="s">
        <v>968</v>
      </c>
      <c r="H1258" t="s">
        <v>969</v>
      </c>
      <c r="I1258" t="s">
        <v>970</v>
      </c>
      <c r="J1258" t="s">
        <v>971</v>
      </c>
      <c r="K1258" t="s">
        <v>972</v>
      </c>
      <c r="L1258">
        <v>45959.38</v>
      </c>
      <c r="M1258">
        <f t="shared" si="19"/>
        <v>415408.29</v>
      </c>
    </row>
    <row r="1259" spans="1:13" x14ac:dyDescent="0.25">
      <c r="A1259" t="s">
        <v>875</v>
      </c>
      <c r="B1259" t="s">
        <v>1168</v>
      </c>
      <c r="C1259" t="s">
        <v>975</v>
      </c>
      <c r="D1259" t="s">
        <v>1079</v>
      </c>
      <c r="E1259" t="s">
        <v>977</v>
      </c>
      <c r="F1259" t="s">
        <v>967</v>
      </c>
      <c r="G1259" t="s">
        <v>968</v>
      </c>
      <c r="H1259" t="s">
        <v>969</v>
      </c>
      <c r="I1259" t="s">
        <v>970</v>
      </c>
      <c r="J1259" t="s">
        <v>971</v>
      </c>
      <c r="K1259" t="s">
        <v>972</v>
      </c>
      <c r="L1259">
        <v>45959.38</v>
      </c>
      <c r="M1259">
        <f t="shared" si="19"/>
        <v>415408.29</v>
      </c>
    </row>
    <row r="1260" spans="1:13" x14ac:dyDescent="0.25">
      <c r="A1260" t="s">
        <v>599</v>
      </c>
      <c r="B1260" t="s">
        <v>1113</v>
      </c>
      <c r="C1260" t="s">
        <v>1114</v>
      </c>
      <c r="D1260" t="s">
        <v>1028</v>
      </c>
      <c r="E1260" t="s">
        <v>977</v>
      </c>
      <c r="F1260" t="s">
        <v>967</v>
      </c>
      <c r="G1260" t="s">
        <v>968</v>
      </c>
      <c r="H1260" t="s">
        <v>969</v>
      </c>
      <c r="I1260" t="s">
        <v>970</v>
      </c>
      <c r="J1260" t="s">
        <v>971</v>
      </c>
      <c r="K1260" t="s">
        <v>972</v>
      </c>
      <c r="L1260">
        <v>47054.82</v>
      </c>
      <c r="M1260">
        <f t="shared" si="19"/>
        <v>415408.29</v>
      </c>
    </row>
    <row r="1261" spans="1:13" x14ac:dyDescent="0.25">
      <c r="A1261" t="s">
        <v>542</v>
      </c>
      <c r="B1261" t="s">
        <v>2283</v>
      </c>
      <c r="C1261" t="s">
        <v>988</v>
      </c>
      <c r="D1261" t="s">
        <v>1164</v>
      </c>
      <c r="E1261" t="s">
        <v>977</v>
      </c>
      <c r="F1261" t="s">
        <v>967</v>
      </c>
      <c r="G1261" t="s">
        <v>968</v>
      </c>
      <c r="H1261" t="s">
        <v>969</v>
      </c>
      <c r="I1261" t="s">
        <v>970</v>
      </c>
      <c r="J1261" t="s">
        <v>971</v>
      </c>
      <c r="K1261" t="s">
        <v>972</v>
      </c>
      <c r="L1261">
        <v>1756.75</v>
      </c>
      <c r="M1261">
        <f t="shared" si="19"/>
        <v>415408.29</v>
      </c>
    </row>
    <row r="1262" spans="1:13" x14ac:dyDescent="0.25">
      <c r="A1262" t="s">
        <v>491</v>
      </c>
      <c r="B1262" t="s">
        <v>2266</v>
      </c>
      <c r="C1262" t="s">
        <v>988</v>
      </c>
      <c r="D1262" t="s">
        <v>1164</v>
      </c>
      <c r="E1262" t="s">
        <v>977</v>
      </c>
      <c r="F1262" t="s">
        <v>967</v>
      </c>
      <c r="G1262" t="s">
        <v>968</v>
      </c>
      <c r="H1262" t="s">
        <v>969</v>
      </c>
      <c r="I1262" t="s">
        <v>970</v>
      </c>
      <c r="J1262" t="s">
        <v>971</v>
      </c>
      <c r="K1262" t="s">
        <v>972</v>
      </c>
      <c r="L1262">
        <v>1838.57</v>
      </c>
      <c r="M1262">
        <f t="shared" si="19"/>
        <v>415408.29</v>
      </c>
    </row>
    <row r="1263" spans="1:13" x14ac:dyDescent="0.25">
      <c r="A1263" t="s">
        <v>525</v>
      </c>
      <c r="B1263" t="s">
        <v>2423</v>
      </c>
      <c r="C1263" t="s">
        <v>982</v>
      </c>
      <c r="D1263" t="s">
        <v>1028</v>
      </c>
      <c r="E1263" t="s">
        <v>980</v>
      </c>
      <c r="F1263" t="s">
        <v>967</v>
      </c>
      <c r="G1263" t="s">
        <v>968</v>
      </c>
      <c r="H1263" t="s">
        <v>969</v>
      </c>
      <c r="I1263" t="s">
        <v>970</v>
      </c>
      <c r="J1263" t="s">
        <v>971</v>
      </c>
      <c r="K1263" t="s">
        <v>972</v>
      </c>
      <c r="L1263">
        <v>694.27</v>
      </c>
      <c r="M1263">
        <f t="shared" si="19"/>
        <v>415408.29</v>
      </c>
    </row>
    <row r="1264" spans="1:13" x14ac:dyDescent="0.25">
      <c r="A1264" t="s">
        <v>525</v>
      </c>
      <c r="B1264" t="s">
        <v>2423</v>
      </c>
      <c r="C1264" t="s">
        <v>982</v>
      </c>
      <c r="D1264" t="s">
        <v>1028</v>
      </c>
      <c r="E1264" t="s">
        <v>980</v>
      </c>
      <c r="F1264" t="s">
        <v>967</v>
      </c>
      <c r="G1264" t="s">
        <v>968</v>
      </c>
      <c r="H1264" t="s">
        <v>2390</v>
      </c>
      <c r="I1264" t="s">
        <v>970</v>
      </c>
      <c r="J1264" t="s">
        <v>971</v>
      </c>
      <c r="K1264" t="s">
        <v>972</v>
      </c>
      <c r="L1264">
        <v>589.73</v>
      </c>
      <c r="M1264">
        <f t="shared" si="19"/>
        <v>415408.29</v>
      </c>
    </row>
    <row r="1265" spans="1:13" x14ac:dyDescent="0.25">
      <c r="A1265" t="s">
        <v>726</v>
      </c>
      <c r="B1265" t="s">
        <v>2286</v>
      </c>
      <c r="C1265" t="s">
        <v>988</v>
      </c>
      <c r="D1265" t="s">
        <v>1075</v>
      </c>
      <c r="E1265" t="s">
        <v>977</v>
      </c>
      <c r="F1265" t="s">
        <v>967</v>
      </c>
      <c r="G1265" t="s">
        <v>968</v>
      </c>
      <c r="H1265" t="s">
        <v>969</v>
      </c>
      <c r="I1265" t="s">
        <v>970</v>
      </c>
      <c r="J1265" t="s">
        <v>971</v>
      </c>
      <c r="K1265" t="s">
        <v>972</v>
      </c>
      <c r="L1265">
        <v>1754.84</v>
      </c>
      <c r="M1265">
        <f t="shared" si="19"/>
        <v>237505.34000000003</v>
      </c>
    </row>
    <row r="1266" spans="1:13" x14ac:dyDescent="0.25">
      <c r="A1266" t="s">
        <v>138</v>
      </c>
      <c r="B1266" t="s">
        <v>1178</v>
      </c>
      <c r="C1266" t="s">
        <v>975</v>
      </c>
      <c r="D1266" t="s">
        <v>1028</v>
      </c>
      <c r="E1266" t="s">
        <v>977</v>
      </c>
      <c r="F1266" t="s">
        <v>967</v>
      </c>
      <c r="G1266" t="s">
        <v>968</v>
      </c>
      <c r="H1266" t="s">
        <v>969</v>
      </c>
      <c r="I1266" t="s">
        <v>970</v>
      </c>
      <c r="J1266" t="s">
        <v>971</v>
      </c>
      <c r="K1266" t="s">
        <v>972</v>
      </c>
      <c r="L1266">
        <v>45182.76</v>
      </c>
      <c r="M1266">
        <f t="shared" si="19"/>
        <v>237505.34000000003</v>
      </c>
    </row>
    <row r="1267" spans="1:13" x14ac:dyDescent="0.25">
      <c r="A1267" t="s">
        <v>212</v>
      </c>
      <c r="B1267" t="s">
        <v>1044</v>
      </c>
      <c r="C1267" t="s">
        <v>964</v>
      </c>
      <c r="D1267" t="s">
        <v>1028</v>
      </c>
      <c r="E1267" t="s">
        <v>966</v>
      </c>
      <c r="F1267" t="s">
        <v>967</v>
      </c>
      <c r="G1267" t="s">
        <v>968</v>
      </c>
      <c r="H1267" t="s">
        <v>969</v>
      </c>
      <c r="I1267" t="s">
        <v>970</v>
      </c>
      <c r="J1267" t="s">
        <v>971</v>
      </c>
      <c r="K1267" t="s">
        <v>972</v>
      </c>
      <c r="L1267">
        <v>50525.18</v>
      </c>
      <c r="M1267">
        <f t="shared" si="19"/>
        <v>237505.34000000003</v>
      </c>
    </row>
    <row r="1268" spans="1:13" x14ac:dyDescent="0.25">
      <c r="A1268" t="s">
        <v>314</v>
      </c>
      <c r="B1268" t="s">
        <v>2282</v>
      </c>
      <c r="C1268" t="s">
        <v>988</v>
      </c>
      <c r="D1268" t="s">
        <v>1164</v>
      </c>
      <c r="E1268" t="s">
        <v>977</v>
      </c>
      <c r="F1268" t="s">
        <v>967</v>
      </c>
      <c r="G1268" t="s">
        <v>968</v>
      </c>
      <c r="H1268" t="s">
        <v>969</v>
      </c>
      <c r="I1268" t="s">
        <v>970</v>
      </c>
      <c r="J1268" t="s">
        <v>971</v>
      </c>
      <c r="K1268" t="s">
        <v>972</v>
      </c>
      <c r="L1268">
        <v>1756.75</v>
      </c>
      <c r="M1268">
        <f t="shared" si="19"/>
        <v>237505.34000000003</v>
      </c>
    </row>
    <row r="1269" spans="1:13" x14ac:dyDescent="0.25">
      <c r="A1269" t="s">
        <v>680</v>
      </c>
      <c r="B1269" t="s">
        <v>2281</v>
      </c>
      <c r="C1269" t="s">
        <v>988</v>
      </c>
      <c r="D1269" t="s">
        <v>1164</v>
      </c>
      <c r="E1269" t="s">
        <v>977</v>
      </c>
      <c r="F1269" t="s">
        <v>967</v>
      </c>
      <c r="G1269" t="s">
        <v>968</v>
      </c>
      <c r="H1269" t="s">
        <v>969</v>
      </c>
      <c r="I1269" t="s">
        <v>970</v>
      </c>
      <c r="J1269" t="s">
        <v>971</v>
      </c>
      <c r="K1269" t="s">
        <v>972</v>
      </c>
      <c r="L1269">
        <v>1756.75</v>
      </c>
      <c r="M1269">
        <f t="shared" si="19"/>
        <v>237505.34000000003</v>
      </c>
    </row>
    <row r="1270" spans="1:13" x14ac:dyDescent="0.25">
      <c r="A1270" t="s">
        <v>206</v>
      </c>
      <c r="B1270" t="s">
        <v>1343</v>
      </c>
      <c r="C1270" t="s">
        <v>975</v>
      </c>
      <c r="D1270" t="s">
        <v>1079</v>
      </c>
      <c r="E1270" t="s">
        <v>977</v>
      </c>
      <c r="F1270" t="s">
        <v>967</v>
      </c>
      <c r="G1270" t="s">
        <v>968</v>
      </c>
      <c r="H1270" t="s">
        <v>969</v>
      </c>
      <c r="I1270" t="s">
        <v>970</v>
      </c>
      <c r="J1270" t="s">
        <v>971</v>
      </c>
      <c r="K1270" t="s">
        <v>972</v>
      </c>
      <c r="L1270">
        <v>39372.03</v>
      </c>
      <c r="M1270">
        <f t="shared" si="19"/>
        <v>237505.34000000003</v>
      </c>
    </row>
    <row r="1271" spans="1:13" x14ac:dyDescent="0.25">
      <c r="A1271" t="s">
        <v>941</v>
      </c>
      <c r="B1271" t="s">
        <v>1165</v>
      </c>
      <c r="C1271" t="s">
        <v>964</v>
      </c>
      <c r="D1271" t="s">
        <v>1164</v>
      </c>
      <c r="E1271" t="s">
        <v>977</v>
      </c>
      <c r="F1271" t="s">
        <v>967</v>
      </c>
      <c r="G1271" t="s">
        <v>968</v>
      </c>
      <c r="H1271" t="s">
        <v>969</v>
      </c>
      <c r="I1271" t="s">
        <v>970</v>
      </c>
      <c r="J1271" t="s">
        <v>971</v>
      </c>
      <c r="K1271" t="s">
        <v>972</v>
      </c>
      <c r="L1271">
        <v>45972.76</v>
      </c>
      <c r="M1271">
        <f t="shared" si="19"/>
        <v>237505.34000000003</v>
      </c>
    </row>
    <row r="1272" spans="1:13" x14ac:dyDescent="0.25">
      <c r="A1272" t="s">
        <v>620</v>
      </c>
      <c r="B1272" t="s">
        <v>1052</v>
      </c>
      <c r="C1272" t="s">
        <v>975</v>
      </c>
      <c r="D1272" t="s">
        <v>1028</v>
      </c>
      <c r="E1272" t="s">
        <v>977</v>
      </c>
      <c r="F1272" t="s">
        <v>967</v>
      </c>
      <c r="G1272" t="s">
        <v>968</v>
      </c>
      <c r="H1272" t="s">
        <v>969</v>
      </c>
      <c r="I1272" t="s">
        <v>970</v>
      </c>
      <c r="J1272" t="s">
        <v>971</v>
      </c>
      <c r="K1272" t="s">
        <v>972</v>
      </c>
      <c r="L1272">
        <v>49315.13</v>
      </c>
      <c r="M1272">
        <f t="shared" si="19"/>
        <v>237505.34000000003</v>
      </c>
    </row>
    <row r="1273" spans="1:13" x14ac:dyDescent="0.25">
      <c r="A1273" t="s">
        <v>323</v>
      </c>
      <c r="B1273" t="s">
        <v>2261</v>
      </c>
      <c r="C1273" t="s">
        <v>988</v>
      </c>
      <c r="D1273" t="s">
        <v>2242</v>
      </c>
      <c r="E1273" t="s">
        <v>977</v>
      </c>
      <c r="F1273" t="s">
        <v>967</v>
      </c>
      <c r="G1273" t="s">
        <v>968</v>
      </c>
      <c r="H1273" t="s">
        <v>969</v>
      </c>
      <c r="I1273" t="s">
        <v>970</v>
      </c>
      <c r="J1273" t="s">
        <v>971</v>
      </c>
      <c r="K1273" t="s">
        <v>972</v>
      </c>
      <c r="L1273">
        <v>1869.14</v>
      </c>
      <c r="M1273">
        <f t="shared" si="19"/>
        <v>237505.34000000003</v>
      </c>
    </row>
    <row r="1274" spans="1:13" x14ac:dyDescent="0.25">
      <c r="A1274" t="s">
        <v>769</v>
      </c>
      <c r="B1274" t="s">
        <v>1316</v>
      </c>
      <c r="C1274" t="s">
        <v>975</v>
      </c>
      <c r="D1274" t="s">
        <v>1028</v>
      </c>
      <c r="E1274" t="s">
        <v>977</v>
      </c>
      <c r="F1274" t="s">
        <v>967</v>
      </c>
      <c r="G1274" t="s">
        <v>968</v>
      </c>
      <c r="H1274" t="s">
        <v>969</v>
      </c>
      <c r="I1274" t="s">
        <v>970</v>
      </c>
      <c r="J1274" t="s">
        <v>971</v>
      </c>
      <c r="K1274" t="s">
        <v>972</v>
      </c>
      <c r="L1274">
        <v>40364.18</v>
      </c>
      <c r="M1274">
        <f t="shared" si="19"/>
        <v>224823.19</v>
      </c>
    </row>
    <row r="1275" spans="1:13" x14ac:dyDescent="0.25">
      <c r="A1275" t="s">
        <v>689</v>
      </c>
      <c r="B1275" t="s">
        <v>1388</v>
      </c>
      <c r="C1275" t="s">
        <v>975</v>
      </c>
      <c r="D1275" t="s">
        <v>1028</v>
      </c>
      <c r="E1275" t="s">
        <v>980</v>
      </c>
      <c r="F1275" t="s">
        <v>967</v>
      </c>
      <c r="G1275" t="s">
        <v>968</v>
      </c>
      <c r="H1275" t="s">
        <v>969</v>
      </c>
      <c r="I1275" t="s">
        <v>970</v>
      </c>
      <c r="J1275" t="s">
        <v>971</v>
      </c>
      <c r="K1275" t="s">
        <v>972</v>
      </c>
      <c r="L1275">
        <v>37746.35</v>
      </c>
      <c r="M1275">
        <f t="shared" si="19"/>
        <v>224823.19</v>
      </c>
    </row>
    <row r="1276" spans="1:13" x14ac:dyDescent="0.25">
      <c r="A1276" t="s">
        <v>807</v>
      </c>
      <c r="B1276" t="s">
        <v>1027</v>
      </c>
      <c r="C1276" t="s">
        <v>975</v>
      </c>
      <c r="D1276" t="s">
        <v>1028</v>
      </c>
      <c r="E1276" t="s">
        <v>977</v>
      </c>
      <c r="F1276" t="s">
        <v>967</v>
      </c>
      <c r="G1276" t="s">
        <v>968</v>
      </c>
      <c r="H1276" t="s">
        <v>969</v>
      </c>
      <c r="I1276" t="s">
        <v>970</v>
      </c>
      <c r="J1276" t="s">
        <v>971</v>
      </c>
      <c r="K1276" t="s">
        <v>972</v>
      </c>
      <c r="L1276">
        <v>51267.72</v>
      </c>
      <c r="M1276">
        <f t="shared" si="19"/>
        <v>224823.19</v>
      </c>
    </row>
    <row r="1277" spans="1:13" x14ac:dyDescent="0.25">
      <c r="A1277" t="s">
        <v>907</v>
      </c>
      <c r="B1277" t="s">
        <v>1174</v>
      </c>
      <c r="C1277" t="s">
        <v>975</v>
      </c>
      <c r="D1277" t="s">
        <v>1164</v>
      </c>
      <c r="E1277" t="s">
        <v>980</v>
      </c>
      <c r="F1277" t="s">
        <v>967</v>
      </c>
      <c r="G1277" t="s">
        <v>968</v>
      </c>
      <c r="H1277" t="s">
        <v>969</v>
      </c>
      <c r="I1277" t="s">
        <v>970</v>
      </c>
      <c r="J1277" t="s">
        <v>971</v>
      </c>
      <c r="K1277" t="s">
        <v>972</v>
      </c>
      <c r="L1277">
        <v>45386.79</v>
      </c>
      <c r="M1277">
        <f t="shared" si="19"/>
        <v>224823.19</v>
      </c>
    </row>
    <row r="1278" spans="1:13" x14ac:dyDescent="0.25">
      <c r="A1278" t="s">
        <v>321</v>
      </c>
      <c r="B1278" t="s">
        <v>1045</v>
      </c>
      <c r="C1278" t="s">
        <v>975</v>
      </c>
      <c r="D1278" t="s">
        <v>1028</v>
      </c>
      <c r="E1278" t="s">
        <v>977</v>
      </c>
      <c r="F1278" t="s">
        <v>967</v>
      </c>
      <c r="G1278" t="s">
        <v>968</v>
      </c>
      <c r="H1278" t="s">
        <v>969</v>
      </c>
      <c r="I1278" t="s">
        <v>970</v>
      </c>
      <c r="J1278" t="s">
        <v>971</v>
      </c>
      <c r="K1278" t="s">
        <v>972</v>
      </c>
      <c r="L1278">
        <v>50058.15</v>
      </c>
      <c r="M1278">
        <f t="shared" si="19"/>
        <v>224823.19</v>
      </c>
    </row>
    <row r="1279" spans="1:13" x14ac:dyDescent="0.25">
      <c r="A1279" t="s">
        <v>20</v>
      </c>
      <c r="B1279" t="s">
        <v>1123</v>
      </c>
      <c r="C1279" t="s">
        <v>975</v>
      </c>
      <c r="D1279" t="s">
        <v>1012</v>
      </c>
      <c r="E1279" t="s">
        <v>977</v>
      </c>
      <c r="F1279" t="s">
        <v>967</v>
      </c>
      <c r="G1279" t="s">
        <v>968</v>
      </c>
      <c r="H1279" t="s">
        <v>969</v>
      </c>
      <c r="I1279" t="s">
        <v>970</v>
      </c>
      <c r="J1279" t="s">
        <v>971</v>
      </c>
      <c r="K1279" t="s">
        <v>972</v>
      </c>
      <c r="L1279">
        <v>46259.97</v>
      </c>
      <c r="M1279">
        <f t="shared" si="19"/>
        <v>235745.69000000003</v>
      </c>
    </row>
    <row r="1280" spans="1:13" x14ac:dyDescent="0.25">
      <c r="A1280" t="s">
        <v>106</v>
      </c>
      <c r="B1280" t="s">
        <v>1122</v>
      </c>
      <c r="C1280" t="s">
        <v>964</v>
      </c>
      <c r="D1280" t="s">
        <v>1012</v>
      </c>
      <c r="E1280" t="s">
        <v>977</v>
      </c>
      <c r="F1280" t="s">
        <v>967</v>
      </c>
      <c r="G1280" t="s">
        <v>968</v>
      </c>
      <c r="H1280" t="s">
        <v>969</v>
      </c>
      <c r="I1280" t="s">
        <v>970</v>
      </c>
      <c r="J1280" t="s">
        <v>971</v>
      </c>
      <c r="K1280" t="s">
        <v>972</v>
      </c>
      <c r="L1280">
        <v>46260.01</v>
      </c>
      <c r="M1280">
        <f t="shared" si="19"/>
        <v>235745.69000000003</v>
      </c>
    </row>
    <row r="1281" spans="1:13" x14ac:dyDescent="0.25">
      <c r="A1281" t="s">
        <v>159</v>
      </c>
      <c r="B1281" t="s">
        <v>1034</v>
      </c>
      <c r="C1281" t="s">
        <v>975</v>
      </c>
      <c r="D1281" t="s">
        <v>1035</v>
      </c>
      <c r="E1281" t="s">
        <v>977</v>
      </c>
      <c r="F1281" t="s">
        <v>967</v>
      </c>
      <c r="G1281" t="s">
        <v>968</v>
      </c>
      <c r="H1281" t="s">
        <v>969</v>
      </c>
      <c r="I1281" t="s">
        <v>970</v>
      </c>
      <c r="J1281" t="s">
        <v>971</v>
      </c>
      <c r="K1281" t="s">
        <v>972</v>
      </c>
      <c r="L1281">
        <v>50988.57</v>
      </c>
      <c r="M1281">
        <f t="shared" si="19"/>
        <v>235745.69000000003</v>
      </c>
    </row>
    <row r="1282" spans="1:13" x14ac:dyDescent="0.25">
      <c r="A1282" t="s">
        <v>65</v>
      </c>
      <c r="B1282" t="s">
        <v>1107</v>
      </c>
      <c r="C1282" t="s">
        <v>975</v>
      </c>
      <c r="D1282" t="s">
        <v>1028</v>
      </c>
      <c r="E1282" t="s">
        <v>977</v>
      </c>
      <c r="F1282" t="s">
        <v>967</v>
      </c>
      <c r="G1282" t="s">
        <v>968</v>
      </c>
      <c r="H1282" t="s">
        <v>969</v>
      </c>
      <c r="I1282" t="s">
        <v>970</v>
      </c>
      <c r="J1282" t="s">
        <v>971</v>
      </c>
      <c r="K1282" t="s">
        <v>972</v>
      </c>
      <c r="L1282">
        <v>47866.67</v>
      </c>
      <c r="M1282">
        <f t="shared" si="19"/>
        <v>235745.69000000003</v>
      </c>
    </row>
    <row r="1283" spans="1:13" x14ac:dyDescent="0.25">
      <c r="A1283" t="s">
        <v>42</v>
      </c>
      <c r="B1283" t="s">
        <v>1210</v>
      </c>
      <c r="C1283" t="s">
        <v>975</v>
      </c>
      <c r="D1283" t="s">
        <v>989</v>
      </c>
      <c r="E1283" t="s">
        <v>977</v>
      </c>
      <c r="F1283" t="s">
        <v>967</v>
      </c>
      <c r="G1283" t="s">
        <v>968</v>
      </c>
      <c r="H1283" t="s">
        <v>969</v>
      </c>
      <c r="I1283" t="s">
        <v>970</v>
      </c>
      <c r="J1283" t="s">
        <v>971</v>
      </c>
      <c r="K1283" t="s">
        <v>972</v>
      </c>
      <c r="L1283">
        <v>44370.47</v>
      </c>
      <c r="M1283">
        <f t="shared" ref="M1283:M1346" si="20">+SUMIF(A:A,A1283,L:L)</f>
        <v>235745.69000000003</v>
      </c>
    </row>
    <row r="1284" spans="1:13" x14ac:dyDescent="0.25">
      <c r="A1284" t="s">
        <v>712</v>
      </c>
      <c r="B1284" t="s">
        <v>1013</v>
      </c>
      <c r="C1284" t="s">
        <v>964</v>
      </c>
      <c r="D1284" t="s">
        <v>1012</v>
      </c>
      <c r="E1284" t="s">
        <v>966</v>
      </c>
      <c r="F1284" t="s">
        <v>967</v>
      </c>
      <c r="G1284" t="s">
        <v>968</v>
      </c>
      <c r="H1284" t="s">
        <v>969</v>
      </c>
      <c r="I1284" t="s">
        <v>970</v>
      </c>
      <c r="J1284" t="s">
        <v>971</v>
      </c>
      <c r="K1284" t="s">
        <v>972</v>
      </c>
      <c r="L1284">
        <v>53167.95</v>
      </c>
      <c r="M1284">
        <f t="shared" si="20"/>
        <v>409146.01000000007</v>
      </c>
    </row>
    <row r="1285" spans="1:13" x14ac:dyDescent="0.25">
      <c r="A1285" t="s">
        <v>639</v>
      </c>
      <c r="B1285" t="s">
        <v>2460</v>
      </c>
      <c r="C1285" t="s">
        <v>988</v>
      </c>
      <c r="D1285" t="s">
        <v>989</v>
      </c>
      <c r="E1285" t="s">
        <v>977</v>
      </c>
      <c r="F1285" t="s">
        <v>967</v>
      </c>
      <c r="G1285" t="s">
        <v>968</v>
      </c>
      <c r="H1285" t="s">
        <v>2390</v>
      </c>
      <c r="I1285" t="s">
        <v>970</v>
      </c>
      <c r="J1285" t="s">
        <v>971</v>
      </c>
      <c r="K1285" t="s">
        <v>972</v>
      </c>
      <c r="L1285">
        <v>460.24</v>
      </c>
      <c r="M1285">
        <f t="shared" si="20"/>
        <v>409146.01000000007</v>
      </c>
    </row>
    <row r="1286" spans="1:13" x14ac:dyDescent="0.25">
      <c r="A1286" t="s">
        <v>639</v>
      </c>
      <c r="B1286" t="s">
        <v>2461</v>
      </c>
      <c r="C1286" t="s">
        <v>988</v>
      </c>
      <c r="D1286" t="s">
        <v>989</v>
      </c>
      <c r="E1286" t="s">
        <v>977</v>
      </c>
      <c r="F1286" t="s">
        <v>967</v>
      </c>
      <c r="G1286" t="s">
        <v>968</v>
      </c>
      <c r="H1286" t="s">
        <v>2390</v>
      </c>
      <c r="I1286" t="s">
        <v>970</v>
      </c>
      <c r="J1286" t="s">
        <v>971</v>
      </c>
      <c r="K1286" t="s">
        <v>972</v>
      </c>
      <c r="L1286">
        <v>460.24</v>
      </c>
      <c r="M1286">
        <f t="shared" si="20"/>
        <v>409146.01000000007</v>
      </c>
    </row>
    <row r="1287" spans="1:13" x14ac:dyDescent="0.25">
      <c r="A1287" t="s">
        <v>318</v>
      </c>
      <c r="B1287" t="s">
        <v>1048</v>
      </c>
      <c r="C1287" t="s">
        <v>975</v>
      </c>
      <c r="D1287" t="s">
        <v>1049</v>
      </c>
      <c r="E1287" t="s">
        <v>980</v>
      </c>
      <c r="F1287" t="s">
        <v>967</v>
      </c>
      <c r="G1287" t="s">
        <v>968</v>
      </c>
      <c r="H1287" t="s">
        <v>969</v>
      </c>
      <c r="I1287" t="s">
        <v>970</v>
      </c>
      <c r="J1287" t="s">
        <v>971</v>
      </c>
      <c r="K1287" t="s">
        <v>972</v>
      </c>
      <c r="L1287">
        <v>49528.37</v>
      </c>
      <c r="M1287">
        <f t="shared" si="20"/>
        <v>409146.01000000007</v>
      </c>
    </row>
    <row r="1288" spans="1:13" x14ac:dyDescent="0.25">
      <c r="A1288" t="s">
        <v>452</v>
      </c>
      <c r="B1288" t="s">
        <v>1169</v>
      </c>
      <c r="C1288" t="s">
        <v>975</v>
      </c>
      <c r="D1288" t="s">
        <v>1012</v>
      </c>
      <c r="E1288" t="s">
        <v>977</v>
      </c>
      <c r="F1288" t="s">
        <v>967</v>
      </c>
      <c r="G1288" t="s">
        <v>968</v>
      </c>
      <c r="H1288" t="s">
        <v>969</v>
      </c>
      <c r="I1288" t="s">
        <v>970</v>
      </c>
      <c r="J1288" t="s">
        <v>971</v>
      </c>
      <c r="K1288" t="s">
        <v>972</v>
      </c>
      <c r="L1288">
        <v>45886.2</v>
      </c>
      <c r="M1288">
        <f t="shared" si="20"/>
        <v>409146.01000000007</v>
      </c>
    </row>
    <row r="1289" spans="1:13" x14ac:dyDescent="0.25">
      <c r="A1289" t="s">
        <v>449</v>
      </c>
      <c r="B1289" t="s">
        <v>1011</v>
      </c>
      <c r="C1289" t="s">
        <v>964</v>
      </c>
      <c r="D1289" t="s">
        <v>1012</v>
      </c>
      <c r="E1289" t="s">
        <v>966</v>
      </c>
      <c r="F1289" t="s">
        <v>967</v>
      </c>
      <c r="G1289" t="s">
        <v>968</v>
      </c>
      <c r="H1289" t="s">
        <v>969</v>
      </c>
      <c r="I1289" t="s">
        <v>970</v>
      </c>
      <c r="J1289" t="s">
        <v>971</v>
      </c>
      <c r="K1289" t="s">
        <v>972</v>
      </c>
      <c r="L1289">
        <v>53167.95</v>
      </c>
      <c r="M1289">
        <f t="shared" si="20"/>
        <v>409146.01000000007</v>
      </c>
    </row>
    <row r="1290" spans="1:13" x14ac:dyDescent="0.25">
      <c r="A1290" t="s">
        <v>449</v>
      </c>
      <c r="B1290" t="s">
        <v>1014</v>
      </c>
      <c r="C1290" t="s">
        <v>964</v>
      </c>
      <c r="D1290" t="s">
        <v>1012</v>
      </c>
      <c r="E1290" t="s">
        <v>966</v>
      </c>
      <c r="F1290" t="s">
        <v>967</v>
      </c>
      <c r="G1290" t="s">
        <v>968</v>
      </c>
      <c r="H1290" t="s">
        <v>969</v>
      </c>
      <c r="I1290" t="s">
        <v>970</v>
      </c>
      <c r="J1290" t="s">
        <v>971</v>
      </c>
      <c r="K1290" t="s">
        <v>972</v>
      </c>
      <c r="L1290">
        <v>53167.95</v>
      </c>
      <c r="M1290">
        <f t="shared" si="20"/>
        <v>409146.01000000007</v>
      </c>
    </row>
    <row r="1291" spans="1:13" x14ac:dyDescent="0.25">
      <c r="A1291" t="s">
        <v>449</v>
      </c>
      <c r="B1291" t="s">
        <v>1015</v>
      </c>
      <c r="C1291" t="s">
        <v>964</v>
      </c>
      <c r="D1291" t="s">
        <v>1012</v>
      </c>
      <c r="E1291" t="s">
        <v>966</v>
      </c>
      <c r="F1291" t="s">
        <v>967</v>
      </c>
      <c r="G1291" t="s">
        <v>968</v>
      </c>
      <c r="H1291" t="s">
        <v>969</v>
      </c>
      <c r="I1291" t="s">
        <v>970</v>
      </c>
      <c r="J1291" t="s">
        <v>971</v>
      </c>
      <c r="K1291" t="s">
        <v>972</v>
      </c>
      <c r="L1291">
        <v>53167.95</v>
      </c>
      <c r="M1291">
        <f t="shared" si="20"/>
        <v>409146.01000000007</v>
      </c>
    </row>
    <row r="1292" spans="1:13" x14ac:dyDescent="0.25">
      <c r="A1292" t="s">
        <v>449</v>
      </c>
      <c r="B1292" t="s">
        <v>1016</v>
      </c>
      <c r="C1292" t="s">
        <v>964</v>
      </c>
      <c r="D1292" t="s">
        <v>1012</v>
      </c>
      <c r="E1292" t="s">
        <v>966</v>
      </c>
      <c r="F1292" t="s">
        <v>967</v>
      </c>
      <c r="G1292" t="s">
        <v>968</v>
      </c>
      <c r="H1292" t="s">
        <v>969</v>
      </c>
      <c r="I1292" t="s">
        <v>970</v>
      </c>
      <c r="J1292" t="s">
        <v>971</v>
      </c>
      <c r="K1292" t="s">
        <v>972</v>
      </c>
      <c r="L1292">
        <v>53167.95</v>
      </c>
      <c r="M1292">
        <f t="shared" si="20"/>
        <v>409146.01000000007</v>
      </c>
    </row>
    <row r="1293" spans="1:13" x14ac:dyDescent="0.25">
      <c r="A1293" t="s">
        <v>768</v>
      </c>
      <c r="B1293" t="s">
        <v>1115</v>
      </c>
      <c r="C1293" t="s">
        <v>975</v>
      </c>
      <c r="D1293" t="s">
        <v>1049</v>
      </c>
      <c r="E1293" t="s">
        <v>980</v>
      </c>
      <c r="F1293" t="s">
        <v>967</v>
      </c>
      <c r="G1293" t="s">
        <v>968</v>
      </c>
      <c r="H1293" t="s">
        <v>969</v>
      </c>
      <c r="I1293" t="s">
        <v>970</v>
      </c>
      <c r="J1293" t="s">
        <v>971</v>
      </c>
      <c r="K1293" t="s">
        <v>972</v>
      </c>
      <c r="L1293">
        <v>46971.21</v>
      </c>
      <c r="M1293">
        <f t="shared" si="20"/>
        <v>409146.01000000007</v>
      </c>
    </row>
    <row r="1294" spans="1:13" x14ac:dyDescent="0.25">
      <c r="A1294" t="s">
        <v>271</v>
      </c>
      <c r="B1294" t="s">
        <v>2260</v>
      </c>
      <c r="C1294" t="s">
        <v>988</v>
      </c>
      <c r="D1294" t="s">
        <v>989</v>
      </c>
      <c r="E1294" t="s">
        <v>980</v>
      </c>
      <c r="F1294" t="s">
        <v>967</v>
      </c>
      <c r="G1294" t="s">
        <v>968</v>
      </c>
      <c r="H1294" t="s">
        <v>969</v>
      </c>
      <c r="I1294" t="s">
        <v>970</v>
      </c>
      <c r="J1294" t="s">
        <v>971</v>
      </c>
      <c r="K1294" t="s">
        <v>972</v>
      </c>
      <c r="L1294">
        <v>1875.77</v>
      </c>
      <c r="M1294">
        <f t="shared" si="20"/>
        <v>49922.89</v>
      </c>
    </row>
    <row r="1295" spans="1:13" x14ac:dyDescent="0.25">
      <c r="A1295" t="s">
        <v>543</v>
      </c>
      <c r="B1295" t="s">
        <v>1211</v>
      </c>
      <c r="C1295" t="s">
        <v>975</v>
      </c>
      <c r="D1295" t="s">
        <v>989</v>
      </c>
      <c r="E1295" t="s">
        <v>977</v>
      </c>
      <c r="F1295" t="s">
        <v>967</v>
      </c>
      <c r="G1295" t="s">
        <v>968</v>
      </c>
      <c r="H1295" t="s">
        <v>969</v>
      </c>
      <c r="I1295" t="s">
        <v>970</v>
      </c>
      <c r="J1295" t="s">
        <v>971</v>
      </c>
      <c r="K1295" t="s">
        <v>972</v>
      </c>
      <c r="L1295">
        <v>44304.160000000003</v>
      </c>
      <c r="M1295">
        <f t="shared" si="20"/>
        <v>49922.89</v>
      </c>
    </row>
    <row r="1296" spans="1:13" x14ac:dyDescent="0.25">
      <c r="A1296" t="s">
        <v>195</v>
      </c>
      <c r="B1296" t="s">
        <v>2264</v>
      </c>
      <c r="C1296" t="s">
        <v>988</v>
      </c>
      <c r="D1296" t="s">
        <v>1079</v>
      </c>
      <c r="E1296" t="s">
        <v>977</v>
      </c>
      <c r="F1296" t="s">
        <v>967</v>
      </c>
      <c r="G1296" t="s">
        <v>968</v>
      </c>
      <c r="H1296" t="s">
        <v>969</v>
      </c>
      <c r="I1296" t="s">
        <v>970</v>
      </c>
      <c r="J1296" t="s">
        <v>971</v>
      </c>
      <c r="K1296" t="s">
        <v>972</v>
      </c>
      <c r="L1296">
        <v>1855.37</v>
      </c>
      <c r="M1296">
        <f t="shared" si="20"/>
        <v>49922.89</v>
      </c>
    </row>
    <row r="1297" spans="1:13" x14ac:dyDescent="0.25">
      <c r="A1297" t="s">
        <v>118</v>
      </c>
      <c r="B1297" t="s">
        <v>2259</v>
      </c>
      <c r="C1297" t="s">
        <v>988</v>
      </c>
      <c r="D1297" t="s">
        <v>1012</v>
      </c>
      <c r="E1297" t="s">
        <v>977</v>
      </c>
      <c r="F1297" t="s">
        <v>967</v>
      </c>
      <c r="G1297" t="s">
        <v>968</v>
      </c>
      <c r="H1297" t="s">
        <v>969</v>
      </c>
      <c r="I1297" t="s">
        <v>970</v>
      </c>
      <c r="J1297" t="s">
        <v>971</v>
      </c>
      <c r="K1297" t="s">
        <v>972</v>
      </c>
      <c r="L1297">
        <v>1887.59</v>
      </c>
      <c r="M1297">
        <f t="shared" si="20"/>
        <v>49922.89</v>
      </c>
    </row>
    <row r="1298" spans="1:13" x14ac:dyDescent="0.25">
      <c r="A1298" t="s">
        <v>474</v>
      </c>
      <c r="B1298" t="s">
        <v>1182</v>
      </c>
      <c r="C1298" t="s">
        <v>975</v>
      </c>
      <c r="D1298" t="s">
        <v>1047</v>
      </c>
      <c r="E1298" t="s">
        <v>977</v>
      </c>
      <c r="F1298" t="s">
        <v>967</v>
      </c>
      <c r="G1298" t="s">
        <v>968</v>
      </c>
      <c r="H1298" t="s">
        <v>969</v>
      </c>
      <c r="I1298" t="s">
        <v>970</v>
      </c>
      <c r="J1298" t="s">
        <v>971</v>
      </c>
      <c r="K1298" t="s">
        <v>972</v>
      </c>
      <c r="L1298">
        <v>44940.63</v>
      </c>
      <c r="M1298">
        <f t="shared" si="20"/>
        <v>93532.76</v>
      </c>
    </row>
    <row r="1299" spans="1:13" x14ac:dyDescent="0.25">
      <c r="A1299" t="s">
        <v>389</v>
      </c>
      <c r="B1299" t="s">
        <v>2267</v>
      </c>
      <c r="C1299" t="s">
        <v>988</v>
      </c>
      <c r="D1299" t="s">
        <v>1047</v>
      </c>
      <c r="E1299" t="s">
        <v>977</v>
      </c>
      <c r="F1299" t="s">
        <v>967</v>
      </c>
      <c r="G1299" t="s">
        <v>968</v>
      </c>
      <c r="H1299" t="s">
        <v>969</v>
      </c>
      <c r="I1299" t="s">
        <v>970</v>
      </c>
      <c r="J1299" t="s">
        <v>971</v>
      </c>
      <c r="K1299" t="s">
        <v>972</v>
      </c>
      <c r="L1299">
        <v>1820.14</v>
      </c>
      <c r="M1299">
        <f t="shared" si="20"/>
        <v>93532.76</v>
      </c>
    </row>
    <row r="1300" spans="1:13" x14ac:dyDescent="0.25">
      <c r="A1300" t="s">
        <v>116</v>
      </c>
      <c r="B1300" t="s">
        <v>1119</v>
      </c>
      <c r="C1300" t="s">
        <v>975</v>
      </c>
      <c r="D1300" t="s">
        <v>1047</v>
      </c>
      <c r="E1300" t="s">
        <v>980</v>
      </c>
      <c r="F1300" t="s">
        <v>967</v>
      </c>
      <c r="G1300" t="s">
        <v>968</v>
      </c>
      <c r="H1300" t="s">
        <v>969</v>
      </c>
      <c r="I1300" t="s">
        <v>970</v>
      </c>
      <c r="J1300" t="s">
        <v>971</v>
      </c>
      <c r="K1300" t="s">
        <v>972</v>
      </c>
      <c r="L1300">
        <v>46771.99</v>
      </c>
      <c r="M1300">
        <f t="shared" si="20"/>
        <v>93532.76</v>
      </c>
    </row>
    <row r="1301" spans="1:13" x14ac:dyDescent="0.25">
      <c r="A1301" t="s">
        <v>68</v>
      </c>
      <c r="B1301" t="s">
        <v>987</v>
      </c>
      <c r="C1301" t="s">
        <v>988</v>
      </c>
      <c r="D1301" t="s">
        <v>989</v>
      </c>
      <c r="E1301" t="s">
        <v>977</v>
      </c>
      <c r="F1301" t="s">
        <v>967</v>
      </c>
      <c r="G1301" t="s">
        <v>968</v>
      </c>
      <c r="H1301" t="s">
        <v>969</v>
      </c>
      <c r="I1301" t="s">
        <v>970</v>
      </c>
      <c r="J1301" t="s">
        <v>971</v>
      </c>
      <c r="K1301" t="s">
        <v>972</v>
      </c>
      <c r="L1301">
        <v>1754</v>
      </c>
      <c r="M1301">
        <f t="shared" si="20"/>
        <v>422059.22</v>
      </c>
    </row>
    <row r="1302" spans="1:13" x14ac:dyDescent="0.25">
      <c r="A1302" t="s">
        <v>924</v>
      </c>
      <c r="B1302" t="s">
        <v>1010</v>
      </c>
      <c r="C1302" t="s">
        <v>975</v>
      </c>
      <c r="D1302" t="s">
        <v>1007</v>
      </c>
      <c r="E1302" t="s">
        <v>977</v>
      </c>
      <c r="F1302" t="s">
        <v>967</v>
      </c>
      <c r="G1302" t="s">
        <v>968</v>
      </c>
      <c r="H1302" t="s">
        <v>969</v>
      </c>
      <c r="I1302" t="s">
        <v>970</v>
      </c>
      <c r="J1302" t="s">
        <v>971</v>
      </c>
      <c r="K1302" t="s">
        <v>972</v>
      </c>
      <c r="L1302">
        <v>54881.919999999998</v>
      </c>
      <c r="M1302">
        <f t="shared" si="20"/>
        <v>422059.22</v>
      </c>
    </row>
    <row r="1303" spans="1:13" x14ac:dyDescent="0.25">
      <c r="A1303" t="s">
        <v>945</v>
      </c>
      <c r="B1303" t="s">
        <v>2330</v>
      </c>
      <c r="C1303" t="s">
        <v>988</v>
      </c>
      <c r="D1303" t="s">
        <v>1049</v>
      </c>
      <c r="E1303" t="s">
        <v>977</v>
      </c>
      <c r="F1303" t="s">
        <v>967</v>
      </c>
      <c r="G1303" t="s">
        <v>968</v>
      </c>
      <c r="H1303" t="s">
        <v>969</v>
      </c>
      <c r="I1303" t="s">
        <v>970</v>
      </c>
      <c r="J1303" t="s">
        <v>971</v>
      </c>
      <c r="K1303" t="s">
        <v>972</v>
      </c>
      <c r="L1303">
        <v>1147.03</v>
      </c>
      <c r="M1303">
        <f t="shared" si="20"/>
        <v>422059.22</v>
      </c>
    </row>
    <row r="1304" spans="1:13" x14ac:dyDescent="0.25">
      <c r="A1304" t="s">
        <v>568</v>
      </c>
      <c r="B1304" t="s">
        <v>1008</v>
      </c>
      <c r="C1304" t="s">
        <v>975</v>
      </c>
      <c r="D1304" t="s">
        <v>1007</v>
      </c>
      <c r="E1304" t="s">
        <v>977</v>
      </c>
      <c r="F1304" t="s">
        <v>967</v>
      </c>
      <c r="G1304" t="s">
        <v>968</v>
      </c>
      <c r="H1304" t="s">
        <v>969</v>
      </c>
      <c r="I1304" t="s">
        <v>970</v>
      </c>
      <c r="J1304" t="s">
        <v>971</v>
      </c>
      <c r="K1304" t="s">
        <v>972</v>
      </c>
      <c r="L1304">
        <v>54881.919999999998</v>
      </c>
      <c r="M1304">
        <f t="shared" si="20"/>
        <v>422059.22</v>
      </c>
    </row>
    <row r="1305" spans="1:13" x14ac:dyDescent="0.25">
      <c r="A1305" t="s">
        <v>654</v>
      </c>
      <c r="B1305" t="s">
        <v>1006</v>
      </c>
      <c r="C1305" t="s">
        <v>975</v>
      </c>
      <c r="D1305" t="s">
        <v>1007</v>
      </c>
      <c r="E1305" t="s">
        <v>977</v>
      </c>
      <c r="F1305" t="s">
        <v>967</v>
      </c>
      <c r="G1305" t="s">
        <v>968</v>
      </c>
      <c r="H1305" t="s">
        <v>969</v>
      </c>
      <c r="I1305" t="s">
        <v>970</v>
      </c>
      <c r="J1305" t="s">
        <v>971</v>
      </c>
      <c r="K1305" t="s">
        <v>972</v>
      </c>
      <c r="L1305">
        <v>54881.919999999998</v>
      </c>
      <c r="M1305">
        <f t="shared" si="20"/>
        <v>422059.22</v>
      </c>
    </row>
    <row r="1306" spans="1:13" x14ac:dyDescent="0.25">
      <c r="A1306" t="s">
        <v>603</v>
      </c>
      <c r="B1306" t="s">
        <v>1009</v>
      </c>
      <c r="C1306" t="s">
        <v>975</v>
      </c>
      <c r="D1306" t="s">
        <v>1007</v>
      </c>
      <c r="E1306" t="s">
        <v>977</v>
      </c>
      <c r="F1306" t="s">
        <v>967</v>
      </c>
      <c r="G1306" t="s">
        <v>968</v>
      </c>
      <c r="H1306" t="s">
        <v>969</v>
      </c>
      <c r="I1306" t="s">
        <v>970</v>
      </c>
      <c r="J1306" t="s">
        <v>971</v>
      </c>
      <c r="K1306" t="s">
        <v>972</v>
      </c>
      <c r="L1306">
        <v>54881.919999999998</v>
      </c>
      <c r="M1306">
        <f t="shared" si="20"/>
        <v>422059.22</v>
      </c>
    </row>
    <row r="1307" spans="1:13" x14ac:dyDescent="0.25">
      <c r="A1307" t="s">
        <v>457</v>
      </c>
      <c r="B1307" t="s">
        <v>1029</v>
      </c>
      <c r="C1307" t="s">
        <v>975</v>
      </c>
      <c r="D1307" t="s">
        <v>989</v>
      </c>
      <c r="E1307" t="s">
        <v>977</v>
      </c>
      <c r="F1307" t="s">
        <v>967</v>
      </c>
      <c r="G1307" t="s">
        <v>968</v>
      </c>
      <c r="H1307" t="s">
        <v>969</v>
      </c>
      <c r="I1307" t="s">
        <v>970</v>
      </c>
      <c r="J1307" t="s">
        <v>971</v>
      </c>
      <c r="K1307" t="s">
        <v>972</v>
      </c>
      <c r="L1307">
        <v>51075.19</v>
      </c>
      <c r="M1307">
        <f t="shared" si="20"/>
        <v>422059.22</v>
      </c>
    </row>
    <row r="1308" spans="1:13" x14ac:dyDescent="0.25">
      <c r="A1308" t="s">
        <v>880</v>
      </c>
      <c r="B1308" t="s">
        <v>1030</v>
      </c>
      <c r="C1308" t="s">
        <v>975</v>
      </c>
      <c r="D1308" t="s">
        <v>989</v>
      </c>
      <c r="E1308" t="s">
        <v>977</v>
      </c>
      <c r="F1308" t="s">
        <v>967</v>
      </c>
      <c r="G1308" t="s">
        <v>968</v>
      </c>
      <c r="H1308" t="s">
        <v>969</v>
      </c>
      <c r="I1308" t="s">
        <v>970</v>
      </c>
      <c r="J1308" t="s">
        <v>971</v>
      </c>
      <c r="K1308" t="s">
        <v>972</v>
      </c>
      <c r="L1308">
        <v>51075.19</v>
      </c>
      <c r="M1308">
        <f t="shared" si="20"/>
        <v>422059.22</v>
      </c>
    </row>
    <row r="1309" spans="1:13" x14ac:dyDescent="0.25">
      <c r="A1309" t="s">
        <v>417</v>
      </c>
      <c r="B1309" t="s">
        <v>1110</v>
      </c>
      <c r="C1309" t="s">
        <v>975</v>
      </c>
      <c r="D1309" t="s">
        <v>1047</v>
      </c>
      <c r="E1309" t="s">
        <v>977</v>
      </c>
      <c r="F1309" t="s">
        <v>967</v>
      </c>
      <c r="G1309" t="s">
        <v>968</v>
      </c>
      <c r="H1309" t="s">
        <v>969</v>
      </c>
      <c r="I1309" t="s">
        <v>970</v>
      </c>
      <c r="J1309" t="s">
        <v>971</v>
      </c>
      <c r="K1309" t="s">
        <v>972</v>
      </c>
      <c r="L1309">
        <v>47468.6</v>
      </c>
      <c r="M1309">
        <f t="shared" si="20"/>
        <v>422059.22</v>
      </c>
    </row>
    <row r="1310" spans="1:13" x14ac:dyDescent="0.25">
      <c r="A1310" t="s">
        <v>779</v>
      </c>
      <c r="B1310" t="s">
        <v>1046</v>
      </c>
      <c r="C1310" t="s">
        <v>975</v>
      </c>
      <c r="D1310" t="s">
        <v>1047</v>
      </c>
      <c r="E1310" t="s">
        <v>977</v>
      </c>
      <c r="F1310" t="s">
        <v>967</v>
      </c>
      <c r="G1310" t="s">
        <v>968</v>
      </c>
      <c r="H1310" t="s">
        <v>969</v>
      </c>
      <c r="I1310" t="s">
        <v>970</v>
      </c>
      <c r="J1310" t="s">
        <v>971</v>
      </c>
      <c r="K1310" t="s">
        <v>972</v>
      </c>
      <c r="L1310">
        <v>50011.53</v>
      </c>
      <c r="M1310">
        <f t="shared" si="20"/>
        <v>422059.22</v>
      </c>
    </row>
    <row r="1311" spans="1:13" x14ac:dyDescent="0.25">
      <c r="A1311" t="s">
        <v>348</v>
      </c>
      <c r="B1311" t="s">
        <v>1096</v>
      </c>
      <c r="C1311" t="s">
        <v>975</v>
      </c>
      <c r="D1311" t="s">
        <v>1049</v>
      </c>
      <c r="E1311" t="s">
        <v>977</v>
      </c>
      <c r="F1311" t="s">
        <v>967</v>
      </c>
      <c r="G1311" t="s">
        <v>968</v>
      </c>
      <c r="H1311" t="s">
        <v>969</v>
      </c>
      <c r="I1311" t="s">
        <v>970</v>
      </c>
      <c r="J1311" t="s">
        <v>971</v>
      </c>
      <c r="K1311" t="s">
        <v>972</v>
      </c>
      <c r="L1311">
        <v>48000.54</v>
      </c>
      <c r="M1311">
        <f t="shared" si="20"/>
        <v>55520.599999999991</v>
      </c>
    </row>
    <row r="1312" spans="1:13" x14ac:dyDescent="0.25">
      <c r="A1312" t="s">
        <v>578</v>
      </c>
      <c r="B1312" t="s">
        <v>2255</v>
      </c>
      <c r="C1312" t="s">
        <v>988</v>
      </c>
      <c r="D1312" t="s">
        <v>1047</v>
      </c>
      <c r="E1312" t="s">
        <v>977</v>
      </c>
      <c r="F1312" t="s">
        <v>967</v>
      </c>
      <c r="G1312" t="s">
        <v>968</v>
      </c>
      <c r="H1312" t="s">
        <v>969</v>
      </c>
      <c r="I1312" t="s">
        <v>970</v>
      </c>
      <c r="J1312" t="s">
        <v>971</v>
      </c>
      <c r="K1312" t="s">
        <v>972</v>
      </c>
      <c r="L1312">
        <v>1916.95</v>
      </c>
      <c r="M1312">
        <f t="shared" si="20"/>
        <v>55520.599999999991</v>
      </c>
    </row>
    <row r="1313" spans="1:13" x14ac:dyDescent="0.25">
      <c r="A1313" t="s">
        <v>578</v>
      </c>
      <c r="B1313" t="s">
        <v>2256</v>
      </c>
      <c r="C1313" t="s">
        <v>988</v>
      </c>
      <c r="D1313" t="s">
        <v>1047</v>
      </c>
      <c r="E1313" t="s">
        <v>977</v>
      </c>
      <c r="F1313" t="s">
        <v>967</v>
      </c>
      <c r="G1313" t="s">
        <v>968</v>
      </c>
      <c r="H1313" t="s">
        <v>969</v>
      </c>
      <c r="I1313" t="s">
        <v>970</v>
      </c>
      <c r="J1313" t="s">
        <v>971</v>
      </c>
      <c r="K1313" t="s">
        <v>972</v>
      </c>
      <c r="L1313">
        <v>1916.95</v>
      </c>
      <c r="M1313">
        <f t="shared" si="20"/>
        <v>55520.599999999991</v>
      </c>
    </row>
    <row r="1314" spans="1:13" x14ac:dyDescent="0.25">
      <c r="A1314" t="s">
        <v>578</v>
      </c>
      <c r="B1314" t="s">
        <v>2257</v>
      </c>
      <c r="C1314" t="s">
        <v>988</v>
      </c>
      <c r="D1314" t="s">
        <v>1047</v>
      </c>
      <c r="E1314" t="s">
        <v>977</v>
      </c>
      <c r="F1314" t="s">
        <v>967</v>
      </c>
      <c r="G1314" t="s">
        <v>968</v>
      </c>
      <c r="H1314" t="s">
        <v>969</v>
      </c>
      <c r="I1314" t="s">
        <v>970</v>
      </c>
      <c r="J1314" t="s">
        <v>971</v>
      </c>
      <c r="K1314" t="s">
        <v>972</v>
      </c>
      <c r="L1314">
        <v>1916.95</v>
      </c>
      <c r="M1314">
        <f t="shared" si="20"/>
        <v>55520.599999999991</v>
      </c>
    </row>
    <row r="1315" spans="1:13" x14ac:dyDescent="0.25">
      <c r="A1315" t="s">
        <v>627</v>
      </c>
      <c r="B1315" t="s">
        <v>2277</v>
      </c>
      <c r="C1315" t="s">
        <v>988</v>
      </c>
      <c r="D1315" t="s">
        <v>1047</v>
      </c>
      <c r="E1315" t="s">
        <v>977</v>
      </c>
      <c r="F1315" t="s">
        <v>967</v>
      </c>
      <c r="G1315" t="s">
        <v>968</v>
      </c>
      <c r="H1315" t="s">
        <v>969</v>
      </c>
      <c r="I1315" t="s">
        <v>970</v>
      </c>
      <c r="J1315" t="s">
        <v>971</v>
      </c>
      <c r="K1315" t="s">
        <v>972</v>
      </c>
      <c r="L1315">
        <v>1769.21</v>
      </c>
      <c r="M1315">
        <f t="shared" si="20"/>
        <v>55520.599999999991</v>
      </c>
    </row>
    <row r="1316" spans="1:13" x14ac:dyDescent="0.25">
      <c r="A1316" t="s">
        <v>168</v>
      </c>
      <c r="B1316" t="s">
        <v>2254</v>
      </c>
      <c r="C1316" t="s">
        <v>988</v>
      </c>
      <c r="D1316" t="s">
        <v>1047</v>
      </c>
      <c r="E1316" t="s">
        <v>977</v>
      </c>
      <c r="F1316" t="s">
        <v>967</v>
      </c>
      <c r="G1316" t="s">
        <v>968</v>
      </c>
      <c r="H1316" t="s">
        <v>969</v>
      </c>
      <c r="I1316" t="s">
        <v>970</v>
      </c>
      <c r="J1316" t="s">
        <v>971</v>
      </c>
      <c r="K1316" t="s">
        <v>972</v>
      </c>
      <c r="L1316">
        <v>1981.39</v>
      </c>
      <c r="M1316">
        <f t="shared" si="20"/>
        <v>298551.48000000004</v>
      </c>
    </row>
    <row r="1317" spans="1:13" x14ac:dyDescent="0.25">
      <c r="A1317" t="s">
        <v>339</v>
      </c>
      <c r="B1317" t="s">
        <v>1017</v>
      </c>
      <c r="C1317" t="s">
        <v>964</v>
      </c>
      <c r="D1317" t="s">
        <v>1018</v>
      </c>
      <c r="E1317" t="s">
        <v>977</v>
      </c>
      <c r="F1317" t="s">
        <v>967</v>
      </c>
      <c r="G1317" t="s">
        <v>968</v>
      </c>
      <c r="H1317" t="s">
        <v>969</v>
      </c>
      <c r="I1317" t="s">
        <v>970</v>
      </c>
      <c r="J1317" t="s">
        <v>971</v>
      </c>
      <c r="K1317" t="s">
        <v>972</v>
      </c>
      <c r="L1317">
        <v>52820.71</v>
      </c>
      <c r="M1317">
        <f t="shared" si="20"/>
        <v>298551.48000000004</v>
      </c>
    </row>
    <row r="1318" spans="1:13" x14ac:dyDescent="0.25">
      <c r="A1318" t="s">
        <v>339</v>
      </c>
      <c r="B1318" t="s">
        <v>1019</v>
      </c>
      <c r="C1318" t="s">
        <v>975</v>
      </c>
      <c r="D1318" t="s">
        <v>1018</v>
      </c>
      <c r="E1318" t="s">
        <v>977</v>
      </c>
      <c r="F1318" t="s">
        <v>967</v>
      </c>
      <c r="G1318" t="s">
        <v>968</v>
      </c>
      <c r="H1318" t="s">
        <v>969</v>
      </c>
      <c r="I1318" t="s">
        <v>970</v>
      </c>
      <c r="J1318" t="s">
        <v>971</v>
      </c>
      <c r="K1318" t="s">
        <v>972</v>
      </c>
      <c r="L1318">
        <v>52820.71</v>
      </c>
      <c r="M1318">
        <f t="shared" si="20"/>
        <v>298551.48000000004</v>
      </c>
    </row>
    <row r="1319" spans="1:13" x14ac:dyDescent="0.25">
      <c r="A1319" t="s">
        <v>339</v>
      </c>
      <c r="B1319" t="s">
        <v>1019</v>
      </c>
      <c r="C1319" t="s">
        <v>975</v>
      </c>
      <c r="D1319" t="s">
        <v>1018</v>
      </c>
      <c r="E1319" t="s">
        <v>977</v>
      </c>
      <c r="F1319" t="s">
        <v>967</v>
      </c>
      <c r="G1319" t="s">
        <v>968</v>
      </c>
      <c r="H1319" t="s">
        <v>969</v>
      </c>
      <c r="I1319" t="s">
        <v>970</v>
      </c>
      <c r="J1319" t="s">
        <v>971</v>
      </c>
      <c r="K1319" t="s">
        <v>972</v>
      </c>
      <c r="L1319">
        <v>52820.7</v>
      </c>
      <c r="M1319">
        <f t="shared" si="20"/>
        <v>298551.48000000004</v>
      </c>
    </row>
    <row r="1320" spans="1:13" x14ac:dyDescent="0.25">
      <c r="A1320" t="s">
        <v>339</v>
      </c>
      <c r="B1320" t="s">
        <v>1017</v>
      </c>
      <c r="C1320" t="s">
        <v>964</v>
      </c>
      <c r="D1320" t="s">
        <v>1018</v>
      </c>
      <c r="E1320" t="s">
        <v>977</v>
      </c>
      <c r="F1320" t="s">
        <v>967</v>
      </c>
      <c r="G1320" t="s">
        <v>968</v>
      </c>
      <c r="H1320" t="s">
        <v>969</v>
      </c>
      <c r="I1320" t="s">
        <v>970</v>
      </c>
      <c r="J1320" t="s">
        <v>971</v>
      </c>
      <c r="K1320" t="s">
        <v>972</v>
      </c>
      <c r="L1320">
        <v>52820.7</v>
      </c>
      <c r="M1320">
        <f t="shared" si="20"/>
        <v>298551.48000000004</v>
      </c>
    </row>
    <row r="1321" spans="1:13" x14ac:dyDescent="0.25">
      <c r="A1321" t="s">
        <v>749</v>
      </c>
      <c r="B1321" t="s">
        <v>2413</v>
      </c>
      <c r="C1321" t="s">
        <v>982</v>
      </c>
      <c r="D1321" t="s">
        <v>1035</v>
      </c>
      <c r="E1321" t="s">
        <v>977</v>
      </c>
      <c r="F1321" t="s">
        <v>967</v>
      </c>
      <c r="G1321" t="s">
        <v>968</v>
      </c>
      <c r="H1321" t="s">
        <v>2390</v>
      </c>
      <c r="I1321" t="s">
        <v>970</v>
      </c>
      <c r="J1321" t="s">
        <v>971</v>
      </c>
      <c r="K1321" t="s">
        <v>972</v>
      </c>
      <c r="L1321">
        <v>745.9</v>
      </c>
      <c r="M1321">
        <f t="shared" si="20"/>
        <v>298551.48000000004</v>
      </c>
    </row>
    <row r="1322" spans="1:13" x14ac:dyDescent="0.25">
      <c r="A1322" t="s">
        <v>490</v>
      </c>
      <c r="B1322" t="s">
        <v>1121</v>
      </c>
      <c r="C1322" t="s">
        <v>975</v>
      </c>
      <c r="D1322" t="s">
        <v>1035</v>
      </c>
      <c r="E1322" t="s">
        <v>977</v>
      </c>
      <c r="F1322" t="s">
        <v>967</v>
      </c>
      <c r="G1322" t="s">
        <v>968</v>
      </c>
      <c r="H1322" t="s">
        <v>969</v>
      </c>
      <c r="I1322" t="s">
        <v>970</v>
      </c>
      <c r="J1322" t="s">
        <v>971</v>
      </c>
      <c r="K1322" t="s">
        <v>972</v>
      </c>
      <c r="L1322">
        <v>46297.42</v>
      </c>
      <c r="M1322">
        <f t="shared" si="20"/>
        <v>298551.48000000004</v>
      </c>
    </row>
    <row r="1323" spans="1:13" x14ac:dyDescent="0.25">
      <c r="A1323" t="s">
        <v>645</v>
      </c>
      <c r="B1323" t="s">
        <v>1370</v>
      </c>
      <c r="C1323" t="s">
        <v>975</v>
      </c>
      <c r="D1323" t="s">
        <v>1371</v>
      </c>
      <c r="E1323" t="s">
        <v>977</v>
      </c>
      <c r="F1323" t="s">
        <v>967</v>
      </c>
      <c r="G1323" t="s">
        <v>968</v>
      </c>
      <c r="H1323" t="s">
        <v>969</v>
      </c>
      <c r="I1323" t="s">
        <v>970</v>
      </c>
      <c r="J1323" t="s">
        <v>971</v>
      </c>
      <c r="K1323" t="s">
        <v>972</v>
      </c>
      <c r="L1323">
        <v>38243.949999999997</v>
      </c>
      <c r="M1323">
        <f t="shared" si="20"/>
        <v>298551.48000000004</v>
      </c>
    </row>
    <row r="1324" spans="1:13" x14ac:dyDescent="0.25">
      <c r="A1324" t="s">
        <v>638</v>
      </c>
      <c r="B1324" t="s">
        <v>1218</v>
      </c>
      <c r="C1324" t="s">
        <v>975</v>
      </c>
      <c r="D1324" t="s">
        <v>1051</v>
      </c>
      <c r="E1324" t="s">
        <v>977</v>
      </c>
      <c r="F1324" t="s">
        <v>967</v>
      </c>
      <c r="G1324" t="s">
        <v>968</v>
      </c>
      <c r="H1324" t="s">
        <v>969</v>
      </c>
      <c r="I1324" t="s">
        <v>970</v>
      </c>
      <c r="J1324" t="s">
        <v>971</v>
      </c>
      <c r="K1324" t="s">
        <v>972</v>
      </c>
      <c r="L1324">
        <v>43816.4</v>
      </c>
      <c r="M1324">
        <f t="shared" si="20"/>
        <v>464020.78999999992</v>
      </c>
    </row>
    <row r="1325" spans="1:13" x14ac:dyDescent="0.25">
      <c r="A1325" t="s">
        <v>152</v>
      </c>
      <c r="B1325" t="s">
        <v>2284</v>
      </c>
      <c r="C1325" t="s">
        <v>988</v>
      </c>
      <c r="D1325" t="s">
        <v>2285</v>
      </c>
      <c r="E1325" t="s">
        <v>977</v>
      </c>
      <c r="F1325" t="s">
        <v>967</v>
      </c>
      <c r="G1325" t="s">
        <v>968</v>
      </c>
      <c r="H1325" t="s">
        <v>969</v>
      </c>
      <c r="I1325" t="s">
        <v>970</v>
      </c>
      <c r="J1325" t="s">
        <v>971</v>
      </c>
      <c r="K1325" t="s">
        <v>972</v>
      </c>
      <c r="L1325">
        <v>1756.15</v>
      </c>
      <c r="M1325">
        <f t="shared" si="20"/>
        <v>464020.78999999992</v>
      </c>
    </row>
    <row r="1326" spans="1:13" x14ac:dyDescent="0.25">
      <c r="A1326" t="s">
        <v>771</v>
      </c>
      <c r="B1326" t="s">
        <v>1272</v>
      </c>
      <c r="C1326" t="s">
        <v>975</v>
      </c>
      <c r="D1326" t="s">
        <v>1112</v>
      </c>
      <c r="E1326" t="s">
        <v>977</v>
      </c>
      <c r="F1326" t="s">
        <v>967</v>
      </c>
      <c r="G1326" t="s">
        <v>968</v>
      </c>
      <c r="H1326" t="s">
        <v>969</v>
      </c>
      <c r="I1326" t="s">
        <v>970</v>
      </c>
      <c r="J1326" t="s">
        <v>971</v>
      </c>
      <c r="K1326" t="s">
        <v>972</v>
      </c>
      <c r="L1326">
        <v>41925.01</v>
      </c>
      <c r="M1326">
        <f t="shared" si="20"/>
        <v>464020.78999999992</v>
      </c>
    </row>
    <row r="1327" spans="1:13" x14ac:dyDescent="0.25">
      <c r="A1327" t="s">
        <v>738</v>
      </c>
      <c r="B1327" t="s">
        <v>1111</v>
      </c>
      <c r="C1327" t="s">
        <v>975</v>
      </c>
      <c r="D1327" t="s">
        <v>1112</v>
      </c>
      <c r="E1327" t="s">
        <v>977</v>
      </c>
      <c r="F1327" t="s">
        <v>967</v>
      </c>
      <c r="G1327" t="s">
        <v>968</v>
      </c>
      <c r="H1327" t="s">
        <v>969</v>
      </c>
      <c r="I1327" t="s">
        <v>970</v>
      </c>
      <c r="J1327" t="s">
        <v>971</v>
      </c>
      <c r="K1327" t="s">
        <v>972</v>
      </c>
      <c r="L1327">
        <v>47342.11</v>
      </c>
      <c r="M1327">
        <f t="shared" si="20"/>
        <v>464020.78999999992</v>
      </c>
    </row>
    <row r="1328" spans="1:13" x14ac:dyDescent="0.25">
      <c r="A1328" t="s">
        <v>637</v>
      </c>
      <c r="B1328" t="s">
        <v>1001</v>
      </c>
      <c r="C1328" t="s">
        <v>964</v>
      </c>
      <c r="D1328" t="s">
        <v>1002</v>
      </c>
      <c r="E1328" t="s">
        <v>966</v>
      </c>
      <c r="F1328" t="s">
        <v>967</v>
      </c>
      <c r="G1328" t="s">
        <v>968</v>
      </c>
      <c r="H1328" t="s">
        <v>969</v>
      </c>
      <c r="I1328" t="s">
        <v>970</v>
      </c>
      <c r="J1328" t="s">
        <v>971</v>
      </c>
      <c r="K1328" t="s">
        <v>972</v>
      </c>
      <c r="L1328">
        <v>55437.87</v>
      </c>
      <c r="M1328">
        <f t="shared" si="20"/>
        <v>464020.78999999992</v>
      </c>
    </row>
    <row r="1329" spans="1:13" x14ac:dyDescent="0.25">
      <c r="A1329" t="s">
        <v>637</v>
      </c>
      <c r="B1329" t="s">
        <v>1003</v>
      </c>
      <c r="C1329" t="s">
        <v>964</v>
      </c>
      <c r="D1329" t="s">
        <v>1002</v>
      </c>
      <c r="E1329" t="s">
        <v>966</v>
      </c>
      <c r="F1329" t="s">
        <v>967</v>
      </c>
      <c r="G1329" t="s">
        <v>968</v>
      </c>
      <c r="H1329" t="s">
        <v>969</v>
      </c>
      <c r="I1329" t="s">
        <v>970</v>
      </c>
      <c r="J1329" t="s">
        <v>971</v>
      </c>
      <c r="K1329" t="s">
        <v>972</v>
      </c>
      <c r="L1329">
        <v>55437.87</v>
      </c>
      <c r="M1329">
        <f t="shared" si="20"/>
        <v>464020.78999999992</v>
      </c>
    </row>
    <row r="1330" spans="1:13" x14ac:dyDescent="0.25">
      <c r="A1330" t="s">
        <v>637</v>
      </c>
      <c r="B1330" t="s">
        <v>1004</v>
      </c>
      <c r="C1330" t="s">
        <v>964</v>
      </c>
      <c r="D1330" t="s">
        <v>1002</v>
      </c>
      <c r="E1330" t="s">
        <v>966</v>
      </c>
      <c r="F1330" t="s">
        <v>967</v>
      </c>
      <c r="G1330" t="s">
        <v>968</v>
      </c>
      <c r="H1330" t="s">
        <v>969</v>
      </c>
      <c r="I1330" t="s">
        <v>970</v>
      </c>
      <c r="J1330" t="s">
        <v>971</v>
      </c>
      <c r="K1330" t="s">
        <v>972</v>
      </c>
      <c r="L1330">
        <v>55437.87</v>
      </c>
      <c r="M1330">
        <f t="shared" si="20"/>
        <v>464020.78999999992</v>
      </c>
    </row>
    <row r="1331" spans="1:13" x14ac:dyDescent="0.25">
      <c r="A1331" t="s">
        <v>637</v>
      </c>
      <c r="B1331" t="s">
        <v>1005</v>
      </c>
      <c r="C1331" t="s">
        <v>964</v>
      </c>
      <c r="D1331" t="s">
        <v>1002</v>
      </c>
      <c r="E1331" t="s">
        <v>966</v>
      </c>
      <c r="F1331" t="s">
        <v>967</v>
      </c>
      <c r="G1331" t="s">
        <v>968</v>
      </c>
      <c r="H1331" t="s">
        <v>969</v>
      </c>
      <c r="I1331" t="s">
        <v>970</v>
      </c>
      <c r="J1331" t="s">
        <v>971</v>
      </c>
      <c r="K1331" t="s">
        <v>972</v>
      </c>
      <c r="L1331">
        <v>55437.87</v>
      </c>
      <c r="M1331">
        <f t="shared" si="20"/>
        <v>464020.78999999992</v>
      </c>
    </row>
    <row r="1332" spans="1:13" x14ac:dyDescent="0.25">
      <c r="A1332" t="s">
        <v>648</v>
      </c>
      <c r="B1332" t="s">
        <v>2287</v>
      </c>
      <c r="C1332" t="s">
        <v>988</v>
      </c>
      <c r="D1332" t="s">
        <v>1520</v>
      </c>
      <c r="E1332" t="s">
        <v>977</v>
      </c>
      <c r="F1332" t="s">
        <v>967</v>
      </c>
      <c r="G1332" t="s">
        <v>968</v>
      </c>
      <c r="H1332" t="s">
        <v>969</v>
      </c>
      <c r="I1332" t="s">
        <v>970</v>
      </c>
      <c r="J1332" t="s">
        <v>971</v>
      </c>
      <c r="K1332" t="s">
        <v>972</v>
      </c>
      <c r="L1332">
        <v>1750.94</v>
      </c>
      <c r="M1332">
        <f t="shared" si="20"/>
        <v>464020.78999999992</v>
      </c>
    </row>
    <row r="1333" spans="1:13" x14ac:dyDescent="0.25">
      <c r="A1333" t="s">
        <v>696</v>
      </c>
      <c r="B1333" t="s">
        <v>1022</v>
      </c>
      <c r="C1333" t="s">
        <v>964</v>
      </c>
      <c r="D1333" t="s">
        <v>1023</v>
      </c>
      <c r="E1333" t="s">
        <v>977</v>
      </c>
      <c r="F1333" t="s">
        <v>967</v>
      </c>
      <c r="G1333" t="s">
        <v>968</v>
      </c>
      <c r="H1333" t="s">
        <v>969</v>
      </c>
      <c r="I1333" t="s">
        <v>970</v>
      </c>
      <c r="J1333" t="s">
        <v>971</v>
      </c>
      <c r="K1333" t="s">
        <v>972</v>
      </c>
      <c r="L1333">
        <v>52500.73</v>
      </c>
      <c r="M1333">
        <f t="shared" si="20"/>
        <v>464020.78999999992</v>
      </c>
    </row>
    <row r="1334" spans="1:13" x14ac:dyDescent="0.25">
      <c r="A1334" t="s">
        <v>696</v>
      </c>
      <c r="B1334" t="s">
        <v>1024</v>
      </c>
      <c r="C1334" t="s">
        <v>964</v>
      </c>
      <c r="D1334" t="s">
        <v>1023</v>
      </c>
      <c r="E1334" t="s">
        <v>977</v>
      </c>
      <c r="F1334" t="s">
        <v>967</v>
      </c>
      <c r="G1334" t="s">
        <v>968</v>
      </c>
      <c r="H1334" t="s">
        <v>969</v>
      </c>
      <c r="I1334" t="s">
        <v>970</v>
      </c>
      <c r="J1334" t="s">
        <v>971</v>
      </c>
      <c r="K1334" t="s">
        <v>972</v>
      </c>
      <c r="L1334">
        <v>52500.73</v>
      </c>
      <c r="M1334">
        <f t="shared" si="20"/>
        <v>464020.78999999992</v>
      </c>
    </row>
    <row r="1335" spans="1:13" x14ac:dyDescent="0.25">
      <c r="A1335" t="s">
        <v>459</v>
      </c>
      <c r="B1335" t="s">
        <v>2429</v>
      </c>
      <c r="C1335" t="s">
        <v>982</v>
      </c>
      <c r="D1335" t="s">
        <v>1035</v>
      </c>
      <c r="E1335" t="s">
        <v>977</v>
      </c>
      <c r="F1335" t="s">
        <v>967</v>
      </c>
      <c r="G1335" t="s">
        <v>968</v>
      </c>
      <c r="H1335" t="s">
        <v>2390</v>
      </c>
      <c r="I1335" t="s">
        <v>970</v>
      </c>
      <c r="J1335" t="s">
        <v>971</v>
      </c>
      <c r="K1335" t="s">
        <v>972</v>
      </c>
      <c r="L1335">
        <v>677.24</v>
      </c>
      <c r="M1335">
        <f t="shared" si="20"/>
        <v>464020.78999999992</v>
      </c>
    </row>
    <row r="1336" spans="1:13" x14ac:dyDescent="0.25">
      <c r="A1336" t="s">
        <v>538</v>
      </c>
      <c r="B1336" t="s">
        <v>1036</v>
      </c>
      <c r="C1336" t="s">
        <v>975</v>
      </c>
      <c r="D1336" t="s">
        <v>1037</v>
      </c>
      <c r="E1336" t="s">
        <v>977</v>
      </c>
      <c r="F1336" t="s">
        <v>967</v>
      </c>
      <c r="G1336" t="s">
        <v>968</v>
      </c>
      <c r="H1336" t="s">
        <v>969</v>
      </c>
      <c r="I1336" t="s">
        <v>970</v>
      </c>
      <c r="J1336" t="s">
        <v>971</v>
      </c>
      <c r="K1336" t="s">
        <v>972</v>
      </c>
      <c r="L1336">
        <v>50877.04</v>
      </c>
      <c r="M1336">
        <f t="shared" si="20"/>
        <v>101793.06</v>
      </c>
    </row>
    <row r="1337" spans="1:13" x14ac:dyDescent="0.25">
      <c r="A1337" t="s">
        <v>127</v>
      </c>
      <c r="B1337" t="s">
        <v>1050</v>
      </c>
      <c r="C1337" t="s">
        <v>975</v>
      </c>
      <c r="D1337" t="s">
        <v>1051</v>
      </c>
      <c r="E1337" t="s">
        <v>977</v>
      </c>
      <c r="F1337" t="s">
        <v>967</v>
      </c>
      <c r="G1337" t="s">
        <v>968</v>
      </c>
      <c r="H1337" t="s">
        <v>969</v>
      </c>
      <c r="I1337" t="s">
        <v>970</v>
      </c>
      <c r="J1337" t="s">
        <v>971</v>
      </c>
      <c r="K1337" t="s">
        <v>972</v>
      </c>
      <c r="L1337">
        <v>49345.4</v>
      </c>
      <c r="M1337">
        <f t="shared" si="20"/>
        <v>101793.06</v>
      </c>
    </row>
    <row r="1338" spans="1:13" x14ac:dyDescent="0.25">
      <c r="A1338" t="s">
        <v>524</v>
      </c>
      <c r="B1338" t="s">
        <v>2300</v>
      </c>
      <c r="C1338" t="s">
        <v>988</v>
      </c>
      <c r="D1338" t="s">
        <v>2301</v>
      </c>
      <c r="E1338" t="s">
        <v>977</v>
      </c>
      <c r="F1338" t="s">
        <v>967</v>
      </c>
      <c r="G1338" t="s">
        <v>968</v>
      </c>
      <c r="H1338" t="s">
        <v>969</v>
      </c>
      <c r="I1338" t="s">
        <v>970</v>
      </c>
      <c r="J1338" t="s">
        <v>971</v>
      </c>
      <c r="K1338" t="s">
        <v>972</v>
      </c>
      <c r="L1338">
        <v>1570.62</v>
      </c>
      <c r="M1338">
        <f t="shared" si="20"/>
        <v>101793.06</v>
      </c>
    </row>
    <row r="1339" spans="1:13" x14ac:dyDescent="0.25">
      <c r="A1339" t="s">
        <v>363</v>
      </c>
      <c r="B1339" t="s">
        <v>1072</v>
      </c>
      <c r="C1339" t="s">
        <v>975</v>
      </c>
      <c r="D1339" t="s">
        <v>1073</v>
      </c>
      <c r="E1339" t="s">
        <v>977</v>
      </c>
      <c r="F1339" t="s">
        <v>967</v>
      </c>
      <c r="G1339" t="s">
        <v>968</v>
      </c>
      <c r="H1339" t="s">
        <v>969</v>
      </c>
      <c r="I1339" t="s">
        <v>970</v>
      </c>
      <c r="J1339" t="s">
        <v>971</v>
      </c>
      <c r="K1339" t="s">
        <v>972</v>
      </c>
      <c r="L1339">
        <v>49082.17</v>
      </c>
      <c r="M1339">
        <f t="shared" si="20"/>
        <v>188769.72999999995</v>
      </c>
    </row>
    <row r="1340" spans="1:13" x14ac:dyDescent="0.25">
      <c r="A1340" t="s">
        <v>85</v>
      </c>
      <c r="B1340" t="s">
        <v>1361</v>
      </c>
      <c r="C1340" t="s">
        <v>975</v>
      </c>
      <c r="D1340" t="s">
        <v>1362</v>
      </c>
      <c r="E1340" t="s">
        <v>977</v>
      </c>
      <c r="F1340" t="s">
        <v>967</v>
      </c>
      <c r="G1340" t="s">
        <v>968</v>
      </c>
      <c r="H1340" t="s">
        <v>969</v>
      </c>
      <c r="I1340" t="s">
        <v>970</v>
      </c>
      <c r="J1340" t="s">
        <v>971</v>
      </c>
      <c r="K1340" t="s">
        <v>972</v>
      </c>
      <c r="L1340">
        <v>38391.769999999997</v>
      </c>
      <c r="M1340">
        <f t="shared" si="20"/>
        <v>188769.72999999995</v>
      </c>
    </row>
    <row r="1341" spans="1:13" x14ac:dyDescent="0.25">
      <c r="A1341" t="s">
        <v>164</v>
      </c>
      <c r="B1341" t="s">
        <v>1118</v>
      </c>
      <c r="C1341" t="s">
        <v>975</v>
      </c>
      <c r="D1341" t="s">
        <v>1018</v>
      </c>
      <c r="E1341" t="s">
        <v>977</v>
      </c>
      <c r="F1341" t="s">
        <v>967</v>
      </c>
      <c r="G1341" t="s">
        <v>968</v>
      </c>
      <c r="H1341" t="s">
        <v>969</v>
      </c>
      <c r="I1341" t="s">
        <v>970</v>
      </c>
      <c r="J1341" t="s">
        <v>971</v>
      </c>
      <c r="K1341" t="s">
        <v>972</v>
      </c>
      <c r="L1341">
        <v>46789.56</v>
      </c>
      <c r="M1341">
        <f t="shared" si="20"/>
        <v>188769.72999999995</v>
      </c>
    </row>
    <row r="1342" spans="1:13" x14ac:dyDescent="0.25">
      <c r="A1342" t="s">
        <v>498</v>
      </c>
      <c r="B1342" t="s">
        <v>1080</v>
      </c>
      <c r="C1342" t="s">
        <v>975</v>
      </c>
      <c r="D1342" t="s">
        <v>1081</v>
      </c>
      <c r="E1342" t="s">
        <v>977</v>
      </c>
      <c r="F1342" t="s">
        <v>967</v>
      </c>
      <c r="G1342" t="s">
        <v>968</v>
      </c>
      <c r="H1342" t="s">
        <v>969</v>
      </c>
      <c r="I1342" t="s">
        <v>970</v>
      </c>
      <c r="J1342" t="s">
        <v>971</v>
      </c>
      <c r="K1342" t="s">
        <v>972</v>
      </c>
      <c r="L1342">
        <v>48738.05</v>
      </c>
      <c r="M1342">
        <f t="shared" si="20"/>
        <v>188769.72999999995</v>
      </c>
    </row>
    <row r="1343" spans="1:13" x14ac:dyDescent="0.25">
      <c r="A1343" t="s">
        <v>91</v>
      </c>
      <c r="B1343" t="s">
        <v>2241</v>
      </c>
      <c r="C1343" t="s">
        <v>982</v>
      </c>
      <c r="D1343" t="s">
        <v>2242</v>
      </c>
      <c r="E1343" t="s">
        <v>977</v>
      </c>
      <c r="F1343" t="s">
        <v>967</v>
      </c>
      <c r="G1343" t="s">
        <v>968</v>
      </c>
      <c r="H1343" t="s">
        <v>969</v>
      </c>
      <c r="I1343" t="s">
        <v>970</v>
      </c>
      <c r="J1343" t="s">
        <v>971</v>
      </c>
      <c r="K1343" t="s">
        <v>972</v>
      </c>
      <c r="L1343">
        <v>2147.81</v>
      </c>
      <c r="M1343">
        <f t="shared" si="20"/>
        <v>188769.72999999995</v>
      </c>
    </row>
    <row r="1344" spans="1:13" x14ac:dyDescent="0.25">
      <c r="A1344" t="s">
        <v>583</v>
      </c>
      <c r="B1344" t="s">
        <v>2391</v>
      </c>
      <c r="C1344" t="s">
        <v>982</v>
      </c>
      <c r="D1344" t="s">
        <v>2392</v>
      </c>
      <c r="E1344" t="s">
        <v>977</v>
      </c>
      <c r="F1344" t="s">
        <v>967</v>
      </c>
      <c r="G1344" t="s">
        <v>968</v>
      </c>
      <c r="H1344" t="s">
        <v>969</v>
      </c>
      <c r="I1344" t="s">
        <v>970</v>
      </c>
      <c r="J1344" t="s">
        <v>971</v>
      </c>
      <c r="K1344" t="s">
        <v>972</v>
      </c>
      <c r="L1344">
        <v>878.34</v>
      </c>
      <c r="M1344">
        <f t="shared" si="20"/>
        <v>188769.72999999995</v>
      </c>
    </row>
    <row r="1345" spans="1:13" x14ac:dyDescent="0.25">
      <c r="A1345" t="s">
        <v>583</v>
      </c>
      <c r="B1345" t="s">
        <v>2391</v>
      </c>
      <c r="C1345" t="s">
        <v>982</v>
      </c>
      <c r="D1345" t="s">
        <v>2392</v>
      </c>
      <c r="E1345" t="s">
        <v>977</v>
      </c>
      <c r="F1345" t="s">
        <v>967</v>
      </c>
      <c r="G1345" t="s">
        <v>968</v>
      </c>
      <c r="H1345" t="s">
        <v>2390</v>
      </c>
      <c r="I1345" t="s">
        <v>970</v>
      </c>
      <c r="J1345" t="s">
        <v>971</v>
      </c>
      <c r="K1345" t="s">
        <v>972</v>
      </c>
      <c r="L1345">
        <v>746.09</v>
      </c>
      <c r="M1345">
        <f t="shared" si="20"/>
        <v>188769.72999999995</v>
      </c>
    </row>
    <row r="1346" spans="1:13" x14ac:dyDescent="0.25">
      <c r="A1346" t="s">
        <v>83</v>
      </c>
      <c r="B1346" t="s">
        <v>2453</v>
      </c>
      <c r="C1346" t="s">
        <v>988</v>
      </c>
      <c r="D1346" t="s">
        <v>2451</v>
      </c>
      <c r="E1346" t="s">
        <v>977</v>
      </c>
      <c r="F1346" t="s">
        <v>967</v>
      </c>
      <c r="G1346" t="s">
        <v>968</v>
      </c>
      <c r="H1346" t="s">
        <v>2390</v>
      </c>
      <c r="I1346" t="s">
        <v>970</v>
      </c>
      <c r="J1346" t="s">
        <v>971</v>
      </c>
      <c r="K1346" t="s">
        <v>972</v>
      </c>
      <c r="L1346">
        <v>498.96</v>
      </c>
      <c r="M1346">
        <f t="shared" si="20"/>
        <v>188769.72999999995</v>
      </c>
    </row>
    <row r="1347" spans="1:13" x14ac:dyDescent="0.25">
      <c r="A1347" t="s">
        <v>219</v>
      </c>
      <c r="B1347" t="s">
        <v>2452</v>
      </c>
      <c r="C1347" t="s">
        <v>988</v>
      </c>
      <c r="D1347" t="s">
        <v>2451</v>
      </c>
      <c r="E1347" t="s">
        <v>977</v>
      </c>
      <c r="F1347" t="s">
        <v>967</v>
      </c>
      <c r="G1347" t="s">
        <v>968</v>
      </c>
      <c r="H1347" t="s">
        <v>2390</v>
      </c>
      <c r="I1347" t="s">
        <v>970</v>
      </c>
      <c r="J1347" t="s">
        <v>971</v>
      </c>
      <c r="K1347" t="s">
        <v>972</v>
      </c>
      <c r="L1347">
        <v>498.96</v>
      </c>
      <c r="M1347">
        <f t="shared" ref="M1347:M1410" si="21">+SUMIF(A:A,A1347,L:L)</f>
        <v>188769.72999999995</v>
      </c>
    </row>
    <row r="1348" spans="1:13" x14ac:dyDescent="0.25">
      <c r="A1348" t="s">
        <v>624</v>
      </c>
      <c r="B1348" t="s">
        <v>2450</v>
      </c>
      <c r="C1348" t="s">
        <v>988</v>
      </c>
      <c r="D1348" t="s">
        <v>2451</v>
      </c>
      <c r="E1348" t="s">
        <v>977</v>
      </c>
      <c r="F1348" t="s">
        <v>967</v>
      </c>
      <c r="G1348" t="s">
        <v>968</v>
      </c>
      <c r="H1348" t="s">
        <v>2390</v>
      </c>
      <c r="I1348" t="s">
        <v>970</v>
      </c>
      <c r="J1348" t="s">
        <v>971</v>
      </c>
      <c r="K1348" t="s">
        <v>972</v>
      </c>
      <c r="L1348">
        <v>498.96</v>
      </c>
      <c r="M1348">
        <f t="shared" si="21"/>
        <v>188769.72999999995</v>
      </c>
    </row>
    <row r="1349" spans="1:13" x14ac:dyDescent="0.25">
      <c r="A1349" t="s">
        <v>918</v>
      </c>
      <c r="B1349" t="s">
        <v>2448</v>
      </c>
      <c r="C1349" t="s">
        <v>988</v>
      </c>
      <c r="D1349" t="s">
        <v>2415</v>
      </c>
      <c r="E1349" t="s">
        <v>977</v>
      </c>
      <c r="F1349" t="s">
        <v>967</v>
      </c>
      <c r="G1349" t="s">
        <v>968</v>
      </c>
      <c r="H1349" t="s">
        <v>2390</v>
      </c>
      <c r="I1349" t="s">
        <v>970</v>
      </c>
      <c r="J1349" t="s">
        <v>971</v>
      </c>
      <c r="K1349" t="s">
        <v>972</v>
      </c>
      <c r="L1349">
        <v>499.06</v>
      </c>
      <c r="M1349">
        <f t="shared" si="21"/>
        <v>188769.72999999995</v>
      </c>
    </row>
    <row r="1350" spans="1:13" x14ac:dyDescent="0.25">
      <c r="A1350" t="s">
        <v>200</v>
      </c>
      <c r="B1350" t="s">
        <v>2449</v>
      </c>
      <c r="C1350" t="s">
        <v>988</v>
      </c>
      <c r="D1350" t="s">
        <v>2415</v>
      </c>
      <c r="E1350" t="s">
        <v>977</v>
      </c>
      <c r="F1350" t="s">
        <v>967</v>
      </c>
      <c r="G1350" t="s">
        <v>968</v>
      </c>
      <c r="H1350" t="s">
        <v>2390</v>
      </c>
      <c r="I1350" t="s">
        <v>970</v>
      </c>
      <c r="J1350" t="s">
        <v>971</v>
      </c>
      <c r="K1350" t="s">
        <v>972</v>
      </c>
      <c r="L1350">
        <v>499.06</v>
      </c>
      <c r="M1350">
        <f t="shared" si="21"/>
        <v>53622.829999999994</v>
      </c>
    </row>
    <row r="1351" spans="1:13" x14ac:dyDescent="0.25">
      <c r="A1351" t="s">
        <v>377</v>
      </c>
      <c r="B1351" t="s">
        <v>1025</v>
      </c>
      <c r="C1351" t="s">
        <v>975</v>
      </c>
      <c r="D1351" t="s">
        <v>1026</v>
      </c>
      <c r="E1351" t="s">
        <v>977</v>
      </c>
      <c r="F1351" t="s">
        <v>967</v>
      </c>
      <c r="G1351" t="s">
        <v>968</v>
      </c>
      <c r="H1351" t="s">
        <v>969</v>
      </c>
      <c r="I1351" t="s">
        <v>970</v>
      </c>
      <c r="J1351" t="s">
        <v>971</v>
      </c>
      <c r="K1351" t="s">
        <v>972</v>
      </c>
      <c r="L1351">
        <v>52497.27</v>
      </c>
      <c r="M1351">
        <f t="shared" si="21"/>
        <v>53622.829999999994</v>
      </c>
    </row>
    <row r="1352" spans="1:13" x14ac:dyDescent="0.25">
      <c r="A1352" t="s">
        <v>39</v>
      </c>
      <c r="B1352" t="s">
        <v>2435</v>
      </c>
      <c r="C1352" t="s">
        <v>982</v>
      </c>
      <c r="D1352" t="s">
        <v>2392</v>
      </c>
      <c r="E1352" t="s">
        <v>977</v>
      </c>
      <c r="F1352" t="s">
        <v>967</v>
      </c>
      <c r="G1352" t="s">
        <v>968</v>
      </c>
      <c r="H1352" t="s">
        <v>2390</v>
      </c>
      <c r="I1352" t="s">
        <v>970</v>
      </c>
      <c r="J1352" t="s">
        <v>971</v>
      </c>
      <c r="K1352" t="s">
        <v>972</v>
      </c>
      <c r="L1352">
        <v>626.5</v>
      </c>
      <c r="M1352">
        <f t="shared" si="21"/>
        <v>53622.829999999994</v>
      </c>
    </row>
    <row r="1353" spans="1:13" x14ac:dyDescent="0.25">
      <c r="A1353" t="s">
        <v>304</v>
      </c>
      <c r="B1353" t="s">
        <v>1020</v>
      </c>
      <c r="C1353" t="s">
        <v>964</v>
      </c>
      <c r="D1353" t="s">
        <v>1021</v>
      </c>
      <c r="E1353" t="s">
        <v>977</v>
      </c>
      <c r="F1353" t="s">
        <v>967</v>
      </c>
      <c r="G1353" t="s">
        <v>968</v>
      </c>
      <c r="H1353" t="s">
        <v>969</v>
      </c>
      <c r="I1353" t="s">
        <v>970</v>
      </c>
      <c r="J1353" t="s">
        <v>971</v>
      </c>
      <c r="K1353" t="s">
        <v>972</v>
      </c>
      <c r="L1353">
        <v>52546.76</v>
      </c>
      <c r="M1353">
        <f t="shared" si="21"/>
        <v>53290.490000000005</v>
      </c>
    </row>
    <row r="1354" spans="1:13" x14ac:dyDescent="0.25">
      <c r="A1354" t="s">
        <v>428</v>
      </c>
      <c r="B1354" t="s">
        <v>2414</v>
      </c>
      <c r="C1354" t="s">
        <v>982</v>
      </c>
      <c r="D1354" t="s">
        <v>2415</v>
      </c>
      <c r="E1354" t="s">
        <v>977</v>
      </c>
      <c r="F1354" t="s">
        <v>967</v>
      </c>
      <c r="G1354" t="s">
        <v>968</v>
      </c>
      <c r="H1354" t="s">
        <v>2390</v>
      </c>
      <c r="I1354" t="s">
        <v>970</v>
      </c>
      <c r="J1354" t="s">
        <v>971</v>
      </c>
      <c r="K1354" t="s">
        <v>972</v>
      </c>
      <c r="L1354">
        <v>743.73</v>
      </c>
      <c r="M1354">
        <f t="shared" si="21"/>
        <v>53290.490000000005</v>
      </c>
    </row>
    <row r="1355" spans="1:13" x14ac:dyDescent="0.25">
      <c r="A1355" t="s">
        <v>934</v>
      </c>
      <c r="B1355" t="s">
        <v>999</v>
      </c>
      <c r="C1355" t="s">
        <v>975</v>
      </c>
      <c r="D1355" t="s">
        <v>1000</v>
      </c>
      <c r="E1355" t="s">
        <v>977</v>
      </c>
      <c r="F1355" t="s">
        <v>967</v>
      </c>
      <c r="G1355" t="s">
        <v>968</v>
      </c>
      <c r="H1355" t="s">
        <v>969</v>
      </c>
      <c r="I1355" t="s">
        <v>970</v>
      </c>
      <c r="J1355" t="s">
        <v>971</v>
      </c>
      <c r="K1355" t="s">
        <v>972</v>
      </c>
      <c r="L1355">
        <v>57150.64</v>
      </c>
      <c r="M1355">
        <f t="shared" si="21"/>
        <v>57150.64</v>
      </c>
    </row>
    <row r="1356" spans="1:13" x14ac:dyDescent="0.25">
      <c r="A1356" t="s">
        <v>241</v>
      </c>
      <c r="B1356" t="s">
        <v>1519</v>
      </c>
      <c r="C1356" t="s">
        <v>975</v>
      </c>
      <c r="D1356" t="s">
        <v>1520</v>
      </c>
      <c r="E1356" t="s">
        <v>977</v>
      </c>
      <c r="F1356" t="s">
        <v>967</v>
      </c>
      <c r="G1356" t="s">
        <v>968</v>
      </c>
      <c r="H1356" t="s">
        <v>969</v>
      </c>
      <c r="I1356" t="s">
        <v>970</v>
      </c>
      <c r="J1356" t="s">
        <v>971</v>
      </c>
      <c r="K1356" t="s">
        <v>972</v>
      </c>
      <c r="L1356">
        <v>30944.71</v>
      </c>
      <c r="M1356">
        <f t="shared" si="21"/>
        <v>30944.71</v>
      </c>
    </row>
    <row r="1357" spans="1:13" x14ac:dyDescent="0.25">
      <c r="A1357" t="s">
        <v>190</v>
      </c>
      <c r="B1357" t="s">
        <v>2446</v>
      </c>
      <c r="C1357" t="s">
        <v>982</v>
      </c>
      <c r="D1357" t="s">
        <v>1658</v>
      </c>
      <c r="E1357" t="s">
        <v>977</v>
      </c>
      <c r="F1357" t="s">
        <v>967</v>
      </c>
      <c r="G1357" t="s">
        <v>968</v>
      </c>
      <c r="H1357" t="s">
        <v>969</v>
      </c>
      <c r="I1357" t="s">
        <v>970</v>
      </c>
      <c r="J1357" t="s">
        <v>971</v>
      </c>
      <c r="K1357" t="s">
        <v>972</v>
      </c>
      <c r="L1357">
        <v>515.77</v>
      </c>
      <c r="M1357">
        <f t="shared" si="21"/>
        <v>515.77</v>
      </c>
    </row>
    <row r="1358" spans="1:13" x14ac:dyDescent="0.25">
      <c r="A1358" t="s">
        <v>154</v>
      </c>
      <c r="B1358" t="s">
        <v>2457</v>
      </c>
      <c r="C1358" t="s">
        <v>982</v>
      </c>
      <c r="D1358" t="s">
        <v>2123</v>
      </c>
      <c r="E1358" t="s">
        <v>977</v>
      </c>
      <c r="F1358" t="s">
        <v>967</v>
      </c>
      <c r="G1358" t="s">
        <v>968</v>
      </c>
      <c r="H1358" t="s">
        <v>969</v>
      </c>
      <c r="I1358" t="s">
        <v>970</v>
      </c>
      <c r="J1358" t="s">
        <v>971</v>
      </c>
      <c r="K1358" t="s">
        <v>972</v>
      </c>
      <c r="L1358">
        <v>478.09</v>
      </c>
      <c r="M1358">
        <f t="shared" si="21"/>
        <v>478.09</v>
      </c>
    </row>
    <row r="1359" spans="1:13" x14ac:dyDescent="0.25">
      <c r="A1359" t="s">
        <v>14</v>
      </c>
      <c r="B1359" t="s">
        <v>2487</v>
      </c>
      <c r="C1359" t="s">
        <v>2171</v>
      </c>
      <c r="D1359" t="s">
        <v>1818</v>
      </c>
      <c r="E1359" t="s">
        <v>977</v>
      </c>
      <c r="F1359" t="s">
        <v>967</v>
      </c>
      <c r="G1359" t="s">
        <v>968</v>
      </c>
      <c r="H1359" t="s">
        <v>2390</v>
      </c>
      <c r="I1359" t="s">
        <v>970</v>
      </c>
      <c r="J1359" t="s">
        <v>971</v>
      </c>
      <c r="K1359" t="s">
        <v>972</v>
      </c>
      <c r="L1359">
        <v>332.05</v>
      </c>
      <c r="M1359">
        <f t="shared" si="21"/>
        <v>332.05</v>
      </c>
    </row>
    <row r="1360" spans="1:13" x14ac:dyDescent="0.25">
      <c r="A1360" t="s">
        <v>766</v>
      </c>
      <c r="B1360" t="s">
        <v>2496</v>
      </c>
      <c r="C1360" t="s">
        <v>982</v>
      </c>
      <c r="D1360" t="s">
        <v>1699</v>
      </c>
      <c r="E1360" t="s">
        <v>977</v>
      </c>
      <c r="F1360" t="s">
        <v>967</v>
      </c>
      <c r="G1360" t="s">
        <v>968</v>
      </c>
      <c r="H1360" t="s">
        <v>2390</v>
      </c>
      <c r="I1360" t="s">
        <v>970</v>
      </c>
      <c r="J1360" t="s">
        <v>971</v>
      </c>
      <c r="K1360" t="s">
        <v>972</v>
      </c>
      <c r="L1360">
        <v>273.88</v>
      </c>
      <c r="M1360">
        <f t="shared" si="21"/>
        <v>273.88</v>
      </c>
    </row>
    <row r="1361" spans="1:13" x14ac:dyDescent="0.25">
      <c r="A1361" t="s">
        <v>383</v>
      </c>
      <c r="B1361" t="s">
        <v>2454</v>
      </c>
      <c r="C1361" t="s">
        <v>988</v>
      </c>
      <c r="D1361" t="s">
        <v>1644</v>
      </c>
      <c r="E1361" t="s">
        <v>980</v>
      </c>
      <c r="F1361" t="s">
        <v>967</v>
      </c>
      <c r="G1361" t="s">
        <v>968</v>
      </c>
      <c r="H1361" t="s">
        <v>969</v>
      </c>
      <c r="I1361" t="s">
        <v>970</v>
      </c>
      <c r="J1361" t="s">
        <v>971</v>
      </c>
      <c r="K1361" t="s">
        <v>972</v>
      </c>
      <c r="L1361">
        <v>493.53</v>
      </c>
      <c r="M1361">
        <f t="shared" si="21"/>
        <v>493.53</v>
      </c>
    </row>
    <row r="1362" spans="1:13" x14ac:dyDescent="0.25">
      <c r="A1362" t="s">
        <v>98</v>
      </c>
      <c r="B1362" t="s">
        <v>2408</v>
      </c>
      <c r="C1362" t="s">
        <v>988</v>
      </c>
      <c r="D1362" t="s">
        <v>1576</v>
      </c>
      <c r="E1362" t="s">
        <v>980</v>
      </c>
      <c r="F1362" t="s">
        <v>967</v>
      </c>
      <c r="G1362" t="s">
        <v>968</v>
      </c>
      <c r="H1362" t="s">
        <v>969</v>
      </c>
      <c r="I1362" t="s">
        <v>970</v>
      </c>
      <c r="J1362" t="s">
        <v>971</v>
      </c>
      <c r="K1362" t="s">
        <v>972</v>
      </c>
      <c r="L1362">
        <v>769.87</v>
      </c>
      <c r="M1362">
        <f t="shared" si="21"/>
        <v>769.87</v>
      </c>
    </row>
    <row r="1363" spans="1:13" x14ac:dyDescent="0.25">
      <c r="A1363" t="s">
        <v>49</v>
      </c>
      <c r="B1363" t="s">
        <v>2376</v>
      </c>
      <c r="C1363" t="s">
        <v>988</v>
      </c>
      <c r="D1363" t="s">
        <v>1377</v>
      </c>
      <c r="E1363" t="s">
        <v>977</v>
      </c>
      <c r="F1363" t="s">
        <v>967</v>
      </c>
      <c r="G1363" t="s">
        <v>968</v>
      </c>
      <c r="H1363" t="s">
        <v>969</v>
      </c>
      <c r="I1363" t="s">
        <v>970</v>
      </c>
      <c r="J1363" t="s">
        <v>971</v>
      </c>
      <c r="K1363" t="s">
        <v>972</v>
      </c>
      <c r="L1363">
        <v>951.36</v>
      </c>
      <c r="M1363">
        <f t="shared" si="21"/>
        <v>951.36</v>
      </c>
    </row>
    <row r="1364" spans="1:13" x14ac:dyDescent="0.25">
      <c r="A1364" t="s">
        <v>662</v>
      </c>
      <c r="B1364" t="s">
        <v>990</v>
      </c>
      <c r="C1364" t="s">
        <v>988</v>
      </c>
      <c r="D1364" t="s">
        <v>991</v>
      </c>
      <c r="E1364" t="s">
        <v>977</v>
      </c>
      <c r="F1364" t="s">
        <v>967</v>
      </c>
      <c r="G1364" t="s">
        <v>968</v>
      </c>
      <c r="H1364" t="s">
        <v>969</v>
      </c>
      <c r="I1364" t="s">
        <v>970</v>
      </c>
      <c r="J1364" t="s">
        <v>971</v>
      </c>
      <c r="K1364" t="s">
        <v>972</v>
      </c>
      <c r="L1364">
        <v>1211</v>
      </c>
      <c r="M1364">
        <f t="shared" si="21"/>
        <v>1211</v>
      </c>
    </row>
    <row r="1365" spans="1:13" x14ac:dyDescent="0.25">
      <c r="A1365" t="s">
        <v>817</v>
      </c>
      <c r="B1365" t="s">
        <v>2329</v>
      </c>
      <c r="C1365" t="s">
        <v>988</v>
      </c>
      <c r="D1365" t="s">
        <v>991</v>
      </c>
      <c r="E1365" t="s">
        <v>977</v>
      </c>
      <c r="F1365" t="s">
        <v>967</v>
      </c>
      <c r="G1365" t="s">
        <v>968</v>
      </c>
      <c r="H1365" t="s">
        <v>969</v>
      </c>
      <c r="I1365" t="s">
        <v>970</v>
      </c>
      <c r="J1365" t="s">
        <v>971</v>
      </c>
      <c r="K1365" t="s">
        <v>972</v>
      </c>
      <c r="L1365">
        <v>1181.1600000000001</v>
      </c>
      <c r="M1365">
        <f t="shared" si="21"/>
        <v>1181.1600000000001</v>
      </c>
    </row>
    <row r="1366" spans="1:13" x14ac:dyDescent="0.25">
      <c r="A1366" t="s">
        <v>458</v>
      </c>
      <c r="B1366" t="s">
        <v>2292</v>
      </c>
      <c r="C1366" t="s">
        <v>988</v>
      </c>
      <c r="D1366" t="s">
        <v>1177</v>
      </c>
      <c r="E1366" t="s">
        <v>977</v>
      </c>
      <c r="F1366" t="s">
        <v>967</v>
      </c>
      <c r="G1366" t="s">
        <v>968</v>
      </c>
      <c r="H1366" t="s">
        <v>969</v>
      </c>
      <c r="I1366" t="s">
        <v>970</v>
      </c>
      <c r="J1366" t="s">
        <v>971</v>
      </c>
      <c r="K1366" t="s">
        <v>972</v>
      </c>
      <c r="L1366">
        <v>1667.31</v>
      </c>
      <c r="M1366">
        <f t="shared" si="21"/>
        <v>4262.84</v>
      </c>
    </row>
    <row r="1367" spans="1:13" x14ac:dyDescent="0.25">
      <c r="A1367" t="s">
        <v>634</v>
      </c>
      <c r="B1367" t="s">
        <v>2326</v>
      </c>
      <c r="C1367" t="s">
        <v>988</v>
      </c>
      <c r="D1367" t="s">
        <v>1288</v>
      </c>
      <c r="E1367" t="s">
        <v>977</v>
      </c>
      <c r="F1367" t="s">
        <v>967</v>
      </c>
      <c r="G1367" t="s">
        <v>968</v>
      </c>
      <c r="H1367" t="s">
        <v>969</v>
      </c>
      <c r="I1367" t="s">
        <v>970</v>
      </c>
      <c r="J1367" t="s">
        <v>971</v>
      </c>
      <c r="K1367" t="s">
        <v>972</v>
      </c>
      <c r="L1367">
        <v>1195.75</v>
      </c>
      <c r="M1367">
        <f t="shared" si="21"/>
        <v>4262.84</v>
      </c>
    </row>
    <row r="1368" spans="1:13" x14ac:dyDescent="0.25">
      <c r="A1368" t="s">
        <v>492</v>
      </c>
      <c r="B1368" t="s">
        <v>2319</v>
      </c>
      <c r="C1368" t="s">
        <v>2171</v>
      </c>
      <c r="D1368" t="s">
        <v>1356</v>
      </c>
      <c r="E1368" t="s">
        <v>977</v>
      </c>
      <c r="F1368" t="s">
        <v>967</v>
      </c>
      <c r="G1368" t="s">
        <v>968</v>
      </c>
      <c r="H1368" t="s">
        <v>969</v>
      </c>
      <c r="I1368" t="s">
        <v>970</v>
      </c>
      <c r="J1368" t="s">
        <v>971</v>
      </c>
      <c r="K1368" t="s">
        <v>972</v>
      </c>
      <c r="L1368">
        <v>1399.78</v>
      </c>
      <c r="M1368">
        <f t="shared" si="21"/>
        <v>4262.84</v>
      </c>
    </row>
    <row r="1369" spans="1:13" x14ac:dyDescent="0.25">
      <c r="A1369" t="s">
        <v>179</v>
      </c>
      <c r="B1369" t="s">
        <v>2298</v>
      </c>
      <c r="C1369" t="s">
        <v>988</v>
      </c>
      <c r="D1369" t="s">
        <v>1032</v>
      </c>
      <c r="E1369" t="s">
        <v>977</v>
      </c>
      <c r="F1369" t="s">
        <v>967</v>
      </c>
      <c r="G1369" t="s">
        <v>968</v>
      </c>
      <c r="H1369" t="s">
        <v>969</v>
      </c>
      <c r="I1369" t="s">
        <v>970</v>
      </c>
      <c r="J1369" t="s">
        <v>971</v>
      </c>
      <c r="K1369" t="s">
        <v>972</v>
      </c>
      <c r="L1369">
        <v>1605.3</v>
      </c>
      <c r="M1369">
        <f t="shared" si="21"/>
        <v>1605.3</v>
      </c>
    </row>
    <row r="1370" spans="1:13" x14ac:dyDescent="0.25">
      <c r="A1370" t="s">
        <v>659</v>
      </c>
      <c r="B1370" t="s">
        <v>2321</v>
      </c>
      <c r="C1370" t="s">
        <v>982</v>
      </c>
      <c r="D1370" t="s">
        <v>1595</v>
      </c>
      <c r="E1370" t="s">
        <v>977</v>
      </c>
      <c r="F1370" t="s">
        <v>967</v>
      </c>
      <c r="G1370" t="s">
        <v>968</v>
      </c>
      <c r="H1370" t="s">
        <v>969</v>
      </c>
      <c r="I1370" t="s">
        <v>970</v>
      </c>
      <c r="J1370" t="s">
        <v>971</v>
      </c>
      <c r="K1370" t="s">
        <v>972</v>
      </c>
      <c r="L1370">
        <v>1360.31</v>
      </c>
      <c r="M1370">
        <f t="shared" si="21"/>
        <v>1360.31</v>
      </c>
    </row>
    <row r="1371" spans="1:13" x14ac:dyDescent="0.25">
      <c r="A1371" t="s">
        <v>541</v>
      </c>
      <c r="B1371" t="s">
        <v>2472</v>
      </c>
      <c r="C1371" t="s">
        <v>982</v>
      </c>
      <c r="D1371" t="s">
        <v>2078</v>
      </c>
      <c r="E1371" t="s">
        <v>980</v>
      </c>
      <c r="F1371" t="s">
        <v>967</v>
      </c>
      <c r="G1371" t="s">
        <v>968</v>
      </c>
      <c r="H1371" t="s">
        <v>969</v>
      </c>
      <c r="I1371" t="s">
        <v>970</v>
      </c>
      <c r="J1371" t="s">
        <v>971</v>
      </c>
      <c r="K1371" t="s">
        <v>972</v>
      </c>
      <c r="L1371">
        <v>372.67</v>
      </c>
      <c r="M1371">
        <f t="shared" si="21"/>
        <v>372.67</v>
      </c>
    </row>
    <row r="1372" spans="1:13" x14ac:dyDescent="0.25">
      <c r="A1372" t="s">
        <v>872</v>
      </c>
      <c r="B1372" t="s">
        <v>2465</v>
      </c>
      <c r="C1372" t="s">
        <v>988</v>
      </c>
      <c r="D1372" t="s">
        <v>1997</v>
      </c>
      <c r="E1372" t="s">
        <v>980</v>
      </c>
      <c r="F1372" t="s">
        <v>967</v>
      </c>
      <c r="G1372" t="s">
        <v>968</v>
      </c>
      <c r="H1372" t="s">
        <v>969</v>
      </c>
      <c r="I1372" t="s">
        <v>970</v>
      </c>
      <c r="J1372" t="s">
        <v>971</v>
      </c>
      <c r="K1372" t="s">
        <v>972</v>
      </c>
      <c r="L1372">
        <v>426.25</v>
      </c>
      <c r="M1372">
        <f t="shared" si="21"/>
        <v>426.25</v>
      </c>
    </row>
    <row r="1373" spans="1:13" x14ac:dyDescent="0.25">
      <c r="A1373" t="s">
        <v>334</v>
      </c>
      <c r="B1373" t="s">
        <v>2386</v>
      </c>
      <c r="C1373" t="s">
        <v>988</v>
      </c>
      <c r="D1373" t="s">
        <v>1919</v>
      </c>
      <c r="E1373" t="s">
        <v>1369</v>
      </c>
      <c r="F1373" t="s">
        <v>967</v>
      </c>
      <c r="G1373" t="s">
        <v>968</v>
      </c>
      <c r="H1373" t="s">
        <v>969</v>
      </c>
      <c r="I1373" t="s">
        <v>970</v>
      </c>
      <c r="J1373" t="s">
        <v>971</v>
      </c>
      <c r="K1373" t="s">
        <v>972</v>
      </c>
      <c r="L1373">
        <v>893.28</v>
      </c>
      <c r="M1373">
        <f t="shared" si="21"/>
        <v>893.28</v>
      </c>
    </row>
    <row r="1374" spans="1:13" x14ac:dyDescent="0.25">
      <c r="A1374" t="s">
        <v>290</v>
      </c>
      <c r="B1374" t="s">
        <v>2422</v>
      </c>
      <c r="C1374" t="s">
        <v>988</v>
      </c>
      <c r="D1374" t="s">
        <v>2227</v>
      </c>
      <c r="E1374" t="s">
        <v>1369</v>
      </c>
      <c r="F1374" t="s">
        <v>967</v>
      </c>
      <c r="G1374" t="s">
        <v>968</v>
      </c>
      <c r="H1374" t="s">
        <v>969</v>
      </c>
      <c r="I1374" t="s">
        <v>970</v>
      </c>
      <c r="J1374" t="s">
        <v>971</v>
      </c>
      <c r="K1374" t="s">
        <v>972</v>
      </c>
      <c r="L1374">
        <v>696.94</v>
      </c>
      <c r="M1374">
        <f t="shared" si="21"/>
        <v>696.94</v>
      </c>
    </row>
    <row r="1375" spans="1:13" x14ac:dyDescent="0.25">
      <c r="A1375" t="s">
        <v>647</v>
      </c>
      <c r="B1375" t="s">
        <v>2430</v>
      </c>
      <c r="C1375" t="s">
        <v>988</v>
      </c>
      <c r="D1375" t="s">
        <v>2227</v>
      </c>
      <c r="E1375" t="s">
        <v>1369</v>
      </c>
      <c r="F1375" t="s">
        <v>967</v>
      </c>
      <c r="G1375" t="s">
        <v>968</v>
      </c>
      <c r="H1375" t="s">
        <v>969</v>
      </c>
      <c r="I1375" t="s">
        <v>970</v>
      </c>
      <c r="J1375" t="s">
        <v>971</v>
      </c>
      <c r="K1375" t="s">
        <v>972</v>
      </c>
      <c r="L1375">
        <v>659.14</v>
      </c>
      <c r="M1375">
        <f t="shared" si="21"/>
        <v>659.14</v>
      </c>
    </row>
    <row r="1376" spans="1:13" x14ac:dyDescent="0.25">
      <c r="A1376" t="s">
        <v>216</v>
      </c>
      <c r="B1376" t="s">
        <v>2406</v>
      </c>
      <c r="C1376" t="s">
        <v>988</v>
      </c>
      <c r="D1376" t="s">
        <v>1818</v>
      </c>
      <c r="E1376" t="s">
        <v>980</v>
      </c>
      <c r="F1376" t="s">
        <v>967</v>
      </c>
      <c r="G1376" t="s">
        <v>968</v>
      </c>
      <c r="H1376" t="s">
        <v>969</v>
      </c>
      <c r="I1376" t="s">
        <v>970</v>
      </c>
      <c r="J1376" t="s">
        <v>971</v>
      </c>
      <c r="K1376" t="s">
        <v>972</v>
      </c>
      <c r="L1376">
        <v>785.54</v>
      </c>
      <c r="M1376">
        <f t="shared" si="21"/>
        <v>785.54</v>
      </c>
    </row>
    <row r="1377" spans="1:13" x14ac:dyDescent="0.25">
      <c r="A1377" t="s">
        <v>788</v>
      </c>
      <c r="B1377" t="s">
        <v>2384</v>
      </c>
      <c r="C1377" t="s">
        <v>988</v>
      </c>
      <c r="D1377" t="s">
        <v>1808</v>
      </c>
      <c r="E1377" t="s">
        <v>1369</v>
      </c>
      <c r="F1377" t="s">
        <v>967</v>
      </c>
      <c r="G1377" t="s">
        <v>968</v>
      </c>
      <c r="H1377" t="s">
        <v>969</v>
      </c>
      <c r="I1377" t="s">
        <v>970</v>
      </c>
      <c r="J1377" t="s">
        <v>971</v>
      </c>
      <c r="K1377" t="s">
        <v>972</v>
      </c>
      <c r="L1377">
        <v>916.02</v>
      </c>
      <c r="M1377">
        <f t="shared" si="21"/>
        <v>2920.9399999999996</v>
      </c>
    </row>
    <row r="1378" spans="1:13" x14ac:dyDescent="0.25">
      <c r="A1378" t="s">
        <v>209</v>
      </c>
      <c r="B1378" t="s">
        <v>2459</v>
      </c>
      <c r="C1378" t="s">
        <v>988</v>
      </c>
      <c r="D1378" t="s">
        <v>1731</v>
      </c>
      <c r="E1378" t="s">
        <v>977</v>
      </c>
      <c r="F1378" t="s">
        <v>967</v>
      </c>
      <c r="G1378" t="s">
        <v>968</v>
      </c>
      <c r="H1378" t="s">
        <v>969</v>
      </c>
      <c r="I1378" t="s">
        <v>970</v>
      </c>
      <c r="J1378" t="s">
        <v>971</v>
      </c>
      <c r="K1378" t="s">
        <v>972</v>
      </c>
      <c r="L1378">
        <v>460.57</v>
      </c>
      <c r="M1378">
        <f t="shared" si="21"/>
        <v>2920.9399999999996</v>
      </c>
    </row>
    <row r="1379" spans="1:13" x14ac:dyDescent="0.25">
      <c r="A1379" t="s">
        <v>178</v>
      </c>
      <c r="B1379" t="s">
        <v>2305</v>
      </c>
      <c r="C1379" t="s">
        <v>982</v>
      </c>
      <c r="D1379" t="s">
        <v>1633</v>
      </c>
      <c r="E1379" t="s">
        <v>977</v>
      </c>
      <c r="F1379" t="s">
        <v>967</v>
      </c>
      <c r="G1379" t="s">
        <v>968</v>
      </c>
      <c r="H1379" t="s">
        <v>969</v>
      </c>
      <c r="I1379" t="s">
        <v>970</v>
      </c>
      <c r="J1379" t="s">
        <v>971</v>
      </c>
      <c r="K1379" t="s">
        <v>972</v>
      </c>
      <c r="L1379">
        <v>1544.35</v>
      </c>
      <c r="M1379">
        <f t="shared" si="21"/>
        <v>2920.9399999999996</v>
      </c>
    </row>
    <row r="1380" spans="1:13" x14ac:dyDescent="0.25">
      <c r="A1380" t="s">
        <v>869</v>
      </c>
      <c r="B1380" t="s">
        <v>2322</v>
      </c>
      <c r="C1380" t="s">
        <v>988</v>
      </c>
      <c r="D1380" t="s">
        <v>1687</v>
      </c>
      <c r="E1380" t="s">
        <v>977</v>
      </c>
      <c r="F1380" t="s">
        <v>967</v>
      </c>
      <c r="G1380" t="s">
        <v>968</v>
      </c>
      <c r="H1380" t="s">
        <v>969</v>
      </c>
      <c r="I1380" t="s">
        <v>970</v>
      </c>
      <c r="J1380" t="s">
        <v>971</v>
      </c>
      <c r="K1380" t="s">
        <v>972</v>
      </c>
      <c r="L1380">
        <v>1346.7</v>
      </c>
      <c r="M1380">
        <f t="shared" si="21"/>
        <v>1346.7</v>
      </c>
    </row>
    <row r="1381" spans="1:13" x14ac:dyDescent="0.25">
      <c r="A1381" t="s">
        <v>748</v>
      </c>
      <c r="B1381" t="s">
        <v>2375</v>
      </c>
      <c r="C1381" t="s">
        <v>988</v>
      </c>
      <c r="D1381" t="s">
        <v>1608</v>
      </c>
      <c r="E1381" t="s">
        <v>980</v>
      </c>
      <c r="F1381" t="s">
        <v>967</v>
      </c>
      <c r="G1381" t="s">
        <v>968</v>
      </c>
      <c r="H1381" t="s">
        <v>969</v>
      </c>
      <c r="I1381" t="s">
        <v>970</v>
      </c>
      <c r="J1381" t="s">
        <v>971</v>
      </c>
      <c r="K1381" t="s">
        <v>972</v>
      </c>
      <c r="L1381">
        <v>989.82</v>
      </c>
      <c r="M1381">
        <f t="shared" si="21"/>
        <v>2657.25</v>
      </c>
    </row>
    <row r="1382" spans="1:13" x14ac:dyDescent="0.25">
      <c r="A1382" t="s">
        <v>250</v>
      </c>
      <c r="B1382" t="s">
        <v>2291</v>
      </c>
      <c r="C1382" t="s">
        <v>2171</v>
      </c>
      <c r="D1382" t="s">
        <v>1516</v>
      </c>
      <c r="E1382" t="s">
        <v>966</v>
      </c>
      <c r="F1382" t="s">
        <v>967</v>
      </c>
      <c r="G1382" t="s">
        <v>968</v>
      </c>
      <c r="H1382" t="s">
        <v>969</v>
      </c>
      <c r="I1382" t="s">
        <v>970</v>
      </c>
      <c r="J1382" t="s">
        <v>971</v>
      </c>
      <c r="K1382" t="s">
        <v>972</v>
      </c>
      <c r="L1382">
        <v>1667.43</v>
      </c>
      <c r="M1382">
        <f t="shared" si="21"/>
        <v>2657.25</v>
      </c>
    </row>
    <row r="1383" spans="1:13" x14ac:dyDescent="0.25">
      <c r="A1383" t="s">
        <v>765</v>
      </c>
      <c r="B1383" t="s">
        <v>2332</v>
      </c>
      <c r="C1383" t="s">
        <v>988</v>
      </c>
      <c r="D1383" t="s">
        <v>1671</v>
      </c>
      <c r="E1383" t="s">
        <v>980</v>
      </c>
      <c r="F1383" t="s">
        <v>967</v>
      </c>
      <c r="G1383" t="s">
        <v>968</v>
      </c>
      <c r="H1383" t="s">
        <v>969</v>
      </c>
      <c r="I1383" t="s">
        <v>970</v>
      </c>
      <c r="J1383" t="s">
        <v>971</v>
      </c>
      <c r="K1383" t="s">
        <v>972</v>
      </c>
      <c r="L1383">
        <v>1113.6500000000001</v>
      </c>
      <c r="M1383">
        <f t="shared" si="21"/>
        <v>1113.6500000000001</v>
      </c>
    </row>
    <row r="1384" spans="1:13" x14ac:dyDescent="0.25">
      <c r="A1384" t="s">
        <v>350</v>
      </c>
      <c r="B1384" t="s">
        <v>2455</v>
      </c>
      <c r="C1384" t="s">
        <v>2171</v>
      </c>
      <c r="D1384" t="s">
        <v>1528</v>
      </c>
      <c r="E1384" t="s">
        <v>977</v>
      </c>
      <c r="F1384" t="s">
        <v>967</v>
      </c>
      <c r="G1384" t="s">
        <v>968</v>
      </c>
      <c r="H1384" t="s">
        <v>2390</v>
      </c>
      <c r="I1384" t="s">
        <v>970</v>
      </c>
      <c r="J1384" t="s">
        <v>971</v>
      </c>
      <c r="K1384" t="s">
        <v>972</v>
      </c>
      <c r="L1384">
        <v>484.44</v>
      </c>
      <c r="M1384">
        <f t="shared" si="21"/>
        <v>484.44</v>
      </c>
    </row>
    <row r="1385" spans="1:13" x14ac:dyDescent="0.25">
      <c r="A1385" t="s">
        <v>879</v>
      </c>
      <c r="B1385" t="s">
        <v>2222</v>
      </c>
      <c r="C1385" t="s">
        <v>982</v>
      </c>
      <c r="D1385" t="s">
        <v>1446</v>
      </c>
      <c r="E1385" t="s">
        <v>977</v>
      </c>
      <c r="F1385" t="s">
        <v>967</v>
      </c>
      <c r="G1385" t="s">
        <v>968</v>
      </c>
      <c r="H1385" t="s">
        <v>969</v>
      </c>
      <c r="I1385" t="s">
        <v>970</v>
      </c>
      <c r="J1385" t="s">
        <v>971</v>
      </c>
      <c r="K1385" t="s">
        <v>972</v>
      </c>
      <c r="L1385">
        <v>2267.52</v>
      </c>
      <c r="M1385">
        <f t="shared" si="21"/>
        <v>4310.66</v>
      </c>
    </row>
    <row r="1386" spans="1:13" x14ac:dyDescent="0.25">
      <c r="A1386" t="s">
        <v>472</v>
      </c>
      <c r="B1386" t="s">
        <v>2325</v>
      </c>
      <c r="C1386" t="s">
        <v>982</v>
      </c>
      <c r="D1386" t="s">
        <v>1443</v>
      </c>
      <c r="E1386" t="s">
        <v>980</v>
      </c>
      <c r="F1386" t="s">
        <v>967</v>
      </c>
      <c r="G1386" t="s">
        <v>968</v>
      </c>
      <c r="H1386" t="s">
        <v>969</v>
      </c>
      <c r="I1386" t="s">
        <v>970</v>
      </c>
      <c r="J1386" t="s">
        <v>971</v>
      </c>
      <c r="K1386" t="s">
        <v>972</v>
      </c>
      <c r="L1386">
        <v>1306.3699999999999</v>
      </c>
      <c r="M1386">
        <f t="shared" si="21"/>
        <v>4310.66</v>
      </c>
    </row>
    <row r="1387" spans="1:13" x14ac:dyDescent="0.25">
      <c r="A1387" t="s">
        <v>762</v>
      </c>
      <c r="B1387" t="s">
        <v>2418</v>
      </c>
      <c r="C1387" t="s">
        <v>982</v>
      </c>
      <c r="D1387" t="s">
        <v>1351</v>
      </c>
      <c r="E1387" t="s">
        <v>980</v>
      </c>
      <c r="F1387" t="s">
        <v>967</v>
      </c>
      <c r="G1387" t="s">
        <v>968</v>
      </c>
      <c r="H1387" t="s">
        <v>2390</v>
      </c>
      <c r="I1387" t="s">
        <v>970</v>
      </c>
      <c r="J1387" t="s">
        <v>971</v>
      </c>
      <c r="K1387" t="s">
        <v>972</v>
      </c>
      <c r="L1387">
        <v>736.77</v>
      </c>
      <c r="M1387">
        <f t="shared" si="21"/>
        <v>4310.66</v>
      </c>
    </row>
    <row r="1388" spans="1:13" x14ac:dyDescent="0.25">
      <c r="A1388" t="s">
        <v>842</v>
      </c>
      <c r="B1388" t="s">
        <v>2205</v>
      </c>
      <c r="C1388" t="s">
        <v>982</v>
      </c>
      <c r="D1388" t="s">
        <v>1201</v>
      </c>
      <c r="E1388" t="s">
        <v>980</v>
      </c>
      <c r="F1388" t="s">
        <v>967</v>
      </c>
      <c r="G1388" t="s">
        <v>968</v>
      </c>
      <c r="H1388" t="s">
        <v>969</v>
      </c>
      <c r="I1388" t="s">
        <v>970</v>
      </c>
      <c r="J1388" t="s">
        <v>971</v>
      </c>
      <c r="K1388" t="s">
        <v>972</v>
      </c>
      <c r="L1388">
        <v>2692.84</v>
      </c>
      <c r="M1388">
        <f t="shared" si="21"/>
        <v>2692.84</v>
      </c>
    </row>
    <row r="1389" spans="1:13" x14ac:dyDescent="0.25">
      <c r="A1389" t="s">
        <v>242</v>
      </c>
      <c r="B1389" t="s">
        <v>2420</v>
      </c>
      <c r="C1389" t="s">
        <v>982</v>
      </c>
      <c r="D1389" t="s">
        <v>1356</v>
      </c>
      <c r="E1389" t="s">
        <v>977</v>
      </c>
      <c r="F1389" t="s">
        <v>967</v>
      </c>
      <c r="G1389" t="s">
        <v>968</v>
      </c>
      <c r="H1389" t="s">
        <v>969</v>
      </c>
      <c r="I1389" t="s">
        <v>970</v>
      </c>
      <c r="J1389" t="s">
        <v>971</v>
      </c>
      <c r="K1389" t="s">
        <v>972</v>
      </c>
      <c r="L1389">
        <v>727.03</v>
      </c>
      <c r="M1389">
        <f t="shared" si="21"/>
        <v>1344.59</v>
      </c>
    </row>
    <row r="1390" spans="1:13" x14ac:dyDescent="0.25">
      <c r="A1390" t="s">
        <v>242</v>
      </c>
      <c r="B1390" t="s">
        <v>2420</v>
      </c>
      <c r="C1390" t="s">
        <v>982</v>
      </c>
      <c r="D1390" t="s">
        <v>1356</v>
      </c>
      <c r="E1390" t="s">
        <v>977</v>
      </c>
      <c r="F1390" t="s">
        <v>967</v>
      </c>
      <c r="G1390" t="s">
        <v>968</v>
      </c>
      <c r="H1390" t="s">
        <v>2390</v>
      </c>
      <c r="I1390" t="s">
        <v>970</v>
      </c>
      <c r="J1390" t="s">
        <v>971</v>
      </c>
      <c r="K1390" t="s">
        <v>972</v>
      </c>
      <c r="L1390">
        <v>617.55999999999995</v>
      </c>
      <c r="M1390">
        <f t="shared" si="21"/>
        <v>1344.59</v>
      </c>
    </row>
    <row r="1391" spans="1:13" x14ac:dyDescent="0.25">
      <c r="A1391" t="s">
        <v>793</v>
      </c>
      <c r="B1391" t="s">
        <v>2405</v>
      </c>
      <c r="C1391" t="s">
        <v>982</v>
      </c>
      <c r="D1391" t="s">
        <v>1356</v>
      </c>
      <c r="E1391" t="s">
        <v>980</v>
      </c>
      <c r="F1391" t="s">
        <v>967</v>
      </c>
      <c r="G1391" t="s">
        <v>968</v>
      </c>
      <c r="H1391" t="s">
        <v>2390</v>
      </c>
      <c r="I1391" t="s">
        <v>970</v>
      </c>
      <c r="J1391" t="s">
        <v>971</v>
      </c>
      <c r="K1391" t="s">
        <v>972</v>
      </c>
      <c r="L1391">
        <v>785.91</v>
      </c>
      <c r="M1391">
        <f t="shared" si="21"/>
        <v>1426.9499999999998</v>
      </c>
    </row>
    <row r="1392" spans="1:13" x14ac:dyDescent="0.25">
      <c r="A1392" t="s">
        <v>143</v>
      </c>
      <c r="B1392" t="s">
        <v>2432</v>
      </c>
      <c r="C1392" t="s">
        <v>2171</v>
      </c>
      <c r="D1392" t="s">
        <v>1522</v>
      </c>
      <c r="E1392" t="s">
        <v>977</v>
      </c>
      <c r="F1392" t="s">
        <v>967</v>
      </c>
      <c r="G1392" t="s">
        <v>968</v>
      </c>
      <c r="H1392" t="s">
        <v>2390</v>
      </c>
      <c r="I1392" t="s">
        <v>970</v>
      </c>
      <c r="J1392" t="s">
        <v>971</v>
      </c>
      <c r="K1392" t="s">
        <v>972</v>
      </c>
      <c r="L1392">
        <v>641.04</v>
      </c>
      <c r="M1392">
        <f t="shared" si="21"/>
        <v>1426.9499999999998</v>
      </c>
    </row>
    <row r="1393" spans="1:13" x14ac:dyDescent="0.25">
      <c r="A1393" t="s">
        <v>609</v>
      </c>
      <c r="B1393" t="s">
        <v>2388</v>
      </c>
      <c r="C1393" t="s">
        <v>982</v>
      </c>
      <c r="D1393" t="s">
        <v>1125</v>
      </c>
      <c r="E1393" t="s">
        <v>977</v>
      </c>
      <c r="F1393" t="s">
        <v>967</v>
      </c>
      <c r="G1393" t="s">
        <v>968</v>
      </c>
      <c r="H1393" t="s">
        <v>969</v>
      </c>
      <c r="I1393" t="s">
        <v>970</v>
      </c>
      <c r="J1393" t="s">
        <v>971</v>
      </c>
      <c r="K1393" t="s">
        <v>972</v>
      </c>
      <c r="L1393">
        <v>884.45</v>
      </c>
      <c r="M1393">
        <f t="shared" si="21"/>
        <v>1635.73</v>
      </c>
    </row>
    <row r="1394" spans="1:13" x14ac:dyDescent="0.25">
      <c r="A1394" t="s">
        <v>609</v>
      </c>
      <c r="B1394" t="s">
        <v>2388</v>
      </c>
      <c r="C1394" t="s">
        <v>982</v>
      </c>
      <c r="D1394" t="s">
        <v>1125</v>
      </c>
      <c r="E1394" t="s">
        <v>977</v>
      </c>
      <c r="F1394" t="s">
        <v>967</v>
      </c>
      <c r="G1394" t="s">
        <v>968</v>
      </c>
      <c r="H1394" t="s">
        <v>2390</v>
      </c>
      <c r="I1394" t="s">
        <v>970</v>
      </c>
      <c r="J1394" t="s">
        <v>971</v>
      </c>
      <c r="K1394" t="s">
        <v>972</v>
      </c>
      <c r="L1394">
        <v>751.28</v>
      </c>
      <c r="M1394">
        <f t="shared" si="21"/>
        <v>1635.73</v>
      </c>
    </row>
    <row r="1395" spans="1:13" x14ac:dyDescent="0.25">
      <c r="A1395" t="s">
        <v>544</v>
      </c>
      <c r="B1395" t="s">
        <v>2398</v>
      </c>
      <c r="C1395" t="s">
        <v>982</v>
      </c>
      <c r="D1395" t="s">
        <v>1144</v>
      </c>
      <c r="E1395" t="s">
        <v>977</v>
      </c>
      <c r="F1395" t="s">
        <v>967</v>
      </c>
      <c r="G1395" t="s">
        <v>968</v>
      </c>
      <c r="H1395" t="s">
        <v>969</v>
      </c>
      <c r="I1395" t="s">
        <v>970</v>
      </c>
      <c r="J1395" t="s">
        <v>971</v>
      </c>
      <c r="K1395" t="s">
        <v>972</v>
      </c>
      <c r="L1395">
        <v>849.28</v>
      </c>
      <c r="M1395">
        <f t="shared" si="21"/>
        <v>3665.94</v>
      </c>
    </row>
    <row r="1396" spans="1:13" x14ac:dyDescent="0.25">
      <c r="A1396" t="s">
        <v>544</v>
      </c>
      <c r="B1396" t="s">
        <v>2398</v>
      </c>
      <c r="C1396" t="s">
        <v>982</v>
      </c>
      <c r="D1396" t="s">
        <v>1144</v>
      </c>
      <c r="E1396" t="s">
        <v>977</v>
      </c>
      <c r="F1396" t="s">
        <v>967</v>
      </c>
      <c r="G1396" t="s">
        <v>968</v>
      </c>
      <c r="H1396" t="s">
        <v>2390</v>
      </c>
      <c r="I1396" t="s">
        <v>970</v>
      </c>
      <c r="J1396" t="s">
        <v>971</v>
      </c>
      <c r="K1396" t="s">
        <v>972</v>
      </c>
      <c r="L1396">
        <v>721.41</v>
      </c>
      <c r="M1396">
        <f t="shared" si="21"/>
        <v>3665.94</v>
      </c>
    </row>
    <row r="1397" spans="1:13" x14ac:dyDescent="0.25">
      <c r="A1397" t="s">
        <v>577</v>
      </c>
      <c r="B1397" t="s">
        <v>2243</v>
      </c>
      <c r="C1397" t="s">
        <v>988</v>
      </c>
      <c r="D1397" t="s">
        <v>965</v>
      </c>
      <c r="E1397" t="s">
        <v>980</v>
      </c>
      <c r="F1397" t="s">
        <v>967</v>
      </c>
      <c r="G1397" t="s">
        <v>968</v>
      </c>
      <c r="H1397" t="s">
        <v>969</v>
      </c>
      <c r="I1397" t="s">
        <v>970</v>
      </c>
      <c r="J1397" t="s">
        <v>971</v>
      </c>
      <c r="K1397" t="s">
        <v>972</v>
      </c>
      <c r="L1397">
        <v>2095.25</v>
      </c>
      <c r="M1397">
        <f t="shared" si="21"/>
        <v>3665.94</v>
      </c>
    </row>
    <row r="1398" spans="1:13" x14ac:dyDescent="0.25">
      <c r="A1398" t="s">
        <v>247</v>
      </c>
      <c r="B1398" t="s">
        <v>2220</v>
      </c>
      <c r="C1398" t="s">
        <v>988</v>
      </c>
      <c r="D1398" t="s">
        <v>1039</v>
      </c>
      <c r="E1398" t="s">
        <v>977</v>
      </c>
      <c r="F1398" t="s">
        <v>967</v>
      </c>
      <c r="G1398" t="s">
        <v>968</v>
      </c>
      <c r="H1398" t="s">
        <v>969</v>
      </c>
      <c r="I1398" t="s">
        <v>970</v>
      </c>
      <c r="J1398" t="s">
        <v>971</v>
      </c>
      <c r="K1398" t="s">
        <v>972</v>
      </c>
      <c r="L1398">
        <v>2323.08</v>
      </c>
      <c r="M1398">
        <f t="shared" si="21"/>
        <v>2323.08</v>
      </c>
    </row>
    <row r="1399" spans="1:13" x14ac:dyDescent="0.25">
      <c r="A1399" t="s">
        <v>70</v>
      </c>
      <c r="B1399" t="s">
        <v>2224</v>
      </c>
      <c r="C1399" t="s">
        <v>988</v>
      </c>
      <c r="D1399" t="s">
        <v>1382</v>
      </c>
      <c r="E1399" t="s">
        <v>977</v>
      </c>
      <c r="F1399" t="s">
        <v>967</v>
      </c>
      <c r="G1399" t="s">
        <v>968</v>
      </c>
      <c r="H1399" t="s">
        <v>969</v>
      </c>
      <c r="I1399" t="s">
        <v>970</v>
      </c>
      <c r="J1399" t="s">
        <v>971</v>
      </c>
      <c r="K1399" t="s">
        <v>972</v>
      </c>
      <c r="L1399">
        <v>2249.2800000000002</v>
      </c>
      <c r="M1399">
        <f t="shared" si="21"/>
        <v>3117.6400000000003</v>
      </c>
    </row>
    <row r="1400" spans="1:13" x14ac:dyDescent="0.25">
      <c r="A1400" t="s">
        <v>572</v>
      </c>
      <c r="B1400" t="s">
        <v>2393</v>
      </c>
      <c r="C1400" t="s">
        <v>982</v>
      </c>
      <c r="D1400" t="s">
        <v>1208</v>
      </c>
      <c r="E1400" t="s">
        <v>977</v>
      </c>
      <c r="F1400" t="s">
        <v>967</v>
      </c>
      <c r="G1400" t="s">
        <v>968</v>
      </c>
      <c r="H1400" t="s">
        <v>2390</v>
      </c>
      <c r="I1400" t="s">
        <v>970</v>
      </c>
      <c r="J1400" t="s">
        <v>971</v>
      </c>
      <c r="K1400" t="s">
        <v>972</v>
      </c>
      <c r="L1400">
        <v>868.36</v>
      </c>
      <c r="M1400">
        <f t="shared" si="21"/>
        <v>3117.6400000000003</v>
      </c>
    </row>
    <row r="1401" spans="1:13" x14ac:dyDescent="0.25">
      <c r="A1401" t="s">
        <v>724</v>
      </c>
      <c r="B1401" t="s">
        <v>2402</v>
      </c>
      <c r="C1401" t="s">
        <v>982</v>
      </c>
      <c r="D1401" t="s">
        <v>1208</v>
      </c>
      <c r="E1401" t="s">
        <v>977</v>
      </c>
      <c r="F1401" t="s">
        <v>967</v>
      </c>
      <c r="G1401" t="s">
        <v>968</v>
      </c>
      <c r="H1401" t="s">
        <v>2390</v>
      </c>
      <c r="I1401" t="s">
        <v>970</v>
      </c>
      <c r="J1401" t="s">
        <v>971</v>
      </c>
      <c r="K1401" t="s">
        <v>972</v>
      </c>
      <c r="L1401">
        <v>818.41</v>
      </c>
      <c r="M1401">
        <f t="shared" si="21"/>
        <v>10903.35</v>
      </c>
    </row>
    <row r="1402" spans="1:13" x14ac:dyDescent="0.25">
      <c r="A1402" t="s">
        <v>64</v>
      </c>
      <c r="B1402" t="s">
        <v>2175</v>
      </c>
      <c r="C1402" t="s">
        <v>982</v>
      </c>
      <c r="D1402" t="s">
        <v>1032</v>
      </c>
      <c r="E1402" t="s">
        <v>980</v>
      </c>
      <c r="F1402" t="s">
        <v>967</v>
      </c>
      <c r="G1402" t="s">
        <v>968</v>
      </c>
      <c r="H1402" t="s">
        <v>969</v>
      </c>
      <c r="I1402" t="s">
        <v>970</v>
      </c>
      <c r="J1402" t="s">
        <v>971</v>
      </c>
      <c r="K1402" t="s">
        <v>972</v>
      </c>
      <c r="L1402">
        <v>3115.96</v>
      </c>
      <c r="M1402">
        <f t="shared" si="21"/>
        <v>10903.35</v>
      </c>
    </row>
    <row r="1403" spans="1:13" x14ac:dyDescent="0.25">
      <c r="A1403" t="s">
        <v>811</v>
      </c>
      <c r="B1403" t="s">
        <v>2221</v>
      </c>
      <c r="C1403" t="s">
        <v>988</v>
      </c>
      <c r="D1403" t="s">
        <v>1032</v>
      </c>
      <c r="E1403" t="s">
        <v>977</v>
      </c>
      <c r="F1403" t="s">
        <v>967</v>
      </c>
      <c r="G1403" t="s">
        <v>968</v>
      </c>
      <c r="H1403" t="s">
        <v>969</v>
      </c>
      <c r="I1403" t="s">
        <v>970</v>
      </c>
      <c r="J1403" t="s">
        <v>971</v>
      </c>
      <c r="K1403" t="s">
        <v>972</v>
      </c>
      <c r="L1403">
        <v>2281.81</v>
      </c>
      <c r="M1403">
        <f t="shared" si="21"/>
        <v>10903.35</v>
      </c>
    </row>
    <row r="1404" spans="1:13" x14ac:dyDescent="0.25">
      <c r="A1404" t="s">
        <v>606</v>
      </c>
      <c r="B1404" t="s">
        <v>2383</v>
      </c>
      <c r="C1404" t="s">
        <v>982</v>
      </c>
      <c r="D1404" t="s">
        <v>1054</v>
      </c>
      <c r="E1404" t="s">
        <v>980</v>
      </c>
      <c r="F1404" t="s">
        <v>967</v>
      </c>
      <c r="G1404" t="s">
        <v>968</v>
      </c>
      <c r="H1404" t="s">
        <v>969</v>
      </c>
      <c r="I1404" t="s">
        <v>970</v>
      </c>
      <c r="J1404" t="s">
        <v>971</v>
      </c>
      <c r="K1404" t="s">
        <v>972</v>
      </c>
      <c r="L1404">
        <v>929.94</v>
      </c>
      <c r="M1404">
        <f t="shared" si="21"/>
        <v>10903.35</v>
      </c>
    </row>
    <row r="1405" spans="1:13" x14ac:dyDescent="0.25">
      <c r="A1405" t="s">
        <v>606</v>
      </c>
      <c r="B1405" t="s">
        <v>2383</v>
      </c>
      <c r="C1405" t="s">
        <v>982</v>
      </c>
      <c r="D1405" t="s">
        <v>1054</v>
      </c>
      <c r="E1405" t="s">
        <v>980</v>
      </c>
      <c r="F1405" t="s">
        <v>967</v>
      </c>
      <c r="G1405" t="s">
        <v>968</v>
      </c>
      <c r="H1405" t="s">
        <v>2390</v>
      </c>
      <c r="I1405" t="s">
        <v>970</v>
      </c>
      <c r="J1405" t="s">
        <v>971</v>
      </c>
      <c r="K1405" t="s">
        <v>972</v>
      </c>
      <c r="L1405">
        <v>789.92</v>
      </c>
      <c r="M1405">
        <f t="shared" si="21"/>
        <v>10903.35</v>
      </c>
    </row>
    <row r="1406" spans="1:13" x14ac:dyDescent="0.25">
      <c r="A1406" t="s">
        <v>776</v>
      </c>
      <c r="B1406" t="s">
        <v>2193</v>
      </c>
      <c r="C1406" t="s">
        <v>982</v>
      </c>
      <c r="D1406" t="s">
        <v>1032</v>
      </c>
      <c r="E1406" t="s">
        <v>977</v>
      </c>
      <c r="F1406" t="s">
        <v>967</v>
      </c>
      <c r="G1406" t="s">
        <v>968</v>
      </c>
      <c r="H1406" t="s">
        <v>969</v>
      </c>
      <c r="I1406" t="s">
        <v>970</v>
      </c>
      <c r="J1406" t="s">
        <v>971</v>
      </c>
      <c r="K1406" t="s">
        <v>972</v>
      </c>
      <c r="L1406">
        <v>2967.31</v>
      </c>
      <c r="M1406">
        <f t="shared" si="21"/>
        <v>10903.35</v>
      </c>
    </row>
    <row r="1407" spans="1:13" x14ac:dyDescent="0.25">
      <c r="A1407" t="s">
        <v>886</v>
      </c>
      <c r="B1407" t="s">
        <v>2371</v>
      </c>
      <c r="C1407" t="s">
        <v>982</v>
      </c>
      <c r="D1407" t="s">
        <v>1164</v>
      </c>
      <c r="E1407" t="s">
        <v>977</v>
      </c>
      <c r="F1407" t="s">
        <v>967</v>
      </c>
      <c r="G1407" t="s">
        <v>968</v>
      </c>
      <c r="H1407" t="s">
        <v>969</v>
      </c>
      <c r="I1407" t="s">
        <v>970</v>
      </c>
      <c r="J1407" t="s">
        <v>971</v>
      </c>
      <c r="K1407" t="s">
        <v>972</v>
      </c>
      <c r="L1407">
        <v>1038.05</v>
      </c>
      <c r="M1407">
        <f t="shared" si="21"/>
        <v>4316.91</v>
      </c>
    </row>
    <row r="1408" spans="1:13" x14ac:dyDescent="0.25">
      <c r="A1408" t="s">
        <v>886</v>
      </c>
      <c r="B1408" t="s">
        <v>2371</v>
      </c>
      <c r="C1408" t="s">
        <v>982</v>
      </c>
      <c r="D1408" t="s">
        <v>1164</v>
      </c>
      <c r="E1408" t="s">
        <v>977</v>
      </c>
      <c r="F1408" t="s">
        <v>967</v>
      </c>
      <c r="G1408" t="s">
        <v>968</v>
      </c>
      <c r="H1408" t="s">
        <v>2390</v>
      </c>
      <c r="I1408" t="s">
        <v>970</v>
      </c>
      <c r="J1408" t="s">
        <v>971</v>
      </c>
      <c r="K1408" t="s">
        <v>972</v>
      </c>
      <c r="L1408">
        <v>881.75</v>
      </c>
      <c r="M1408">
        <f t="shared" si="21"/>
        <v>4316.91</v>
      </c>
    </row>
    <row r="1409" spans="1:13" x14ac:dyDescent="0.25">
      <c r="A1409" t="s">
        <v>341</v>
      </c>
      <c r="B1409" t="s">
        <v>2212</v>
      </c>
      <c r="C1409" t="s">
        <v>988</v>
      </c>
      <c r="D1409" t="s">
        <v>1012</v>
      </c>
      <c r="E1409" t="s">
        <v>980</v>
      </c>
      <c r="F1409" t="s">
        <v>967</v>
      </c>
      <c r="G1409" t="s">
        <v>968</v>
      </c>
      <c r="H1409" t="s">
        <v>969</v>
      </c>
      <c r="I1409" t="s">
        <v>970</v>
      </c>
      <c r="J1409" t="s">
        <v>971</v>
      </c>
      <c r="K1409" t="s">
        <v>972</v>
      </c>
      <c r="L1409">
        <v>2397.11</v>
      </c>
      <c r="M1409">
        <f t="shared" si="21"/>
        <v>4316.91</v>
      </c>
    </row>
    <row r="1410" spans="1:13" x14ac:dyDescent="0.25">
      <c r="A1410" t="s">
        <v>728</v>
      </c>
      <c r="B1410" t="s">
        <v>2211</v>
      </c>
      <c r="C1410" t="s">
        <v>988</v>
      </c>
      <c r="D1410" t="s">
        <v>989</v>
      </c>
      <c r="E1410" t="s">
        <v>977</v>
      </c>
      <c r="F1410" t="s">
        <v>967</v>
      </c>
      <c r="G1410" t="s">
        <v>968</v>
      </c>
      <c r="H1410" t="s">
        <v>969</v>
      </c>
      <c r="I1410" t="s">
        <v>970</v>
      </c>
      <c r="J1410" t="s">
        <v>971</v>
      </c>
      <c r="K1410" t="s">
        <v>972</v>
      </c>
      <c r="L1410">
        <v>2469.04</v>
      </c>
      <c r="M1410">
        <f t="shared" si="21"/>
        <v>4866.0599999999995</v>
      </c>
    </row>
    <row r="1411" spans="1:13" x14ac:dyDescent="0.25">
      <c r="A1411" t="s">
        <v>857</v>
      </c>
      <c r="B1411" t="s">
        <v>2213</v>
      </c>
      <c r="C1411" t="s">
        <v>988</v>
      </c>
      <c r="D1411" t="s">
        <v>1047</v>
      </c>
      <c r="E1411" t="s">
        <v>980</v>
      </c>
      <c r="F1411" t="s">
        <v>967</v>
      </c>
      <c r="G1411" t="s">
        <v>968</v>
      </c>
      <c r="H1411" t="s">
        <v>969</v>
      </c>
      <c r="I1411" t="s">
        <v>970</v>
      </c>
      <c r="J1411" t="s">
        <v>971</v>
      </c>
      <c r="K1411" t="s">
        <v>972</v>
      </c>
      <c r="L1411">
        <v>2397.02</v>
      </c>
      <c r="M1411">
        <f t="shared" ref="M1411:M1415" si="22">+SUMIF(A:A,A1411,L:L)</f>
        <v>4866.0599999999995</v>
      </c>
    </row>
    <row r="1412" spans="1:13" x14ac:dyDescent="0.25">
      <c r="A1412" t="s">
        <v>142</v>
      </c>
      <c r="B1412" t="s">
        <v>2209</v>
      </c>
      <c r="C1412" t="s">
        <v>988</v>
      </c>
      <c r="D1412" t="s">
        <v>2210</v>
      </c>
      <c r="E1412" t="s">
        <v>977</v>
      </c>
      <c r="F1412" t="s">
        <v>967</v>
      </c>
      <c r="G1412" t="s">
        <v>968</v>
      </c>
      <c r="H1412" t="s">
        <v>969</v>
      </c>
      <c r="I1412" t="s">
        <v>970</v>
      </c>
      <c r="J1412" t="s">
        <v>971</v>
      </c>
      <c r="K1412" t="s">
        <v>972</v>
      </c>
      <c r="L1412">
        <v>2590.92</v>
      </c>
      <c r="M1412">
        <f t="shared" si="22"/>
        <v>9215.34</v>
      </c>
    </row>
    <row r="1413" spans="1:13" x14ac:dyDescent="0.25">
      <c r="A1413" t="s">
        <v>601</v>
      </c>
      <c r="B1413" t="s">
        <v>2170</v>
      </c>
      <c r="C1413" t="s">
        <v>2171</v>
      </c>
      <c r="D1413" t="s">
        <v>1362</v>
      </c>
      <c r="E1413" t="s">
        <v>977</v>
      </c>
      <c r="F1413" t="s">
        <v>967</v>
      </c>
      <c r="G1413" t="s">
        <v>968</v>
      </c>
      <c r="H1413" t="s">
        <v>969</v>
      </c>
      <c r="I1413" t="s">
        <v>970</v>
      </c>
      <c r="J1413" t="s">
        <v>971</v>
      </c>
      <c r="K1413" t="s">
        <v>972</v>
      </c>
      <c r="L1413">
        <v>3312.21</v>
      </c>
      <c r="M1413">
        <f t="shared" si="22"/>
        <v>9215.34</v>
      </c>
    </row>
    <row r="1414" spans="1:13" x14ac:dyDescent="0.25">
      <c r="A1414" t="s">
        <v>900</v>
      </c>
      <c r="B1414" t="s">
        <v>2172</v>
      </c>
      <c r="C1414" t="s">
        <v>2171</v>
      </c>
      <c r="D1414" t="s">
        <v>1362</v>
      </c>
      <c r="E1414" t="s">
        <v>977</v>
      </c>
      <c r="F1414" t="s">
        <v>967</v>
      </c>
      <c r="G1414" t="s">
        <v>968</v>
      </c>
      <c r="H1414" t="s">
        <v>969</v>
      </c>
      <c r="I1414" t="s">
        <v>970</v>
      </c>
      <c r="J1414" t="s">
        <v>971</v>
      </c>
      <c r="K1414" t="s">
        <v>972</v>
      </c>
      <c r="L1414">
        <v>3312.21</v>
      </c>
      <c r="M1414">
        <f t="shared" si="22"/>
        <v>9215.34</v>
      </c>
    </row>
    <row r="1415" spans="1:13" x14ac:dyDescent="0.25">
      <c r="A1415" t="s">
        <v>133</v>
      </c>
      <c r="B1415" t="s">
        <v>2207</v>
      </c>
      <c r="C1415" t="s">
        <v>988</v>
      </c>
      <c r="D1415" t="s">
        <v>2208</v>
      </c>
      <c r="E1415" t="s">
        <v>977</v>
      </c>
      <c r="F1415" t="s">
        <v>967</v>
      </c>
      <c r="G1415" t="s">
        <v>968</v>
      </c>
      <c r="H1415" t="s">
        <v>969</v>
      </c>
      <c r="I1415" t="s">
        <v>970</v>
      </c>
      <c r="J1415" t="s">
        <v>971</v>
      </c>
      <c r="K1415" t="s">
        <v>972</v>
      </c>
      <c r="L1415">
        <v>2590.92</v>
      </c>
      <c r="M1415">
        <f t="shared" si="22"/>
        <v>2590.92</v>
      </c>
    </row>
  </sheetData>
  <autoFilter ref="A1:L1415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DC691C6-DCE8-4B1E-AB5F-36796BE0D1DB}"/>
</file>

<file path=customXml/itemProps2.xml><?xml version="1.0" encoding="utf-8"?>
<ds:datastoreItem xmlns:ds="http://schemas.openxmlformats.org/officeDocument/2006/customXml" ds:itemID="{F9F99A4A-445B-49D0-89D6-0A4CA084A30F}"/>
</file>

<file path=customXml/itemProps3.xml><?xml version="1.0" encoding="utf-8"?>
<ds:datastoreItem xmlns:ds="http://schemas.openxmlformats.org/officeDocument/2006/customXml" ds:itemID="{86CAF483-C34D-4F9B-BCE1-AE192502B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2025-07-27T03:15:27Z</dcterms:created>
  <dcterms:modified xsi:type="dcterms:W3CDTF">2025-08-18T08:15:57Z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2025-08-18T05:46:26Z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76c6b5fa-ed25-4e23-8d54-edd18c1183dd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