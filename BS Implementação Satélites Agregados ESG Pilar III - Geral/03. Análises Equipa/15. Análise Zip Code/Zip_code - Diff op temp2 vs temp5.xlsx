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15. Análise Zip Code\"/>
    </mc:Choice>
  </mc:AlternateContent>
  <bookViews>
    <workbookView xWindow="0" yWindow="0" windowWidth="28740" windowHeight="10920"/>
  </bookViews>
  <sheets>
    <sheet name="Sheet2" sheetId="2" r:id="rId1"/>
    <sheet name="Sheet3" sheetId="3" r:id="rId2"/>
  </sheets>
  <definedNames>
    <definedName name="_xlnm._FilterDatabase" localSheetId="0" hidden="1">Sheet2!$B$16:$D$25</definedName>
    <definedName name="_xlnm._FilterDatabase" localSheetId="1" hidden="1">Sheet3!$B$13:$AD$22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2" l="1"/>
  <c r="K7" i="2"/>
  <c r="K6" i="2"/>
  <c r="J7" i="2"/>
  <c r="J6" i="2"/>
  <c r="E25" i="2" l="1"/>
  <c r="E21" i="2"/>
  <c r="F13" i="2"/>
  <c r="F9" i="2"/>
  <c r="F21" i="2" l="1"/>
  <c r="F25" i="2"/>
</calcChain>
</file>

<file path=xl/sharedStrings.xml><?xml version="1.0" encoding="utf-8"?>
<sst xmlns="http://schemas.openxmlformats.org/spreadsheetml/2006/main" count="377" uniqueCount="120">
  <si>
    <t>tipo_colateral</t>
  </si>
  <si>
    <t>bruto_imparidade</t>
  </si>
  <si>
    <t>contraparte</t>
  </si>
  <si>
    <t>sum(amount)</t>
  </si>
  <si>
    <t>Garantia Residencial</t>
  </si>
  <si>
    <t>valor bruto</t>
  </si>
  <si>
    <t>outras empresas nao financeiras</t>
  </si>
  <si>
    <t>Garantia Comercial</t>
  </si>
  <si>
    <t>particulares</t>
  </si>
  <si>
    <t>setor publico</t>
  </si>
  <si>
    <t>outras instituicoes financeiras</t>
  </si>
  <si>
    <t>NULL</t>
  </si>
  <si>
    <t>instituicoes de credito</t>
  </si>
  <si>
    <t>Temp 2</t>
  </si>
  <si>
    <t>Temp 5</t>
  </si>
  <si>
    <t>chave</t>
  </si>
  <si>
    <t>mont5</t>
  </si>
  <si>
    <t>mont2</t>
  </si>
  <si>
    <t>31641600000001093PC0665794000000</t>
  </si>
  <si>
    <t>31641600000001040PC0667670000000</t>
  </si>
  <si>
    <t>31641600000001207PC0662905000000</t>
  </si>
  <si>
    <t>31641600000000938PC0668449000000</t>
  </si>
  <si>
    <t>31641600000000938PC0650326000000</t>
  </si>
  <si>
    <t>31641600000001221PC0666403000000</t>
  </si>
  <si>
    <t>31641600000000938PC0649681000000</t>
  </si>
  <si>
    <t>31641600000000938PC0649529000000</t>
  </si>
  <si>
    <t>31641600000000938PC0652264000000</t>
  </si>
  <si>
    <t>entidade</t>
  </si>
  <si>
    <t>cempresa</t>
  </si>
  <si>
    <t>cbalcao</t>
  </si>
  <si>
    <t>cnumecta</t>
  </si>
  <si>
    <t>zdeposit</t>
  </si>
  <si>
    <t>zcliente</t>
  </si>
  <si>
    <t>sociedade_contraparte</t>
  </si>
  <si>
    <t>msaldo_final</t>
  </si>
  <si>
    <t>cod_ajust</t>
  </si>
  <si>
    <t>instrumento_financeiro</t>
  </si>
  <si>
    <t>carteira_contabilistica</t>
  </si>
  <si>
    <t>stages</t>
  </si>
  <si>
    <t>produto</t>
  </si>
  <si>
    <t>ccontab_final_idcomb</t>
  </si>
  <si>
    <t>data_vencimento</t>
  </si>
  <si>
    <t>data_abertura</t>
  </si>
  <si>
    <t>flag_project_finance</t>
  </si>
  <si>
    <t>cnatureza_juri</t>
  </si>
  <si>
    <t>cpais_residencia</t>
  </si>
  <si>
    <t>template1</t>
  </si>
  <si>
    <t>template2</t>
  </si>
  <si>
    <t>template5</t>
  </si>
  <si>
    <t>template7</t>
  </si>
  <si>
    <t>template10</t>
  </si>
  <si>
    <t>id_corrida</t>
  </si>
  <si>
    <t>ref_date</t>
  </si>
  <si>
    <t>PC0649529000000</t>
  </si>
  <si>
    <t>BI00411</t>
  </si>
  <si>
    <t>instrumentos de divida</t>
  </si>
  <si>
    <t>ativos financeiros ao custo amortizado</t>
  </si>
  <si>
    <t>stage 3</t>
  </si>
  <si>
    <t>CONT1;HFS2;B01;MC04;PR07;ACPF6;SC0303;STAG3;POCI2;ORIG1;SUBO2;TYVA01</t>
  </si>
  <si>
    <t>PC0666403000000</t>
  </si>
  <si>
    <t>stage 1</t>
  </si>
  <si>
    <t>CONT1;HFS2;B01;MC04;PR07;ACPF6;SC0303;STAG1;ORIG1;SUBO2;TYVA01</t>
  </si>
  <si>
    <t>PC0665794000000</t>
  </si>
  <si>
    <t>PC0667670000000</t>
  </si>
  <si>
    <t>PC0662905000000</t>
  </si>
  <si>
    <t>PC0649681000000</t>
  </si>
  <si>
    <t>PC0650326000000</t>
  </si>
  <si>
    <t>PC0668449000000</t>
  </si>
  <si>
    <t>PC0652264000000</t>
  </si>
  <si>
    <t>00100</t>
  </si>
  <si>
    <t>31</t>
  </si>
  <si>
    <t>6416</t>
  </si>
  <si>
    <t>00000000938</t>
  </si>
  <si>
    <t>7401718897</t>
  </si>
  <si>
    <t>2025-07-29</t>
  </si>
  <si>
    <t>2024-07-30</t>
  </si>
  <si>
    <t>0</t>
  </si>
  <si>
    <t>131210</t>
  </si>
  <si>
    <t>620</t>
  </si>
  <si>
    <t>1</t>
  </si>
  <si>
    <t>2025-06-30</t>
  </si>
  <si>
    <t>00000001221</t>
  </si>
  <si>
    <t>5100547447</t>
  </si>
  <si>
    <t>2026-05-18</t>
  </si>
  <si>
    <t>2025-05-19</t>
  </si>
  <si>
    <t>00000001093</t>
  </si>
  <si>
    <t>8042264407</t>
  </si>
  <si>
    <t>2026-05-14</t>
  </si>
  <si>
    <t>2025-05-15</t>
  </si>
  <si>
    <t>00000001040</t>
  </si>
  <si>
    <t>8009658581</t>
  </si>
  <si>
    <t>2025-07-16</t>
  </si>
  <si>
    <t>2025-06-16</t>
  </si>
  <si>
    <t>00000001207</t>
  </si>
  <si>
    <t>7401974954</t>
  </si>
  <si>
    <t>2026-03-20</t>
  </si>
  <si>
    <t>2025-03-21</t>
  </si>
  <si>
    <t>2025-07-31</t>
  </si>
  <si>
    <t>2024-08-01</t>
  </si>
  <si>
    <t>2025-08-12</t>
  </si>
  <si>
    <t>2024-08-13</t>
  </si>
  <si>
    <t>2026-06-26</t>
  </si>
  <si>
    <t>2025-06-27</t>
  </si>
  <si>
    <t>2025-09-22</t>
  </si>
  <si>
    <t>2024-09-23</t>
  </si>
  <si>
    <t>Temp5</t>
  </si>
  <si>
    <t xml:space="preserve">Cliente </t>
  </si>
  <si>
    <t>X</t>
  </si>
  <si>
    <t xml:space="preserve">Contrato </t>
  </si>
  <si>
    <t>Y</t>
  </si>
  <si>
    <t>Z</t>
  </si>
  <si>
    <t>CONTA IFRS</t>
  </si>
  <si>
    <t>CONTA SGPS</t>
  </si>
  <si>
    <t xml:space="preserve">IDCOMB 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</si>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</sst>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2" borderId="0" xfId="0" applyFill="1"/>
    <xf numFmtId="4" fontId="0" fillId="2" borderId="0" xfId="0" applyNumberFormat="1" applyFill="1"/>
    <xf numFmtId="0" fontId="0" fillId="3" borderId="0" xfId="0" applyFill="1"/>
    <xf numFmtId="4" fontId="0" fillId="3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5"/>
  <sheetViews>
    <sheetView tabSelected="1" workbookViewId="0">
      <selection activeCell="L7" sqref="L7"/>
    </sheetView>
  </sheetViews>
  <sheetFormatPr defaultRowHeight="15" x14ac:dyDescent="0.25"/>
  <cols>
    <col min="2" max="2" width="19.28515625" bestFit="1" customWidth="1"/>
    <col min="3" max="3" width="17.28515625" bestFit="1" customWidth="1"/>
    <col min="4" max="4" width="30.140625" bestFit="1" customWidth="1"/>
    <col min="5" max="5" width="39.5703125" bestFit="1" customWidth="1"/>
    <col min="6" max="6" width="16" bestFit="1" customWidth="1"/>
    <col min="7" max="7" width="12.42578125" bestFit="1" customWidth="1"/>
    <col min="9" max="9" width="30.140625" bestFit="1" customWidth="1"/>
    <col min="10" max="11" width="15" bestFit="1" customWidth="1"/>
    <col min="12" max="12" width="12.42578125" bestFit="1" customWidth="1"/>
  </cols>
  <sheetData>
    <row r="2" spans="2:12" x14ac:dyDescent="0.25">
      <c r="B2" s="2" t="s">
        <v>13</v>
      </c>
    </row>
    <row r="4" spans="2:12" x14ac:dyDescent="0.25">
      <c r="B4" t="s">
        <v>0</v>
      </c>
      <c r="C4" t="s">
        <v>1</v>
      </c>
      <c r="D4" t="s">
        <v>2</v>
      </c>
      <c r="E4" t="s">
        <v>3</v>
      </c>
    </row>
    <row r="5" spans="2:12" x14ac:dyDescent="0.25">
      <c r="B5" t="s">
        <v>7</v>
      </c>
      <c r="C5" t="s">
        <v>5</v>
      </c>
      <c r="D5" t="s">
        <v>8</v>
      </c>
      <c r="E5" s="1">
        <v>168022662.12999901</v>
      </c>
      <c r="J5" t="s">
        <v>13</v>
      </c>
      <c r="K5" t="s">
        <v>105</v>
      </c>
    </row>
    <row r="6" spans="2:12" x14ac:dyDescent="0.25">
      <c r="B6" t="s">
        <v>7</v>
      </c>
      <c r="C6" t="s">
        <v>5</v>
      </c>
      <c r="D6" t="s">
        <v>12</v>
      </c>
      <c r="E6" s="1">
        <v>797467.86999999895</v>
      </c>
      <c r="I6" t="s">
        <v>6</v>
      </c>
      <c r="J6" s="1">
        <f>+SUM(E8+E10)</f>
        <v>2945026511.2897692</v>
      </c>
      <c r="K6" s="1">
        <f>+D17+D24</f>
        <v>2979621918.6497669</v>
      </c>
      <c r="L6" s="1">
        <f>+K6-J6</f>
        <v>34595407.359997749</v>
      </c>
    </row>
    <row r="7" spans="2:12" x14ac:dyDescent="0.25">
      <c r="B7" t="s">
        <v>7</v>
      </c>
      <c r="C7" t="s">
        <v>5</v>
      </c>
      <c r="D7" t="s">
        <v>9</v>
      </c>
      <c r="E7" s="1">
        <v>3036337.5799999898</v>
      </c>
      <c r="I7" t="s">
        <v>10</v>
      </c>
      <c r="J7" s="1">
        <f>+E9+E12</f>
        <v>412163986.47999799</v>
      </c>
      <c r="K7" s="1">
        <f>+SUM(D19,D25)</f>
        <v>412163986.47999901</v>
      </c>
    </row>
    <row r="8" spans="2:12" x14ac:dyDescent="0.25">
      <c r="B8" s="3" t="s">
        <v>7</v>
      </c>
      <c r="C8" s="3" t="s">
        <v>5</v>
      </c>
      <c r="D8" s="3" t="s">
        <v>6</v>
      </c>
      <c r="E8" s="4">
        <v>2097335105.46977</v>
      </c>
    </row>
    <row r="9" spans="2:12" x14ac:dyDescent="0.25">
      <c r="B9" s="3" t="s">
        <v>7</v>
      </c>
      <c r="C9" s="3" t="s">
        <v>5</v>
      </c>
      <c r="D9" s="3" t="s">
        <v>10</v>
      </c>
      <c r="E9" s="4">
        <v>294414776.59999901</v>
      </c>
      <c r="F9" s="1">
        <f>+SUM(E5:E9)</f>
        <v>2563606349.6497679</v>
      </c>
    </row>
    <row r="10" spans="2:12" x14ac:dyDescent="0.25">
      <c r="B10" s="5" t="s">
        <v>4</v>
      </c>
      <c r="C10" s="5" t="s">
        <v>5</v>
      </c>
      <c r="D10" s="5" t="s">
        <v>6</v>
      </c>
      <c r="E10" s="6">
        <v>847691405.81999898</v>
      </c>
    </row>
    <row r="11" spans="2:12" x14ac:dyDescent="0.25">
      <c r="B11" t="s">
        <v>4</v>
      </c>
      <c r="C11" t="s">
        <v>5</v>
      </c>
      <c r="D11" t="s">
        <v>8</v>
      </c>
      <c r="E11" s="1">
        <v>24146157172.5835</v>
      </c>
    </row>
    <row r="12" spans="2:12" x14ac:dyDescent="0.25">
      <c r="B12" s="5" t="s">
        <v>4</v>
      </c>
      <c r="C12" s="5" t="s">
        <v>5</v>
      </c>
      <c r="D12" s="5" t="s">
        <v>10</v>
      </c>
      <c r="E12" s="6">
        <v>117749209.879999</v>
      </c>
    </row>
    <row r="13" spans="2:12" x14ac:dyDescent="0.25">
      <c r="B13" t="s">
        <v>4</v>
      </c>
      <c r="C13" t="s">
        <v>5</v>
      </c>
      <c r="D13" t="s">
        <v>9</v>
      </c>
      <c r="E13" s="1">
        <v>3333675.6399999899</v>
      </c>
      <c r="F13" s="1">
        <f>+SUM(E10:E13)</f>
        <v>25114931463.923496</v>
      </c>
    </row>
    <row r="14" spans="2:12" x14ac:dyDescent="0.25">
      <c r="E14" s="1"/>
    </row>
    <row r="15" spans="2:12" x14ac:dyDescent="0.25">
      <c r="B15" s="2" t="s">
        <v>14</v>
      </c>
    </row>
    <row r="16" spans="2:12" x14ac:dyDescent="0.25">
      <c r="B16" t="s">
        <v>2</v>
      </c>
      <c r="C16" t="s">
        <v>0</v>
      </c>
      <c r="D16" t="s">
        <v>3</v>
      </c>
    </row>
    <row r="17" spans="2:7" x14ac:dyDescent="0.25">
      <c r="B17" s="3" t="s">
        <v>6</v>
      </c>
      <c r="C17" s="3" t="s">
        <v>7</v>
      </c>
      <c r="D17" s="4">
        <v>2124289572.4697599</v>
      </c>
    </row>
    <row r="18" spans="2:7" x14ac:dyDescent="0.25">
      <c r="B18" t="s">
        <v>9</v>
      </c>
      <c r="C18" t="s">
        <v>7</v>
      </c>
      <c r="D18" s="1">
        <v>3036337.58</v>
      </c>
    </row>
    <row r="19" spans="2:7" x14ac:dyDescent="0.25">
      <c r="B19" s="3" t="s">
        <v>10</v>
      </c>
      <c r="C19" s="3" t="s">
        <v>7</v>
      </c>
      <c r="D19" s="4">
        <v>294414776.59999901</v>
      </c>
    </row>
    <row r="20" spans="2:7" x14ac:dyDescent="0.25">
      <c r="B20" t="s">
        <v>8</v>
      </c>
      <c r="C20" t="s">
        <v>7</v>
      </c>
      <c r="D20" s="1">
        <v>168022662.129998</v>
      </c>
    </row>
    <row r="21" spans="2:7" x14ac:dyDescent="0.25">
      <c r="B21" t="s">
        <v>12</v>
      </c>
      <c r="C21" t="s">
        <v>7</v>
      </c>
      <c r="D21" s="1">
        <v>797467.870001</v>
      </c>
      <c r="E21" s="1">
        <f>+SUM(D17:D21)</f>
        <v>2590560816.6497579</v>
      </c>
      <c r="F21" s="1">
        <f>+E21-F9</f>
        <v>26954466.999989986</v>
      </c>
      <c r="G21" s="1"/>
    </row>
    <row r="22" spans="2:7" x14ac:dyDescent="0.25">
      <c r="B22" t="s">
        <v>9</v>
      </c>
      <c r="C22" t="s">
        <v>4</v>
      </c>
      <c r="D22" s="1">
        <v>3333675.6399960001</v>
      </c>
    </row>
    <row r="23" spans="2:7" x14ac:dyDescent="0.25">
      <c r="B23" t="s">
        <v>8</v>
      </c>
      <c r="C23" t="s">
        <v>4</v>
      </c>
      <c r="D23" s="1">
        <v>24146157172.5835</v>
      </c>
    </row>
    <row r="24" spans="2:7" x14ac:dyDescent="0.25">
      <c r="B24" s="5" t="s">
        <v>6</v>
      </c>
      <c r="C24" s="5" t="s">
        <v>4</v>
      </c>
      <c r="D24" s="6">
        <v>855332346.18000698</v>
      </c>
    </row>
    <row r="25" spans="2:7" x14ac:dyDescent="0.25">
      <c r="B25" s="5" t="s">
        <v>10</v>
      </c>
      <c r="C25" s="5" t="s">
        <v>4</v>
      </c>
      <c r="D25" s="6">
        <v>117749209.88</v>
      </c>
      <c r="E25" s="1">
        <f>+SUM(D22:D25)</f>
        <v>25122572404.283504</v>
      </c>
      <c r="F25" s="1">
        <f>+E25-F13</f>
        <v>7640940.3600082397</v>
      </c>
    </row>
  </sheetData>
  <autoFilter ref="B16:D25">
    <sortState ref="B17:D29">
      <sortCondition ref="C16:C2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28"/>
  <sheetViews>
    <sheetView topLeftCell="C1" workbookViewId="0">
      <selection activeCell="M27" sqref="M27"/>
    </sheetView>
  </sheetViews>
  <sheetFormatPr defaultRowHeight="15" x14ac:dyDescent="0.25"/>
  <cols>
    <col min="2" max="2" width="30.140625" bestFit="1" customWidth="1"/>
    <col min="3" max="3" width="34.140625" bestFit="1" customWidth="1"/>
    <col min="4" max="4" width="30.28515625" bestFit="1" customWidth="1"/>
    <col min="5" max="5" width="6.140625" bestFit="1" customWidth="1"/>
    <col min="6" max="6" width="6.7109375" bestFit="1" customWidth="1"/>
    <col min="10" max="10" width="13.28515625" bestFit="1" customWidth="1"/>
  </cols>
  <sheetData>
    <row r="2" spans="2:31" x14ac:dyDescent="0.25">
      <c r="B2" t="s">
        <v>2</v>
      </c>
      <c r="C2" t="s">
        <v>15</v>
      </c>
      <c r="D2" t="s">
        <v>16</v>
      </c>
      <c r="E2" t="s">
        <v>15</v>
      </c>
      <c r="F2" t="s">
        <v>17</v>
      </c>
    </row>
    <row r="3" spans="2:31" x14ac:dyDescent="0.25">
      <c r="B3" t="s">
        <v>6</v>
      </c>
      <c r="C3" t="s">
        <v>18</v>
      </c>
      <c r="D3" s="1">
        <v>5019302.6399999997</v>
      </c>
      <c r="E3" t="s">
        <v>11</v>
      </c>
      <c r="F3" t="s">
        <v>11</v>
      </c>
    </row>
    <row r="4" spans="2:31" x14ac:dyDescent="0.25">
      <c r="B4" t="s">
        <v>6</v>
      </c>
      <c r="C4" t="s">
        <v>19</v>
      </c>
      <c r="D4" s="1">
        <v>9210319.3300000001</v>
      </c>
      <c r="E4" t="s">
        <v>11</v>
      </c>
      <c r="F4" t="s">
        <v>11</v>
      </c>
    </row>
    <row r="5" spans="2:31" x14ac:dyDescent="0.25">
      <c r="B5" t="s">
        <v>6</v>
      </c>
      <c r="C5" t="s">
        <v>20</v>
      </c>
      <c r="D5" s="1">
        <v>2019300.67</v>
      </c>
      <c r="E5" t="s">
        <v>11</v>
      </c>
      <c r="F5" t="s">
        <v>11</v>
      </c>
    </row>
    <row r="6" spans="2:31" x14ac:dyDescent="0.25">
      <c r="B6" t="s">
        <v>6</v>
      </c>
      <c r="C6" t="s">
        <v>21</v>
      </c>
      <c r="D6" s="1">
        <v>500196.89</v>
      </c>
      <c r="E6" t="s">
        <v>11</v>
      </c>
      <c r="F6" t="s">
        <v>11</v>
      </c>
    </row>
    <row r="7" spans="2:31" x14ac:dyDescent="0.25">
      <c r="B7" t="s">
        <v>6</v>
      </c>
      <c r="C7" t="s">
        <v>22</v>
      </c>
      <c r="D7" s="1">
        <v>676953.19</v>
      </c>
      <c r="E7" t="s">
        <v>11</v>
      </c>
      <c r="F7" t="s">
        <v>11</v>
      </c>
    </row>
    <row r="8" spans="2:31" x14ac:dyDescent="0.25">
      <c r="B8" t="s">
        <v>6</v>
      </c>
      <c r="C8" t="s">
        <v>23</v>
      </c>
      <c r="D8" s="1">
        <v>602337.05000000005</v>
      </c>
      <c r="E8" t="s">
        <v>11</v>
      </c>
      <c r="F8" t="s">
        <v>11</v>
      </c>
    </row>
    <row r="9" spans="2:31" x14ac:dyDescent="0.25">
      <c r="B9" t="s">
        <v>6</v>
      </c>
      <c r="C9" t="s">
        <v>24</v>
      </c>
      <c r="D9" s="1">
        <v>365800.98</v>
      </c>
      <c r="E9" t="s">
        <v>11</v>
      </c>
      <c r="F9" t="s">
        <v>11</v>
      </c>
    </row>
    <row r="10" spans="2:31" x14ac:dyDescent="0.25">
      <c r="B10" t="s">
        <v>6</v>
      </c>
      <c r="C10" t="s">
        <v>25</v>
      </c>
      <c r="D10" s="1">
        <v>15684040</v>
      </c>
      <c r="E10" t="s">
        <v>11</v>
      </c>
      <c r="F10" t="s">
        <v>11</v>
      </c>
    </row>
    <row r="11" spans="2:31" x14ac:dyDescent="0.25">
      <c r="B11" t="s">
        <v>6</v>
      </c>
      <c r="C11" t="s">
        <v>26</v>
      </c>
      <c r="D11" s="1">
        <v>517156.61</v>
      </c>
      <c r="E11" t="s">
        <v>11</v>
      </c>
      <c r="F11" t="s">
        <v>11</v>
      </c>
    </row>
    <row r="13" spans="2:31" x14ac:dyDescent="0.25">
      <c r="B13" s="7" t="s">
        <v>27</v>
      </c>
      <c r="C13" s="7" t="s">
        <v>28</v>
      </c>
      <c r="D13" s="7" t="s">
        <v>29</v>
      </c>
      <c r="E13" s="7" t="s">
        <v>30</v>
      </c>
      <c r="F13" s="7" t="s">
        <v>31</v>
      </c>
      <c r="G13" s="7" t="s">
        <v>32</v>
      </c>
      <c r="H13" s="7" t="s">
        <v>33</v>
      </c>
      <c r="I13" s="7" t="s">
        <v>1</v>
      </c>
      <c r="J13" s="7" t="s">
        <v>34</v>
      </c>
      <c r="K13" s="7" t="s">
        <v>35</v>
      </c>
      <c r="L13" s="7" t="s">
        <v>36</v>
      </c>
      <c r="M13" s="7" t="s">
        <v>37</v>
      </c>
      <c r="N13" s="7" t="s">
        <v>38</v>
      </c>
      <c r="O13" s="7" t="s">
        <v>39</v>
      </c>
      <c r="P13" s="7" t="s">
        <v>0</v>
      </c>
      <c r="Q13" s="7" t="s">
        <v>40</v>
      </c>
      <c r="R13" s="7" t="s">
        <v>2</v>
      </c>
      <c r="S13" s="7" t="s">
        <v>41</v>
      </c>
      <c r="T13" s="7" t="s">
        <v>42</v>
      </c>
      <c r="U13" s="7" t="s">
        <v>43</v>
      </c>
      <c r="V13" s="7" t="s">
        <v>44</v>
      </c>
      <c r="W13" s="7" t="s">
        <v>45</v>
      </c>
      <c r="X13" s="7" t="s">
        <v>46</v>
      </c>
      <c r="Y13" s="7" t="s">
        <v>47</v>
      </c>
      <c r="Z13" s="7" t="s">
        <v>48</v>
      </c>
      <c r="AA13" s="7" t="s">
        <v>49</v>
      </c>
      <c r="AB13" s="7" t="s">
        <v>50</v>
      </c>
      <c r="AC13" s="7" t="s">
        <v>51</v>
      </c>
      <c r="AD13" s="7" t="s">
        <v>52</v>
      </c>
      <c r="AE13" s="7"/>
    </row>
    <row r="14" spans="2:31" x14ac:dyDescent="0.25">
      <c r="B14" s="7" t="s">
        <v>69</v>
      </c>
      <c r="C14" s="7" t="s">
        <v>70</v>
      </c>
      <c r="D14" s="7" t="s">
        <v>71</v>
      </c>
      <c r="E14" s="7" t="s">
        <v>72</v>
      </c>
      <c r="F14" s="7" t="s">
        <v>53</v>
      </c>
      <c r="G14" s="7" t="s">
        <v>73</v>
      </c>
      <c r="H14" s="7"/>
      <c r="I14" s="7" t="s">
        <v>5</v>
      </c>
      <c r="J14" s="1">
        <v>-15684040</v>
      </c>
      <c r="K14" s="7" t="s">
        <v>54</v>
      </c>
      <c r="L14" s="7" t="s">
        <v>55</v>
      </c>
      <c r="M14" s="7" t="s">
        <v>56</v>
      </c>
      <c r="N14" s="7" t="s">
        <v>57</v>
      </c>
      <c r="O14" s="7"/>
      <c r="P14" s="7" t="s">
        <v>7</v>
      </c>
      <c r="Q14" s="7" t="s">
        <v>58</v>
      </c>
      <c r="R14" s="7" t="s">
        <v>6</v>
      </c>
      <c r="S14" s="7" t="s">
        <v>74</v>
      </c>
      <c r="T14" s="7" t="s">
        <v>75</v>
      </c>
      <c r="U14" s="7" t="s">
        <v>76</v>
      </c>
      <c r="V14" s="7" t="s">
        <v>77</v>
      </c>
      <c r="W14" s="7" t="s">
        <v>78</v>
      </c>
      <c r="X14" s="7" t="s">
        <v>79</v>
      </c>
      <c r="Y14" s="7" t="s">
        <v>76</v>
      </c>
      <c r="Z14" s="7" t="s">
        <v>79</v>
      </c>
      <c r="AA14" s="7" t="s">
        <v>79</v>
      </c>
      <c r="AB14" s="7" t="s">
        <v>79</v>
      </c>
      <c r="AC14" s="7" t="s">
        <v>79</v>
      </c>
      <c r="AD14" s="7" t="s">
        <v>80</v>
      </c>
      <c r="AE14" s="7"/>
    </row>
    <row r="15" spans="2:31" x14ac:dyDescent="0.25">
      <c r="B15" s="7" t="s">
        <v>69</v>
      </c>
      <c r="C15" s="7" t="s">
        <v>70</v>
      </c>
      <c r="D15" s="7" t="s">
        <v>71</v>
      </c>
      <c r="E15" s="7" t="s">
        <v>81</v>
      </c>
      <c r="F15" s="7" t="s">
        <v>59</v>
      </c>
      <c r="G15" s="7" t="s">
        <v>82</v>
      </c>
      <c r="H15" s="7"/>
      <c r="I15" s="7" t="s">
        <v>5</v>
      </c>
      <c r="J15" s="1">
        <v>-602337.05000000005</v>
      </c>
      <c r="K15" s="7" t="s">
        <v>54</v>
      </c>
      <c r="L15" s="7" t="s">
        <v>55</v>
      </c>
      <c r="M15" s="7" t="s">
        <v>56</v>
      </c>
      <c r="N15" s="7" t="s">
        <v>60</v>
      </c>
      <c r="O15" s="7"/>
      <c r="P15" s="7" t="s">
        <v>4</v>
      </c>
      <c r="Q15" s="7" t="s">
        <v>61</v>
      </c>
      <c r="R15" s="7" t="s">
        <v>6</v>
      </c>
      <c r="S15" s="7" t="s">
        <v>83</v>
      </c>
      <c r="T15" s="7" t="s">
        <v>84</v>
      </c>
      <c r="U15" s="7" t="s">
        <v>76</v>
      </c>
      <c r="V15" s="7" t="s">
        <v>77</v>
      </c>
      <c r="W15" s="7" t="s">
        <v>78</v>
      </c>
      <c r="X15" s="7" t="s">
        <v>79</v>
      </c>
      <c r="Y15" s="7" t="s">
        <v>76</v>
      </c>
      <c r="Z15" s="7" t="s">
        <v>79</v>
      </c>
      <c r="AA15" s="7" t="s">
        <v>79</v>
      </c>
      <c r="AB15" s="7" t="s">
        <v>79</v>
      </c>
      <c r="AC15" s="7" t="s">
        <v>79</v>
      </c>
      <c r="AD15" s="7" t="s">
        <v>80</v>
      </c>
      <c r="AE15" s="7"/>
    </row>
    <row r="16" spans="2:31" x14ac:dyDescent="0.25">
      <c r="B16" s="7" t="s">
        <v>69</v>
      </c>
      <c r="C16" s="7" t="s">
        <v>70</v>
      </c>
      <c r="D16" s="7" t="s">
        <v>71</v>
      </c>
      <c r="E16" s="7" t="s">
        <v>93</v>
      </c>
      <c r="F16" s="7" t="s">
        <v>64</v>
      </c>
      <c r="G16" s="7" t="s">
        <v>94</v>
      </c>
      <c r="H16" s="7"/>
      <c r="I16" s="7" t="s">
        <v>5</v>
      </c>
      <c r="J16" s="1">
        <v>-2019300.67</v>
      </c>
      <c r="K16" s="7" t="s">
        <v>54</v>
      </c>
      <c r="L16" s="7" t="s">
        <v>55</v>
      </c>
      <c r="M16" s="7" t="s">
        <v>56</v>
      </c>
      <c r="N16" s="7" t="s">
        <v>60</v>
      </c>
      <c r="O16" s="7"/>
      <c r="P16" s="7" t="s">
        <v>4</v>
      </c>
      <c r="Q16" s="7" t="s">
        <v>61</v>
      </c>
      <c r="R16" s="7" t="s">
        <v>6</v>
      </c>
      <c r="S16" s="7" t="s">
        <v>95</v>
      </c>
      <c r="T16" s="7" t="s">
        <v>96</v>
      </c>
      <c r="U16" s="7" t="s">
        <v>76</v>
      </c>
      <c r="V16" s="7" t="s">
        <v>77</v>
      </c>
      <c r="W16" s="7" t="s">
        <v>78</v>
      </c>
      <c r="X16" s="7" t="s">
        <v>79</v>
      </c>
      <c r="Y16" s="7" t="s">
        <v>76</v>
      </c>
      <c r="Z16" s="7" t="s">
        <v>79</v>
      </c>
      <c r="AA16" s="7" t="s">
        <v>79</v>
      </c>
      <c r="AB16" s="7" t="s">
        <v>79</v>
      </c>
      <c r="AC16" s="7" t="s">
        <v>79</v>
      </c>
      <c r="AD16" s="7" t="s">
        <v>80</v>
      </c>
      <c r="AE16" s="7"/>
    </row>
    <row r="17" spans="2:31" x14ac:dyDescent="0.25">
      <c r="B17" s="7" t="s">
        <v>69</v>
      </c>
      <c r="C17" s="7" t="s">
        <v>70</v>
      </c>
      <c r="D17" s="7" t="s">
        <v>71</v>
      </c>
      <c r="E17" s="7" t="s">
        <v>72</v>
      </c>
      <c r="F17" s="7" t="s">
        <v>65</v>
      </c>
      <c r="G17" s="7" t="s">
        <v>73</v>
      </c>
      <c r="H17" s="7"/>
      <c r="I17" s="7" t="s">
        <v>5</v>
      </c>
      <c r="J17" s="1">
        <v>-365800.98</v>
      </c>
      <c r="K17" s="7" t="s">
        <v>54</v>
      </c>
      <c r="L17" s="7" t="s">
        <v>55</v>
      </c>
      <c r="M17" s="7" t="s">
        <v>56</v>
      </c>
      <c r="N17" s="7" t="s">
        <v>57</v>
      </c>
      <c r="O17" s="7"/>
      <c r="P17" s="7" t="s">
        <v>7</v>
      </c>
      <c r="Q17" s="7" t="s">
        <v>58</v>
      </c>
      <c r="R17" s="7" t="s">
        <v>6</v>
      </c>
      <c r="S17" s="7" t="s">
        <v>97</v>
      </c>
      <c r="T17" s="7" t="s">
        <v>98</v>
      </c>
      <c r="U17" s="7" t="s">
        <v>76</v>
      </c>
      <c r="V17" s="7" t="s">
        <v>77</v>
      </c>
      <c r="W17" s="7" t="s">
        <v>78</v>
      </c>
      <c r="X17" s="7" t="s">
        <v>79</v>
      </c>
      <c r="Y17" s="7" t="s">
        <v>76</v>
      </c>
      <c r="Z17" s="7" t="s">
        <v>79</v>
      </c>
      <c r="AA17" s="7" t="s">
        <v>79</v>
      </c>
      <c r="AB17" s="7" t="s">
        <v>79</v>
      </c>
      <c r="AC17" s="7" t="s">
        <v>79</v>
      </c>
      <c r="AD17" s="7" t="s">
        <v>80</v>
      </c>
      <c r="AE17" s="7"/>
    </row>
    <row r="18" spans="2:31" x14ac:dyDescent="0.25">
      <c r="B18" s="7" t="s">
        <v>69</v>
      </c>
      <c r="C18" s="7" t="s">
        <v>70</v>
      </c>
      <c r="D18" s="7" t="s">
        <v>71</v>
      </c>
      <c r="E18" s="7" t="s">
        <v>72</v>
      </c>
      <c r="F18" s="7" t="s">
        <v>66</v>
      </c>
      <c r="G18" s="7" t="s">
        <v>73</v>
      </c>
      <c r="H18" s="7"/>
      <c r="I18" s="7" t="s">
        <v>5</v>
      </c>
      <c r="J18" s="1">
        <v>-676953.19</v>
      </c>
      <c r="K18" s="7" t="s">
        <v>54</v>
      </c>
      <c r="L18" s="7" t="s">
        <v>55</v>
      </c>
      <c r="M18" s="7" t="s">
        <v>56</v>
      </c>
      <c r="N18" s="7" t="s">
        <v>57</v>
      </c>
      <c r="O18" s="7"/>
      <c r="P18" s="7" t="s">
        <v>7</v>
      </c>
      <c r="Q18" s="7" t="s">
        <v>58</v>
      </c>
      <c r="R18" s="7" t="s">
        <v>6</v>
      </c>
      <c r="S18" s="7" t="s">
        <v>99</v>
      </c>
      <c r="T18" s="7" t="s">
        <v>100</v>
      </c>
      <c r="U18" s="7" t="s">
        <v>76</v>
      </c>
      <c r="V18" s="7" t="s">
        <v>77</v>
      </c>
      <c r="W18" s="7" t="s">
        <v>78</v>
      </c>
      <c r="X18" s="7" t="s">
        <v>79</v>
      </c>
      <c r="Y18" s="7" t="s">
        <v>76</v>
      </c>
      <c r="Z18" s="7" t="s">
        <v>79</v>
      </c>
      <c r="AA18" s="7" t="s">
        <v>79</v>
      </c>
      <c r="AB18" s="7" t="s">
        <v>79</v>
      </c>
      <c r="AC18" s="7" t="s">
        <v>79</v>
      </c>
      <c r="AD18" s="7" t="s">
        <v>80</v>
      </c>
      <c r="AE18" s="7"/>
    </row>
    <row r="19" spans="2:31" x14ac:dyDescent="0.25">
      <c r="B19" s="7" t="s">
        <v>69</v>
      </c>
      <c r="C19" s="7" t="s">
        <v>70</v>
      </c>
      <c r="D19" s="7" t="s">
        <v>71</v>
      </c>
      <c r="E19" s="7" t="s">
        <v>89</v>
      </c>
      <c r="F19" s="7" t="s">
        <v>63</v>
      </c>
      <c r="G19" s="7" t="s">
        <v>90</v>
      </c>
      <c r="H19" s="7"/>
      <c r="I19" s="7" t="s">
        <v>5</v>
      </c>
      <c r="J19" s="1">
        <v>-9210319.3300000001</v>
      </c>
      <c r="K19" s="7" t="s">
        <v>54</v>
      </c>
      <c r="L19" s="7" t="s">
        <v>55</v>
      </c>
      <c r="M19" s="7" t="s">
        <v>56</v>
      </c>
      <c r="N19" s="7" t="s">
        <v>60</v>
      </c>
      <c r="O19" s="7"/>
      <c r="P19" s="7" t="s">
        <v>7</v>
      </c>
      <c r="Q19" s="7" t="s">
        <v>61</v>
      </c>
      <c r="R19" s="7" t="s">
        <v>6</v>
      </c>
      <c r="S19" s="7" t="s">
        <v>91</v>
      </c>
      <c r="T19" s="7" t="s">
        <v>92</v>
      </c>
      <c r="U19" s="7" t="s">
        <v>76</v>
      </c>
      <c r="V19" s="7" t="s">
        <v>77</v>
      </c>
      <c r="W19" s="7" t="s">
        <v>78</v>
      </c>
      <c r="X19" s="7" t="s">
        <v>79</v>
      </c>
      <c r="Y19" s="7" t="s">
        <v>76</v>
      </c>
      <c r="Z19" s="7" t="s">
        <v>79</v>
      </c>
      <c r="AA19" s="7" t="s">
        <v>79</v>
      </c>
      <c r="AB19" s="7" t="s">
        <v>79</v>
      </c>
      <c r="AC19" s="7" t="s">
        <v>79</v>
      </c>
      <c r="AD19" s="7" t="s">
        <v>80</v>
      </c>
      <c r="AE19" s="7"/>
    </row>
    <row r="20" spans="2:31" x14ac:dyDescent="0.25">
      <c r="B20" s="7" t="s">
        <v>69</v>
      </c>
      <c r="C20" s="7" t="s">
        <v>70</v>
      </c>
      <c r="D20" s="7" t="s">
        <v>71</v>
      </c>
      <c r="E20" s="7" t="s">
        <v>85</v>
      </c>
      <c r="F20" s="7" t="s">
        <v>62</v>
      </c>
      <c r="G20" s="7" t="s">
        <v>86</v>
      </c>
      <c r="H20" s="7"/>
      <c r="I20" s="7" t="s">
        <v>5</v>
      </c>
      <c r="J20" s="1">
        <v>-5019302.6399999997</v>
      </c>
      <c r="K20" s="7" t="s">
        <v>54</v>
      </c>
      <c r="L20" s="7" t="s">
        <v>55</v>
      </c>
      <c r="M20" s="7" t="s">
        <v>56</v>
      </c>
      <c r="N20" s="7" t="s">
        <v>60</v>
      </c>
      <c r="O20" s="7"/>
      <c r="P20" s="7" t="s">
        <v>4</v>
      </c>
      <c r="Q20" s="7" t="s">
        <v>61</v>
      </c>
      <c r="R20" s="7" t="s">
        <v>6</v>
      </c>
      <c r="S20" s="7" t="s">
        <v>87</v>
      </c>
      <c r="T20" s="7" t="s">
        <v>88</v>
      </c>
      <c r="U20" s="7" t="s">
        <v>76</v>
      </c>
      <c r="V20" s="7" t="s">
        <v>77</v>
      </c>
      <c r="W20" s="7" t="s">
        <v>78</v>
      </c>
      <c r="X20" s="7" t="s">
        <v>79</v>
      </c>
      <c r="Y20" s="7" t="s">
        <v>76</v>
      </c>
      <c r="Z20" s="7" t="s">
        <v>79</v>
      </c>
      <c r="AA20" s="7" t="s">
        <v>79</v>
      </c>
      <c r="AB20" s="7" t="s">
        <v>79</v>
      </c>
      <c r="AC20" s="7" t="s">
        <v>79</v>
      </c>
      <c r="AD20" s="7" t="s">
        <v>80</v>
      </c>
      <c r="AE20" s="7"/>
    </row>
    <row r="21" spans="2:31" x14ac:dyDescent="0.25">
      <c r="B21" s="7" t="s">
        <v>69</v>
      </c>
      <c r="C21" s="7" t="s">
        <v>70</v>
      </c>
      <c r="D21" s="7" t="s">
        <v>71</v>
      </c>
      <c r="E21" s="7" t="s">
        <v>72</v>
      </c>
      <c r="F21" s="7" t="s">
        <v>67</v>
      </c>
      <c r="G21" s="7" t="s">
        <v>73</v>
      </c>
      <c r="H21" s="7"/>
      <c r="I21" s="7" t="s">
        <v>5</v>
      </c>
      <c r="J21" s="1">
        <v>-500196.89</v>
      </c>
      <c r="K21" s="7" t="s">
        <v>54</v>
      </c>
      <c r="L21" s="7" t="s">
        <v>55</v>
      </c>
      <c r="M21" s="7" t="s">
        <v>56</v>
      </c>
      <c r="N21" s="7" t="s">
        <v>57</v>
      </c>
      <c r="O21" s="7"/>
      <c r="P21" s="7" t="s">
        <v>7</v>
      </c>
      <c r="Q21" s="7" t="s">
        <v>58</v>
      </c>
      <c r="R21" s="7" t="s">
        <v>6</v>
      </c>
      <c r="S21" s="7" t="s">
        <v>101</v>
      </c>
      <c r="T21" s="7" t="s">
        <v>102</v>
      </c>
      <c r="U21" s="7" t="s">
        <v>76</v>
      </c>
      <c r="V21" s="7" t="s">
        <v>77</v>
      </c>
      <c r="W21" s="7" t="s">
        <v>78</v>
      </c>
      <c r="X21" s="7" t="s">
        <v>79</v>
      </c>
      <c r="Y21" s="7" t="s">
        <v>76</v>
      </c>
      <c r="Z21" s="7" t="s">
        <v>79</v>
      </c>
      <c r="AA21" s="7" t="s">
        <v>79</v>
      </c>
      <c r="AB21" s="7" t="s">
        <v>79</v>
      </c>
      <c r="AC21" s="7" t="s">
        <v>79</v>
      </c>
      <c r="AD21" s="7" t="s">
        <v>80</v>
      </c>
      <c r="AE21" s="7"/>
    </row>
    <row r="22" spans="2:31" x14ac:dyDescent="0.25">
      <c r="B22" s="7" t="s">
        <v>69</v>
      </c>
      <c r="C22" s="7" t="s">
        <v>70</v>
      </c>
      <c r="D22" s="7" t="s">
        <v>71</v>
      </c>
      <c r="E22" s="7" t="s">
        <v>72</v>
      </c>
      <c r="F22" s="7" t="s">
        <v>68</v>
      </c>
      <c r="G22" s="7" t="s">
        <v>73</v>
      </c>
      <c r="H22" s="7"/>
      <c r="I22" s="7" t="s">
        <v>5</v>
      </c>
      <c r="J22" s="1">
        <v>-517156.61</v>
      </c>
      <c r="K22" s="7" t="s">
        <v>54</v>
      </c>
      <c r="L22" s="7" t="s">
        <v>55</v>
      </c>
      <c r="M22" s="7" t="s">
        <v>56</v>
      </c>
      <c r="N22" s="7" t="s">
        <v>57</v>
      </c>
      <c r="O22" s="7"/>
      <c r="P22" s="7" t="s">
        <v>7</v>
      </c>
      <c r="Q22" s="7" t="s">
        <v>58</v>
      </c>
      <c r="R22" s="7" t="s">
        <v>6</v>
      </c>
      <c r="S22" s="7" t="s">
        <v>103</v>
      </c>
      <c r="T22" s="7" t="s">
        <v>104</v>
      </c>
      <c r="U22" s="7" t="s">
        <v>76</v>
      </c>
      <c r="V22" s="7" t="s">
        <v>77</v>
      </c>
      <c r="W22" s="7" t="s">
        <v>78</v>
      </c>
      <c r="X22" s="7" t="s">
        <v>79</v>
      </c>
      <c r="Y22" s="7" t="s">
        <v>76</v>
      </c>
      <c r="Z22" s="7" t="s">
        <v>79</v>
      </c>
      <c r="AA22" s="7" t="s">
        <v>79</v>
      </c>
      <c r="AB22" s="7" t="s">
        <v>79</v>
      </c>
      <c r="AC22" s="7" t="s">
        <v>79</v>
      </c>
      <c r="AD22" s="7" t="s">
        <v>80</v>
      </c>
      <c r="AE22" s="7"/>
    </row>
    <row r="26" spans="2:31" x14ac:dyDescent="0.25">
      <c r="G26" t="s">
        <v>106</v>
      </c>
      <c r="H26" t="s">
        <v>108</v>
      </c>
      <c r="I26" t="s">
        <v>111</v>
      </c>
      <c r="J26" t="s">
        <v>112</v>
      </c>
      <c r="K26" t="s">
        <v>113</v>
      </c>
    </row>
    <row r="27" spans="2:31" x14ac:dyDescent="0.25">
      <c r="G27" t="s">
        <v>107</v>
      </c>
      <c r="H27" t="s">
        <v>109</v>
      </c>
      <c r="I27" t="s">
        <v>114</v>
      </c>
      <c r="J27" t="s">
        <v>115</v>
      </c>
      <c r="K27" t="s">
        <v>116</v>
      </c>
    </row>
    <row r="28" spans="2:31" x14ac:dyDescent="0.25">
      <c r="G28" t="s">
        <v>107</v>
      </c>
      <c r="H28" t="s">
        <v>110</v>
      </c>
      <c r="I28" t="s">
        <v>117</v>
      </c>
      <c r="J28" t="s">
        <v>118</v>
      </c>
      <c r="K28" t="s">
        <v>119</v>
      </c>
    </row>
  </sheetData>
  <autoFilter ref="B13:AD22">
    <sortState ref="B14:AD26">
      <sortCondition ref="I13:I26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6597F7-9F79-41CD-8D4D-FEBA26E38956}"/>
</file>

<file path=customXml/itemProps2.xml><?xml version="1.0" encoding="utf-8"?>
<ds:datastoreItem xmlns:ds="http://schemas.openxmlformats.org/officeDocument/2006/customXml" ds:itemID="{F3E30D75-4383-4186-9752-877A595F4FA3}"/>
</file>

<file path=customXml/itemProps3.xml><?xml version="1.0" encoding="utf-8"?>
<ds:datastoreItem xmlns:ds="http://schemas.openxmlformats.org/officeDocument/2006/customXml" ds:itemID="{FF5BBA91-2654-48EF-BCCE-633902D74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cp:lastPrinted>2025-09-26T13:53:19Z</cp:lastPrinted>
  <dcterms:created xsi:type="dcterms:W3CDTF">2025-09-26T11:23:05Z</dcterms:created>
  <dcterms:modified xsi:type="dcterms:W3CDTF">2025-09-26T13:54:02Z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2025-09-26T13:53:35Z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2f9b1e31-a3ac-486f-994a-6054f6ca8773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